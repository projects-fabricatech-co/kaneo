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ções" sheetId="1" state="visible" r:id="rId1"/>
    <sheet name="Painel" sheetId="2" state="visible" r:id="rId2"/>
    <sheet name="Ocorrências" sheetId="3" state="visible" r:id="rId3"/>
    <sheet name="Avaliação" sheetId="4" state="visible" r:id="rId4"/>
    <sheet name="Pauta 1a1" sheetId="5" state="visible" r:id="rId5"/>
    <sheet name="PDI" sheetId="6" state="visible" r:id="rId6"/>
    <sheet name="Alertas" sheetId="7" state="visible" r:id="rId7"/>
    <sheet name="Reuniões 1a1" sheetId="8" state="visible" r:id="rId8"/>
    <sheet name="Colaboradores" sheetId="9" state="visible" r:id="rId9"/>
    <sheet name="Competências" sheetId="10" state="visible" r:id="rId10"/>
    <sheet name="Âncoras" sheetId="11" state="visible" r:id="rId11"/>
    <sheet name="Config" sheetId="12" state="visible" r:id="rId12"/>
  </sheets>
  <definedNames>
    <definedName name="_xlnm._FilterDatabase" localSheetId="1" hidden="1">'Painel'!$A$4:$Y$64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DD/MM/YYYY"/>
    <numFmt numFmtId="167" formatCode="0.00;-0.00;-"/>
    <numFmt numFmtId="168" formatCode="0.0;-0.0;-"/>
  </numFmts>
  <fonts count="1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F3864"/>
      <sz val="9"/>
    </font>
    <font>
      <name val="Arial"/>
      <color rgb="000000FF"/>
      <sz val="9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b val="1"/>
      <i val="1"/>
      <color rgb="00000000"/>
      <sz val="9"/>
    </font>
    <font>
      <name val="Arial"/>
      <i val="1"/>
      <color rgb="00C00000"/>
      <sz val="9"/>
    </font>
    <font>
      <name val="Arial"/>
      <i val="1"/>
      <color rgb="00000000"/>
      <sz val="8"/>
    </font>
    <font>
      <name val="Arial"/>
      <i val="1"/>
      <color rgb="00FFFFFF"/>
      <sz val="8"/>
    </font>
    <font>
      <name val="Arial"/>
      <b val="1"/>
      <color rgb="00000000"/>
      <sz val="11"/>
    </font>
    <font>
      <name val="Arial"/>
      <color theme="1"/>
      <sz val="11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E539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16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4" fillId="0" borderId="0" pivotButton="0" quotePrefix="0" xfId="0"/>
    <xf numFmtId="0" fontId="4" fillId="4" borderId="1" pivotButton="0" quotePrefix="0" xfId="0"/>
    <xf numFmtId="0" fontId="12" fillId="0" borderId="0" pivotButton="0" quotePrefix="0" xfId="0"/>
    <xf numFmtId="0" fontId="10" fillId="5" borderId="1" applyAlignment="1" pivotButton="0" quotePrefix="0" xfId="0">
      <alignment vertical="center" wrapText="1"/>
    </xf>
    <xf numFmtId="0" fontId="14" fillId="6" borderId="0" applyAlignment="1" pivotButton="0" quotePrefix="0" xfId="0">
      <alignment wrapText="1"/>
    </xf>
    <xf numFmtId="0" fontId="4" fillId="4" borderId="1" applyAlignment="1" pivotButton="0" quotePrefix="0" xfId="0">
      <alignment vertical="top" wrapText="1"/>
    </xf>
    <xf numFmtId="167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6" fontId="7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pivotButton="0" quotePrefix="0" xfId="0"/>
    <xf numFmtId="0" fontId="8" fillId="4" borderId="1" pivotButton="0" quotePrefix="0" xfId="0"/>
    <xf numFmtId="168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2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9" fontId="7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0" fontId="4" fillId="0" borderId="1" pivotButton="0" quotePrefix="0" xfId="0"/>
    <xf numFmtId="9" fontId="7" fillId="3" borderId="1" applyAlignment="1" pivotButton="0" quotePrefix="0" xfId="0">
      <alignment horizontal="center"/>
    </xf>
    <xf numFmtId="0" fontId="11" fillId="0" borderId="0" pivotButton="0" quotePrefix="0" xfId="0"/>
    <xf numFmtId="9" fontId="5" fillId="0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</cellXfs>
  <cellStyles count="1">
    <cellStyle name="Normal" xfId="0" builtinId="0" hidden="0"/>
  </cellStyles>
  <dxfs count="6">
    <dxf>
      <fill>
        <patternFill patternType="solid">
          <fgColor rgb="00FFC7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ont>
        <name val="Arial"/>
        <b val="1"/>
        <color rgb="009C0006"/>
        <sz val="9"/>
      </font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ont>
        <name val="Arial"/>
        <b val="1"/>
        <color rgb="009C0006"/>
        <sz val="11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modelo</author>
  </authors>
  <commentList>
    <comment ref="H4" authorId="0" shapeId="0">
      <text>
        <t>A — Entrega e Resultado</t>
      </text>
    </comment>
    <comment ref="I4" authorId="0" shapeId="0">
      <text>
        <t>B — Técnico / Ofício</t>
      </text>
    </comment>
    <comment ref="J4" authorId="0" shapeId="0">
      <text>
        <t>C — Comportamental / Colaboração</t>
      </text>
    </comment>
    <comment ref="K4" authorId="0" shapeId="0">
      <text>
        <t>D — Autonomia / Senioridade</t>
      </text>
    </comment>
  </commentList>
</comments>
</file>

<file path=xl/comments/comment2.xml><?xml version="1.0" encoding="utf-8"?>
<comments xmlns="http://schemas.openxmlformats.org/spreadsheetml/2006/main">
  <authors>
    <author>RH</author>
  </authors>
  <commentList>
    <comment ref="G4" authorId="0" shapeId="0">
      <text>
        <t>Fato observável: o que aconteceu, verificável por terceiro.
Bom: 'Subiu hotfix sem aprovação na sexta 18h'.
Ruim: 'É descuidado', 'falta postura', 'é proativo'.
Feedback vago sem fato recai desproporcionalmente sobre mulheres e pessoas negras — é por isso que este campo é duro.</t>
      </text>
    </comment>
  </commentList>
</comments>
</file>

<file path=xl/comments/comment3.xml><?xml version="1.0" encoding="utf-8"?>
<comments xmlns="http://schemas.openxmlformats.org/spreadsheetml/2006/main">
  <authors>
    <author>RH</author>
  </authors>
  <commentList>
    <comment ref="M4" authorId="0" shapeId="0">
      <text>
        <t>A nota final é DECISÃO, não cálculo. A coluna Sugestão só resolve o caso trivial.
Divergência 1: decide o avaliador dono da competência.
Divergência 2+: cada lado traz uma ocorrência. Se só um tem evidência, a nota dele prevalece. Nunca a média.</t>
      </text>
    </comment>
  </commentList>
</comments>
</file>

<file path=xl/comments/comment4.xml><?xml version="1.0" encoding="utf-8"?>
<comments xmlns="http://schemas.openxmlformats.org/spreadsheetml/2006/main">
  <authors>
    <author>LT</author>
  </authors>
  <commentList>
    <comment ref="C8" authorId="0" shapeId="0">
      <text>
        <t>Célula vermelha = GP e Líder Técnico divergiram em 2+ pontos. Diga isso na cara, na 1:1: 'o que discordamos sobre você'. Esconder a divergência é o que faz a devolutiva soar falsa.</t>
      </text>
    </comment>
  </commentList>
</comments>
</file>

<file path=xl/comments/comment5.xml><?xml version="1.0" encoding="utf-8"?>
<comments xmlns="http://schemas.openxmlformats.org/spreadsheetml/2006/main">
  <authors>
    <author>LT</author>
  </authors>
  <commentList>
    <comment ref="N4" authorId="0" shapeId="0">
      <text>
        <t>Ordem do foco: 1 ou 2. Se você precisou escrever 3, o plano já falhou — escolha.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 ht="22" customHeight="1">
      <c r="A1" s="1" t="inlineStr">
        <is>
          <t>Avaliação de Desempenho por Squad — GP + Líder Técnico</t>
        </is>
      </c>
      <c r="B1" s="2" t="n"/>
    </row>
    <row r="2">
      <c r="A2" s="3" t="inlineStr">
        <is>
          <t>Versão 1 · construída com as visões de RH, Gerência de Projetos e Liderança Técnica · revisar e ajustar antes de usar em produção</t>
        </is>
      </c>
      <c r="B2" s="2" t="n"/>
    </row>
    <row r="3">
      <c r="A3" s="2" t="n"/>
      <c r="B3" s="2" t="n"/>
    </row>
    <row r="4" ht="28" customHeight="1">
      <c r="A4" s="4" t="inlineStr">
        <is>
          <t>COMO ESTA PLANILHA FUNCIONA</t>
        </is>
      </c>
      <c r="B4" s="5" t="n"/>
    </row>
    <row r="5" ht="28" customHeight="1">
      <c r="A5" s="2" t="n"/>
      <c r="B5" s="6" t="inlineStr">
        <is>
          <t>O registro contínuo é o produto; a nota é subproduto. Se você só conseguir manter uma aba viva, mantenha 'Ocorrências'. Uma nota sem ocorrência vinculada não é avaliação, é impressão.</t>
        </is>
      </c>
    </row>
    <row r="6" ht="28" customHeight="1">
      <c r="A6" s="4" t="inlineStr">
        <is>
          <t>RITMO DE USO</t>
        </is>
      </c>
      <c r="B6" s="5" t="n"/>
    </row>
    <row r="7" ht="28" customHeight="1">
      <c r="A7" s="7" t="inlineStr">
        <is>
          <t>Quando acontecer (60 segundos)</t>
        </is>
      </c>
      <c r="B7" s="6" t="inlineStr">
        <is>
          <t>Lance uma ocorrência. Meta realista: 2 a 4 por colaborador por mês, com ao menos 1 positiva a cada 2 registros.</t>
        </is>
      </c>
    </row>
    <row r="8" ht="28" customHeight="1">
      <c r="A8" s="7" t="inlineStr">
        <is>
          <t>Sexta-feira (15 min / squad)</t>
        </is>
      </c>
      <c r="B8" s="6" t="inlineStr">
        <is>
          <t>Abra o 'Painel'. Olhe quem está sem registro e sem 1:1. Não avalie nada.</t>
        </is>
      </c>
    </row>
    <row r="9" ht="28" customHeight="1">
      <c r="A9" s="7" t="inlineStr">
        <is>
          <t>Fim de ciclo (20 min / pessoa)</t>
        </is>
      </c>
      <c r="B9" s="6" t="inlineStr">
        <is>
          <t>Preencha 'Avaliação'. Você não escreve do zero: lê o que já foi acumulado.</t>
        </is>
      </c>
    </row>
    <row r="10" ht="28" customHeight="1">
      <c r="A10" s="7" t="inlineStr">
        <is>
          <t>Antes da devolutiva</t>
        </is>
      </c>
      <c r="B10" s="6" t="inlineStr">
        <is>
          <t>Calibração GP × Líder Técnico apenas nos itens divergentes. Depois, 1:1 com a aba 'Pauta 1a1'.</t>
        </is>
      </c>
    </row>
    <row r="11" ht="28" customHeight="1">
      <c r="A11" s="4" t="inlineStr">
        <is>
          <t>QUEM AVALIA O QUÊ</t>
        </is>
      </c>
      <c r="B11" s="5" t="n"/>
    </row>
    <row r="12" ht="28" customHeight="1">
      <c r="A12" s="7" t="inlineStr">
        <is>
          <t>Líder Técnico (palavra final no técnico)</t>
        </is>
      </c>
      <c r="B12" s="6" t="inlineStr">
        <is>
          <t>Qualidade da entrega, domínio técnico, design de solução, rigor operacional, colaboração e review, desenvolvimento de outros.</t>
        </is>
      </c>
    </row>
    <row r="13" ht="28" customHeight="1">
      <c r="A13" s="7" t="inlineStr">
        <is>
          <t>GP (palavra final na entrega)</t>
        </is>
      </c>
      <c r="B13" s="6" t="inlineStr">
        <is>
          <t>Previsibilidade, comunicação, confiabilidade e conduta.</t>
        </is>
      </c>
    </row>
    <row r="14" ht="28" customHeight="1">
      <c r="A14" s="7" t="inlineStr">
        <is>
          <t>Compartilhado</t>
        </is>
      </c>
      <c r="B14" s="6" t="inlineStr">
        <is>
          <t>Foco em valor, autonomia e ownership. Quem não tem evidência deixa em branco — em branco é resposta legítima e melhor que chute.</t>
        </is>
      </c>
    </row>
    <row r="15" ht="28" customHeight="1">
      <c r="A15" s="4" t="inlineStr">
        <is>
          <t>AS SEIS REGRAS DURAS</t>
        </is>
      </c>
      <c r="B15" s="5" t="n"/>
    </row>
    <row r="16" ht="28" customHeight="1">
      <c r="A16" s="8" t="inlineStr">
        <is>
          <t>Regra 1</t>
        </is>
      </c>
      <c r="B16" s="6" t="inlineStr">
        <is>
          <t>3 é 'atende plenamente o esperado PARA A SENIORIDADE'. Não é nota ruim. Um Júnior 3 e um Sênior 3 são comportamentos diferentes — leia a âncora do nível na aba 'Âncoras'.</t>
        </is>
      </c>
    </row>
    <row r="17" ht="28" customHeight="1">
      <c r="A17" s="8" t="inlineStr">
        <is>
          <t>Regra 2</t>
        </is>
      </c>
      <c r="B17" s="6" t="inlineStr">
        <is>
          <t>Nota 1, 2 ou 5 exige pelo menos uma ocorrência vinculada àquela competência no ciclo. Sem lastro, a célula acusa e a avaliação não fecha.</t>
        </is>
      </c>
    </row>
    <row r="18" ht="28" customHeight="1">
      <c r="A18" s="8" t="inlineStr">
        <is>
          <t>Regra 3</t>
        </is>
      </c>
      <c r="B18" s="6" t="inlineStr">
        <is>
          <t>Nunca calcule a média entre a nota do GP e a do Líder Técnico. A divergência é a informação mais valiosa da planilha — ela é a pauta da calibração.</t>
        </is>
      </c>
    </row>
    <row r="19" ht="28" customHeight="1">
      <c r="A19" s="8" t="inlineStr">
        <is>
          <t>Regra 4</t>
        </is>
      </c>
      <c r="B19" s="6" t="inlineStr">
        <is>
          <t>Ocorrência negativa que nunca foi conversada com a pessoa não entra no ciclo. Surpresa na avaliação é falha de gestão, não do colaborador.</t>
        </is>
      </c>
    </row>
    <row r="20" ht="28" customHeight="1">
      <c r="A20" s="8" t="inlineStr">
        <is>
          <t>Regra 5</t>
        </is>
      </c>
      <c r="B20" s="6" t="inlineStr">
        <is>
          <t>O campo 'Fato observável' não aceita adjetivo de personalidade. Escreva 'Subiu hotfix sem aprovação na sexta 18h', não 'é descuidado'. O juízo vai em 'Impacto', e tem que ser defensável a partir do fato ao lado.</t>
        </is>
      </c>
    </row>
    <row r="21" ht="28" customHeight="1">
      <c r="A21" s="8" t="inlineStr">
        <is>
          <t>Regra 6</t>
        </is>
      </c>
      <c r="B21" s="6" t="inlineStr">
        <is>
          <t>Comparação e ranking usam SEMPRE o gap contra a expectativa da senioridade, nunca a nota bruta, e nunca entre squads diferentes.</t>
        </is>
      </c>
    </row>
    <row r="22" ht="28" customHeight="1">
      <c r="A22" s="4" t="inlineStr">
        <is>
          <t>LGPD E CONDUTA — LEIA ANTES DE ESCREVER</t>
        </is>
      </c>
      <c r="B22" s="5" t="n"/>
    </row>
    <row r="23" ht="28" customHeight="1">
      <c r="A23" s="2" t="n"/>
      <c r="B23" s="6" t="inlineStr">
        <is>
          <t>Não registre dado sensível: saúde, diagnóstico, religião, orientação sexual, filiação sindical, origem racial, vida familiar. Ausência registra o FATO, nunca o motivo.</t>
        </is>
      </c>
    </row>
    <row r="24" ht="28" customHeight="1">
      <c r="A24" s="2" t="n"/>
      <c r="B24" s="6" t="inlineStr">
        <is>
          <t>Caso de conduta, assédio, discriminação ou segurança da informação NÃO é apurado aqui: registre apenas 'encaminhado ao RH em &lt;data&gt;' e a apuração corre em processo próprio.</t>
        </is>
      </c>
    </row>
    <row r="25" ht="28" customHeight="1">
      <c r="A25" s="2" t="n"/>
      <c r="B25" s="6" t="inlineStr">
        <is>
          <t>O colaborador pode pedir acesso ao que se registrou sobre ele. Regra prática: não escreva nada que você não sustentaria lendo em voz alta para a pessoa.</t>
        </is>
      </c>
    </row>
    <row r="26" ht="28" customHeight="1">
      <c r="A26" s="2" t="n"/>
      <c r="B26" s="6" t="inlineStr">
        <is>
          <t>Arquivo único no drive corporativo, com coautoria. Nunca anexo de e-mail, nunca cópia local. Senha de planilha do Excel não é controle de acesso.</t>
        </is>
      </c>
    </row>
    <row r="27" ht="28" customHeight="1">
      <c r="A27" s="4" t="inlineStr">
        <is>
          <t>LEGENDA DE CORES</t>
        </is>
      </c>
      <c r="B27" s="5" t="n"/>
    </row>
    <row r="28" ht="28" customHeight="1">
      <c r="A28" s="9" t="inlineStr">
        <is>
          <t>Fundo amarelo, texto azul</t>
        </is>
      </c>
      <c r="B28" s="10" t="inlineStr">
        <is>
          <t>Célula que VOCÊ preenche.</t>
        </is>
      </c>
    </row>
    <row r="29" ht="28" customHeight="1">
      <c r="A29" s="11" t="inlineStr">
        <is>
          <t>Fundo cinza</t>
        </is>
      </c>
      <c r="B29" s="10" t="inlineStr">
        <is>
          <t>Célula calculada. Não digite por cima — você quebra o cálculo do painel.</t>
        </is>
      </c>
    </row>
    <row r="30" ht="28" customHeight="1">
      <c r="A30" s="2" t="n"/>
      <c r="B30" s="6" t="inlineStr">
        <is>
          <t>As abas 'Colaboradores', 'Competências', 'Âncoras' e 'Config' são o cadastro: ajuste-as uma vez, no começo, e não mexa mais no dia a dia.</t>
        </is>
      </c>
    </row>
    <row r="31" ht="28" customHeight="1">
      <c r="A31" s="4" t="inlineStr">
        <is>
          <t>LIMITE HONESTO DESTA FERRAMENTA</t>
        </is>
      </c>
      <c r="B31" s="5" t="n"/>
    </row>
    <row r="32" ht="28" customHeight="1">
      <c r="A32" s="2" t="n"/>
      <c r="B32" s="6" t="inlineStr">
        <is>
          <t>Excel não tem controle de acesso por linha nem trilha de auditoria confiável. Ocorrências 'RH-restrito' deveriam viver em arquivo separado, só do RH. Use esta planilha para provar o modelo em 2–3 ciclos; se funcionar, migre para um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9" customWidth="1" min="2" max="2"/>
    <col width="8" customWidth="1" min="3" max="3"/>
    <col width="13" customWidth="1" min="4" max="4"/>
    <col width="12" customWidth="1" min="5" max="5"/>
    <col width="9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1" customWidth="1" min="13" max="13"/>
    <col width="8" customWidth="1" min="14" max="14"/>
    <col width="12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1" customWidth="1" min="21" max="21"/>
    <col width="11" customWidth="1" min="22" max="22"/>
    <col width="13" customWidth="1" min="23" max="23"/>
    <col width="12" customWidth="1" min="24" max="24"/>
    <col width="26" customWidth="1" min="25" max="25"/>
    <col width="8" customWidth="1" min="27" max="27"/>
    <col width="8" customWidth="1" min="28" max="28"/>
    <col width="8" customWidth="1" min="29" max="29"/>
    <col width="8" customWidth="1" min="30" max="30"/>
    <col width="10" customWidth="1" min="31" max="31"/>
    <col width="10" customWidth="1" min="32" max="32"/>
  </cols>
  <sheetData>
    <row r="1" ht="22" customHeight="1">
      <c r="A1" s="1" t="inlineStr">
        <is>
          <t>Painel do gestor — o que abrir na segunda de manhã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>
        <is>
          <t>Uma linha por alocação, no ciclo ativo definido em Config. Comparação SEMPRE por gap contra a expectativa da senioridade, nunca por nota bruta.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>
      <c r="A3" s="12">
        <f>"Ciclo ativo: "&amp;Config!$B$4&amp;"   ·   Sinal ⚠ = bloqueio de integridade (nota sem lastro ou ocorrência negativa nunca conversada). Resolva antes de fechar o ciclo."</f>
        <v/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 ht="30" customHeight="1">
      <c r="A4" s="13" t="inlineStr">
        <is>
          <t>ID</t>
        </is>
      </c>
      <c r="B4" s="13" t="inlineStr">
        <is>
          <t>Colaborador</t>
        </is>
      </c>
      <c r="C4" s="13" t="inlineStr">
        <is>
          <t>Squad</t>
        </is>
      </c>
      <c r="D4" s="13" t="inlineStr">
        <is>
          <t>Papel</t>
        </is>
      </c>
      <c r="E4" s="13" t="inlineStr">
        <is>
          <t>Senioridade</t>
        </is>
      </c>
      <c r="F4" s="13" t="inlineStr">
        <is>
          <t>Situação</t>
        </is>
      </c>
      <c r="G4" s="13" t="inlineStr">
        <is>
          <t>Em rampa?</t>
        </is>
      </c>
      <c r="H4" s="13" t="inlineStr">
        <is>
          <t>Eixo A</t>
        </is>
      </c>
      <c r="I4" s="13" t="inlineStr">
        <is>
          <t>Eixo B</t>
        </is>
      </c>
      <c r="J4" s="13" t="inlineStr">
        <is>
          <t>Eixo C</t>
        </is>
      </c>
      <c r="K4" s="13" t="inlineStr">
        <is>
          <t>Eixo D</t>
        </is>
      </c>
      <c r="L4" s="13" t="inlineStr">
        <is>
          <t>Nota ponderada</t>
        </is>
      </c>
      <c r="M4" s="13" t="inlineStr">
        <is>
          <t>Expectativa</t>
        </is>
      </c>
      <c r="N4" s="13" t="inlineStr">
        <is>
          <t>Gap</t>
        </is>
      </c>
      <c r="O4" s="13" t="inlineStr">
        <is>
          <t>Faixa</t>
        </is>
      </c>
      <c r="P4" s="13" t="inlineStr">
        <is>
          <t>Ocorr. no ciclo</t>
        </is>
      </c>
      <c r="Q4" s="13" t="inlineStr">
        <is>
          <t>Positivas</t>
        </is>
      </c>
      <c r="R4" s="13" t="inlineStr">
        <is>
          <t>Atenção / Incidente</t>
        </is>
      </c>
      <c r="S4" s="13" t="inlineStr">
        <is>
          <t>Dias s/ ocorrência</t>
        </is>
      </c>
      <c r="T4" s="13" t="inlineStr">
        <is>
          <t>Dias desde 1:1</t>
        </is>
      </c>
      <c r="U4" s="13" t="inlineStr">
        <is>
          <t>Divergências ≥2</t>
        </is>
      </c>
      <c r="V4" s="13" t="inlineStr">
        <is>
          <t>Notas sem lastro</t>
        </is>
      </c>
      <c r="W4" s="13" t="inlineStr">
        <is>
          <t>Negativas não informadas</t>
        </is>
      </c>
      <c r="X4" s="13" t="inlineStr">
        <is>
          <t>Amplitude das notas</t>
        </is>
      </c>
      <c r="Y4" s="13" t="inlineStr">
        <is>
          <t>Sinal</t>
        </is>
      </c>
      <c r="Z4" s="2" t="n"/>
      <c r="AA4" s="14" t="inlineStr">
        <is>
          <t>aux peso A</t>
        </is>
      </c>
      <c r="AB4" s="14" t="inlineStr">
        <is>
          <t>aux peso B</t>
        </is>
      </c>
      <c r="AC4" s="14" t="inlineStr">
        <is>
          <t>aux peso C</t>
        </is>
      </c>
      <c r="AD4" s="14" t="inlineStr">
        <is>
          <t>aux peso D</t>
        </is>
      </c>
      <c r="AE4" s="14" t="inlineStr">
        <is>
          <t>aux numerador</t>
        </is>
      </c>
      <c r="AF4" s="14" t="inlineStr">
        <is>
          <t>aux denominador</t>
        </is>
      </c>
    </row>
    <row r="5">
      <c r="A5" s="15">
        <f>IF(Colaboradores!$B5="","",Colaboradores!$A5)</f>
        <v/>
      </c>
      <c r="B5" s="15">
        <f>IF(Colaboradores!$B5="","",Colaboradores!$B5)</f>
        <v/>
      </c>
      <c r="C5" s="15">
        <f>IF(Colaboradores!$B5="","",Colaboradores!$F5)</f>
        <v/>
      </c>
      <c r="D5" s="15">
        <f>IF(Colaboradores!$B5="","",Colaboradores!$D5)</f>
        <v/>
      </c>
      <c r="E5" s="15">
        <f>IF(Colaboradores!$B5="","",Colaboradores!$E5)</f>
        <v/>
      </c>
      <c r="F5" s="15">
        <f>IF(Colaboradores!$B5="","",Colaboradores!$O5)</f>
        <v/>
      </c>
      <c r="G5" s="15">
        <f>IF(Colaboradores!$B5="","",Colaboradores!$P5)</f>
        <v/>
      </c>
      <c r="H5" s="16">
        <f>IF($B5="","",IFERROR(AVERAGEIFS(Avaliação!$M:$M,Avaliação!$B:$B,$A5,Avaliação!$A:$A,Config!$B$4,Avaliação!$G:$G,Config!$A$17),""))</f>
        <v/>
      </c>
      <c r="I5" s="16">
        <f>IF($B5="","",IFERROR(AVERAGEIFS(Avaliação!$M:$M,Avaliação!$B:$B,$A5,Avaliação!$A:$A,Config!$B$4,Avaliação!$G:$G,Config!$A$18),""))</f>
        <v/>
      </c>
      <c r="J5" s="16">
        <f>IF($B5="","",IFERROR(AVERAGEIFS(Avaliação!$M:$M,Avaliação!$B:$B,$A5,Avaliação!$A:$A,Config!$B$4,Avaliação!$G:$G,Config!$A$19),""))</f>
        <v/>
      </c>
      <c r="K5" s="16">
        <f>IF($B5="","",IFERROR(AVERAGEIFS(Avaliação!$M:$M,Avaliação!$B:$B,$A5,Avaliação!$A:$A,Config!$B$4,Avaliação!$G:$G,Config!$A$20),""))</f>
        <v/>
      </c>
      <c r="L5" s="16">
        <f>IF($AF5=0,"",$AE5/$AF5)</f>
        <v/>
      </c>
      <c r="M5" s="16">
        <f>IFERROR(INDEX(Config!$B$25:$B$28,MATCH($E5,Config!$A$25:$A$28,0)),"")</f>
        <v/>
      </c>
      <c r="N5" s="16">
        <f>IF(OR($L5="",$M5=""),"",$L5-$M5)</f>
        <v/>
      </c>
      <c r="O5" s="15">
        <f>IF($L5="","",IF($L5&lt;2.5,"Abaixo",IF($L5&lt;3.5,"Atende",IF($L5&lt;=4.2,"Supera","Referência"))))</f>
        <v/>
      </c>
      <c r="P5" s="17">
        <f>IF($B5="","",COUNTIFS(Ocorrências!$B:$B,$B5,Ocorrências!$N:$N,Config!$B$4))</f>
        <v/>
      </c>
      <c r="Q5" s="17">
        <f>IF($B5="","",COUNTIFS(Ocorrências!$B:$B,$B5,Ocorrências!$N:$N,Config!$B$4,Ocorrências!$E:$E,"Reconhecimento")+COUNTIFS(Ocorrências!$B:$B,$B5,Ocorrências!$N:$N,Config!$B$4,Ocorrências!$E:$E,"Positiva"))</f>
        <v/>
      </c>
      <c r="R5" s="17">
        <f>IF($B5="","",COUNTIFS(Ocorrências!$B:$B,$B5,Ocorrências!$N:$N,Config!$B$4,Ocorrências!$E:$E,"Ponto de atenção")+COUNTIFS(Ocorrências!$B:$B,$B5,Ocorrências!$N:$N,Config!$B$4,Ocorrências!$E:$E,"Incidente"))</f>
        <v/>
      </c>
      <c r="S5" s="17">
        <f>IF($B5="","",IF(COUNTIF(Ocorrências!$B:$B,$B5)=0,"",TODAY()-_xlfn.MAXIFS(Ocorrências!$A:$A,Ocorrências!$B:$B,$B5)))</f>
        <v/>
      </c>
      <c r="T5" s="17">
        <f>IF($B5="","",IF(COUNTIF('Reuniões 1a1'!$B:$B,$B5)=0,"",TODAY()-_xlfn.MAXIFS('Reuniões 1a1'!$A:$A,'Reuniões 1a1'!$B:$B,$B5)))</f>
        <v/>
      </c>
      <c r="U5" s="17">
        <f>IF($B5="","",COUNTIFS(Avaliação!$B:$B,$A5,Avaliação!$A:$A,Config!$B$4,Avaliação!$K:$K,"&gt;=2"))</f>
        <v/>
      </c>
      <c r="V5" s="17">
        <f>IF($B5="","",COUNTIFS(Avaliação!$B:$B,$A5,Avaliação!$A:$A,Config!$B$4,Avaliação!$O:$O,"SEM LASTRO"))</f>
        <v/>
      </c>
      <c r="W5" s="17">
        <f>IF($B5="","",COUNTIFS(Ocorrências!$B:$B,$B5,Ocorrências!$N:$N,Config!$B$4,Ocorrências!$K:$K,"Não",Ocorrências!$E:$E,"Ponto de atenção")+COUNTIFS(Ocorrências!$B:$B,$B5,Ocorrências!$N:$N,Config!$B$4,Ocorrências!$K:$K,"Não",Ocorrências!$E:$E,"Incidente"))</f>
        <v/>
      </c>
      <c r="X5" s="17">
        <f>IF($L5="","",_xlfn.MAXIFS(Avaliação!$M:$M,Avaliação!$B:$B,$A5,Avaliação!$A:$A,Config!$B$4)-_xlfn.MINIFS(Avaliação!$M:$M,Avaliação!$B:$B,$A5,Avaliação!$A:$A,Config!$B$4))</f>
        <v/>
      </c>
      <c r="Y5" s="15">
        <f>IF($B5="","",IF(OR($V5&gt;0,$W5&gt;0),"BLOQUEIO",IF($L5="","Sem avaliação",IF($N5&lt;-0.3,"Abaixo da expectativa",IF($U5&gt;0,"Calibrar",IF($X5=0,"Nota chapada",IF(IF($T5="",0,$T5)&gt;30,"1:1 atrasada",IF(IF($S5="",99,$S5)&gt;45,"Sem registro","OK"))))))))</f>
        <v/>
      </c>
      <c r="Z5" s="2" t="n"/>
      <c r="AA5" s="15">
        <f>IFERROR(INDEX(Config!$B$17:$E$20,MATCH(Config!$A$17,Config!$A$17:$A$20,0),MATCH($D5,Config!$B$16:$E$16,0)),0)</f>
        <v/>
      </c>
      <c r="AB5" s="15">
        <f>IFERROR(INDEX(Config!$B$17:$E$20,MATCH(Config!$A$18,Config!$A$17:$A$20,0),MATCH($D5,Config!$B$16:$E$16,0)),0)</f>
        <v/>
      </c>
      <c r="AC5" s="15">
        <f>IFERROR(INDEX(Config!$B$17:$E$20,MATCH(Config!$A$19,Config!$A$17:$A$20,0),MATCH($D5,Config!$B$16:$E$16,0)),0)</f>
        <v/>
      </c>
      <c r="AD5" s="15">
        <f>IFERROR(INDEX(Config!$B$17:$E$20,MATCH(Config!$A$20,Config!$A$17:$A$20,0),MATCH($D5,Config!$B$16:$E$16,0)),0)</f>
        <v/>
      </c>
      <c r="AE5" s="15">
        <f>IFERROR($H5*$AA5,0)+IFERROR($I5*$AB5,0)+IFERROR($J5*$AC5,0)+IFERROR($K5*$AD5,0)</f>
        <v/>
      </c>
      <c r="AF5" s="15">
        <f>IF(ISNUMBER($H5),$AA5,0)+IF(ISNUMBER($I5),$AB5,0)+IF(ISNUMBER($J5),$AC5,0)+IF(ISNUMBER($K5),$AD5,0)</f>
        <v/>
      </c>
    </row>
    <row r="6">
      <c r="A6" s="15">
        <f>IF(Colaboradores!$B6="","",Colaboradores!$A6)</f>
        <v/>
      </c>
      <c r="B6" s="15">
        <f>IF(Colaboradores!$B6="","",Colaboradores!$B6)</f>
        <v/>
      </c>
      <c r="C6" s="15">
        <f>IF(Colaboradores!$B6="","",Colaboradores!$F6)</f>
        <v/>
      </c>
      <c r="D6" s="15">
        <f>IF(Colaboradores!$B6="","",Colaboradores!$D6)</f>
        <v/>
      </c>
      <c r="E6" s="15">
        <f>IF(Colaboradores!$B6="","",Colaboradores!$E6)</f>
        <v/>
      </c>
      <c r="F6" s="15">
        <f>IF(Colaboradores!$B6="","",Colaboradores!$O6)</f>
        <v/>
      </c>
      <c r="G6" s="15">
        <f>IF(Colaboradores!$B6="","",Colaboradores!$P6)</f>
        <v/>
      </c>
      <c r="H6" s="16">
        <f>IF($B6="","",IFERROR(AVERAGEIFS(Avaliação!$M:$M,Avaliação!$B:$B,$A6,Avaliação!$A:$A,Config!$B$4,Avaliação!$G:$G,Config!$A$17),""))</f>
        <v/>
      </c>
      <c r="I6" s="16">
        <f>IF($B6="","",IFERROR(AVERAGEIFS(Avaliação!$M:$M,Avaliação!$B:$B,$A6,Avaliação!$A:$A,Config!$B$4,Avaliação!$G:$G,Config!$A$18),""))</f>
        <v/>
      </c>
      <c r="J6" s="16">
        <f>IF($B6="","",IFERROR(AVERAGEIFS(Avaliação!$M:$M,Avaliação!$B:$B,$A6,Avaliação!$A:$A,Config!$B$4,Avaliação!$G:$G,Config!$A$19),""))</f>
        <v/>
      </c>
      <c r="K6" s="16">
        <f>IF($B6="","",IFERROR(AVERAGEIFS(Avaliação!$M:$M,Avaliação!$B:$B,$A6,Avaliação!$A:$A,Config!$B$4,Avaliação!$G:$G,Config!$A$20),""))</f>
        <v/>
      </c>
      <c r="L6" s="16">
        <f>IF($AF6=0,"",$AE6/$AF6)</f>
        <v/>
      </c>
      <c r="M6" s="16">
        <f>IFERROR(INDEX(Config!$B$25:$B$28,MATCH($E6,Config!$A$25:$A$28,0)),"")</f>
        <v/>
      </c>
      <c r="N6" s="16">
        <f>IF(OR($L6="",$M6=""),"",$L6-$M6)</f>
        <v/>
      </c>
      <c r="O6" s="15">
        <f>IF($L6="","",IF($L6&lt;2.5,"Abaixo",IF($L6&lt;3.5,"Atende",IF($L6&lt;=4.2,"Supera","Referência"))))</f>
        <v/>
      </c>
      <c r="P6" s="17">
        <f>IF($B6="","",COUNTIFS(Ocorrências!$B:$B,$B6,Ocorrências!$N:$N,Config!$B$4))</f>
        <v/>
      </c>
      <c r="Q6" s="17">
        <f>IF($B6="","",COUNTIFS(Ocorrências!$B:$B,$B6,Ocorrências!$N:$N,Config!$B$4,Ocorrências!$E:$E,"Reconhecimento")+COUNTIFS(Ocorrências!$B:$B,$B6,Ocorrências!$N:$N,Config!$B$4,Ocorrências!$E:$E,"Positiva"))</f>
        <v/>
      </c>
      <c r="R6" s="17">
        <f>IF($B6="","",COUNTIFS(Ocorrências!$B:$B,$B6,Ocorrências!$N:$N,Config!$B$4,Ocorrências!$E:$E,"Ponto de atenção")+COUNTIFS(Ocorrências!$B:$B,$B6,Ocorrências!$N:$N,Config!$B$4,Ocorrências!$E:$E,"Incidente"))</f>
        <v/>
      </c>
      <c r="S6" s="17">
        <f>IF($B6="","",IF(COUNTIF(Ocorrências!$B:$B,$B6)=0,"",TODAY()-_xlfn.MAXIFS(Ocorrências!$A:$A,Ocorrências!$B:$B,$B6)))</f>
        <v/>
      </c>
      <c r="T6" s="17">
        <f>IF($B6="","",IF(COUNTIF('Reuniões 1a1'!$B:$B,$B6)=0,"",TODAY()-_xlfn.MAXIFS('Reuniões 1a1'!$A:$A,'Reuniões 1a1'!$B:$B,$B6)))</f>
        <v/>
      </c>
      <c r="U6" s="17">
        <f>IF($B6="","",COUNTIFS(Avaliação!$B:$B,$A6,Avaliação!$A:$A,Config!$B$4,Avaliação!$K:$K,"&gt;=2"))</f>
        <v/>
      </c>
      <c r="V6" s="17">
        <f>IF($B6="","",COUNTIFS(Avaliação!$B:$B,$A6,Avaliação!$A:$A,Config!$B$4,Avaliação!$O:$O,"SEM LASTRO"))</f>
        <v/>
      </c>
      <c r="W6" s="17">
        <f>IF($B6="","",COUNTIFS(Ocorrências!$B:$B,$B6,Ocorrências!$N:$N,Config!$B$4,Ocorrências!$K:$K,"Não",Ocorrências!$E:$E,"Ponto de atenção")+COUNTIFS(Ocorrências!$B:$B,$B6,Ocorrências!$N:$N,Config!$B$4,Ocorrências!$K:$K,"Não",Ocorrências!$E:$E,"Incidente"))</f>
        <v/>
      </c>
      <c r="X6" s="17">
        <f>IF($L6="","",_xlfn.MAXIFS(Avaliação!$M:$M,Avaliação!$B:$B,$A6,Avaliação!$A:$A,Config!$B$4)-_xlfn.MINIFS(Avaliação!$M:$M,Avaliação!$B:$B,$A6,Avaliação!$A:$A,Config!$B$4))</f>
        <v/>
      </c>
      <c r="Y6" s="15">
        <f>IF($B6="","",IF(OR($V6&gt;0,$W6&gt;0),"BLOQUEIO",IF($L6="","Sem avaliação",IF($N6&lt;-0.3,"Abaixo da expectativa",IF($U6&gt;0,"Calibrar",IF($X6=0,"Nota chapada",IF(IF($T6="",0,$T6)&gt;30,"1:1 atrasada",IF(IF($S6="",99,$S6)&gt;45,"Sem registro","OK"))))))))</f>
        <v/>
      </c>
      <c r="Z6" s="2" t="n"/>
      <c r="AA6" s="15">
        <f>IFERROR(INDEX(Config!$B$17:$E$20,MATCH(Config!$A$17,Config!$A$17:$A$20,0),MATCH($D6,Config!$B$16:$E$16,0)),0)</f>
        <v/>
      </c>
      <c r="AB6" s="15">
        <f>IFERROR(INDEX(Config!$B$17:$E$20,MATCH(Config!$A$18,Config!$A$17:$A$20,0),MATCH($D6,Config!$B$16:$E$16,0)),0)</f>
        <v/>
      </c>
      <c r="AC6" s="15">
        <f>IFERROR(INDEX(Config!$B$17:$E$20,MATCH(Config!$A$19,Config!$A$17:$A$20,0),MATCH($D6,Config!$B$16:$E$16,0)),0)</f>
        <v/>
      </c>
      <c r="AD6" s="15">
        <f>IFERROR(INDEX(Config!$B$17:$E$20,MATCH(Config!$A$20,Config!$A$17:$A$20,0),MATCH($D6,Config!$B$16:$E$16,0)),0)</f>
        <v/>
      </c>
      <c r="AE6" s="15">
        <f>IFERROR($H6*$AA6,0)+IFERROR($I6*$AB6,0)+IFERROR($J6*$AC6,0)+IFERROR($K6*$AD6,0)</f>
        <v/>
      </c>
      <c r="AF6" s="15">
        <f>IF(ISNUMBER($H6),$AA6,0)+IF(ISNUMBER($I6),$AB6,0)+IF(ISNUMBER($J6),$AC6,0)+IF(ISNUMBER($K6),$AD6,0)</f>
        <v/>
      </c>
    </row>
    <row r="7">
      <c r="A7" s="15">
        <f>IF(Colaboradores!$B7="","",Colaboradores!$A7)</f>
        <v/>
      </c>
      <c r="B7" s="15">
        <f>IF(Colaboradores!$B7="","",Colaboradores!$B7)</f>
        <v/>
      </c>
      <c r="C7" s="15">
        <f>IF(Colaboradores!$B7="","",Colaboradores!$F7)</f>
        <v/>
      </c>
      <c r="D7" s="15">
        <f>IF(Colaboradores!$B7="","",Colaboradores!$D7)</f>
        <v/>
      </c>
      <c r="E7" s="15">
        <f>IF(Colaboradores!$B7="","",Colaboradores!$E7)</f>
        <v/>
      </c>
      <c r="F7" s="15">
        <f>IF(Colaboradores!$B7="","",Colaboradores!$O7)</f>
        <v/>
      </c>
      <c r="G7" s="15">
        <f>IF(Colaboradores!$B7="","",Colaboradores!$P7)</f>
        <v/>
      </c>
      <c r="H7" s="16">
        <f>IF($B7="","",IFERROR(AVERAGEIFS(Avaliação!$M:$M,Avaliação!$B:$B,$A7,Avaliação!$A:$A,Config!$B$4,Avaliação!$G:$G,Config!$A$17),""))</f>
        <v/>
      </c>
      <c r="I7" s="16">
        <f>IF($B7="","",IFERROR(AVERAGEIFS(Avaliação!$M:$M,Avaliação!$B:$B,$A7,Avaliação!$A:$A,Config!$B$4,Avaliação!$G:$G,Config!$A$18),""))</f>
        <v/>
      </c>
      <c r="J7" s="16">
        <f>IF($B7="","",IFERROR(AVERAGEIFS(Avaliação!$M:$M,Avaliação!$B:$B,$A7,Avaliação!$A:$A,Config!$B$4,Avaliação!$G:$G,Config!$A$19),""))</f>
        <v/>
      </c>
      <c r="K7" s="16">
        <f>IF($B7="","",IFERROR(AVERAGEIFS(Avaliação!$M:$M,Avaliação!$B:$B,$A7,Avaliação!$A:$A,Config!$B$4,Avaliação!$G:$G,Config!$A$20),""))</f>
        <v/>
      </c>
      <c r="L7" s="16">
        <f>IF($AF7=0,"",$AE7/$AF7)</f>
        <v/>
      </c>
      <c r="M7" s="16">
        <f>IFERROR(INDEX(Config!$B$25:$B$28,MATCH($E7,Config!$A$25:$A$28,0)),"")</f>
        <v/>
      </c>
      <c r="N7" s="16">
        <f>IF(OR($L7="",$M7=""),"",$L7-$M7)</f>
        <v/>
      </c>
      <c r="O7" s="15">
        <f>IF($L7="","",IF($L7&lt;2.5,"Abaixo",IF($L7&lt;3.5,"Atende",IF($L7&lt;=4.2,"Supera","Referência"))))</f>
        <v/>
      </c>
      <c r="P7" s="17">
        <f>IF($B7="","",COUNTIFS(Ocorrências!$B:$B,$B7,Ocorrências!$N:$N,Config!$B$4))</f>
        <v/>
      </c>
      <c r="Q7" s="17">
        <f>IF($B7="","",COUNTIFS(Ocorrências!$B:$B,$B7,Ocorrências!$N:$N,Config!$B$4,Ocorrências!$E:$E,"Reconhecimento")+COUNTIFS(Ocorrências!$B:$B,$B7,Ocorrências!$N:$N,Config!$B$4,Ocorrências!$E:$E,"Positiva"))</f>
        <v/>
      </c>
      <c r="R7" s="17">
        <f>IF($B7="","",COUNTIFS(Ocorrências!$B:$B,$B7,Ocorrências!$N:$N,Config!$B$4,Ocorrências!$E:$E,"Ponto de atenção")+COUNTIFS(Ocorrências!$B:$B,$B7,Ocorrências!$N:$N,Config!$B$4,Ocorrências!$E:$E,"Incidente"))</f>
        <v/>
      </c>
      <c r="S7" s="17">
        <f>IF($B7="","",IF(COUNTIF(Ocorrências!$B:$B,$B7)=0,"",TODAY()-_xlfn.MAXIFS(Ocorrências!$A:$A,Ocorrências!$B:$B,$B7)))</f>
        <v/>
      </c>
      <c r="T7" s="17">
        <f>IF($B7="","",IF(COUNTIF('Reuniões 1a1'!$B:$B,$B7)=0,"",TODAY()-_xlfn.MAXIFS('Reuniões 1a1'!$A:$A,'Reuniões 1a1'!$B:$B,$B7)))</f>
        <v/>
      </c>
      <c r="U7" s="17">
        <f>IF($B7="","",COUNTIFS(Avaliação!$B:$B,$A7,Avaliação!$A:$A,Config!$B$4,Avaliação!$K:$K,"&gt;=2"))</f>
        <v/>
      </c>
      <c r="V7" s="17">
        <f>IF($B7="","",COUNTIFS(Avaliação!$B:$B,$A7,Avaliação!$A:$A,Config!$B$4,Avaliação!$O:$O,"SEM LASTRO"))</f>
        <v/>
      </c>
      <c r="W7" s="17">
        <f>IF($B7="","",COUNTIFS(Ocorrências!$B:$B,$B7,Ocorrências!$N:$N,Config!$B$4,Ocorrências!$K:$K,"Não",Ocorrências!$E:$E,"Ponto de atenção")+COUNTIFS(Ocorrências!$B:$B,$B7,Ocorrências!$N:$N,Config!$B$4,Ocorrências!$K:$K,"Não",Ocorrências!$E:$E,"Incidente"))</f>
        <v/>
      </c>
      <c r="X7" s="17">
        <f>IF($L7="","",_xlfn.MAXIFS(Avaliação!$M:$M,Avaliação!$B:$B,$A7,Avaliação!$A:$A,Config!$B$4)-_xlfn.MINIFS(Avaliação!$M:$M,Avaliação!$B:$B,$A7,Avaliação!$A:$A,Config!$B$4))</f>
        <v/>
      </c>
      <c r="Y7" s="15">
        <f>IF($B7="","",IF(OR($V7&gt;0,$W7&gt;0),"BLOQUEIO",IF($L7="","Sem avaliação",IF($N7&lt;-0.3,"Abaixo da expectativa",IF($U7&gt;0,"Calibrar",IF($X7=0,"Nota chapada",IF(IF($T7="",0,$T7)&gt;30,"1:1 atrasada",IF(IF($S7="",99,$S7)&gt;45,"Sem registro","OK"))))))))</f>
        <v/>
      </c>
      <c r="Z7" s="2" t="n"/>
      <c r="AA7" s="15">
        <f>IFERROR(INDEX(Config!$B$17:$E$20,MATCH(Config!$A$17,Config!$A$17:$A$20,0),MATCH($D7,Config!$B$16:$E$16,0)),0)</f>
        <v/>
      </c>
      <c r="AB7" s="15">
        <f>IFERROR(INDEX(Config!$B$17:$E$20,MATCH(Config!$A$18,Config!$A$17:$A$20,0),MATCH($D7,Config!$B$16:$E$16,0)),0)</f>
        <v/>
      </c>
      <c r="AC7" s="15">
        <f>IFERROR(INDEX(Config!$B$17:$E$20,MATCH(Config!$A$19,Config!$A$17:$A$20,0),MATCH($D7,Config!$B$16:$E$16,0)),0)</f>
        <v/>
      </c>
      <c r="AD7" s="15">
        <f>IFERROR(INDEX(Config!$B$17:$E$20,MATCH(Config!$A$20,Config!$A$17:$A$20,0),MATCH($D7,Config!$B$16:$E$16,0)),0)</f>
        <v/>
      </c>
      <c r="AE7" s="15">
        <f>IFERROR($H7*$AA7,0)+IFERROR($I7*$AB7,0)+IFERROR($J7*$AC7,0)+IFERROR($K7*$AD7,0)</f>
        <v/>
      </c>
      <c r="AF7" s="15">
        <f>IF(ISNUMBER($H7),$AA7,0)+IF(ISNUMBER($I7),$AB7,0)+IF(ISNUMBER($J7),$AC7,0)+IF(ISNUMBER($K7),$AD7,0)</f>
        <v/>
      </c>
    </row>
    <row r="8">
      <c r="A8" s="15">
        <f>IF(Colaboradores!$B8="","",Colaboradores!$A8)</f>
        <v/>
      </c>
      <c r="B8" s="15">
        <f>IF(Colaboradores!$B8="","",Colaboradores!$B8)</f>
        <v/>
      </c>
      <c r="C8" s="15">
        <f>IF(Colaboradores!$B8="","",Colaboradores!$F8)</f>
        <v/>
      </c>
      <c r="D8" s="15">
        <f>IF(Colaboradores!$B8="","",Colaboradores!$D8)</f>
        <v/>
      </c>
      <c r="E8" s="15">
        <f>IF(Colaboradores!$B8="","",Colaboradores!$E8)</f>
        <v/>
      </c>
      <c r="F8" s="15">
        <f>IF(Colaboradores!$B8="","",Colaboradores!$O8)</f>
        <v/>
      </c>
      <c r="G8" s="15">
        <f>IF(Colaboradores!$B8="","",Colaboradores!$P8)</f>
        <v/>
      </c>
      <c r="H8" s="16">
        <f>IF($B8="","",IFERROR(AVERAGEIFS(Avaliação!$M:$M,Avaliação!$B:$B,$A8,Avaliação!$A:$A,Config!$B$4,Avaliação!$G:$G,Config!$A$17),""))</f>
        <v/>
      </c>
      <c r="I8" s="16">
        <f>IF($B8="","",IFERROR(AVERAGEIFS(Avaliação!$M:$M,Avaliação!$B:$B,$A8,Avaliação!$A:$A,Config!$B$4,Avaliação!$G:$G,Config!$A$18),""))</f>
        <v/>
      </c>
      <c r="J8" s="16">
        <f>IF($B8="","",IFERROR(AVERAGEIFS(Avaliação!$M:$M,Avaliação!$B:$B,$A8,Avaliação!$A:$A,Config!$B$4,Avaliação!$G:$G,Config!$A$19),""))</f>
        <v/>
      </c>
      <c r="K8" s="16">
        <f>IF($B8="","",IFERROR(AVERAGEIFS(Avaliação!$M:$M,Avaliação!$B:$B,$A8,Avaliação!$A:$A,Config!$B$4,Avaliação!$G:$G,Config!$A$20),""))</f>
        <v/>
      </c>
      <c r="L8" s="16">
        <f>IF($AF8=0,"",$AE8/$AF8)</f>
        <v/>
      </c>
      <c r="M8" s="16">
        <f>IFERROR(INDEX(Config!$B$25:$B$28,MATCH($E8,Config!$A$25:$A$28,0)),"")</f>
        <v/>
      </c>
      <c r="N8" s="16">
        <f>IF(OR($L8="",$M8=""),"",$L8-$M8)</f>
        <v/>
      </c>
      <c r="O8" s="15">
        <f>IF($L8="","",IF($L8&lt;2.5,"Abaixo",IF($L8&lt;3.5,"Atende",IF($L8&lt;=4.2,"Supera","Referência"))))</f>
        <v/>
      </c>
      <c r="P8" s="17">
        <f>IF($B8="","",COUNTIFS(Ocorrências!$B:$B,$B8,Ocorrências!$N:$N,Config!$B$4))</f>
        <v/>
      </c>
      <c r="Q8" s="17">
        <f>IF($B8="","",COUNTIFS(Ocorrências!$B:$B,$B8,Ocorrências!$N:$N,Config!$B$4,Ocorrências!$E:$E,"Reconhecimento")+COUNTIFS(Ocorrências!$B:$B,$B8,Ocorrências!$N:$N,Config!$B$4,Ocorrências!$E:$E,"Positiva"))</f>
        <v/>
      </c>
      <c r="R8" s="17">
        <f>IF($B8="","",COUNTIFS(Ocorrências!$B:$B,$B8,Ocorrências!$N:$N,Config!$B$4,Ocorrências!$E:$E,"Ponto de atenção")+COUNTIFS(Ocorrências!$B:$B,$B8,Ocorrências!$N:$N,Config!$B$4,Ocorrências!$E:$E,"Incidente"))</f>
        <v/>
      </c>
      <c r="S8" s="17">
        <f>IF($B8="","",IF(COUNTIF(Ocorrências!$B:$B,$B8)=0,"",TODAY()-_xlfn.MAXIFS(Ocorrências!$A:$A,Ocorrências!$B:$B,$B8)))</f>
        <v/>
      </c>
      <c r="T8" s="17">
        <f>IF($B8="","",IF(COUNTIF('Reuniões 1a1'!$B:$B,$B8)=0,"",TODAY()-_xlfn.MAXIFS('Reuniões 1a1'!$A:$A,'Reuniões 1a1'!$B:$B,$B8)))</f>
        <v/>
      </c>
      <c r="U8" s="17">
        <f>IF($B8="","",COUNTIFS(Avaliação!$B:$B,$A8,Avaliação!$A:$A,Config!$B$4,Avaliação!$K:$K,"&gt;=2"))</f>
        <v/>
      </c>
      <c r="V8" s="17">
        <f>IF($B8="","",COUNTIFS(Avaliação!$B:$B,$A8,Avaliação!$A:$A,Config!$B$4,Avaliação!$O:$O,"SEM LASTRO"))</f>
        <v/>
      </c>
      <c r="W8" s="17">
        <f>IF($B8="","",COUNTIFS(Ocorrências!$B:$B,$B8,Ocorrências!$N:$N,Config!$B$4,Ocorrências!$K:$K,"Não",Ocorrências!$E:$E,"Ponto de atenção")+COUNTIFS(Ocorrências!$B:$B,$B8,Ocorrências!$N:$N,Config!$B$4,Ocorrências!$K:$K,"Não",Ocorrências!$E:$E,"Incidente"))</f>
        <v/>
      </c>
      <c r="X8" s="17">
        <f>IF($L8="","",_xlfn.MAXIFS(Avaliação!$M:$M,Avaliação!$B:$B,$A8,Avaliação!$A:$A,Config!$B$4)-_xlfn.MINIFS(Avaliação!$M:$M,Avaliação!$B:$B,$A8,Avaliação!$A:$A,Config!$B$4))</f>
        <v/>
      </c>
      <c r="Y8" s="15">
        <f>IF($B8="","",IF(OR($V8&gt;0,$W8&gt;0),"BLOQUEIO",IF($L8="","Sem avaliação",IF($N8&lt;-0.3,"Abaixo da expectativa",IF($U8&gt;0,"Calibrar",IF($X8=0,"Nota chapada",IF(IF($T8="",0,$T8)&gt;30,"1:1 atrasada",IF(IF($S8="",99,$S8)&gt;45,"Sem registro","OK"))))))))</f>
        <v/>
      </c>
      <c r="Z8" s="2" t="n"/>
      <c r="AA8" s="15">
        <f>IFERROR(INDEX(Config!$B$17:$E$20,MATCH(Config!$A$17,Config!$A$17:$A$20,0),MATCH($D8,Config!$B$16:$E$16,0)),0)</f>
        <v/>
      </c>
      <c r="AB8" s="15">
        <f>IFERROR(INDEX(Config!$B$17:$E$20,MATCH(Config!$A$18,Config!$A$17:$A$20,0),MATCH($D8,Config!$B$16:$E$16,0)),0)</f>
        <v/>
      </c>
      <c r="AC8" s="15">
        <f>IFERROR(INDEX(Config!$B$17:$E$20,MATCH(Config!$A$19,Config!$A$17:$A$20,0),MATCH($D8,Config!$B$16:$E$16,0)),0)</f>
        <v/>
      </c>
      <c r="AD8" s="15">
        <f>IFERROR(INDEX(Config!$B$17:$E$20,MATCH(Config!$A$20,Config!$A$17:$A$20,0),MATCH($D8,Config!$B$16:$E$16,0)),0)</f>
        <v/>
      </c>
      <c r="AE8" s="15">
        <f>IFERROR($H8*$AA8,0)+IFERROR($I8*$AB8,0)+IFERROR($J8*$AC8,0)+IFERROR($K8*$AD8,0)</f>
        <v/>
      </c>
      <c r="AF8" s="15">
        <f>IF(ISNUMBER($H8),$AA8,0)+IF(ISNUMBER($I8),$AB8,0)+IF(ISNUMBER($J8),$AC8,0)+IF(ISNUMBER($K8),$AD8,0)</f>
        <v/>
      </c>
    </row>
    <row r="9">
      <c r="A9" s="15">
        <f>IF(Colaboradores!$B9="","",Colaboradores!$A9)</f>
        <v/>
      </c>
      <c r="B9" s="15">
        <f>IF(Colaboradores!$B9="","",Colaboradores!$B9)</f>
        <v/>
      </c>
      <c r="C9" s="15">
        <f>IF(Colaboradores!$B9="","",Colaboradores!$F9)</f>
        <v/>
      </c>
      <c r="D9" s="15">
        <f>IF(Colaboradores!$B9="","",Colaboradores!$D9)</f>
        <v/>
      </c>
      <c r="E9" s="15">
        <f>IF(Colaboradores!$B9="","",Colaboradores!$E9)</f>
        <v/>
      </c>
      <c r="F9" s="15">
        <f>IF(Colaboradores!$B9="","",Colaboradores!$O9)</f>
        <v/>
      </c>
      <c r="G9" s="15">
        <f>IF(Colaboradores!$B9="","",Colaboradores!$P9)</f>
        <v/>
      </c>
      <c r="H9" s="16">
        <f>IF($B9="","",IFERROR(AVERAGEIFS(Avaliação!$M:$M,Avaliação!$B:$B,$A9,Avaliação!$A:$A,Config!$B$4,Avaliação!$G:$G,Config!$A$17),""))</f>
        <v/>
      </c>
      <c r="I9" s="16">
        <f>IF($B9="","",IFERROR(AVERAGEIFS(Avaliação!$M:$M,Avaliação!$B:$B,$A9,Avaliação!$A:$A,Config!$B$4,Avaliação!$G:$G,Config!$A$18),""))</f>
        <v/>
      </c>
      <c r="J9" s="16">
        <f>IF($B9="","",IFERROR(AVERAGEIFS(Avaliação!$M:$M,Avaliação!$B:$B,$A9,Avaliação!$A:$A,Config!$B$4,Avaliação!$G:$G,Config!$A$19),""))</f>
        <v/>
      </c>
      <c r="K9" s="16">
        <f>IF($B9="","",IFERROR(AVERAGEIFS(Avaliação!$M:$M,Avaliação!$B:$B,$A9,Avaliação!$A:$A,Config!$B$4,Avaliação!$G:$G,Config!$A$20),""))</f>
        <v/>
      </c>
      <c r="L9" s="16">
        <f>IF($AF9=0,"",$AE9/$AF9)</f>
        <v/>
      </c>
      <c r="M9" s="16">
        <f>IFERROR(INDEX(Config!$B$25:$B$28,MATCH($E9,Config!$A$25:$A$28,0)),"")</f>
        <v/>
      </c>
      <c r="N9" s="16">
        <f>IF(OR($L9="",$M9=""),"",$L9-$M9)</f>
        <v/>
      </c>
      <c r="O9" s="15">
        <f>IF($L9="","",IF($L9&lt;2.5,"Abaixo",IF($L9&lt;3.5,"Atende",IF($L9&lt;=4.2,"Supera","Referência"))))</f>
        <v/>
      </c>
      <c r="P9" s="17">
        <f>IF($B9="","",COUNTIFS(Ocorrências!$B:$B,$B9,Ocorrências!$N:$N,Config!$B$4))</f>
        <v/>
      </c>
      <c r="Q9" s="17">
        <f>IF($B9="","",COUNTIFS(Ocorrências!$B:$B,$B9,Ocorrências!$N:$N,Config!$B$4,Ocorrências!$E:$E,"Reconhecimento")+COUNTIFS(Ocorrências!$B:$B,$B9,Ocorrências!$N:$N,Config!$B$4,Ocorrências!$E:$E,"Positiva"))</f>
        <v/>
      </c>
      <c r="R9" s="17">
        <f>IF($B9="","",COUNTIFS(Ocorrências!$B:$B,$B9,Ocorrências!$N:$N,Config!$B$4,Ocorrências!$E:$E,"Ponto de atenção")+COUNTIFS(Ocorrências!$B:$B,$B9,Ocorrências!$N:$N,Config!$B$4,Ocorrências!$E:$E,"Incidente"))</f>
        <v/>
      </c>
      <c r="S9" s="17">
        <f>IF($B9="","",IF(COUNTIF(Ocorrências!$B:$B,$B9)=0,"",TODAY()-_xlfn.MAXIFS(Ocorrências!$A:$A,Ocorrências!$B:$B,$B9)))</f>
        <v/>
      </c>
      <c r="T9" s="17">
        <f>IF($B9="","",IF(COUNTIF('Reuniões 1a1'!$B:$B,$B9)=0,"",TODAY()-_xlfn.MAXIFS('Reuniões 1a1'!$A:$A,'Reuniões 1a1'!$B:$B,$B9)))</f>
        <v/>
      </c>
      <c r="U9" s="17">
        <f>IF($B9="","",COUNTIFS(Avaliação!$B:$B,$A9,Avaliação!$A:$A,Config!$B$4,Avaliação!$K:$K,"&gt;=2"))</f>
        <v/>
      </c>
      <c r="V9" s="17">
        <f>IF($B9="","",COUNTIFS(Avaliação!$B:$B,$A9,Avaliação!$A:$A,Config!$B$4,Avaliação!$O:$O,"SEM LASTRO"))</f>
        <v/>
      </c>
      <c r="W9" s="17">
        <f>IF($B9="","",COUNTIFS(Ocorrências!$B:$B,$B9,Ocorrências!$N:$N,Config!$B$4,Ocorrências!$K:$K,"Não",Ocorrências!$E:$E,"Ponto de atenção")+COUNTIFS(Ocorrências!$B:$B,$B9,Ocorrências!$N:$N,Config!$B$4,Ocorrências!$K:$K,"Não",Ocorrências!$E:$E,"Incidente"))</f>
        <v/>
      </c>
      <c r="X9" s="17">
        <f>IF($L9="","",_xlfn.MAXIFS(Avaliação!$M:$M,Avaliação!$B:$B,$A9,Avaliação!$A:$A,Config!$B$4)-_xlfn.MINIFS(Avaliação!$M:$M,Avaliação!$B:$B,$A9,Avaliação!$A:$A,Config!$B$4))</f>
        <v/>
      </c>
      <c r="Y9" s="15">
        <f>IF($B9="","",IF(OR($V9&gt;0,$W9&gt;0),"BLOQUEIO",IF($L9="","Sem avaliação",IF($N9&lt;-0.3,"Abaixo da expectativa",IF($U9&gt;0,"Calibrar",IF($X9=0,"Nota chapada",IF(IF($T9="",0,$T9)&gt;30,"1:1 atrasada",IF(IF($S9="",99,$S9)&gt;45,"Sem registro","OK"))))))))</f>
        <v/>
      </c>
      <c r="Z9" s="2" t="n"/>
      <c r="AA9" s="15">
        <f>IFERROR(INDEX(Config!$B$17:$E$20,MATCH(Config!$A$17,Config!$A$17:$A$20,0),MATCH($D9,Config!$B$16:$E$16,0)),0)</f>
        <v/>
      </c>
      <c r="AB9" s="15">
        <f>IFERROR(INDEX(Config!$B$17:$E$20,MATCH(Config!$A$18,Config!$A$17:$A$20,0),MATCH($D9,Config!$B$16:$E$16,0)),0)</f>
        <v/>
      </c>
      <c r="AC9" s="15">
        <f>IFERROR(INDEX(Config!$B$17:$E$20,MATCH(Config!$A$19,Config!$A$17:$A$20,0),MATCH($D9,Config!$B$16:$E$16,0)),0)</f>
        <v/>
      </c>
      <c r="AD9" s="15">
        <f>IFERROR(INDEX(Config!$B$17:$E$20,MATCH(Config!$A$20,Config!$A$17:$A$20,0),MATCH($D9,Config!$B$16:$E$16,0)),0)</f>
        <v/>
      </c>
      <c r="AE9" s="15">
        <f>IFERROR($H9*$AA9,0)+IFERROR($I9*$AB9,0)+IFERROR($J9*$AC9,0)+IFERROR($K9*$AD9,0)</f>
        <v/>
      </c>
      <c r="AF9" s="15">
        <f>IF(ISNUMBER($H9),$AA9,0)+IF(ISNUMBER($I9),$AB9,0)+IF(ISNUMBER($J9),$AC9,0)+IF(ISNUMBER($K9),$AD9,0)</f>
        <v/>
      </c>
    </row>
    <row r="10">
      <c r="A10" s="15">
        <f>IF(Colaboradores!$B10="","",Colaboradores!$A10)</f>
        <v/>
      </c>
      <c r="B10" s="15">
        <f>IF(Colaboradores!$B10="","",Colaboradores!$B10)</f>
        <v/>
      </c>
      <c r="C10" s="15">
        <f>IF(Colaboradores!$B10="","",Colaboradores!$F10)</f>
        <v/>
      </c>
      <c r="D10" s="15">
        <f>IF(Colaboradores!$B10="","",Colaboradores!$D10)</f>
        <v/>
      </c>
      <c r="E10" s="15">
        <f>IF(Colaboradores!$B10="","",Colaboradores!$E10)</f>
        <v/>
      </c>
      <c r="F10" s="15">
        <f>IF(Colaboradores!$B10="","",Colaboradores!$O10)</f>
        <v/>
      </c>
      <c r="G10" s="15">
        <f>IF(Colaboradores!$B10="","",Colaboradores!$P10)</f>
        <v/>
      </c>
      <c r="H10" s="16">
        <f>IF($B10="","",IFERROR(AVERAGEIFS(Avaliação!$M:$M,Avaliação!$B:$B,$A10,Avaliação!$A:$A,Config!$B$4,Avaliação!$G:$G,Config!$A$17),""))</f>
        <v/>
      </c>
      <c r="I10" s="16">
        <f>IF($B10="","",IFERROR(AVERAGEIFS(Avaliação!$M:$M,Avaliação!$B:$B,$A10,Avaliação!$A:$A,Config!$B$4,Avaliação!$G:$G,Config!$A$18),""))</f>
        <v/>
      </c>
      <c r="J10" s="16">
        <f>IF($B10="","",IFERROR(AVERAGEIFS(Avaliação!$M:$M,Avaliação!$B:$B,$A10,Avaliação!$A:$A,Config!$B$4,Avaliação!$G:$G,Config!$A$19),""))</f>
        <v/>
      </c>
      <c r="K10" s="16">
        <f>IF($B10="","",IFERROR(AVERAGEIFS(Avaliação!$M:$M,Avaliação!$B:$B,$A10,Avaliação!$A:$A,Config!$B$4,Avaliação!$G:$G,Config!$A$20),""))</f>
        <v/>
      </c>
      <c r="L10" s="16">
        <f>IF($AF10=0,"",$AE10/$AF10)</f>
        <v/>
      </c>
      <c r="M10" s="16">
        <f>IFERROR(INDEX(Config!$B$25:$B$28,MATCH($E10,Config!$A$25:$A$28,0)),"")</f>
        <v/>
      </c>
      <c r="N10" s="16">
        <f>IF(OR($L10="",$M10=""),"",$L10-$M10)</f>
        <v/>
      </c>
      <c r="O10" s="15">
        <f>IF($L10="","",IF($L10&lt;2.5,"Abaixo",IF($L10&lt;3.5,"Atende",IF($L10&lt;=4.2,"Supera","Referência"))))</f>
        <v/>
      </c>
      <c r="P10" s="17">
        <f>IF($B10="","",COUNTIFS(Ocorrências!$B:$B,$B10,Ocorrências!$N:$N,Config!$B$4))</f>
        <v/>
      </c>
      <c r="Q10" s="17">
        <f>IF($B10="","",COUNTIFS(Ocorrências!$B:$B,$B10,Ocorrências!$N:$N,Config!$B$4,Ocorrências!$E:$E,"Reconhecimento")+COUNTIFS(Ocorrências!$B:$B,$B10,Ocorrências!$N:$N,Config!$B$4,Ocorrências!$E:$E,"Positiva"))</f>
        <v/>
      </c>
      <c r="R10" s="17">
        <f>IF($B10="","",COUNTIFS(Ocorrências!$B:$B,$B10,Ocorrências!$N:$N,Config!$B$4,Ocorrências!$E:$E,"Ponto de atenção")+COUNTIFS(Ocorrências!$B:$B,$B10,Ocorrências!$N:$N,Config!$B$4,Ocorrências!$E:$E,"Incidente"))</f>
        <v/>
      </c>
      <c r="S10" s="17">
        <f>IF($B10="","",IF(COUNTIF(Ocorrências!$B:$B,$B10)=0,"",TODAY()-_xlfn.MAXIFS(Ocorrências!$A:$A,Ocorrências!$B:$B,$B10)))</f>
        <v/>
      </c>
      <c r="T10" s="17">
        <f>IF($B10="","",IF(COUNTIF('Reuniões 1a1'!$B:$B,$B10)=0,"",TODAY()-_xlfn.MAXIFS('Reuniões 1a1'!$A:$A,'Reuniões 1a1'!$B:$B,$B10)))</f>
        <v/>
      </c>
      <c r="U10" s="17">
        <f>IF($B10="","",COUNTIFS(Avaliação!$B:$B,$A10,Avaliação!$A:$A,Config!$B$4,Avaliação!$K:$K,"&gt;=2"))</f>
        <v/>
      </c>
      <c r="V10" s="17">
        <f>IF($B10="","",COUNTIFS(Avaliação!$B:$B,$A10,Avaliação!$A:$A,Config!$B$4,Avaliação!$O:$O,"SEM LASTRO"))</f>
        <v/>
      </c>
      <c r="W10" s="17">
        <f>IF($B10="","",COUNTIFS(Ocorrências!$B:$B,$B10,Ocorrências!$N:$N,Config!$B$4,Ocorrências!$K:$K,"Não",Ocorrências!$E:$E,"Ponto de atenção")+COUNTIFS(Ocorrências!$B:$B,$B10,Ocorrências!$N:$N,Config!$B$4,Ocorrências!$K:$K,"Não",Ocorrências!$E:$E,"Incidente"))</f>
        <v/>
      </c>
      <c r="X10" s="17">
        <f>IF($L10="","",_xlfn.MAXIFS(Avaliação!$M:$M,Avaliação!$B:$B,$A10,Avaliação!$A:$A,Config!$B$4)-_xlfn.MINIFS(Avaliação!$M:$M,Avaliação!$B:$B,$A10,Avaliação!$A:$A,Config!$B$4))</f>
        <v/>
      </c>
      <c r="Y10" s="15">
        <f>IF($B10="","",IF(OR($V10&gt;0,$W10&gt;0),"BLOQUEIO",IF($L10="","Sem avaliação",IF($N10&lt;-0.3,"Abaixo da expectativa",IF($U10&gt;0,"Calibrar",IF($X10=0,"Nota chapada",IF(IF($T10="",0,$T10)&gt;30,"1:1 atrasada",IF(IF($S10="",99,$S10)&gt;45,"Sem registro","OK"))))))))</f>
        <v/>
      </c>
      <c r="Z10" s="2" t="n"/>
      <c r="AA10" s="15">
        <f>IFERROR(INDEX(Config!$B$17:$E$20,MATCH(Config!$A$17,Config!$A$17:$A$20,0),MATCH($D10,Config!$B$16:$E$16,0)),0)</f>
        <v/>
      </c>
      <c r="AB10" s="15">
        <f>IFERROR(INDEX(Config!$B$17:$E$20,MATCH(Config!$A$18,Config!$A$17:$A$20,0),MATCH($D10,Config!$B$16:$E$16,0)),0)</f>
        <v/>
      </c>
      <c r="AC10" s="15">
        <f>IFERROR(INDEX(Config!$B$17:$E$20,MATCH(Config!$A$19,Config!$A$17:$A$20,0),MATCH($D10,Config!$B$16:$E$16,0)),0)</f>
        <v/>
      </c>
      <c r="AD10" s="15">
        <f>IFERROR(INDEX(Config!$B$17:$E$20,MATCH(Config!$A$20,Config!$A$17:$A$20,0),MATCH($D10,Config!$B$16:$E$16,0)),0)</f>
        <v/>
      </c>
      <c r="AE10" s="15">
        <f>IFERROR($H10*$AA10,0)+IFERROR($I10*$AB10,0)+IFERROR($J10*$AC10,0)+IFERROR($K10*$AD10,0)</f>
        <v/>
      </c>
      <c r="AF10" s="15">
        <f>IF(ISNUMBER($H10),$AA10,0)+IF(ISNUMBER($I10),$AB10,0)+IF(ISNUMBER($J10),$AC10,0)+IF(ISNUMBER($K10),$AD10,0)</f>
        <v/>
      </c>
    </row>
    <row r="11">
      <c r="A11" s="15">
        <f>IF(Colaboradores!$B11="","",Colaboradores!$A11)</f>
        <v/>
      </c>
      <c r="B11" s="15">
        <f>IF(Colaboradores!$B11="","",Colaboradores!$B11)</f>
        <v/>
      </c>
      <c r="C11" s="15">
        <f>IF(Colaboradores!$B11="","",Colaboradores!$F11)</f>
        <v/>
      </c>
      <c r="D11" s="15">
        <f>IF(Colaboradores!$B11="","",Colaboradores!$D11)</f>
        <v/>
      </c>
      <c r="E11" s="15">
        <f>IF(Colaboradores!$B11="","",Colaboradores!$E11)</f>
        <v/>
      </c>
      <c r="F11" s="15">
        <f>IF(Colaboradores!$B11="","",Colaboradores!$O11)</f>
        <v/>
      </c>
      <c r="G11" s="15">
        <f>IF(Colaboradores!$B11="","",Colaboradores!$P11)</f>
        <v/>
      </c>
      <c r="H11" s="16">
        <f>IF($B11="","",IFERROR(AVERAGEIFS(Avaliação!$M:$M,Avaliação!$B:$B,$A11,Avaliação!$A:$A,Config!$B$4,Avaliação!$G:$G,Config!$A$17),""))</f>
        <v/>
      </c>
      <c r="I11" s="16">
        <f>IF($B11="","",IFERROR(AVERAGEIFS(Avaliação!$M:$M,Avaliação!$B:$B,$A11,Avaliação!$A:$A,Config!$B$4,Avaliação!$G:$G,Config!$A$18),""))</f>
        <v/>
      </c>
      <c r="J11" s="16">
        <f>IF($B11="","",IFERROR(AVERAGEIFS(Avaliação!$M:$M,Avaliação!$B:$B,$A11,Avaliação!$A:$A,Config!$B$4,Avaliação!$G:$G,Config!$A$19),""))</f>
        <v/>
      </c>
      <c r="K11" s="16">
        <f>IF($B11="","",IFERROR(AVERAGEIFS(Avaliação!$M:$M,Avaliação!$B:$B,$A11,Avaliação!$A:$A,Config!$B$4,Avaliação!$G:$G,Config!$A$20),""))</f>
        <v/>
      </c>
      <c r="L11" s="16">
        <f>IF($AF11=0,"",$AE11/$AF11)</f>
        <v/>
      </c>
      <c r="M11" s="16">
        <f>IFERROR(INDEX(Config!$B$25:$B$28,MATCH($E11,Config!$A$25:$A$28,0)),"")</f>
        <v/>
      </c>
      <c r="N11" s="16">
        <f>IF(OR($L11="",$M11=""),"",$L11-$M11)</f>
        <v/>
      </c>
      <c r="O11" s="15">
        <f>IF($L11="","",IF($L11&lt;2.5,"Abaixo",IF($L11&lt;3.5,"Atende",IF($L11&lt;=4.2,"Supera","Referência"))))</f>
        <v/>
      </c>
      <c r="P11" s="17">
        <f>IF($B11="","",COUNTIFS(Ocorrências!$B:$B,$B11,Ocorrências!$N:$N,Config!$B$4))</f>
        <v/>
      </c>
      <c r="Q11" s="17">
        <f>IF($B11="","",COUNTIFS(Ocorrências!$B:$B,$B11,Ocorrências!$N:$N,Config!$B$4,Ocorrências!$E:$E,"Reconhecimento")+COUNTIFS(Ocorrências!$B:$B,$B11,Ocorrências!$N:$N,Config!$B$4,Ocorrências!$E:$E,"Positiva"))</f>
        <v/>
      </c>
      <c r="R11" s="17">
        <f>IF($B11="","",COUNTIFS(Ocorrências!$B:$B,$B11,Ocorrências!$N:$N,Config!$B$4,Ocorrências!$E:$E,"Ponto de atenção")+COUNTIFS(Ocorrências!$B:$B,$B11,Ocorrências!$N:$N,Config!$B$4,Ocorrências!$E:$E,"Incidente"))</f>
        <v/>
      </c>
      <c r="S11" s="17">
        <f>IF($B11="","",IF(COUNTIF(Ocorrências!$B:$B,$B11)=0,"",TODAY()-_xlfn.MAXIFS(Ocorrências!$A:$A,Ocorrências!$B:$B,$B11)))</f>
        <v/>
      </c>
      <c r="T11" s="17">
        <f>IF($B11="","",IF(COUNTIF('Reuniões 1a1'!$B:$B,$B11)=0,"",TODAY()-_xlfn.MAXIFS('Reuniões 1a1'!$A:$A,'Reuniões 1a1'!$B:$B,$B11)))</f>
        <v/>
      </c>
      <c r="U11" s="17">
        <f>IF($B11="","",COUNTIFS(Avaliação!$B:$B,$A11,Avaliação!$A:$A,Config!$B$4,Avaliação!$K:$K,"&gt;=2"))</f>
        <v/>
      </c>
      <c r="V11" s="17">
        <f>IF($B11="","",COUNTIFS(Avaliação!$B:$B,$A11,Avaliação!$A:$A,Config!$B$4,Avaliação!$O:$O,"SEM LASTRO"))</f>
        <v/>
      </c>
      <c r="W11" s="17">
        <f>IF($B11="","",COUNTIFS(Ocorrências!$B:$B,$B11,Ocorrências!$N:$N,Config!$B$4,Ocorrências!$K:$K,"Não",Ocorrências!$E:$E,"Ponto de atenção")+COUNTIFS(Ocorrências!$B:$B,$B11,Ocorrências!$N:$N,Config!$B$4,Ocorrências!$K:$K,"Não",Ocorrências!$E:$E,"Incidente"))</f>
        <v/>
      </c>
      <c r="X11" s="17">
        <f>IF($L11="","",_xlfn.MAXIFS(Avaliação!$M:$M,Avaliação!$B:$B,$A11,Avaliação!$A:$A,Config!$B$4)-_xlfn.MINIFS(Avaliação!$M:$M,Avaliação!$B:$B,$A11,Avaliação!$A:$A,Config!$B$4))</f>
        <v/>
      </c>
      <c r="Y11" s="15">
        <f>IF($B11="","",IF(OR($V11&gt;0,$W11&gt;0),"BLOQUEIO",IF($L11="","Sem avaliação",IF($N11&lt;-0.3,"Abaixo da expectativa",IF($U11&gt;0,"Calibrar",IF($X11=0,"Nota chapada",IF(IF($T11="",0,$T11)&gt;30,"1:1 atrasada",IF(IF($S11="",99,$S11)&gt;45,"Sem registro","OK"))))))))</f>
        <v/>
      </c>
      <c r="Z11" s="2" t="n"/>
      <c r="AA11" s="15">
        <f>IFERROR(INDEX(Config!$B$17:$E$20,MATCH(Config!$A$17,Config!$A$17:$A$20,0),MATCH($D11,Config!$B$16:$E$16,0)),0)</f>
        <v/>
      </c>
      <c r="AB11" s="15">
        <f>IFERROR(INDEX(Config!$B$17:$E$20,MATCH(Config!$A$18,Config!$A$17:$A$20,0),MATCH($D11,Config!$B$16:$E$16,0)),0)</f>
        <v/>
      </c>
      <c r="AC11" s="15">
        <f>IFERROR(INDEX(Config!$B$17:$E$20,MATCH(Config!$A$19,Config!$A$17:$A$20,0),MATCH($D11,Config!$B$16:$E$16,0)),0)</f>
        <v/>
      </c>
      <c r="AD11" s="15">
        <f>IFERROR(INDEX(Config!$B$17:$E$20,MATCH(Config!$A$20,Config!$A$17:$A$20,0),MATCH($D11,Config!$B$16:$E$16,0)),0)</f>
        <v/>
      </c>
      <c r="AE11" s="15">
        <f>IFERROR($H11*$AA11,0)+IFERROR($I11*$AB11,0)+IFERROR($J11*$AC11,0)+IFERROR($K11*$AD11,0)</f>
        <v/>
      </c>
      <c r="AF11" s="15">
        <f>IF(ISNUMBER($H11),$AA11,0)+IF(ISNUMBER($I11),$AB11,0)+IF(ISNUMBER($J11),$AC11,0)+IF(ISNUMBER($K11),$AD11,0)</f>
        <v/>
      </c>
    </row>
    <row r="12">
      <c r="A12" s="15">
        <f>IF(Colaboradores!$B12="","",Colaboradores!$A12)</f>
        <v/>
      </c>
      <c r="B12" s="15">
        <f>IF(Colaboradores!$B12="","",Colaboradores!$B12)</f>
        <v/>
      </c>
      <c r="C12" s="15">
        <f>IF(Colaboradores!$B12="","",Colaboradores!$F12)</f>
        <v/>
      </c>
      <c r="D12" s="15">
        <f>IF(Colaboradores!$B12="","",Colaboradores!$D12)</f>
        <v/>
      </c>
      <c r="E12" s="15">
        <f>IF(Colaboradores!$B12="","",Colaboradores!$E12)</f>
        <v/>
      </c>
      <c r="F12" s="15">
        <f>IF(Colaboradores!$B12="","",Colaboradores!$O12)</f>
        <v/>
      </c>
      <c r="G12" s="15">
        <f>IF(Colaboradores!$B12="","",Colaboradores!$P12)</f>
        <v/>
      </c>
      <c r="H12" s="16">
        <f>IF($B12="","",IFERROR(AVERAGEIFS(Avaliação!$M:$M,Avaliação!$B:$B,$A12,Avaliação!$A:$A,Config!$B$4,Avaliação!$G:$G,Config!$A$17),""))</f>
        <v/>
      </c>
      <c r="I12" s="16">
        <f>IF($B12="","",IFERROR(AVERAGEIFS(Avaliação!$M:$M,Avaliação!$B:$B,$A12,Avaliação!$A:$A,Config!$B$4,Avaliação!$G:$G,Config!$A$18),""))</f>
        <v/>
      </c>
      <c r="J12" s="16">
        <f>IF($B12="","",IFERROR(AVERAGEIFS(Avaliação!$M:$M,Avaliação!$B:$B,$A12,Avaliação!$A:$A,Config!$B$4,Avaliação!$G:$G,Config!$A$19),""))</f>
        <v/>
      </c>
      <c r="K12" s="16">
        <f>IF($B12="","",IFERROR(AVERAGEIFS(Avaliação!$M:$M,Avaliação!$B:$B,$A12,Avaliação!$A:$A,Config!$B$4,Avaliação!$G:$G,Config!$A$20),""))</f>
        <v/>
      </c>
      <c r="L12" s="16">
        <f>IF($AF12=0,"",$AE12/$AF12)</f>
        <v/>
      </c>
      <c r="M12" s="16">
        <f>IFERROR(INDEX(Config!$B$25:$B$28,MATCH($E12,Config!$A$25:$A$28,0)),"")</f>
        <v/>
      </c>
      <c r="N12" s="16">
        <f>IF(OR($L12="",$M12=""),"",$L12-$M12)</f>
        <v/>
      </c>
      <c r="O12" s="15">
        <f>IF($L12="","",IF($L12&lt;2.5,"Abaixo",IF($L12&lt;3.5,"Atende",IF($L12&lt;=4.2,"Supera","Referência"))))</f>
        <v/>
      </c>
      <c r="P12" s="17">
        <f>IF($B12="","",COUNTIFS(Ocorrências!$B:$B,$B12,Ocorrências!$N:$N,Config!$B$4))</f>
        <v/>
      </c>
      <c r="Q12" s="17">
        <f>IF($B12="","",COUNTIFS(Ocorrências!$B:$B,$B12,Ocorrências!$N:$N,Config!$B$4,Ocorrências!$E:$E,"Reconhecimento")+COUNTIFS(Ocorrências!$B:$B,$B12,Ocorrências!$N:$N,Config!$B$4,Ocorrências!$E:$E,"Positiva"))</f>
        <v/>
      </c>
      <c r="R12" s="17">
        <f>IF($B12="","",COUNTIFS(Ocorrências!$B:$B,$B12,Ocorrências!$N:$N,Config!$B$4,Ocorrências!$E:$E,"Ponto de atenção")+COUNTIFS(Ocorrências!$B:$B,$B12,Ocorrências!$N:$N,Config!$B$4,Ocorrências!$E:$E,"Incidente"))</f>
        <v/>
      </c>
      <c r="S12" s="17">
        <f>IF($B12="","",IF(COUNTIF(Ocorrências!$B:$B,$B12)=0,"",TODAY()-_xlfn.MAXIFS(Ocorrências!$A:$A,Ocorrências!$B:$B,$B12)))</f>
        <v/>
      </c>
      <c r="T12" s="17">
        <f>IF($B12="","",IF(COUNTIF('Reuniões 1a1'!$B:$B,$B12)=0,"",TODAY()-_xlfn.MAXIFS('Reuniões 1a1'!$A:$A,'Reuniões 1a1'!$B:$B,$B12)))</f>
        <v/>
      </c>
      <c r="U12" s="17">
        <f>IF($B12="","",COUNTIFS(Avaliação!$B:$B,$A12,Avaliação!$A:$A,Config!$B$4,Avaliação!$K:$K,"&gt;=2"))</f>
        <v/>
      </c>
      <c r="V12" s="17">
        <f>IF($B12="","",COUNTIFS(Avaliação!$B:$B,$A12,Avaliação!$A:$A,Config!$B$4,Avaliação!$O:$O,"SEM LASTRO"))</f>
        <v/>
      </c>
      <c r="W12" s="17">
        <f>IF($B12="","",COUNTIFS(Ocorrências!$B:$B,$B12,Ocorrências!$N:$N,Config!$B$4,Ocorrências!$K:$K,"Não",Ocorrências!$E:$E,"Ponto de atenção")+COUNTIFS(Ocorrências!$B:$B,$B12,Ocorrências!$N:$N,Config!$B$4,Ocorrências!$K:$K,"Não",Ocorrências!$E:$E,"Incidente"))</f>
        <v/>
      </c>
      <c r="X12" s="17">
        <f>IF($L12="","",_xlfn.MAXIFS(Avaliação!$M:$M,Avaliação!$B:$B,$A12,Avaliação!$A:$A,Config!$B$4)-_xlfn.MINIFS(Avaliação!$M:$M,Avaliação!$B:$B,$A12,Avaliação!$A:$A,Config!$B$4))</f>
        <v/>
      </c>
      <c r="Y12" s="15">
        <f>IF($B12="","",IF(OR($V12&gt;0,$W12&gt;0),"BLOQUEIO",IF($L12="","Sem avaliação",IF($N12&lt;-0.3,"Abaixo da expectativa",IF($U12&gt;0,"Calibrar",IF($X12=0,"Nota chapada",IF(IF($T12="",0,$T12)&gt;30,"1:1 atrasada",IF(IF($S12="",99,$S12)&gt;45,"Sem registro","OK"))))))))</f>
        <v/>
      </c>
      <c r="Z12" s="2" t="n"/>
      <c r="AA12" s="15">
        <f>IFERROR(INDEX(Config!$B$17:$E$20,MATCH(Config!$A$17,Config!$A$17:$A$20,0),MATCH($D12,Config!$B$16:$E$16,0)),0)</f>
        <v/>
      </c>
      <c r="AB12" s="15">
        <f>IFERROR(INDEX(Config!$B$17:$E$20,MATCH(Config!$A$18,Config!$A$17:$A$20,0),MATCH($D12,Config!$B$16:$E$16,0)),0)</f>
        <v/>
      </c>
      <c r="AC12" s="15">
        <f>IFERROR(INDEX(Config!$B$17:$E$20,MATCH(Config!$A$19,Config!$A$17:$A$20,0),MATCH($D12,Config!$B$16:$E$16,0)),0)</f>
        <v/>
      </c>
      <c r="AD12" s="15">
        <f>IFERROR(INDEX(Config!$B$17:$E$20,MATCH(Config!$A$20,Config!$A$17:$A$20,0),MATCH($D12,Config!$B$16:$E$16,0)),0)</f>
        <v/>
      </c>
      <c r="AE12" s="15">
        <f>IFERROR($H12*$AA12,0)+IFERROR($I12*$AB12,0)+IFERROR($J12*$AC12,0)+IFERROR($K12*$AD12,0)</f>
        <v/>
      </c>
      <c r="AF12" s="15">
        <f>IF(ISNUMBER($H12),$AA12,0)+IF(ISNUMBER($I12),$AB12,0)+IF(ISNUMBER($J12),$AC12,0)+IF(ISNUMBER($K12),$AD12,0)</f>
        <v/>
      </c>
    </row>
    <row r="13">
      <c r="A13" s="15">
        <f>IF(Colaboradores!$B13="","",Colaboradores!$A13)</f>
        <v/>
      </c>
      <c r="B13" s="15">
        <f>IF(Colaboradores!$B13="","",Colaboradores!$B13)</f>
        <v/>
      </c>
      <c r="C13" s="15">
        <f>IF(Colaboradores!$B13="","",Colaboradores!$F13)</f>
        <v/>
      </c>
      <c r="D13" s="15">
        <f>IF(Colaboradores!$B13="","",Colaboradores!$D13)</f>
        <v/>
      </c>
      <c r="E13" s="15">
        <f>IF(Colaboradores!$B13="","",Colaboradores!$E13)</f>
        <v/>
      </c>
      <c r="F13" s="15">
        <f>IF(Colaboradores!$B13="","",Colaboradores!$O13)</f>
        <v/>
      </c>
      <c r="G13" s="15">
        <f>IF(Colaboradores!$B13="","",Colaboradores!$P13)</f>
        <v/>
      </c>
      <c r="H13" s="16">
        <f>IF($B13="","",IFERROR(AVERAGEIFS(Avaliação!$M:$M,Avaliação!$B:$B,$A13,Avaliação!$A:$A,Config!$B$4,Avaliação!$G:$G,Config!$A$17),""))</f>
        <v/>
      </c>
      <c r="I13" s="16">
        <f>IF($B13="","",IFERROR(AVERAGEIFS(Avaliação!$M:$M,Avaliação!$B:$B,$A13,Avaliação!$A:$A,Config!$B$4,Avaliação!$G:$G,Config!$A$18),""))</f>
        <v/>
      </c>
      <c r="J13" s="16">
        <f>IF($B13="","",IFERROR(AVERAGEIFS(Avaliação!$M:$M,Avaliação!$B:$B,$A13,Avaliação!$A:$A,Config!$B$4,Avaliação!$G:$G,Config!$A$19),""))</f>
        <v/>
      </c>
      <c r="K13" s="16">
        <f>IF($B13="","",IFERROR(AVERAGEIFS(Avaliação!$M:$M,Avaliação!$B:$B,$A13,Avaliação!$A:$A,Config!$B$4,Avaliação!$G:$G,Config!$A$20),""))</f>
        <v/>
      </c>
      <c r="L13" s="16">
        <f>IF($AF13=0,"",$AE13/$AF13)</f>
        <v/>
      </c>
      <c r="M13" s="16">
        <f>IFERROR(INDEX(Config!$B$25:$B$28,MATCH($E13,Config!$A$25:$A$28,0)),"")</f>
        <v/>
      </c>
      <c r="N13" s="16">
        <f>IF(OR($L13="",$M13=""),"",$L13-$M13)</f>
        <v/>
      </c>
      <c r="O13" s="15">
        <f>IF($L13="","",IF($L13&lt;2.5,"Abaixo",IF($L13&lt;3.5,"Atende",IF($L13&lt;=4.2,"Supera","Referência"))))</f>
        <v/>
      </c>
      <c r="P13" s="17">
        <f>IF($B13="","",COUNTIFS(Ocorrências!$B:$B,$B13,Ocorrências!$N:$N,Config!$B$4))</f>
        <v/>
      </c>
      <c r="Q13" s="17">
        <f>IF($B13="","",COUNTIFS(Ocorrências!$B:$B,$B13,Ocorrências!$N:$N,Config!$B$4,Ocorrências!$E:$E,"Reconhecimento")+COUNTIFS(Ocorrências!$B:$B,$B13,Ocorrências!$N:$N,Config!$B$4,Ocorrências!$E:$E,"Positiva"))</f>
        <v/>
      </c>
      <c r="R13" s="17">
        <f>IF($B13="","",COUNTIFS(Ocorrências!$B:$B,$B13,Ocorrências!$N:$N,Config!$B$4,Ocorrências!$E:$E,"Ponto de atenção")+COUNTIFS(Ocorrências!$B:$B,$B13,Ocorrências!$N:$N,Config!$B$4,Ocorrências!$E:$E,"Incidente"))</f>
        <v/>
      </c>
      <c r="S13" s="17">
        <f>IF($B13="","",IF(COUNTIF(Ocorrências!$B:$B,$B13)=0,"",TODAY()-_xlfn.MAXIFS(Ocorrências!$A:$A,Ocorrências!$B:$B,$B13)))</f>
        <v/>
      </c>
      <c r="T13" s="17">
        <f>IF($B13="","",IF(COUNTIF('Reuniões 1a1'!$B:$B,$B13)=0,"",TODAY()-_xlfn.MAXIFS('Reuniões 1a1'!$A:$A,'Reuniões 1a1'!$B:$B,$B13)))</f>
        <v/>
      </c>
      <c r="U13" s="17">
        <f>IF($B13="","",COUNTIFS(Avaliação!$B:$B,$A13,Avaliação!$A:$A,Config!$B$4,Avaliação!$K:$K,"&gt;=2"))</f>
        <v/>
      </c>
      <c r="V13" s="17">
        <f>IF($B13="","",COUNTIFS(Avaliação!$B:$B,$A13,Avaliação!$A:$A,Config!$B$4,Avaliação!$O:$O,"SEM LASTRO"))</f>
        <v/>
      </c>
      <c r="W13" s="17">
        <f>IF($B13="","",COUNTIFS(Ocorrências!$B:$B,$B13,Ocorrências!$N:$N,Config!$B$4,Ocorrências!$K:$K,"Não",Ocorrências!$E:$E,"Ponto de atenção")+COUNTIFS(Ocorrências!$B:$B,$B13,Ocorrências!$N:$N,Config!$B$4,Ocorrências!$K:$K,"Não",Ocorrências!$E:$E,"Incidente"))</f>
        <v/>
      </c>
      <c r="X13" s="17">
        <f>IF($L13="","",_xlfn.MAXIFS(Avaliação!$M:$M,Avaliação!$B:$B,$A13,Avaliação!$A:$A,Config!$B$4)-_xlfn.MINIFS(Avaliação!$M:$M,Avaliação!$B:$B,$A13,Avaliação!$A:$A,Config!$B$4))</f>
        <v/>
      </c>
      <c r="Y13" s="15">
        <f>IF($B13="","",IF(OR($V13&gt;0,$W13&gt;0),"BLOQUEIO",IF($L13="","Sem avaliação",IF($N13&lt;-0.3,"Abaixo da expectativa",IF($U13&gt;0,"Calibrar",IF($X13=0,"Nota chapada",IF(IF($T13="",0,$T13)&gt;30,"1:1 atrasada",IF(IF($S13="",99,$S13)&gt;45,"Sem registro","OK"))))))))</f>
        <v/>
      </c>
      <c r="Z13" s="2" t="n"/>
      <c r="AA13" s="15">
        <f>IFERROR(INDEX(Config!$B$17:$E$20,MATCH(Config!$A$17,Config!$A$17:$A$20,0),MATCH($D13,Config!$B$16:$E$16,0)),0)</f>
        <v/>
      </c>
      <c r="AB13" s="15">
        <f>IFERROR(INDEX(Config!$B$17:$E$20,MATCH(Config!$A$18,Config!$A$17:$A$20,0),MATCH($D13,Config!$B$16:$E$16,0)),0)</f>
        <v/>
      </c>
      <c r="AC13" s="15">
        <f>IFERROR(INDEX(Config!$B$17:$E$20,MATCH(Config!$A$19,Config!$A$17:$A$20,0),MATCH($D13,Config!$B$16:$E$16,0)),0)</f>
        <v/>
      </c>
      <c r="AD13" s="15">
        <f>IFERROR(INDEX(Config!$B$17:$E$20,MATCH(Config!$A$20,Config!$A$17:$A$20,0),MATCH($D13,Config!$B$16:$E$16,0)),0)</f>
        <v/>
      </c>
      <c r="AE13" s="15">
        <f>IFERROR($H13*$AA13,0)+IFERROR($I13*$AB13,0)+IFERROR($J13*$AC13,0)+IFERROR($K13*$AD13,0)</f>
        <v/>
      </c>
      <c r="AF13" s="15">
        <f>IF(ISNUMBER($H13),$AA13,0)+IF(ISNUMBER($I13),$AB13,0)+IF(ISNUMBER($J13),$AC13,0)+IF(ISNUMBER($K13),$AD13,0)</f>
        <v/>
      </c>
    </row>
    <row r="14">
      <c r="A14" s="15">
        <f>IF(Colaboradores!$B14="","",Colaboradores!$A14)</f>
        <v/>
      </c>
      <c r="B14" s="15">
        <f>IF(Colaboradores!$B14="","",Colaboradores!$B14)</f>
        <v/>
      </c>
      <c r="C14" s="15">
        <f>IF(Colaboradores!$B14="","",Colaboradores!$F14)</f>
        <v/>
      </c>
      <c r="D14" s="15">
        <f>IF(Colaboradores!$B14="","",Colaboradores!$D14)</f>
        <v/>
      </c>
      <c r="E14" s="15">
        <f>IF(Colaboradores!$B14="","",Colaboradores!$E14)</f>
        <v/>
      </c>
      <c r="F14" s="15">
        <f>IF(Colaboradores!$B14="","",Colaboradores!$O14)</f>
        <v/>
      </c>
      <c r="G14" s="15">
        <f>IF(Colaboradores!$B14="","",Colaboradores!$P14)</f>
        <v/>
      </c>
      <c r="H14" s="16">
        <f>IF($B14="","",IFERROR(AVERAGEIFS(Avaliação!$M:$M,Avaliação!$B:$B,$A14,Avaliação!$A:$A,Config!$B$4,Avaliação!$G:$G,Config!$A$17),""))</f>
        <v/>
      </c>
      <c r="I14" s="16">
        <f>IF($B14="","",IFERROR(AVERAGEIFS(Avaliação!$M:$M,Avaliação!$B:$B,$A14,Avaliação!$A:$A,Config!$B$4,Avaliação!$G:$G,Config!$A$18),""))</f>
        <v/>
      </c>
      <c r="J14" s="16">
        <f>IF($B14="","",IFERROR(AVERAGEIFS(Avaliação!$M:$M,Avaliação!$B:$B,$A14,Avaliação!$A:$A,Config!$B$4,Avaliação!$G:$G,Config!$A$19),""))</f>
        <v/>
      </c>
      <c r="K14" s="16">
        <f>IF($B14="","",IFERROR(AVERAGEIFS(Avaliação!$M:$M,Avaliação!$B:$B,$A14,Avaliação!$A:$A,Config!$B$4,Avaliação!$G:$G,Config!$A$20),""))</f>
        <v/>
      </c>
      <c r="L14" s="16">
        <f>IF($AF14=0,"",$AE14/$AF14)</f>
        <v/>
      </c>
      <c r="M14" s="16">
        <f>IFERROR(INDEX(Config!$B$25:$B$28,MATCH($E14,Config!$A$25:$A$28,0)),"")</f>
        <v/>
      </c>
      <c r="N14" s="16">
        <f>IF(OR($L14="",$M14=""),"",$L14-$M14)</f>
        <v/>
      </c>
      <c r="O14" s="15">
        <f>IF($L14="","",IF($L14&lt;2.5,"Abaixo",IF($L14&lt;3.5,"Atende",IF($L14&lt;=4.2,"Supera","Referência"))))</f>
        <v/>
      </c>
      <c r="P14" s="17">
        <f>IF($B14="","",COUNTIFS(Ocorrências!$B:$B,$B14,Ocorrências!$N:$N,Config!$B$4))</f>
        <v/>
      </c>
      <c r="Q14" s="17">
        <f>IF($B14="","",COUNTIFS(Ocorrências!$B:$B,$B14,Ocorrências!$N:$N,Config!$B$4,Ocorrências!$E:$E,"Reconhecimento")+COUNTIFS(Ocorrências!$B:$B,$B14,Ocorrências!$N:$N,Config!$B$4,Ocorrências!$E:$E,"Positiva"))</f>
        <v/>
      </c>
      <c r="R14" s="17">
        <f>IF($B14="","",COUNTIFS(Ocorrências!$B:$B,$B14,Ocorrências!$N:$N,Config!$B$4,Ocorrências!$E:$E,"Ponto de atenção")+COUNTIFS(Ocorrências!$B:$B,$B14,Ocorrências!$N:$N,Config!$B$4,Ocorrências!$E:$E,"Incidente"))</f>
        <v/>
      </c>
      <c r="S14" s="17">
        <f>IF($B14="","",IF(COUNTIF(Ocorrências!$B:$B,$B14)=0,"",TODAY()-_xlfn.MAXIFS(Ocorrências!$A:$A,Ocorrências!$B:$B,$B14)))</f>
        <v/>
      </c>
      <c r="T14" s="17">
        <f>IF($B14="","",IF(COUNTIF('Reuniões 1a1'!$B:$B,$B14)=0,"",TODAY()-_xlfn.MAXIFS('Reuniões 1a1'!$A:$A,'Reuniões 1a1'!$B:$B,$B14)))</f>
        <v/>
      </c>
      <c r="U14" s="17">
        <f>IF($B14="","",COUNTIFS(Avaliação!$B:$B,$A14,Avaliação!$A:$A,Config!$B$4,Avaliação!$K:$K,"&gt;=2"))</f>
        <v/>
      </c>
      <c r="V14" s="17">
        <f>IF($B14="","",COUNTIFS(Avaliação!$B:$B,$A14,Avaliação!$A:$A,Config!$B$4,Avaliação!$O:$O,"SEM LASTRO"))</f>
        <v/>
      </c>
      <c r="W14" s="17">
        <f>IF($B14="","",COUNTIFS(Ocorrências!$B:$B,$B14,Ocorrências!$N:$N,Config!$B$4,Ocorrências!$K:$K,"Não",Ocorrências!$E:$E,"Ponto de atenção")+COUNTIFS(Ocorrências!$B:$B,$B14,Ocorrências!$N:$N,Config!$B$4,Ocorrências!$K:$K,"Não",Ocorrências!$E:$E,"Incidente"))</f>
        <v/>
      </c>
      <c r="X14" s="17">
        <f>IF($L14="","",_xlfn.MAXIFS(Avaliação!$M:$M,Avaliação!$B:$B,$A14,Avaliação!$A:$A,Config!$B$4)-_xlfn.MINIFS(Avaliação!$M:$M,Avaliação!$B:$B,$A14,Avaliação!$A:$A,Config!$B$4))</f>
        <v/>
      </c>
      <c r="Y14" s="15">
        <f>IF($B14="","",IF(OR($V14&gt;0,$W14&gt;0),"BLOQUEIO",IF($L14="","Sem avaliação",IF($N14&lt;-0.3,"Abaixo da expectativa",IF($U14&gt;0,"Calibrar",IF($X14=0,"Nota chapada",IF(IF($T14="",0,$T14)&gt;30,"1:1 atrasada",IF(IF($S14="",99,$S14)&gt;45,"Sem registro","OK"))))))))</f>
        <v/>
      </c>
      <c r="Z14" s="2" t="n"/>
      <c r="AA14" s="15">
        <f>IFERROR(INDEX(Config!$B$17:$E$20,MATCH(Config!$A$17,Config!$A$17:$A$20,0),MATCH($D14,Config!$B$16:$E$16,0)),0)</f>
        <v/>
      </c>
      <c r="AB14" s="15">
        <f>IFERROR(INDEX(Config!$B$17:$E$20,MATCH(Config!$A$18,Config!$A$17:$A$20,0),MATCH($D14,Config!$B$16:$E$16,0)),0)</f>
        <v/>
      </c>
      <c r="AC14" s="15">
        <f>IFERROR(INDEX(Config!$B$17:$E$20,MATCH(Config!$A$19,Config!$A$17:$A$20,0),MATCH($D14,Config!$B$16:$E$16,0)),0)</f>
        <v/>
      </c>
      <c r="AD14" s="15">
        <f>IFERROR(INDEX(Config!$B$17:$E$20,MATCH(Config!$A$20,Config!$A$17:$A$20,0),MATCH($D14,Config!$B$16:$E$16,0)),0)</f>
        <v/>
      </c>
      <c r="AE14" s="15">
        <f>IFERROR($H14*$AA14,0)+IFERROR($I14*$AB14,0)+IFERROR($J14*$AC14,0)+IFERROR($K14*$AD14,0)</f>
        <v/>
      </c>
      <c r="AF14" s="15">
        <f>IF(ISNUMBER($H14),$AA14,0)+IF(ISNUMBER($I14),$AB14,0)+IF(ISNUMBER($J14),$AC14,0)+IF(ISNUMBER($K14),$AD14,0)</f>
        <v/>
      </c>
    </row>
    <row r="15">
      <c r="A15" s="15">
        <f>IF(Colaboradores!$B15="","",Colaboradores!$A15)</f>
        <v/>
      </c>
      <c r="B15" s="15">
        <f>IF(Colaboradores!$B15="","",Colaboradores!$B15)</f>
        <v/>
      </c>
      <c r="C15" s="15">
        <f>IF(Colaboradores!$B15="","",Colaboradores!$F15)</f>
        <v/>
      </c>
      <c r="D15" s="15">
        <f>IF(Colaboradores!$B15="","",Colaboradores!$D15)</f>
        <v/>
      </c>
      <c r="E15" s="15">
        <f>IF(Colaboradores!$B15="","",Colaboradores!$E15)</f>
        <v/>
      </c>
      <c r="F15" s="15">
        <f>IF(Colaboradores!$B15="","",Colaboradores!$O15)</f>
        <v/>
      </c>
      <c r="G15" s="15">
        <f>IF(Colaboradores!$B15="","",Colaboradores!$P15)</f>
        <v/>
      </c>
      <c r="H15" s="16">
        <f>IF($B15="","",IFERROR(AVERAGEIFS(Avaliação!$M:$M,Avaliação!$B:$B,$A15,Avaliação!$A:$A,Config!$B$4,Avaliação!$G:$G,Config!$A$17),""))</f>
        <v/>
      </c>
      <c r="I15" s="16">
        <f>IF($B15="","",IFERROR(AVERAGEIFS(Avaliação!$M:$M,Avaliação!$B:$B,$A15,Avaliação!$A:$A,Config!$B$4,Avaliação!$G:$G,Config!$A$18),""))</f>
        <v/>
      </c>
      <c r="J15" s="16">
        <f>IF($B15="","",IFERROR(AVERAGEIFS(Avaliação!$M:$M,Avaliação!$B:$B,$A15,Avaliação!$A:$A,Config!$B$4,Avaliação!$G:$G,Config!$A$19),""))</f>
        <v/>
      </c>
      <c r="K15" s="16">
        <f>IF($B15="","",IFERROR(AVERAGEIFS(Avaliação!$M:$M,Avaliação!$B:$B,$A15,Avaliação!$A:$A,Config!$B$4,Avaliação!$G:$G,Config!$A$20),""))</f>
        <v/>
      </c>
      <c r="L15" s="16">
        <f>IF($AF15=0,"",$AE15/$AF15)</f>
        <v/>
      </c>
      <c r="M15" s="16">
        <f>IFERROR(INDEX(Config!$B$25:$B$28,MATCH($E15,Config!$A$25:$A$28,0)),"")</f>
        <v/>
      </c>
      <c r="N15" s="16">
        <f>IF(OR($L15="",$M15=""),"",$L15-$M15)</f>
        <v/>
      </c>
      <c r="O15" s="15">
        <f>IF($L15="","",IF($L15&lt;2.5,"Abaixo",IF($L15&lt;3.5,"Atende",IF($L15&lt;=4.2,"Supera","Referência"))))</f>
        <v/>
      </c>
      <c r="P15" s="17">
        <f>IF($B15="","",COUNTIFS(Ocorrências!$B:$B,$B15,Ocorrências!$N:$N,Config!$B$4))</f>
        <v/>
      </c>
      <c r="Q15" s="17">
        <f>IF($B15="","",COUNTIFS(Ocorrências!$B:$B,$B15,Ocorrências!$N:$N,Config!$B$4,Ocorrências!$E:$E,"Reconhecimento")+COUNTIFS(Ocorrências!$B:$B,$B15,Ocorrências!$N:$N,Config!$B$4,Ocorrências!$E:$E,"Positiva"))</f>
        <v/>
      </c>
      <c r="R15" s="17">
        <f>IF($B15="","",COUNTIFS(Ocorrências!$B:$B,$B15,Ocorrências!$N:$N,Config!$B$4,Ocorrências!$E:$E,"Ponto de atenção")+COUNTIFS(Ocorrências!$B:$B,$B15,Ocorrências!$N:$N,Config!$B$4,Ocorrências!$E:$E,"Incidente"))</f>
        <v/>
      </c>
      <c r="S15" s="17">
        <f>IF($B15="","",IF(COUNTIF(Ocorrências!$B:$B,$B15)=0,"",TODAY()-_xlfn.MAXIFS(Ocorrências!$A:$A,Ocorrências!$B:$B,$B15)))</f>
        <v/>
      </c>
      <c r="T15" s="17">
        <f>IF($B15="","",IF(COUNTIF('Reuniões 1a1'!$B:$B,$B15)=0,"",TODAY()-_xlfn.MAXIFS('Reuniões 1a1'!$A:$A,'Reuniões 1a1'!$B:$B,$B15)))</f>
        <v/>
      </c>
      <c r="U15" s="17">
        <f>IF($B15="","",COUNTIFS(Avaliação!$B:$B,$A15,Avaliação!$A:$A,Config!$B$4,Avaliação!$K:$K,"&gt;=2"))</f>
        <v/>
      </c>
      <c r="V15" s="17">
        <f>IF($B15="","",COUNTIFS(Avaliação!$B:$B,$A15,Avaliação!$A:$A,Config!$B$4,Avaliação!$O:$O,"SEM LASTRO"))</f>
        <v/>
      </c>
      <c r="W15" s="17">
        <f>IF($B15="","",COUNTIFS(Ocorrências!$B:$B,$B15,Ocorrências!$N:$N,Config!$B$4,Ocorrências!$K:$K,"Não",Ocorrências!$E:$E,"Ponto de atenção")+COUNTIFS(Ocorrências!$B:$B,$B15,Ocorrências!$N:$N,Config!$B$4,Ocorrências!$K:$K,"Não",Ocorrências!$E:$E,"Incidente"))</f>
        <v/>
      </c>
      <c r="X15" s="17">
        <f>IF($L15="","",_xlfn.MAXIFS(Avaliação!$M:$M,Avaliação!$B:$B,$A15,Avaliação!$A:$A,Config!$B$4)-_xlfn.MINIFS(Avaliação!$M:$M,Avaliação!$B:$B,$A15,Avaliação!$A:$A,Config!$B$4))</f>
        <v/>
      </c>
      <c r="Y15" s="15">
        <f>IF($B15="","",IF(OR($V15&gt;0,$W15&gt;0),"BLOQUEIO",IF($L15="","Sem avaliação",IF($N15&lt;-0.3,"Abaixo da expectativa",IF($U15&gt;0,"Calibrar",IF($X15=0,"Nota chapada",IF(IF($T15="",0,$T15)&gt;30,"1:1 atrasada",IF(IF($S15="",99,$S15)&gt;45,"Sem registro","OK"))))))))</f>
        <v/>
      </c>
      <c r="Z15" s="2" t="n"/>
      <c r="AA15" s="15">
        <f>IFERROR(INDEX(Config!$B$17:$E$20,MATCH(Config!$A$17,Config!$A$17:$A$20,0),MATCH($D15,Config!$B$16:$E$16,0)),0)</f>
        <v/>
      </c>
      <c r="AB15" s="15">
        <f>IFERROR(INDEX(Config!$B$17:$E$20,MATCH(Config!$A$18,Config!$A$17:$A$20,0),MATCH($D15,Config!$B$16:$E$16,0)),0)</f>
        <v/>
      </c>
      <c r="AC15" s="15">
        <f>IFERROR(INDEX(Config!$B$17:$E$20,MATCH(Config!$A$19,Config!$A$17:$A$20,0),MATCH($D15,Config!$B$16:$E$16,0)),0)</f>
        <v/>
      </c>
      <c r="AD15" s="15">
        <f>IFERROR(INDEX(Config!$B$17:$E$20,MATCH(Config!$A$20,Config!$A$17:$A$20,0),MATCH($D15,Config!$B$16:$E$16,0)),0)</f>
        <v/>
      </c>
      <c r="AE15" s="15">
        <f>IFERROR($H15*$AA15,0)+IFERROR($I15*$AB15,0)+IFERROR($J15*$AC15,0)+IFERROR($K15*$AD15,0)</f>
        <v/>
      </c>
      <c r="AF15" s="15">
        <f>IF(ISNUMBER($H15),$AA15,0)+IF(ISNUMBER($I15),$AB15,0)+IF(ISNUMBER($J15),$AC15,0)+IF(ISNUMBER($K15),$AD15,0)</f>
        <v/>
      </c>
    </row>
    <row r="16">
      <c r="A16" s="15">
        <f>IF(Colaboradores!$B16="","",Colaboradores!$A16)</f>
        <v/>
      </c>
      <c r="B16" s="15">
        <f>IF(Colaboradores!$B16="","",Colaboradores!$B16)</f>
        <v/>
      </c>
      <c r="C16" s="15">
        <f>IF(Colaboradores!$B16="","",Colaboradores!$F16)</f>
        <v/>
      </c>
      <c r="D16" s="15">
        <f>IF(Colaboradores!$B16="","",Colaboradores!$D16)</f>
        <v/>
      </c>
      <c r="E16" s="15">
        <f>IF(Colaboradores!$B16="","",Colaboradores!$E16)</f>
        <v/>
      </c>
      <c r="F16" s="15">
        <f>IF(Colaboradores!$B16="","",Colaboradores!$O16)</f>
        <v/>
      </c>
      <c r="G16" s="15">
        <f>IF(Colaboradores!$B16="","",Colaboradores!$P16)</f>
        <v/>
      </c>
      <c r="H16" s="16">
        <f>IF($B16="","",IFERROR(AVERAGEIFS(Avaliação!$M:$M,Avaliação!$B:$B,$A16,Avaliação!$A:$A,Config!$B$4,Avaliação!$G:$G,Config!$A$17),""))</f>
        <v/>
      </c>
      <c r="I16" s="16">
        <f>IF($B16="","",IFERROR(AVERAGEIFS(Avaliação!$M:$M,Avaliação!$B:$B,$A16,Avaliação!$A:$A,Config!$B$4,Avaliação!$G:$G,Config!$A$18),""))</f>
        <v/>
      </c>
      <c r="J16" s="16">
        <f>IF($B16="","",IFERROR(AVERAGEIFS(Avaliação!$M:$M,Avaliação!$B:$B,$A16,Avaliação!$A:$A,Config!$B$4,Avaliação!$G:$G,Config!$A$19),""))</f>
        <v/>
      </c>
      <c r="K16" s="16">
        <f>IF($B16="","",IFERROR(AVERAGEIFS(Avaliação!$M:$M,Avaliação!$B:$B,$A16,Avaliação!$A:$A,Config!$B$4,Avaliação!$G:$G,Config!$A$20),""))</f>
        <v/>
      </c>
      <c r="L16" s="16">
        <f>IF($AF16=0,"",$AE16/$AF16)</f>
        <v/>
      </c>
      <c r="M16" s="16">
        <f>IFERROR(INDEX(Config!$B$25:$B$28,MATCH($E16,Config!$A$25:$A$28,0)),"")</f>
        <v/>
      </c>
      <c r="N16" s="16">
        <f>IF(OR($L16="",$M16=""),"",$L16-$M16)</f>
        <v/>
      </c>
      <c r="O16" s="15">
        <f>IF($L16="","",IF($L16&lt;2.5,"Abaixo",IF($L16&lt;3.5,"Atende",IF($L16&lt;=4.2,"Supera","Referência"))))</f>
        <v/>
      </c>
      <c r="P16" s="17">
        <f>IF($B16="","",COUNTIFS(Ocorrências!$B:$B,$B16,Ocorrências!$N:$N,Config!$B$4))</f>
        <v/>
      </c>
      <c r="Q16" s="17">
        <f>IF($B16="","",COUNTIFS(Ocorrências!$B:$B,$B16,Ocorrências!$N:$N,Config!$B$4,Ocorrências!$E:$E,"Reconhecimento")+COUNTIFS(Ocorrências!$B:$B,$B16,Ocorrências!$N:$N,Config!$B$4,Ocorrências!$E:$E,"Positiva"))</f>
        <v/>
      </c>
      <c r="R16" s="17">
        <f>IF($B16="","",COUNTIFS(Ocorrências!$B:$B,$B16,Ocorrências!$N:$N,Config!$B$4,Ocorrências!$E:$E,"Ponto de atenção")+COUNTIFS(Ocorrências!$B:$B,$B16,Ocorrências!$N:$N,Config!$B$4,Ocorrências!$E:$E,"Incidente"))</f>
        <v/>
      </c>
      <c r="S16" s="17">
        <f>IF($B16="","",IF(COUNTIF(Ocorrências!$B:$B,$B16)=0,"",TODAY()-_xlfn.MAXIFS(Ocorrências!$A:$A,Ocorrências!$B:$B,$B16)))</f>
        <v/>
      </c>
      <c r="T16" s="17">
        <f>IF($B16="","",IF(COUNTIF('Reuniões 1a1'!$B:$B,$B16)=0,"",TODAY()-_xlfn.MAXIFS('Reuniões 1a1'!$A:$A,'Reuniões 1a1'!$B:$B,$B16)))</f>
        <v/>
      </c>
      <c r="U16" s="17">
        <f>IF($B16="","",COUNTIFS(Avaliação!$B:$B,$A16,Avaliação!$A:$A,Config!$B$4,Avaliação!$K:$K,"&gt;=2"))</f>
        <v/>
      </c>
      <c r="V16" s="17">
        <f>IF($B16="","",COUNTIFS(Avaliação!$B:$B,$A16,Avaliação!$A:$A,Config!$B$4,Avaliação!$O:$O,"SEM LASTRO"))</f>
        <v/>
      </c>
      <c r="W16" s="17">
        <f>IF($B16="","",COUNTIFS(Ocorrências!$B:$B,$B16,Ocorrências!$N:$N,Config!$B$4,Ocorrências!$K:$K,"Não",Ocorrências!$E:$E,"Ponto de atenção")+COUNTIFS(Ocorrências!$B:$B,$B16,Ocorrências!$N:$N,Config!$B$4,Ocorrências!$K:$K,"Não",Ocorrências!$E:$E,"Incidente"))</f>
        <v/>
      </c>
      <c r="X16" s="17">
        <f>IF($L16="","",_xlfn.MAXIFS(Avaliação!$M:$M,Avaliação!$B:$B,$A16,Avaliação!$A:$A,Config!$B$4)-_xlfn.MINIFS(Avaliação!$M:$M,Avaliação!$B:$B,$A16,Avaliação!$A:$A,Config!$B$4))</f>
        <v/>
      </c>
      <c r="Y16" s="15">
        <f>IF($B16="","",IF(OR($V16&gt;0,$W16&gt;0),"BLOQUEIO",IF($L16="","Sem avaliação",IF($N16&lt;-0.3,"Abaixo da expectativa",IF($U16&gt;0,"Calibrar",IF($X16=0,"Nota chapada",IF(IF($T16="",0,$T16)&gt;30,"1:1 atrasada",IF(IF($S16="",99,$S16)&gt;45,"Sem registro","OK"))))))))</f>
        <v/>
      </c>
      <c r="Z16" s="2" t="n"/>
      <c r="AA16" s="15">
        <f>IFERROR(INDEX(Config!$B$17:$E$20,MATCH(Config!$A$17,Config!$A$17:$A$20,0),MATCH($D16,Config!$B$16:$E$16,0)),0)</f>
        <v/>
      </c>
      <c r="AB16" s="15">
        <f>IFERROR(INDEX(Config!$B$17:$E$20,MATCH(Config!$A$18,Config!$A$17:$A$20,0),MATCH($D16,Config!$B$16:$E$16,0)),0)</f>
        <v/>
      </c>
      <c r="AC16" s="15">
        <f>IFERROR(INDEX(Config!$B$17:$E$20,MATCH(Config!$A$19,Config!$A$17:$A$20,0),MATCH($D16,Config!$B$16:$E$16,0)),0)</f>
        <v/>
      </c>
      <c r="AD16" s="15">
        <f>IFERROR(INDEX(Config!$B$17:$E$20,MATCH(Config!$A$20,Config!$A$17:$A$20,0),MATCH($D16,Config!$B$16:$E$16,0)),0)</f>
        <v/>
      </c>
      <c r="AE16" s="15">
        <f>IFERROR($H16*$AA16,0)+IFERROR($I16*$AB16,0)+IFERROR($J16*$AC16,0)+IFERROR($K16*$AD16,0)</f>
        <v/>
      </c>
      <c r="AF16" s="15">
        <f>IF(ISNUMBER($H16),$AA16,0)+IF(ISNUMBER($I16),$AB16,0)+IF(ISNUMBER($J16),$AC16,0)+IF(ISNUMBER($K16),$AD16,0)</f>
        <v/>
      </c>
    </row>
    <row r="17">
      <c r="A17" s="15">
        <f>IF(Colaboradores!$B17="","",Colaboradores!$A17)</f>
        <v/>
      </c>
      <c r="B17" s="15">
        <f>IF(Colaboradores!$B17="","",Colaboradores!$B17)</f>
        <v/>
      </c>
      <c r="C17" s="15">
        <f>IF(Colaboradores!$B17="","",Colaboradores!$F17)</f>
        <v/>
      </c>
      <c r="D17" s="15">
        <f>IF(Colaboradores!$B17="","",Colaboradores!$D17)</f>
        <v/>
      </c>
      <c r="E17" s="15">
        <f>IF(Colaboradores!$B17="","",Colaboradores!$E17)</f>
        <v/>
      </c>
      <c r="F17" s="15">
        <f>IF(Colaboradores!$B17="","",Colaboradores!$O17)</f>
        <v/>
      </c>
      <c r="G17" s="15">
        <f>IF(Colaboradores!$B17="","",Colaboradores!$P17)</f>
        <v/>
      </c>
      <c r="H17" s="16">
        <f>IF($B17="","",IFERROR(AVERAGEIFS(Avaliação!$M:$M,Avaliação!$B:$B,$A17,Avaliação!$A:$A,Config!$B$4,Avaliação!$G:$G,Config!$A$17),""))</f>
        <v/>
      </c>
      <c r="I17" s="16">
        <f>IF($B17="","",IFERROR(AVERAGEIFS(Avaliação!$M:$M,Avaliação!$B:$B,$A17,Avaliação!$A:$A,Config!$B$4,Avaliação!$G:$G,Config!$A$18),""))</f>
        <v/>
      </c>
      <c r="J17" s="16">
        <f>IF($B17="","",IFERROR(AVERAGEIFS(Avaliação!$M:$M,Avaliação!$B:$B,$A17,Avaliação!$A:$A,Config!$B$4,Avaliação!$G:$G,Config!$A$19),""))</f>
        <v/>
      </c>
      <c r="K17" s="16">
        <f>IF($B17="","",IFERROR(AVERAGEIFS(Avaliação!$M:$M,Avaliação!$B:$B,$A17,Avaliação!$A:$A,Config!$B$4,Avaliação!$G:$G,Config!$A$20),""))</f>
        <v/>
      </c>
      <c r="L17" s="16">
        <f>IF($AF17=0,"",$AE17/$AF17)</f>
        <v/>
      </c>
      <c r="M17" s="16">
        <f>IFERROR(INDEX(Config!$B$25:$B$28,MATCH($E17,Config!$A$25:$A$28,0)),"")</f>
        <v/>
      </c>
      <c r="N17" s="16">
        <f>IF(OR($L17="",$M17=""),"",$L17-$M17)</f>
        <v/>
      </c>
      <c r="O17" s="15">
        <f>IF($L17="","",IF($L17&lt;2.5,"Abaixo",IF($L17&lt;3.5,"Atende",IF($L17&lt;=4.2,"Supera","Referência"))))</f>
        <v/>
      </c>
      <c r="P17" s="17">
        <f>IF($B17="","",COUNTIFS(Ocorrências!$B:$B,$B17,Ocorrências!$N:$N,Config!$B$4))</f>
        <v/>
      </c>
      <c r="Q17" s="17">
        <f>IF($B17="","",COUNTIFS(Ocorrências!$B:$B,$B17,Ocorrências!$N:$N,Config!$B$4,Ocorrências!$E:$E,"Reconhecimento")+COUNTIFS(Ocorrências!$B:$B,$B17,Ocorrências!$N:$N,Config!$B$4,Ocorrências!$E:$E,"Positiva"))</f>
        <v/>
      </c>
      <c r="R17" s="17">
        <f>IF($B17="","",COUNTIFS(Ocorrências!$B:$B,$B17,Ocorrências!$N:$N,Config!$B$4,Ocorrências!$E:$E,"Ponto de atenção")+COUNTIFS(Ocorrências!$B:$B,$B17,Ocorrências!$N:$N,Config!$B$4,Ocorrências!$E:$E,"Incidente"))</f>
        <v/>
      </c>
      <c r="S17" s="17">
        <f>IF($B17="","",IF(COUNTIF(Ocorrências!$B:$B,$B17)=0,"",TODAY()-_xlfn.MAXIFS(Ocorrências!$A:$A,Ocorrências!$B:$B,$B17)))</f>
        <v/>
      </c>
      <c r="T17" s="17">
        <f>IF($B17="","",IF(COUNTIF('Reuniões 1a1'!$B:$B,$B17)=0,"",TODAY()-_xlfn.MAXIFS('Reuniões 1a1'!$A:$A,'Reuniões 1a1'!$B:$B,$B17)))</f>
        <v/>
      </c>
      <c r="U17" s="17">
        <f>IF($B17="","",COUNTIFS(Avaliação!$B:$B,$A17,Avaliação!$A:$A,Config!$B$4,Avaliação!$K:$K,"&gt;=2"))</f>
        <v/>
      </c>
      <c r="V17" s="17">
        <f>IF($B17="","",COUNTIFS(Avaliação!$B:$B,$A17,Avaliação!$A:$A,Config!$B$4,Avaliação!$O:$O,"SEM LASTRO"))</f>
        <v/>
      </c>
      <c r="W17" s="17">
        <f>IF($B17="","",COUNTIFS(Ocorrências!$B:$B,$B17,Ocorrências!$N:$N,Config!$B$4,Ocorrências!$K:$K,"Não",Ocorrências!$E:$E,"Ponto de atenção")+COUNTIFS(Ocorrências!$B:$B,$B17,Ocorrências!$N:$N,Config!$B$4,Ocorrências!$K:$K,"Não",Ocorrências!$E:$E,"Incidente"))</f>
        <v/>
      </c>
      <c r="X17" s="17">
        <f>IF($L17="","",_xlfn.MAXIFS(Avaliação!$M:$M,Avaliação!$B:$B,$A17,Avaliação!$A:$A,Config!$B$4)-_xlfn.MINIFS(Avaliação!$M:$M,Avaliação!$B:$B,$A17,Avaliação!$A:$A,Config!$B$4))</f>
        <v/>
      </c>
      <c r="Y17" s="15">
        <f>IF($B17="","",IF(OR($V17&gt;0,$W17&gt;0),"BLOQUEIO",IF($L17="","Sem avaliação",IF($N17&lt;-0.3,"Abaixo da expectativa",IF($U17&gt;0,"Calibrar",IF($X17=0,"Nota chapada",IF(IF($T17="",0,$T17)&gt;30,"1:1 atrasada",IF(IF($S17="",99,$S17)&gt;45,"Sem registro","OK"))))))))</f>
        <v/>
      </c>
      <c r="Z17" s="2" t="n"/>
      <c r="AA17" s="15">
        <f>IFERROR(INDEX(Config!$B$17:$E$20,MATCH(Config!$A$17,Config!$A$17:$A$20,0),MATCH($D17,Config!$B$16:$E$16,0)),0)</f>
        <v/>
      </c>
      <c r="AB17" s="15">
        <f>IFERROR(INDEX(Config!$B$17:$E$20,MATCH(Config!$A$18,Config!$A$17:$A$20,0),MATCH($D17,Config!$B$16:$E$16,0)),0)</f>
        <v/>
      </c>
      <c r="AC17" s="15">
        <f>IFERROR(INDEX(Config!$B$17:$E$20,MATCH(Config!$A$19,Config!$A$17:$A$20,0),MATCH($D17,Config!$B$16:$E$16,0)),0)</f>
        <v/>
      </c>
      <c r="AD17" s="15">
        <f>IFERROR(INDEX(Config!$B$17:$E$20,MATCH(Config!$A$20,Config!$A$17:$A$20,0),MATCH($D17,Config!$B$16:$E$16,0)),0)</f>
        <v/>
      </c>
      <c r="AE17" s="15">
        <f>IFERROR($H17*$AA17,0)+IFERROR($I17*$AB17,0)+IFERROR($J17*$AC17,0)+IFERROR($K17*$AD17,0)</f>
        <v/>
      </c>
      <c r="AF17" s="15">
        <f>IF(ISNUMBER($H17),$AA17,0)+IF(ISNUMBER($I17),$AB17,0)+IF(ISNUMBER($J17),$AC17,0)+IF(ISNUMBER($K17),$AD17,0)</f>
        <v/>
      </c>
    </row>
    <row r="18">
      <c r="A18" s="15">
        <f>IF(Colaboradores!$B18="","",Colaboradores!$A18)</f>
        <v/>
      </c>
      <c r="B18" s="15">
        <f>IF(Colaboradores!$B18="","",Colaboradores!$B18)</f>
        <v/>
      </c>
      <c r="C18" s="15">
        <f>IF(Colaboradores!$B18="","",Colaboradores!$F18)</f>
        <v/>
      </c>
      <c r="D18" s="15">
        <f>IF(Colaboradores!$B18="","",Colaboradores!$D18)</f>
        <v/>
      </c>
      <c r="E18" s="15">
        <f>IF(Colaboradores!$B18="","",Colaboradores!$E18)</f>
        <v/>
      </c>
      <c r="F18" s="15">
        <f>IF(Colaboradores!$B18="","",Colaboradores!$O18)</f>
        <v/>
      </c>
      <c r="G18" s="15">
        <f>IF(Colaboradores!$B18="","",Colaboradores!$P18)</f>
        <v/>
      </c>
      <c r="H18" s="16">
        <f>IF($B18="","",IFERROR(AVERAGEIFS(Avaliação!$M:$M,Avaliação!$B:$B,$A18,Avaliação!$A:$A,Config!$B$4,Avaliação!$G:$G,Config!$A$17),""))</f>
        <v/>
      </c>
      <c r="I18" s="16">
        <f>IF($B18="","",IFERROR(AVERAGEIFS(Avaliação!$M:$M,Avaliação!$B:$B,$A18,Avaliação!$A:$A,Config!$B$4,Avaliação!$G:$G,Config!$A$18),""))</f>
        <v/>
      </c>
      <c r="J18" s="16">
        <f>IF($B18="","",IFERROR(AVERAGEIFS(Avaliação!$M:$M,Avaliação!$B:$B,$A18,Avaliação!$A:$A,Config!$B$4,Avaliação!$G:$G,Config!$A$19),""))</f>
        <v/>
      </c>
      <c r="K18" s="16">
        <f>IF($B18="","",IFERROR(AVERAGEIFS(Avaliação!$M:$M,Avaliação!$B:$B,$A18,Avaliação!$A:$A,Config!$B$4,Avaliação!$G:$G,Config!$A$20),""))</f>
        <v/>
      </c>
      <c r="L18" s="16">
        <f>IF($AF18=0,"",$AE18/$AF18)</f>
        <v/>
      </c>
      <c r="M18" s="16">
        <f>IFERROR(INDEX(Config!$B$25:$B$28,MATCH($E18,Config!$A$25:$A$28,0)),"")</f>
        <v/>
      </c>
      <c r="N18" s="16">
        <f>IF(OR($L18="",$M18=""),"",$L18-$M18)</f>
        <v/>
      </c>
      <c r="O18" s="15">
        <f>IF($L18="","",IF($L18&lt;2.5,"Abaixo",IF($L18&lt;3.5,"Atende",IF($L18&lt;=4.2,"Supera","Referência"))))</f>
        <v/>
      </c>
      <c r="P18" s="17">
        <f>IF($B18="","",COUNTIFS(Ocorrências!$B:$B,$B18,Ocorrências!$N:$N,Config!$B$4))</f>
        <v/>
      </c>
      <c r="Q18" s="17">
        <f>IF($B18="","",COUNTIFS(Ocorrências!$B:$B,$B18,Ocorrências!$N:$N,Config!$B$4,Ocorrências!$E:$E,"Reconhecimento")+COUNTIFS(Ocorrências!$B:$B,$B18,Ocorrências!$N:$N,Config!$B$4,Ocorrências!$E:$E,"Positiva"))</f>
        <v/>
      </c>
      <c r="R18" s="17">
        <f>IF($B18="","",COUNTIFS(Ocorrências!$B:$B,$B18,Ocorrências!$N:$N,Config!$B$4,Ocorrências!$E:$E,"Ponto de atenção")+COUNTIFS(Ocorrências!$B:$B,$B18,Ocorrências!$N:$N,Config!$B$4,Ocorrências!$E:$E,"Incidente"))</f>
        <v/>
      </c>
      <c r="S18" s="17">
        <f>IF($B18="","",IF(COUNTIF(Ocorrências!$B:$B,$B18)=0,"",TODAY()-_xlfn.MAXIFS(Ocorrências!$A:$A,Ocorrências!$B:$B,$B18)))</f>
        <v/>
      </c>
      <c r="T18" s="17">
        <f>IF($B18="","",IF(COUNTIF('Reuniões 1a1'!$B:$B,$B18)=0,"",TODAY()-_xlfn.MAXIFS('Reuniões 1a1'!$A:$A,'Reuniões 1a1'!$B:$B,$B18)))</f>
        <v/>
      </c>
      <c r="U18" s="17">
        <f>IF($B18="","",COUNTIFS(Avaliação!$B:$B,$A18,Avaliação!$A:$A,Config!$B$4,Avaliação!$K:$K,"&gt;=2"))</f>
        <v/>
      </c>
      <c r="V18" s="17">
        <f>IF($B18="","",COUNTIFS(Avaliação!$B:$B,$A18,Avaliação!$A:$A,Config!$B$4,Avaliação!$O:$O,"SEM LASTRO"))</f>
        <v/>
      </c>
      <c r="W18" s="17">
        <f>IF($B18="","",COUNTIFS(Ocorrências!$B:$B,$B18,Ocorrências!$N:$N,Config!$B$4,Ocorrências!$K:$K,"Não",Ocorrências!$E:$E,"Ponto de atenção")+COUNTIFS(Ocorrências!$B:$B,$B18,Ocorrências!$N:$N,Config!$B$4,Ocorrências!$K:$K,"Não",Ocorrências!$E:$E,"Incidente"))</f>
        <v/>
      </c>
      <c r="X18" s="17">
        <f>IF($L18="","",_xlfn.MAXIFS(Avaliação!$M:$M,Avaliação!$B:$B,$A18,Avaliação!$A:$A,Config!$B$4)-_xlfn.MINIFS(Avaliação!$M:$M,Avaliação!$B:$B,$A18,Avaliação!$A:$A,Config!$B$4))</f>
        <v/>
      </c>
      <c r="Y18" s="15">
        <f>IF($B18="","",IF(OR($V18&gt;0,$W18&gt;0),"BLOQUEIO",IF($L18="","Sem avaliação",IF($N18&lt;-0.3,"Abaixo da expectativa",IF($U18&gt;0,"Calibrar",IF($X18=0,"Nota chapada",IF(IF($T18="",0,$T18)&gt;30,"1:1 atrasada",IF(IF($S18="",99,$S18)&gt;45,"Sem registro","OK"))))))))</f>
        <v/>
      </c>
      <c r="Z18" s="2" t="n"/>
      <c r="AA18" s="15">
        <f>IFERROR(INDEX(Config!$B$17:$E$20,MATCH(Config!$A$17,Config!$A$17:$A$20,0),MATCH($D18,Config!$B$16:$E$16,0)),0)</f>
        <v/>
      </c>
      <c r="AB18" s="15">
        <f>IFERROR(INDEX(Config!$B$17:$E$20,MATCH(Config!$A$18,Config!$A$17:$A$20,0),MATCH($D18,Config!$B$16:$E$16,0)),0)</f>
        <v/>
      </c>
      <c r="AC18" s="15">
        <f>IFERROR(INDEX(Config!$B$17:$E$20,MATCH(Config!$A$19,Config!$A$17:$A$20,0),MATCH($D18,Config!$B$16:$E$16,0)),0)</f>
        <v/>
      </c>
      <c r="AD18" s="15">
        <f>IFERROR(INDEX(Config!$B$17:$E$20,MATCH(Config!$A$20,Config!$A$17:$A$20,0),MATCH($D18,Config!$B$16:$E$16,0)),0)</f>
        <v/>
      </c>
      <c r="AE18" s="15">
        <f>IFERROR($H18*$AA18,0)+IFERROR($I18*$AB18,0)+IFERROR($J18*$AC18,0)+IFERROR($K18*$AD18,0)</f>
        <v/>
      </c>
      <c r="AF18" s="15">
        <f>IF(ISNUMBER($H18),$AA18,0)+IF(ISNUMBER($I18),$AB18,0)+IF(ISNUMBER($J18),$AC18,0)+IF(ISNUMBER($K18),$AD18,0)</f>
        <v/>
      </c>
    </row>
    <row r="19">
      <c r="A19" s="15">
        <f>IF(Colaboradores!$B19="","",Colaboradores!$A19)</f>
        <v/>
      </c>
      <c r="B19" s="15">
        <f>IF(Colaboradores!$B19="","",Colaboradores!$B19)</f>
        <v/>
      </c>
      <c r="C19" s="15">
        <f>IF(Colaboradores!$B19="","",Colaboradores!$F19)</f>
        <v/>
      </c>
      <c r="D19" s="15">
        <f>IF(Colaboradores!$B19="","",Colaboradores!$D19)</f>
        <v/>
      </c>
      <c r="E19" s="15">
        <f>IF(Colaboradores!$B19="","",Colaboradores!$E19)</f>
        <v/>
      </c>
      <c r="F19" s="15">
        <f>IF(Colaboradores!$B19="","",Colaboradores!$O19)</f>
        <v/>
      </c>
      <c r="G19" s="15">
        <f>IF(Colaboradores!$B19="","",Colaboradores!$P19)</f>
        <v/>
      </c>
      <c r="H19" s="16">
        <f>IF($B19="","",IFERROR(AVERAGEIFS(Avaliação!$M:$M,Avaliação!$B:$B,$A19,Avaliação!$A:$A,Config!$B$4,Avaliação!$G:$G,Config!$A$17),""))</f>
        <v/>
      </c>
      <c r="I19" s="16">
        <f>IF($B19="","",IFERROR(AVERAGEIFS(Avaliação!$M:$M,Avaliação!$B:$B,$A19,Avaliação!$A:$A,Config!$B$4,Avaliação!$G:$G,Config!$A$18),""))</f>
        <v/>
      </c>
      <c r="J19" s="16">
        <f>IF($B19="","",IFERROR(AVERAGEIFS(Avaliação!$M:$M,Avaliação!$B:$B,$A19,Avaliação!$A:$A,Config!$B$4,Avaliação!$G:$G,Config!$A$19),""))</f>
        <v/>
      </c>
      <c r="K19" s="16">
        <f>IF($B19="","",IFERROR(AVERAGEIFS(Avaliação!$M:$M,Avaliação!$B:$B,$A19,Avaliação!$A:$A,Config!$B$4,Avaliação!$G:$G,Config!$A$20),""))</f>
        <v/>
      </c>
      <c r="L19" s="16">
        <f>IF($AF19=0,"",$AE19/$AF19)</f>
        <v/>
      </c>
      <c r="M19" s="16">
        <f>IFERROR(INDEX(Config!$B$25:$B$28,MATCH($E19,Config!$A$25:$A$28,0)),"")</f>
        <v/>
      </c>
      <c r="N19" s="16">
        <f>IF(OR($L19="",$M19=""),"",$L19-$M19)</f>
        <v/>
      </c>
      <c r="O19" s="15">
        <f>IF($L19="","",IF($L19&lt;2.5,"Abaixo",IF($L19&lt;3.5,"Atende",IF($L19&lt;=4.2,"Supera","Referência"))))</f>
        <v/>
      </c>
      <c r="P19" s="17">
        <f>IF($B19="","",COUNTIFS(Ocorrências!$B:$B,$B19,Ocorrências!$N:$N,Config!$B$4))</f>
        <v/>
      </c>
      <c r="Q19" s="17">
        <f>IF($B19="","",COUNTIFS(Ocorrências!$B:$B,$B19,Ocorrências!$N:$N,Config!$B$4,Ocorrências!$E:$E,"Reconhecimento")+COUNTIFS(Ocorrências!$B:$B,$B19,Ocorrências!$N:$N,Config!$B$4,Ocorrências!$E:$E,"Positiva"))</f>
        <v/>
      </c>
      <c r="R19" s="17">
        <f>IF($B19="","",COUNTIFS(Ocorrências!$B:$B,$B19,Ocorrências!$N:$N,Config!$B$4,Ocorrências!$E:$E,"Ponto de atenção")+COUNTIFS(Ocorrências!$B:$B,$B19,Ocorrências!$N:$N,Config!$B$4,Ocorrências!$E:$E,"Incidente"))</f>
        <v/>
      </c>
      <c r="S19" s="17">
        <f>IF($B19="","",IF(COUNTIF(Ocorrências!$B:$B,$B19)=0,"",TODAY()-_xlfn.MAXIFS(Ocorrências!$A:$A,Ocorrências!$B:$B,$B19)))</f>
        <v/>
      </c>
      <c r="T19" s="17">
        <f>IF($B19="","",IF(COUNTIF('Reuniões 1a1'!$B:$B,$B19)=0,"",TODAY()-_xlfn.MAXIFS('Reuniões 1a1'!$A:$A,'Reuniões 1a1'!$B:$B,$B19)))</f>
        <v/>
      </c>
      <c r="U19" s="17">
        <f>IF($B19="","",COUNTIFS(Avaliação!$B:$B,$A19,Avaliação!$A:$A,Config!$B$4,Avaliação!$K:$K,"&gt;=2"))</f>
        <v/>
      </c>
      <c r="V19" s="17">
        <f>IF($B19="","",COUNTIFS(Avaliação!$B:$B,$A19,Avaliação!$A:$A,Config!$B$4,Avaliação!$O:$O,"SEM LASTRO"))</f>
        <v/>
      </c>
      <c r="W19" s="17">
        <f>IF($B19="","",COUNTIFS(Ocorrências!$B:$B,$B19,Ocorrências!$N:$N,Config!$B$4,Ocorrências!$K:$K,"Não",Ocorrências!$E:$E,"Ponto de atenção")+COUNTIFS(Ocorrências!$B:$B,$B19,Ocorrências!$N:$N,Config!$B$4,Ocorrências!$K:$K,"Não",Ocorrências!$E:$E,"Incidente"))</f>
        <v/>
      </c>
      <c r="X19" s="17">
        <f>IF($L19="","",_xlfn.MAXIFS(Avaliação!$M:$M,Avaliação!$B:$B,$A19,Avaliação!$A:$A,Config!$B$4)-_xlfn.MINIFS(Avaliação!$M:$M,Avaliação!$B:$B,$A19,Avaliação!$A:$A,Config!$B$4))</f>
        <v/>
      </c>
      <c r="Y19" s="15">
        <f>IF($B19="","",IF(OR($V19&gt;0,$W19&gt;0),"BLOQUEIO",IF($L19="","Sem avaliação",IF($N19&lt;-0.3,"Abaixo da expectativa",IF($U19&gt;0,"Calibrar",IF($X19=0,"Nota chapada",IF(IF($T19="",0,$T19)&gt;30,"1:1 atrasada",IF(IF($S19="",99,$S19)&gt;45,"Sem registro","OK"))))))))</f>
        <v/>
      </c>
      <c r="Z19" s="2" t="n"/>
      <c r="AA19" s="15">
        <f>IFERROR(INDEX(Config!$B$17:$E$20,MATCH(Config!$A$17,Config!$A$17:$A$20,0),MATCH($D19,Config!$B$16:$E$16,0)),0)</f>
        <v/>
      </c>
      <c r="AB19" s="15">
        <f>IFERROR(INDEX(Config!$B$17:$E$20,MATCH(Config!$A$18,Config!$A$17:$A$20,0),MATCH($D19,Config!$B$16:$E$16,0)),0)</f>
        <v/>
      </c>
      <c r="AC19" s="15">
        <f>IFERROR(INDEX(Config!$B$17:$E$20,MATCH(Config!$A$19,Config!$A$17:$A$20,0),MATCH($D19,Config!$B$16:$E$16,0)),0)</f>
        <v/>
      </c>
      <c r="AD19" s="15">
        <f>IFERROR(INDEX(Config!$B$17:$E$20,MATCH(Config!$A$20,Config!$A$17:$A$20,0),MATCH($D19,Config!$B$16:$E$16,0)),0)</f>
        <v/>
      </c>
      <c r="AE19" s="15">
        <f>IFERROR($H19*$AA19,0)+IFERROR($I19*$AB19,0)+IFERROR($J19*$AC19,0)+IFERROR($K19*$AD19,0)</f>
        <v/>
      </c>
      <c r="AF19" s="15">
        <f>IF(ISNUMBER($H19),$AA19,0)+IF(ISNUMBER($I19),$AB19,0)+IF(ISNUMBER($J19),$AC19,0)+IF(ISNUMBER($K19),$AD19,0)</f>
        <v/>
      </c>
    </row>
    <row r="20">
      <c r="A20" s="15">
        <f>IF(Colaboradores!$B20="","",Colaboradores!$A20)</f>
        <v/>
      </c>
      <c r="B20" s="15">
        <f>IF(Colaboradores!$B20="","",Colaboradores!$B20)</f>
        <v/>
      </c>
      <c r="C20" s="15">
        <f>IF(Colaboradores!$B20="","",Colaboradores!$F20)</f>
        <v/>
      </c>
      <c r="D20" s="15">
        <f>IF(Colaboradores!$B20="","",Colaboradores!$D20)</f>
        <v/>
      </c>
      <c r="E20" s="15">
        <f>IF(Colaboradores!$B20="","",Colaboradores!$E20)</f>
        <v/>
      </c>
      <c r="F20" s="15">
        <f>IF(Colaboradores!$B20="","",Colaboradores!$O20)</f>
        <v/>
      </c>
      <c r="G20" s="15">
        <f>IF(Colaboradores!$B20="","",Colaboradores!$P20)</f>
        <v/>
      </c>
      <c r="H20" s="16">
        <f>IF($B20="","",IFERROR(AVERAGEIFS(Avaliação!$M:$M,Avaliação!$B:$B,$A20,Avaliação!$A:$A,Config!$B$4,Avaliação!$G:$G,Config!$A$17),""))</f>
        <v/>
      </c>
      <c r="I20" s="16">
        <f>IF($B20="","",IFERROR(AVERAGEIFS(Avaliação!$M:$M,Avaliação!$B:$B,$A20,Avaliação!$A:$A,Config!$B$4,Avaliação!$G:$G,Config!$A$18),""))</f>
        <v/>
      </c>
      <c r="J20" s="16">
        <f>IF($B20="","",IFERROR(AVERAGEIFS(Avaliação!$M:$M,Avaliação!$B:$B,$A20,Avaliação!$A:$A,Config!$B$4,Avaliação!$G:$G,Config!$A$19),""))</f>
        <v/>
      </c>
      <c r="K20" s="16">
        <f>IF($B20="","",IFERROR(AVERAGEIFS(Avaliação!$M:$M,Avaliação!$B:$B,$A20,Avaliação!$A:$A,Config!$B$4,Avaliação!$G:$G,Config!$A$20),""))</f>
        <v/>
      </c>
      <c r="L20" s="16">
        <f>IF($AF20=0,"",$AE20/$AF20)</f>
        <v/>
      </c>
      <c r="M20" s="16">
        <f>IFERROR(INDEX(Config!$B$25:$B$28,MATCH($E20,Config!$A$25:$A$28,0)),"")</f>
        <v/>
      </c>
      <c r="N20" s="16">
        <f>IF(OR($L20="",$M20=""),"",$L20-$M20)</f>
        <v/>
      </c>
      <c r="O20" s="15">
        <f>IF($L20="","",IF($L20&lt;2.5,"Abaixo",IF($L20&lt;3.5,"Atende",IF($L20&lt;=4.2,"Supera","Referência"))))</f>
        <v/>
      </c>
      <c r="P20" s="17">
        <f>IF($B20="","",COUNTIFS(Ocorrências!$B:$B,$B20,Ocorrências!$N:$N,Config!$B$4))</f>
        <v/>
      </c>
      <c r="Q20" s="17">
        <f>IF($B20="","",COUNTIFS(Ocorrências!$B:$B,$B20,Ocorrências!$N:$N,Config!$B$4,Ocorrências!$E:$E,"Reconhecimento")+COUNTIFS(Ocorrências!$B:$B,$B20,Ocorrências!$N:$N,Config!$B$4,Ocorrências!$E:$E,"Positiva"))</f>
        <v/>
      </c>
      <c r="R20" s="17">
        <f>IF($B20="","",COUNTIFS(Ocorrências!$B:$B,$B20,Ocorrências!$N:$N,Config!$B$4,Ocorrências!$E:$E,"Ponto de atenção")+COUNTIFS(Ocorrências!$B:$B,$B20,Ocorrências!$N:$N,Config!$B$4,Ocorrências!$E:$E,"Incidente"))</f>
        <v/>
      </c>
      <c r="S20" s="17">
        <f>IF($B20="","",IF(COUNTIF(Ocorrências!$B:$B,$B20)=0,"",TODAY()-_xlfn.MAXIFS(Ocorrências!$A:$A,Ocorrências!$B:$B,$B20)))</f>
        <v/>
      </c>
      <c r="T20" s="17">
        <f>IF($B20="","",IF(COUNTIF('Reuniões 1a1'!$B:$B,$B20)=0,"",TODAY()-_xlfn.MAXIFS('Reuniões 1a1'!$A:$A,'Reuniões 1a1'!$B:$B,$B20)))</f>
        <v/>
      </c>
      <c r="U20" s="17">
        <f>IF($B20="","",COUNTIFS(Avaliação!$B:$B,$A20,Avaliação!$A:$A,Config!$B$4,Avaliação!$K:$K,"&gt;=2"))</f>
        <v/>
      </c>
      <c r="V20" s="17">
        <f>IF($B20="","",COUNTIFS(Avaliação!$B:$B,$A20,Avaliação!$A:$A,Config!$B$4,Avaliação!$O:$O,"SEM LASTRO"))</f>
        <v/>
      </c>
      <c r="W20" s="17">
        <f>IF($B20="","",COUNTIFS(Ocorrências!$B:$B,$B20,Ocorrências!$N:$N,Config!$B$4,Ocorrências!$K:$K,"Não",Ocorrências!$E:$E,"Ponto de atenção")+COUNTIFS(Ocorrências!$B:$B,$B20,Ocorrências!$N:$N,Config!$B$4,Ocorrências!$K:$K,"Não",Ocorrências!$E:$E,"Incidente"))</f>
        <v/>
      </c>
      <c r="X20" s="17">
        <f>IF($L20="","",_xlfn.MAXIFS(Avaliação!$M:$M,Avaliação!$B:$B,$A20,Avaliação!$A:$A,Config!$B$4)-_xlfn.MINIFS(Avaliação!$M:$M,Avaliação!$B:$B,$A20,Avaliação!$A:$A,Config!$B$4))</f>
        <v/>
      </c>
      <c r="Y20" s="15">
        <f>IF($B20="","",IF(OR($V20&gt;0,$W20&gt;0),"BLOQUEIO",IF($L20="","Sem avaliação",IF($N20&lt;-0.3,"Abaixo da expectativa",IF($U20&gt;0,"Calibrar",IF($X20=0,"Nota chapada",IF(IF($T20="",0,$T20)&gt;30,"1:1 atrasada",IF(IF($S20="",99,$S20)&gt;45,"Sem registro","OK"))))))))</f>
        <v/>
      </c>
      <c r="Z20" s="2" t="n"/>
      <c r="AA20" s="15">
        <f>IFERROR(INDEX(Config!$B$17:$E$20,MATCH(Config!$A$17,Config!$A$17:$A$20,0),MATCH($D20,Config!$B$16:$E$16,0)),0)</f>
        <v/>
      </c>
      <c r="AB20" s="15">
        <f>IFERROR(INDEX(Config!$B$17:$E$20,MATCH(Config!$A$18,Config!$A$17:$A$20,0),MATCH($D20,Config!$B$16:$E$16,0)),0)</f>
        <v/>
      </c>
      <c r="AC20" s="15">
        <f>IFERROR(INDEX(Config!$B$17:$E$20,MATCH(Config!$A$19,Config!$A$17:$A$20,0),MATCH($D20,Config!$B$16:$E$16,0)),0)</f>
        <v/>
      </c>
      <c r="AD20" s="15">
        <f>IFERROR(INDEX(Config!$B$17:$E$20,MATCH(Config!$A$20,Config!$A$17:$A$20,0),MATCH($D20,Config!$B$16:$E$16,0)),0)</f>
        <v/>
      </c>
      <c r="AE20" s="15">
        <f>IFERROR($H20*$AA20,0)+IFERROR($I20*$AB20,0)+IFERROR($J20*$AC20,0)+IFERROR($K20*$AD20,0)</f>
        <v/>
      </c>
      <c r="AF20" s="15">
        <f>IF(ISNUMBER($H20),$AA20,0)+IF(ISNUMBER($I20),$AB20,0)+IF(ISNUMBER($J20),$AC20,0)+IF(ISNUMBER($K20),$AD20,0)</f>
        <v/>
      </c>
    </row>
    <row r="21">
      <c r="A21" s="15">
        <f>IF(Colaboradores!$B21="","",Colaboradores!$A21)</f>
        <v/>
      </c>
      <c r="B21" s="15">
        <f>IF(Colaboradores!$B21="","",Colaboradores!$B21)</f>
        <v/>
      </c>
      <c r="C21" s="15">
        <f>IF(Colaboradores!$B21="","",Colaboradores!$F21)</f>
        <v/>
      </c>
      <c r="D21" s="15">
        <f>IF(Colaboradores!$B21="","",Colaboradores!$D21)</f>
        <v/>
      </c>
      <c r="E21" s="15">
        <f>IF(Colaboradores!$B21="","",Colaboradores!$E21)</f>
        <v/>
      </c>
      <c r="F21" s="15">
        <f>IF(Colaboradores!$B21="","",Colaboradores!$O21)</f>
        <v/>
      </c>
      <c r="G21" s="15">
        <f>IF(Colaboradores!$B21="","",Colaboradores!$P21)</f>
        <v/>
      </c>
      <c r="H21" s="16">
        <f>IF($B21="","",IFERROR(AVERAGEIFS(Avaliação!$M:$M,Avaliação!$B:$B,$A21,Avaliação!$A:$A,Config!$B$4,Avaliação!$G:$G,Config!$A$17),""))</f>
        <v/>
      </c>
      <c r="I21" s="16">
        <f>IF($B21="","",IFERROR(AVERAGEIFS(Avaliação!$M:$M,Avaliação!$B:$B,$A21,Avaliação!$A:$A,Config!$B$4,Avaliação!$G:$G,Config!$A$18),""))</f>
        <v/>
      </c>
      <c r="J21" s="16">
        <f>IF($B21="","",IFERROR(AVERAGEIFS(Avaliação!$M:$M,Avaliação!$B:$B,$A21,Avaliação!$A:$A,Config!$B$4,Avaliação!$G:$G,Config!$A$19),""))</f>
        <v/>
      </c>
      <c r="K21" s="16">
        <f>IF($B21="","",IFERROR(AVERAGEIFS(Avaliação!$M:$M,Avaliação!$B:$B,$A21,Avaliação!$A:$A,Config!$B$4,Avaliação!$G:$G,Config!$A$20),""))</f>
        <v/>
      </c>
      <c r="L21" s="16">
        <f>IF($AF21=0,"",$AE21/$AF21)</f>
        <v/>
      </c>
      <c r="M21" s="16">
        <f>IFERROR(INDEX(Config!$B$25:$B$28,MATCH($E21,Config!$A$25:$A$28,0)),"")</f>
        <v/>
      </c>
      <c r="N21" s="16">
        <f>IF(OR($L21="",$M21=""),"",$L21-$M21)</f>
        <v/>
      </c>
      <c r="O21" s="15">
        <f>IF($L21="","",IF($L21&lt;2.5,"Abaixo",IF($L21&lt;3.5,"Atende",IF($L21&lt;=4.2,"Supera","Referência"))))</f>
        <v/>
      </c>
      <c r="P21" s="17">
        <f>IF($B21="","",COUNTIFS(Ocorrências!$B:$B,$B21,Ocorrências!$N:$N,Config!$B$4))</f>
        <v/>
      </c>
      <c r="Q21" s="17">
        <f>IF($B21="","",COUNTIFS(Ocorrências!$B:$B,$B21,Ocorrências!$N:$N,Config!$B$4,Ocorrências!$E:$E,"Reconhecimento")+COUNTIFS(Ocorrências!$B:$B,$B21,Ocorrências!$N:$N,Config!$B$4,Ocorrências!$E:$E,"Positiva"))</f>
        <v/>
      </c>
      <c r="R21" s="17">
        <f>IF($B21="","",COUNTIFS(Ocorrências!$B:$B,$B21,Ocorrências!$N:$N,Config!$B$4,Ocorrências!$E:$E,"Ponto de atenção")+COUNTIFS(Ocorrências!$B:$B,$B21,Ocorrências!$N:$N,Config!$B$4,Ocorrências!$E:$E,"Incidente"))</f>
        <v/>
      </c>
      <c r="S21" s="17">
        <f>IF($B21="","",IF(COUNTIF(Ocorrências!$B:$B,$B21)=0,"",TODAY()-_xlfn.MAXIFS(Ocorrências!$A:$A,Ocorrências!$B:$B,$B21)))</f>
        <v/>
      </c>
      <c r="T21" s="17">
        <f>IF($B21="","",IF(COUNTIF('Reuniões 1a1'!$B:$B,$B21)=0,"",TODAY()-_xlfn.MAXIFS('Reuniões 1a1'!$A:$A,'Reuniões 1a1'!$B:$B,$B21)))</f>
        <v/>
      </c>
      <c r="U21" s="17">
        <f>IF($B21="","",COUNTIFS(Avaliação!$B:$B,$A21,Avaliação!$A:$A,Config!$B$4,Avaliação!$K:$K,"&gt;=2"))</f>
        <v/>
      </c>
      <c r="V21" s="17">
        <f>IF($B21="","",COUNTIFS(Avaliação!$B:$B,$A21,Avaliação!$A:$A,Config!$B$4,Avaliação!$O:$O,"SEM LASTRO"))</f>
        <v/>
      </c>
      <c r="W21" s="17">
        <f>IF($B21="","",COUNTIFS(Ocorrências!$B:$B,$B21,Ocorrências!$N:$N,Config!$B$4,Ocorrências!$K:$K,"Não",Ocorrências!$E:$E,"Ponto de atenção")+COUNTIFS(Ocorrências!$B:$B,$B21,Ocorrências!$N:$N,Config!$B$4,Ocorrências!$K:$K,"Não",Ocorrências!$E:$E,"Incidente"))</f>
        <v/>
      </c>
      <c r="X21" s="17">
        <f>IF($L21="","",_xlfn.MAXIFS(Avaliação!$M:$M,Avaliação!$B:$B,$A21,Avaliação!$A:$A,Config!$B$4)-_xlfn.MINIFS(Avaliação!$M:$M,Avaliação!$B:$B,$A21,Avaliação!$A:$A,Config!$B$4))</f>
        <v/>
      </c>
      <c r="Y21" s="15">
        <f>IF($B21="","",IF(OR($V21&gt;0,$W21&gt;0),"BLOQUEIO",IF($L21="","Sem avaliação",IF($N21&lt;-0.3,"Abaixo da expectativa",IF($U21&gt;0,"Calibrar",IF($X21=0,"Nota chapada",IF(IF($T21="",0,$T21)&gt;30,"1:1 atrasada",IF(IF($S21="",99,$S21)&gt;45,"Sem registro","OK"))))))))</f>
        <v/>
      </c>
      <c r="Z21" s="2" t="n"/>
      <c r="AA21" s="15">
        <f>IFERROR(INDEX(Config!$B$17:$E$20,MATCH(Config!$A$17,Config!$A$17:$A$20,0),MATCH($D21,Config!$B$16:$E$16,0)),0)</f>
        <v/>
      </c>
      <c r="AB21" s="15">
        <f>IFERROR(INDEX(Config!$B$17:$E$20,MATCH(Config!$A$18,Config!$A$17:$A$20,0),MATCH($D21,Config!$B$16:$E$16,0)),0)</f>
        <v/>
      </c>
      <c r="AC21" s="15">
        <f>IFERROR(INDEX(Config!$B$17:$E$20,MATCH(Config!$A$19,Config!$A$17:$A$20,0),MATCH($D21,Config!$B$16:$E$16,0)),0)</f>
        <v/>
      </c>
      <c r="AD21" s="15">
        <f>IFERROR(INDEX(Config!$B$17:$E$20,MATCH(Config!$A$20,Config!$A$17:$A$20,0),MATCH($D21,Config!$B$16:$E$16,0)),0)</f>
        <v/>
      </c>
      <c r="AE21" s="15">
        <f>IFERROR($H21*$AA21,0)+IFERROR($I21*$AB21,0)+IFERROR($J21*$AC21,0)+IFERROR($K21*$AD21,0)</f>
        <v/>
      </c>
      <c r="AF21" s="15">
        <f>IF(ISNUMBER($H21),$AA21,0)+IF(ISNUMBER($I21),$AB21,0)+IF(ISNUMBER($J21),$AC21,0)+IF(ISNUMBER($K21),$AD21,0)</f>
        <v/>
      </c>
    </row>
    <row r="22">
      <c r="A22" s="15">
        <f>IF(Colaboradores!$B22="","",Colaboradores!$A22)</f>
        <v/>
      </c>
      <c r="B22" s="15">
        <f>IF(Colaboradores!$B22="","",Colaboradores!$B22)</f>
        <v/>
      </c>
      <c r="C22" s="15">
        <f>IF(Colaboradores!$B22="","",Colaboradores!$F22)</f>
        <v/>
      </c>
      <c r="D22" s="15">
        <f>IF(Colaboradores!$B22="","",Colaboradores!$D22)</f>
        <v/>
      </c>
      <c r="E22" s="15">
        <f>IF(Colaboradores!$B22="","",Colaboradores!$E22)</f>
        <v/>
      </c>
      <c r="F22" s="15">
        <f>IF(Colaboradores!$B22="","",Colaboradores!$O22)</f>
        <v/>
      </c>
      <c r="G22" s="15">
        <f>IF(Colaboradores!$B22="","",Colaboradores!$P22)</f>
        <v/>
      </c>
      <c r="H22" s="16">
        <f>IF($B22="","",IFERROR(AVERAGEIFS(Avaliação!$M:$M,Avaliação!$B:$B,$A22,Avaliação!$A:$A,Config!$B$4,Avaliação!$G:$G,Config!$A$17),""))</f>
        <v/>
      </c>
      <c r="I22" s="16">
        <f>IF($B22="","",IFERROR(AVERAGEIFS(Avaliação!$M:$M,Avaliação!$B:$B,$A22,Avaliação!$A:$A,Config!$B$4,Avaliação!$G:$G,Config!$A$18),""))</f>
        <v/>
      </c>
      <c r="J22" s="16">
        <f>IF($B22="","",IFERROR(AVERAGEIFS(Avaliação!$M:$M,Avaliação!$B:$B,$A22,Avaliação!$A:$A,Config!$B$4,Avaliação!$G:$G,Config!$A$19),""))</f>
        <v/>
      </c>
      <c r="K22" s="16">
        <f>IF($B22="","",IFERROR(AVERAGEIFS(Avaliação!$M:$M,Avaliação!$B:$B,$A22,Avaliação!$A:$A,Config!$B$4,Avaliação!$G:$G,Config!$A$20),""))</f>
        <v/>
      </c>
      <c r="L22" s="16">
        <f>IF($AF22=0,"",$AE22/$AF22)</f>
        <v/>
      </c>
      <c r="M22" s="16">
        <f>IFERROR(INDEX(Config!$B$25:$B$28,MATCH($E22,Config!$A$25:$A$28,0)),"")</f>
        <v/>
      </c>
      <c r="N22" s="16">
        <f>IF(OR($L22="",$M22=""),"",$L22-$M22)</f>
        <v/>
      </c>
      <c r="O22" s="15">
        <f>IF($L22="","",IF($L22&lt;2.5,"Abaixo",IF($L22&lt;3.5,"Atende",IF($L22&lt;=4.2,"Supera","Referência"))))</f>
        <v/>
      </c>
      <c r="P22" s="17">
        <f>IF($B22="","",COUNTIFS(Ocorrências!$B:$B,$B22,Ocorrências!$N:$N,Config!$B$4))</f>
        <v/>
      </c>
      <c r="Q22" s="17">
        <f>IF($B22="","",COUNTIFS(Ocorrências!$B:$B,$B22,Ocorrências!$N:$N,Config!$B$4,Ocorrências!$E:$E,"Reconhecimento")+COUNTIFS(Ocorrências!$B:$B,$B22,Ocorrências!$N:$N,Config!$B$4,Ocorrências!$E:$E,"Positiva"))</f>
        <v/>
      </c>
      <c r="R22" s="17">
        <f>IF($B22="","",COUNTIFS(Ocorrências!$B:$B,$B22,Ocorrências!$N:$N,Config!$B$4,Ocorrências!$E:$E,"Ponto de atenção")+COUNTIFS(Ocorrências!$B:$B,$B22,Ocorrências!$N:$N,Config!$B$4,Ocorrências!$E:$E,"Incidente"))</f>
        <v/>
      </c>
      <c r="S22" s="17">
        <f>IF($B22="","",IF(COUNTIF(Ocorrências!$B:$B,$B22)=0,"",TODAY()-_xlfn.MAXIFS(Ocorrências!$A:$A,Ocorrências!$B:$B,$B22)))</f>
        <v/>
      </c>
      <c r="T22" s="17">
        <f>IF($B22="","",IF(COUNTIF('Reuniões 1a1'!$B:$B,$B22)=0,"",TODAY()-_xlfn.MAXIFS('Reuniões 1a1'!$A:$A,'Reuniões 1a1'!$B:$B,$B22)))</f>
        <v/>
      </c>
      <c r="U22" s="17">
        <f>IF($B22="","",COUNTIFS(Avaliação!$B:$B,$A22,Avaliação!$A:$A,Config!$B$4,Avaliação!$K:$K,"&gt;=2"))</f>
        <v/>
      </c>
      <c r="V22" s="17">
        <f>IF($B22="","",COUNTIFS(Avaliação!$B:$B,$A22,Avaliação!$A:$A,Config!$B$4,Avaliação!$O:$O,"SEM LASTRO"))</f>
        <v/>
      </c>
      <c r="W22" s="17">
        <f>IF($B22="","",COUNTIFS(Ocorrências!$B:$B,$B22,Ocorrências!$N:$N,Config!$B$4,Ocorrências!$K:$K,"Não",Ocorrências!$E:$E,"Ponto de atenção")+COUNTIFS(Ocorrências!$B:$B,$B22,Ocorrências!$N:$N,Config!$B$4,Ocorrências!$K:$K,"Não",Ocorrências!$E:$E,"Incidente"))</f>
        <v/>
      </c>
      <c r="X22" s="17">
        <f>IF($L22="","",_xlfn.MAXIFS(Avaliação!$M:$M,Avaliação!$B:$B,$A22,Avaliação!$A:$A,Config!$B$4)-_xlfn.MINIFS(Avaliação!$M:$M,Avaliação!$B:$B,$A22,Avaliação!$A:$A,Config!$B$4))</f>
        <v/>
      </c>
      <c r="Y22" s="15">
        <f>IF($B22="","",IF(OR($V22&gt;0,$W22&gt;0),"BLOQUEIO",IF($L22="","Sem avaliação",IF($N22&lt;-0.3,"Abaixo da expectativa",IF($U22&gt;0,"Calibrar",IF($X22=0,"Nota chapada",IF(IF($T22="",0,$T22)&gt;30,"1:1 atrasada",IF(IF($S22="",99,$S22)&gt;45,"Sem registro","OK"))))))))</f>
        <v/>
      </c>
      <c r="Z22" s="2" t="n"/>
      <c r="AA22" s="15">
        <f>IFERROR(INDEX(Config!$B$17:$E$20,MATCH(Config!$A$17,Config!$A$17:$A$20,0),MATCH($D22,Config!$B$16:$E$16,0)),0)</f>
        <v/>
      </c>
      <c r="AB22" s="15">
        <f>IFERROR(INDEX(Config!$B$17:$E$20,MATCH(Config!$A$18,Config!$A$17:$A$20,0),MATCH($D22,Config!$B$16:$E$16,0)),0)</f>
        <v/>
      </c>
      <c r="AC22" s="15">
        <f>IFERROR(INDEX(Config!$B$17:$E$20,MATCH(Config!$A$19,Config!$A$17:$A$20,0),MATCH($D22,Config!$B$16:$E$16,0)),0)</f>
        <v/>
      </c>
      <c r="AD22" s="15">
        <f>IFERROR(INDEX(Config!$B$17:$E$20,MATCH(Config!$A$20,Config!$A$17:$A$20,0),MATCH($D22,Config!$B$16:$E$16,0)),0)</f>
        <v/>
      </c>
      <c r="AE22" s="15">
        <f>IFERROR($H22*$AA22,0)+IFERROR($I22*$AB22,0)+IFERROR($J22*$AC22,0)+IFERROR($K22*$AD22,0)</f>
        <v/>
      </c>
      <c r="AF22" s="15">
        <f>IF(ISNUMBER($H22),$AA22,0)+IF(ISNUMBER($I22),$AB22,0)+IF(ISNUMBER($J22),$AC22,0)+IF(ISNUMBER($K22),$AD22,0)</f>
        <v/>
      </c>
    </row>
    <row r="23">
      <c r="A23" s="15">
        <f>IF(Colaboradores!$B23="","",Colaboradores!$A23)</f>
        <v/>
      </c>
      <c r="B23" s="15">
        <f>IF(Colaboradores!$B23="","",Colaboradores!$B23)</f>
        <v/>
      </c>
      <c r="C23" s="15">
        <f>IF(Colaboradores!$B23="","",Colaboradores!$F23)</f>
        <v/>
      </c>
      <c r="D23" s="15">
        <f>IF(Colaboradores!$B23="","",Colaboradores!$D23)</f>
        <v/>
      </c>
      <c r="E23" s="15">
        <f>IF(Colaboradores!$B23="","",Colaboradores!$E23)</f>
        <v/>
      </c>
      <c r="F23" s="15">
        <f>IF(Colaboradores!$B23="","",Colaboradores!$O23)</f>
        <v/>
      </c>
      <c r="G23" s="15">
        <f>IF(Colaboradores!$B23="","",Colaboradores!$P23)</f>
        <v/>
      </c>
      <c r="H23" s="16">
        <f>IF($B23="","",IFERROR(AVERAGEIFS(Avaliação!$M:$M,Avaliação!$B:$B,$A23,Avaliação!$A:$A,Config!$B$4,Avaliação!$G:$G,Config!$A$17),""))</f>
        <v/>
      </c>
      <c r="I23" s="16">
        <f>IF($B23="","",IFERROR(AVERAGEIFS(Avaliação!$M:$M,Avaliação!$B:$B,$A23,Avaliação!$A:$A,Config!$B$4,Avaliação!$G:$G,Config!$A$18),""))</f>
        <v/>
      </c>
      <c r="J23" s="16">
        <f>IF($B23="","",IFERROR(AVERAGEIFS(Avaliação!$M:$M,Avaliação!$B:$B,$A23,Avaliação!$A:$A,Config!$B$4,Avaliação!$G:$G,Config!$A$19),""))</f>
        <v/>
      </c>
      <c r="K23" s="16">
        <f>IF($B23="","",IFERROR(AVERAGEIFS(Avaliação!$M:$M,Avaliação!$B:$B,$A23,Avaliação!$A:$A,Config!$B$4,Avaliação!$G:$G,Config!$A$20),""))</f>
        <v/>
      </c>
      <c r="L23" s="16">
        <f>IF($AF23=0,"",$AE23/$AF23)</f>
        <v/>
      </c>
      <c r="M23" s="16">
        <f>IFERROR(INDEX(Config!$B$25:$B$28,MATCH($E23,Config!$A$25:$A$28,0)),"")</f>
        <v/>
      </c>
      <c r="N23" s="16">
        <f>IF(OR($L23="",$M23=""),"",$L23-$M23)</f>
        <v/>
      </c>
      <c r="O23" s="15">
        <f>IF($L23="","",IF($L23&lt;2.5,"Abaixo",IF($L23&lt;3.5,"Atende",IF($L23&lt;=4.2,"Supera","Referência"))))</f>
        <v/>
      </c>
      <c r="P23" s="17">
        <f>IF($B23="","",COUNTIFS(Ocorrências!$B:$B,$B23,Ocorrências!$N:$N,Config!$B$4))</f>
        <v/>
      </c>
      <c r="Q23" s="17">
        <f>IF($B23="","",COUNTIFS(Ocorrências!$B:$B,$B23,Ocorrências!$N:$N,Config!$B$4,Ocorrências!$E:$E,"Reconhecimento")+COUNTIFS(Ocorrências!$B:$B,$B23,Ocorrências!$N:$N,Config!$B$4,Ocorrências!$E:$E,"Positiva"))</f>
        <v/>
      </c>
      <c r="R23" s="17">
        <f>IF($B23="","",COUNTIFS(Ocorrências!$B:$B,$B23,Ocorrências!$N:$N,Config!$B$4,Ocorrências!$E:$E,"Ponto de atenção")+COUNTIFS(Ocorrências!$B:$B,$B23,Ocorrências!$N:$N,Config!$B$4,Ocorrências!$E:$E,"Incidente"))</f>
        <v/>
      </c>
      <c r="S23" s="17">
        <f>IF($B23="","",IF(COUNTIF(Ocorrências!$B:$B,$B23)=0,"",TODAY()-_xlfn.MAXIFS(Ocorrências!$A:$A,Ocorrências!$B:$B,$B23)))</f>
        <v/>
      </c>
      <c r="T23" s="17">
        <f>IF($B23="","",IF(COUNTIF('Reuniões 1a1'!$B:$B,$B23)=0,"",TODAY()-_xlfn.MAXIFS('Reuniões 1a1'!$A:$A,'Reuniões 1a1'!$B:$B,$B23)))</f>
        <v/>
      </c>
      <c r="U23" s="17">
        <f>IF($B23="","",COUNTIFS(Avaliação!$B:$B,$A23,Avaliação!$A:$A,Config!$B$4,Avaliação!$K:$K,"&gt;=2"))</f>
        <v/>
      </c>
      <c r="V23" s="17">
        <f>IF($B23="","",COUNTIFS(Avaliação!$B:$B,$A23,Avaliação!$A:$A,Config!$B$4,Avaliação!$O:$O,"SEM LASTRO"))</f>
        <v/>
      </c>
      <c r="W23" s="17">
        <f>IF($B23="","",COUNTIFS(Ocorrências!$B:$B,$B23,Ocorrências!$N:$N,Config!$B$4,Ocorrências!$K:$K,"Não",Ocorrências!$E:$E,"Ponto de atenção")+COUNTIFS(Ocorrências!$B:$B,$B23,Ocorrências!$N:$N,Config!$B$4,Ocorrências!$K:$K,"Não",Ocorrências!$E:$E,"Incidente"))</f>
        <v/>
      </c>
      <c r="X23" s="17">
        <f>IF($L23="","",_xlfn.MAXIFS(Avaliação!$M:$M,Avaliação!$B:$B,$A23,Avaliação!$A:$A,Config!$B$4)-_xlfn.MINIFS(Avaliação!$M:$M,Avaliação!$B:$B,$A23,Avaliação!$A:$A,Config!$B$4))</f>
        <v/>
      </c>
      <c r="Y23" s="15">
        <f>IF($B23="","",IF(OR($V23&gt;0,$W23&gt;0),"BLOQUEIO",IF($L23="","Sem avaliação",IF($N23&lt;-0.3,"Abaixo da expectativa",IF($U23&gt;0,"Calibrar",IF($X23=0,"Nota chapada",IF(IF($T23="",0,$T23)&gt;30,"1:1 atrasada",IF(IF($S23="",99,$S23)&gt;45,"Sem registro","OK"))))))))</f>
        <v/>
      </c>
      <c r="Z23" s="2" t="n"/>
      <c r="AA23" s="15">
        <f>IFERROR(INDEX(Config!$B$17:$E$20,MATCH(Config!$A$17,Config!$A$17:$A$20,0),MATCH($D23,Config!$B$16:$E$16,0)),0)</f>
        <v/>
      </c>
      <c r="AB23" s="15">
        <f>IFERROR(INDEX(Config!$B$17:$E$20,MATCH(Config!$A$18,Config!$A$17:$A$20,0),MATCH($D23,Config!$B$16:$E$16,0)),0)</f>
        <v/>
      </c>
      <c r="AC23" s="15">
        <f>IFERROR(INDEX(Config!$B$17:$E$20,MATCH(Config!$A$19,Config!$A$17:$A$20,0),MATCH($D23,Config!$B$16:$E$16,0)),0)</f>
        <v/>
      </c>
      <c r="AD23" s="15">
        <f>IFERROR(INDEX(Config!$B$17:$E$20,MATCH(Config!$A$20,Config!$A$17:$A$20,0),MATCH($D23,Config!$B$16:$E$16,0)),0)</f>
        <v/>
      </c>
      <c r="AE23" s="15">
        <f>IFERROR($H23*$AA23,0)+IFERROR($I23*$AB23,0)+IFERROR($J23*$AC23,0)+IFERROR($K23*$AD23,0)</f>
        <v/>
      </c>
      <c r="AF23" s="15">
        <f>IF(ISNUMBER($H23),$AA23,0)+IF(ISNUMBER($I23),$AB23,0)+IF(ISNUMBER($J23),$AC23,0)+IF(ISNUMBER($K23),$AD23,0)</f>
        <v/>
      </c>
    </row>
    <row r="24">
      <c r="A24" s="15">
        <f>IF(Colaboradores!$B24="","",Colaboradores!$A24)</f>
        <v/>
      </c>
      <c r="B24" s="15">
        <f>IF(Colaboradores!$B24="","",Colaboradores!$B24)</f>
        <v/>
      </c>
      <c r="C24" s="15">
        <f>IF(Colaboradores!$B24="","",Colaboradores!$F24)</f>
        <v/>
      </c>
      <c r="D24" s="15">
        <f>IF(Colaboradores!$B24="","",Colaboradores!$D24)</f>
        <v/>
      </c>
      <c r="E24" s="15">
        <f>IF(Colaboradores!$B24="","",Colaboradores!$E24)</f>
        <v/>
      </c>
      <c r="F24" s="15">
        <f>IF(Colaboradores!$B24="","",Colaboradores!$O24)</f>
        <v/>
      </c>
      <c r="G24" s="15">
        <f>IF(Colaboradores!$B24="","",Colaboradores!$P24)</f>
        <v/>
      </c>
      <c r="H24" s="16">
        <f>IF($B24="","",IFERROR(AVERAGEIFS(Avaliação!$M:$M,Avaliação!$B:$B,$A24,Avaliação!$A:$A,Config!$B$4,Avaliação!$G:$G,Config!$A$17),""))</f>
        <v/>
      </c>
      <c r="I24" s="16">
        <f>IF($B24="","",IFERROR(AVERAGEIFS(Avaliação!$M:$M,Avaliação!$B:$B,$A24,Avaliação!$A:$A,Config!$B$4,Avaliação!$G:$G,Config!$A$18),""))</f>
        <v/>
      </c>
      <c r="J24" s="16">
        <f>IF($B24="","",IFERROR(AVERAGEIFS(Avaliação!$M:$M,Avaliação!$B:$B,$A24,Avaliação!$A:$A,Config!$B$4,Avaliação!$G:$G,Config!$A$19),""))</f>
        <v/>
      </c>
      <c r="K24" s="16">
        <f>IF($B24="","",IFERROR(AVERAGEIFS(Avaliação!$M:$M,Avaliação!$B:$B,$A24,Avaliação!$A:$A,Config!$B$4,Avaliação!$G:$G,Config!$A$20),""))</f>
        <v/>
      </c>
      <c r="L24" s="16">
        <f>IF($AF24=0,"",$AE24/$AF24)</f>
        <v/>
      </c>
      <c r="M24" s="16">
        <f>IFERROR(INDEX(Config!$B$25:$B$28,MATCH($E24,Config!$A$25:$A$28,0)),"")</f>
        <v/>
      </c>
      <c r="N24" s="16">
        <f>IF(OR($L24="",$M24=""),"",$L24-$M24)</f>
        <v/>
      </c>
      <c r="O24" s="15">
        <f>IF($L24="","",IF($L24&lt;2.5,"Abaixo",IF($L24&lt;3.5,"Atende",IF($L24&lt;=4.2,"Supera","Referência"))))</f>
        <v/>
      </c>
      <c r="P24" s="17">
        <f>IF($B24="","",COUNTIFS(Ocorrências!$B:$B,$B24,Ocorrências!$N:$N,Config!$B$4))</f>
        <v/>
      </c>
      <c r="Q24" s="17">
        <f>IF($B24="","",COUNTIFS(Ocorrências!$B:$B,$B24,Ocorrências!$N:$N,Config!$B$4,Ocorrências!$E:$E,"Reconhecimento")+COUNTIFS(Ocorrências!$B:$B,$B24,Ocorrências!$N:$N,Config!$B$4,Ocorrências!$E:$E,"Positiva"))</f>
        <v/>
      </c>
      <c r="R24" s="17">
        <f>IF($B24="","",COUNTIFS(Ocorrências!$B:$B,$B24,Ocorrências!$N:$N,Config!$B$4,Ocorrências!$E:$E,"Ponto de atenção")+COUNTIFS(Ocorrências!$B:$B,$B24,Ocorrências!$N:$N,Config!$B$4,Ocorrências!$E:$E,"Incidente"))</f>
        <v/>
      </c>
      <c r="S24" s="17">
        <f>IF($B24="","",IF(COUNTIF(Ocorrências!$B:$B,$B24)=0,"",TODAY()-_xlfn.MAXIFS(Ocorrências!$A:$A,Ocorrências!$B:$B,$B24)))</f>
        <v/>
      </c>
      <c r="T24" s="17">
        <f>IF($B24="","",IF(COUNTIF('Reuniões 1a1'!$B:$B,$B24)=0,"",TODAY()-_xlfn.MAXIFS('Reuniões 1a1'!$A:$A,'Reuniões 1a1'!$B:$B,$B24)))</f>
        <v/>
      </c>
      <c r="U24" s="17">
        <f>IF($B24="","",COUNTIFS(Avaliação!$B:$B,$A24,Avaliação!$A:$A,Config!$B$4,Avaliação!$K:$K,"&gt;=2"))</f>
        <v/>
      </c>
      <c r="V24" s="17">
        <f>IF($B24="","",COUNTIFS(Avaliação!$B:$B,$A24,Avaliação!$A:$A,Config!$B$4,Avaliação!$O:$O,"SEM LASTRO"))</f>
        <v/>
      </c>
      <c r="W24" s="17">
        <f>IF($B24="","",COUNTIFS(Ocorrências!$B:$B,$B24,Ocorrências!$N:$N,Config!$B$4,Ocorrências!$K:$K,"Não",Ocorrências!$E:$E,"Ponto de atenção")+COUNTIFS(Ocorrências!$B:$B,$B24,Ocorrências!$N:$N,Config!$B$4,Ocorrências!$K:$K,"Não",Ocorrências!$E:$E,"Incidente"))</f>
        <v/>
      </c>
      <c r="X24" s="17">
        <f>IF($L24="","",_xlfn.MAXIFS(Avaliação!$M:$M,Avaliação!$B:$B,$A24,Avaliação!$A:$A,Config!$B$4)-_xlfn.MINIFS(Avaliação!$M:$M,Avaliação!$B:$B,$A24,Avaliação!$A:$A,Config!$B$4))</f>
        <v/>
      </c>
      <c r="Y24" s="15">
        <f>IF($B24="","",IF(OR($V24&gt;0,$W24&gt;0),"BLOQUEIO",IF($L24="","Sem avaliação",IF($N24&lt;-0.3,"Abaixo da expectativa",IF($U24&gt;0,"Calibrar",IF($X24=0,"Nota chapada",IF(IF($T24="",0,$T24)&gt;30,"1:1 atrasada",IF(IF($S24="",99,$S24)&gt;45,"Sem registro","OK"))))))))</f>
        <v/>
      </c>
      <c r="Z24" s="2" t="n"/>
      <c r="AA24" s="15">
        <f>IFERROR(INDEX(Config!$B$17:$E$20,MATCH(Config!$A$17,Config!$A$17:$A$20,0),MATCH($D24,Config!$B$16:$E$16,0)),0)</f>
        <v/>
      </c>
      <c r="AB24" s="15">
        <f>IFERROR(INDEX(Config!$B$17:$E$20,MATCH(Config!$A$18,Config!$A$17:$A$20,0),MATCH($D24,Config!$B$16:$E$16,0)),0)</f>
        <v/>
      </c>
      <c r="AC24" s="15">
        <f>IFERROR(INDEX(Config!$B$17:$E$20,MATCH(Config!$A$19,Config!$A$17:$A$20,0),MATCH($D24,Config!$B$16:$E$16,0)),0)</f>
        <v/>
      </c>
      <c r="AD24" s="15">
        <f>IFERROR(INDEX(Config!$B$17:$E$20,MATCH(Config!$A$20,Config!$A$17:$A$20,0),MATCH($D24,Config!$B$16:$E$16,0)),0)</f>
        <v/>
      </c>
      <c r="AE24" s="15">
        <f>IFERROR($H24*$AA24,0)+IFERROR($I24*$AB24,0)+IFERROR($J24*$AC24,0)+IFERROR($K24*$AD24,0)</f>
        <v/>
      </c>
      <c r="AF24" s="15">
        <f>IF(ISNUMBER($H24),$AA24,0)+IF(ISNUMBER($I24),$AB24,0)+IF(ISNUMBER($J24),$AC24,0)+IF(ISNUMBER($K24),$AD24,0)</f>
        <v/>
      </c>
    </row>
    <row r="25">
      <c r="A25" s="15">
        <f>IF(Colaboradores!$B25="","",Colaboradores!$A25)</f>
        <v/>
      </c>
      <c r="B25" s="15">
        <f>IF(Colaboradores!$B25="","",Colaboradores!$B25)</f>
        <v/>
      </c>
      <c r="C25" s="15">
        <f>IF(Colaboradores!$B25="","",Colaboradores!$F25)</f>
        <v/>
      </c>
      <c r="D25" s="15">
        <f>IF(Colaboradores!$B25="","",Colaboradores!$D25)</f>
        <v/>
      </c>
      <c r="E25" s="15">
        <f>IF(Colaboradores!$B25="","",Colaboradores!$E25)</f>
        <v/>
      </c>
      <c r="F25" s="15">
        <f>IF(Colaboradores!$B25="","",Colaboradores!$O25)</f>
        <v/>
      </c>
      <c r="G25" s="15">
        <f>IF(Colaboradores!$B25="","",Colaboradores!$P25)</f>
        <v/>
      </c>
      <c r="H25" s="16">
        <f>IF($B25="","",IFERROR(AVERAGEIFS(Avaliação!$M:$M,Avaliação!$B:$B,$A25,Avaliação!$A:$A,Config!$B$4,Avaliação!$G:$G,Config!$A$17),""))</f>
        <v/>
      </c>
      <c r="I25" s="16">
        <f>IF($B25="","",IFERROR(AVERAGEIFS(Avaliação!$M:$M,Avaliação!$B:$B,$A25,Avaliação!$A:$A,Config!$B$4,Avaliação!$G:$G,Config!$A$18),""))</f>
        <v/>
      </c>
      <c r="J25" s="16">
        <f>IF($B25="","",IFERROR(AVERAGEIFS(Avaliação!$M:$M,Avaliação!$B:$B,$A25,Avaliação!$A:$A,Config!$B$4,Avaliação!$G:$G,Config!$A$19),""))</f>
        <v/>
      </c>
      <c r="K25" s="16">
        <f>IF($B25="","",IFERROR(AVERAGEIFS(Avaliação!$M:$M,Avaliação!$B:$B,$A25,Avaliação!$A:$A,Config!$B$4,Avaliação!$G:$G,Config!$A$20),""))</f>
        <v/>
      </c>
      <c r="L25" s="16">
        <f>IF($AF25=0,"",$AE25/$AF25)</f>
        <v/>
      </c>
      <c r="M25" s="16">
        <f>IFERROR(INDEX(Config!$B$25:$B$28,MATCH($E25,Config!$A$25:$A$28,0)),"")</f>
        <v/>
      </c>
      <c r="N25" s="16">
        <f>IF(OR($L25="",$M25=""),"",$L25-$M25)</f>
        <v/>
      </c>
      <c r="O25" s="15">
        <f>IF($L25="","",IF($L25&lt;2.5,"Abaixo",IF($L25&lt;3.5,"Atende",IF($L25&lt;=4.2,"Supera","Referência"))))</f>
        <v/>
      </c>
      <c r="P25" s="17">
        <f>IF($B25="","",COUNTIFS(Ocorrências!$B:$B,$B25,Ocorrências!$N:$N,Config!$B$4))</f>
        <v/>
      </c>
      <c r="Q25" s="17">
        <f>IF($B25="","",COUNTIFS(Ocorrências!$B:$B,$B25,Ocorrências!$N:$N,Config!$B$4,Ocorrências!$E:$E,"Reconhecimento")+COUNTIFS(Ocorrências!$B:$B,$B25,Ocorrências!$N:$N,Config!$B$4,Ocorrências!$E:$E,"Positiva"))</f>
        <v/>
      </c>
      <c r="R25" s="17">
        <f>IF($B25="","",COUNTIFS(Ocorrências!$B:$B,$B25,Ocorrências!$N:$N,Config!$B$4,Ocorrências!$E:$E,"Ponto de atenção")+COUNTIFS(Ocorrências!$B:$B,$B25,Ocorrências!$N:$N,Config!$B$4,Ocorrências!$E:$E,"Incidente"))</f>
        <v/>
      </c>
      <c r="S25" s="17">
        <f>IF($B25="","",IF(COUNTIF(Ocorrências!$B:$B,$B25)=0,"",TODAY()-_xlfn.MAXIFS(Ocorrências!$A:$A,Ocorrências!$B:$B,$B25)))</f>
        <v/>
      </c>
      <c r="T25" s="17">
        <f>IF($B25="","",IF(COUNTIF('Reuniões 1a1'!$B:$B,$B25)=0,"",TODAY()-_xlfn.MAXIFS('Reuniões 1a1'!$A:$A,'Reuniões 1a1'!$B:$B,$B25)))</f>
        <v/>
      </c>
      <c r="U25" s="17">
        <f>IF($B25="","",COUNTIFS(Avaliação!$B:$B,$A25,Avaliação!$A:$A,Config!$B$4,Avaliação!$K:$K,"&gt;=2"))</f>
        <v/>
      </c>
      <c r="V25" s="17">
        <f>IF($B25="","",COUNTIFS(Avaliação!$B:$B,$A25,Avaliação!$A:$A,Config!$B$4,Avaliação!$O:$O,"SEM LASTRO"))</f>
        <v/>
      </c>
      <c r="W25" s="17">
        <f>IF($B25="","",COUNTIFS(Ocorrências!$B:$B,$B25,Ocorrências!$N:$N,Config!$B$4,Ocorrências!$K:$K,"Não",Ocorrências!$E:$E,"Ponto de atenção")+COUNTIFS(Ocorrências!$B:$B,$B25,Ocorrências!$N:$N,Config!$B$4,Ocorrências!$K:$K,"Não",Ocorrências!$E:$E,"Incidente"))</f>
        <v/>
      </c>
      <c r="X25" s="17">
        <f>IF($L25="","",_xlfn.MAXIFS(Avaliação!$M:$M,Avaliação!$B:$B,$A25,Avaliação!$A:$A,Config!$B$4)-_xlfn.MINIFS(Avaliação!$M:$M,Avaliação!$B:$B,$A25,Avaliação!$A:$A,Config!$B$4))</f>
        <v/>
      </c>
      <c r="Y25" s="15">
        <f>IF($B25="","",IF(OR($V25&gt;0,$W25&gt;0),"BLOQUEIO",IF($L25="","Sem avaliação",IF($N25&lt;-0.3,"Abaixo da expectativa",IF($U25&gt;0,"Calibrar",IF($X25=0,"Nota chapada",IF(IF($T25="",0,$T25)&gt;30,"1:1 atrasada",IF(IF($S25="",99,$S25)&gt;45,"Sem registro","OK"))))))))</f>
        <v/>
      </c>
      <c r="Z25" s="2" t="n"/>
      <c r="AA25" s="15">
        <f>IFERROR(INDEX(Config!$B$17:$E$20,MATCH(Config!$A$17,Config!$A$17:$A$20,0),MATCH($D25,Config!$B$16:$E$16,0)),0)</f>
        <v/>
      </c>
      <c r="AB25" s="15">
        <f>IFERROR(INDEX(Config!$B$17:$E$20,MATCH(Config!$A$18,Config!$A$17:$A$20,0),MATCH($D25,Config!$B$16:$E$16,0)),0)</f>
        <v/>
      </c>
      <c r="AC25" s="15">
        <f>IFERROR(INDEX(Config!$B$17:$E$20,MATCH(Config!$A$19,Config!$A$17:$A$20,0),MATCH($D25,Config!$B$16:$E$16,0)),0)</f>
        <v/>
      </c>
      <c r="AD25" s="15">
        <f>IFERROR(INDEX(Config!$B$17:$E$20,MATCH(Config!$A$20,Config!$A$17:$A$20,0),MATCH($D25,Config!$B$16:$E$16,0)),0)</f>
        <v/>
      </c>
      <c r="AE25" s="15">
        <f>IFERROR($H25*$AA25,0)+IFERROR($I25*$AB25,0)+IFERROR($J25*$AC25,0)+IFERROR($K25*$AD25,0)</f>
        <v/>
      </c>
      <c r="AF25" s="15">
        <f>IF(ISNUMBER($H25),$AA25,0)+IF(ISNUMBER($I25),$AB25,0)+IF(ISNUMBER($J25),$AC25,0)+IF(ISNUMBER($K25),$AD25,0)</f>
        <v/>
      </c>
    </row>
    <row r="26">
      <c r="A26" s="15">
        <f>IF(Colaboradores!$B26="","",Colaboradores!$A26)</f>
        <v/>
      </c>
      <c r="B26" s="15">
        <f>IF(Colaboradores!$B26="","",Colaboradores!$B26)</f>
        <v/>
      </c>
      <c r="C26" s="15">
        <f>IF(Colaboradores!$B26="","",Colaboradores!$F26)</f>
        <v/>
      </c>
      <c r="D26" s="15">
        <f>IF(Colaboradores!$B26="","",Colaboradores!$D26)</f>
        <v/>
      </c>
      <c r="E26" s="15">
        <f>IF(Colaboradores!$B26="","",Colaboradores!$E26)</f>
        <v/>
      </c>
      <c r="F26" s="15">
        <f>IF(Colaboradores!$B26="","",Colaboradores!$O26)</f>
        <v/>
      </c>
      <c r="G26" s="15">
        <f>IF(Colaboradores!$B26="","",Colaboradores!$P26)</f>
        <v/>
      </c>
      <c r="H26" s="16">
        <f>IF($B26="","",IFERROR(AVERAGEIFS(Avaliação!$M:$M,Avaliação!$B:$B,$A26,Avaliação!$A:$A,Config!$B$4,Avaliação!$G:$G,Config!$A$17),""))</f>
        <v/>
      </c>
      <c r="I26" s="16">
        <f>IF($B26="","",IFERROR(AVERAGEIFS(Avaliação!$M:$M,Avaliação!$B:$B,$A26,Avaliação!$A:$A,Config!$B$4,Avaliação!$G:$G,Config!$A$18),""))</f>
        <v/>
      </c>
      <c r="J26" s="16">
        <f>IF($B26="","",IFERROR(AVERAGEIFS(Avaliação!$M:$M,Avaliação!$B:$B,$A26,Avaliação!$A:$A,Config!$B$4,Avaliação!$G:$G,Config!$A$19),""))</f>
        <v/>
      </c>
      <c r="K26" s="16">
        <f>IF($B26="","",IFERROR(AVERAGEIFS(Avaliação!$M:$M,Avaliação!$B:$B,$A26,Avaliação!$A:$A,Config!$B$4,Avaliação!$G:$G,Config!$A$20),""))</f>
        <v/>
      </c>
      <c r="L26" s="16">
        <f>IF($AF26=0,"",$AE26/$AF26)</f>
        <v/>
      </c>
      <c r="M26" s="16">
        <f>IFERROR(INDEX(Config!$B$25:$B$28,MATCH($E26,Config!$A$25:$A$28,0)),"")</f>
        <v/>
      </c>
      <c r="N26" s="16">
        <f>IF(OR($L26="",$M26=""),"",$L26-$M26)</f>
        <v/>
      </c>
      <c r="O26" s="15">
        <f>IF($L26="","",IF($L26&lt;2.5,"Abaixo",IF($L26&lt;3.5,"Atende",IF($L26&lt;=4.2,"Supera","Referência"))))</f>
        <v/>
      </c>
      <c r="P26" s="17">
        <f>IF($B26="","",COUNTIFS(Ocorrências!$B:$B,$B26,Ocorrências!$N:$N,Config!$B$4))</f>
        <v/>
      </c>
      <c r="Q26" s="17">
        <f>IF($B26="","",COUNTIFS(Ocorrências!$B:$B,$B26,Ocorrências!$N:$N,Config!$B$4,Ocorrências!$E:$E,"Reconhecimento")+COUNTIFS(Ocorrências!$B:$B,$B26,Ocorrências!$N:$N,Config!$B$4,Ocorrências!$E:$E,"Positiva"))</f>
        <v/>
      </c>
      <c r="R26" s="17">
        <f>IF($B26="","",COUNTIFS(Ocorrências!$B:$B,$B26,Ocorrências!$N:$N,Config!$B$4,Ocorrências!$E:$E,"Ponto de atenção")+COUNTIFS(Ocorrências!$B:$B,$B26,Ocorrências!$N:$N,Config!$B$4,Ocorrências!$E:$E,"Incidente"))</f>
        <v/>
      </c>
      <c r="S26" s="17">
        <f>IF($B26="","",IF(COUNTIF(Ocorrências!$B:$B,$B26)=0,"",TODAY()-_xlfn.MAXIFS(Ocorrências!$A:$A,Ocorrências!$B:$B,$B26)))</f>
        <v/>
      </c>
      <c r="T26" s="17">
        <f>IF($B26="","",IF(COUNTIF('Reuniões 1a1'!$B:$B,$B26)=0,"",TODAY()-_xlfn.MAXIFS('Reuniões 1a1'!$A:$A,'Reuniões 1a1'!$B:$B,$B26)))</f>
        <v/>
      </c>
      <c r="U26" s="17">
        <f>IF($B26="","",COUNTIFS(Avaliação!$B:$B,$A26,Avaliação!$A:$A,Config!$B$4,Avaliação!$K:$K,"&gt;=2"))</f>
        <v/>
      </c>
      <c r="V26" s="17">
        <f>IF($B26="","",COUNTIFS(Avaliação!$B:$B,$A26,Avaliação!$A:$A,Config!$B$4,Avaliação!$O:$O,"SEM LASTRO"))</f>
        <v/>
      </c>
      <c r="W26" s="17">
        <f>IF($B26="","",COUNTIFS(Ocorrências!$B:$B,$B26,Ocorrências!$N:$N,Config!$B$4,Ocorrências!$K:$K,"Não",Ocorrências!$E:$E,"Ponto de atenção")+COUNTIFS(Ocorrências!$B:$B,$B26,Ocorrências!$N:$N,Config!$B$4,Ocorrências!$K:$K,"Não",Ocorrências!$E:$E,"Incidente"))</f>
        <v/>
      </c>
      <c r="X26" s="17">
        <f>IF($L26="","",_xlfn.MAXIFS(Avaliação!$M:$M,Avaliação!$B:$B,$A26,Avaliação!$A:$A,Config!$B$4)-_xlfn.MINIFS(Avaliação!$M:$M,Avaliação!$B:$B,$A26,Avaliação!$A:$A,Config!$B$4))</f>
        <v/>
      </c>
      <c r="Y26" s="15">
        <f>IF($B26="","",IF(OR($V26&gt;0,$W26&gt;0),"BLOQUEIO",IF($L26="","Sem avaliação",IF($N26&lt;-0.3,"Abaixo da expectativa",IF($U26&gt;0,"Calibrar",IF($X26=0,"Nota chapada",IF(IF($T26="",0,$T26)&gt;30,"1:1 atrasada",IF(IF($S26="",99,$S26)&gt;45,"Sem registro","OK"))))))))</f>
        <v/>
      </c>
      <c r="Z26" s="2" t="n"/>
      <c r="AA26" s="15">
        <f>IFERROR(INDEX(Config!$B$17:$E$20,MATCH(Config!$A$17,Config!$A$17:$A$20,0),MATCH($D26,Config!$B$16:$E$16,0)),0)</f>
        <v/>
      </c>
      <c r="AB26" s="15">
        <f>IFERROR(INDEX(Config!$B$17:$E$20,MATCH(Config!$A$18,Config!$A$17:$A$20,0),MATCH($D26,Config!$B$16:$E$16,0)),0)</f>
        <v/>
      </c>
      <c r="AC26" s="15">
        <f>IFERROR(INDEX(Config!$B$17:$E$20,MATCH(Config!$A$19,Config!$A$17:$A$20,0),MATCH($D26,Config!$B$16:$E$16,0)),0)</f>
        <v/>
      </c>
      <c r="AD26" s="15">
        <f>IFERROR(INDEX(Config!$B$17:$E$20,MATCH(Config!$A$20,Config!$A$17:$A$20,0),MATCH($D26,Config!$B$16:$E$16,0)),0)</f>
        <v/>
      </c>
      <c r="AE26" s="15">
        <f>IFERROR($H26*$AA26,0)+IFERROR($I26*$AB26,0)+IFERROR($J26*$AC26,0)+IFERROR($K26*$AD26,0)</f>
        <v/>
      </c>
      <c r="AF26" s="15">
        <f>IF(ISNUMBER($H26),$AA26,0)+IF(ISNUMBER($I26),$AB26,0)+IF(ISNUMBER($J26),$AC26,0)+IF(ISNUMBER($K26),$AD26,0)</f>
        <v/>
      </c>
    </row>
    <row r="27">
      <c r="A27" s="15">
        <f>IF(Colaboradores!$B27="","",Colaboradores!$A27)</f>
        <v/>
      </c>
      <c r="B27" s="15">
        <f>IF(Colaboradores!$B27="","",Colaboradores!$B27)</f>
        <v/>
      </c>
      <c r="C27" s="15">
        <f>IF(Colaboradores!$B27="","",Colaboradores!$F27)</f>
        <v/>
      </c>
      <c r="D27" s="15">
        <f>IF(Colaboradores!$B27="","",Colaboradores!$D27)</f>
        <v/>
      </c>
      <c r="E27" s="15">
        <f>IF(Colaboradores!$B27="","",Colaboradores!$E27)</f>
        <v/>
      </c>
      <c r="F27" s="15">
        <f>IF(Colaboradores!$B27="","",Colaboradores!$O27)</f>
        <v/>
      </c>
      <c r="G27" s="15">
        <f>IF(Colaboradores!$B27="","",Colaboradores!$P27)</f>
        <v/>
      </c>
      <c r="H27" s="16">
        <f>IF($B27="","",IFERROR(AVERAGEIFS(Avaliação!$M:$M,Avaliação!$B:$B,$A27,Avaliação!$A:$A,Config!$B$4,Avaliação!$G:$G,Config!$A$17),""))</f>
        <v/>
      </c>
      <c r="I27" s="16">
        <f>IF($B27="","",IFERROR(AVERAGEIFS(Avaliação!$M:$M,Avaliação!$B:$B,$A27,Avaliação!$A:$A,Config!$B$4,Avaliação!$G:$G,Config!$A$18),""))</f>
        <v/>
      </c>
      <c r="J27" s="16">
        <f>IF($B27="","",IFERROR(AVERAGEIFS(Avaliação!$M:$M,Avaliação!$B:$B,$A27,Avaliação!$A:$A,Config!$B$4,Avaliação!$G:$G,Config!$A$19),""))</f>
        <v/>
      </c>
      <c r="K27" s="16">
        <f>IF($B27="","",IFERROR(AVERAGEIFS(Avaliação!$M:$M,Avaliação!$B:$B,$A27,Avaliação!$A:$A,Config!$B$4,Avaliação!$G:$G,Config!$A$20),""))</f>
        <v/>
      </c>
      <c r="L27" s="16">
        <f>IF($AF27=0,"",$AE27/$AF27)</f>
        <v/>
      </c>
      <c r="M27" s="16">
        <f>IFERROR(INDEX(Config!$B$25:$B$28,MATCH($E27,Config!$A$25:$A$28,0)),"")</f>
        <v/>
      </c>
      <c r="N27" s="16">
        <f>IF(OR($L27="",$M27=""),"",$L27-$M27)</f>
        <v/>
      </c>
      <c r="O27" s="15">
        <f>IF($L27="","",IF($L27&lt;2.5,"Abaixo",IF($L27&lt;3.5,"Atende",IF($L27&lt;=4.2,"Supera","Referência"))))</f>
        <v/>
      </c>
      <c r="P27" s="17">
        <f>IF($B27="","",COUNTIFS(Ocorrências!$B:$B,$B27,Ocorrências!$N:$N,Config!$B$4))</f>
        <v/>
      </c>
      <c r="Q27" s="17">
        <f>IF($B27="","",COUNTIFS(Ocorrências!$B:$B,$B27,Ocorrências!$N:$N,Config!$B$4,Ocorrências!$E:$E,"Reconhecimento")+COUNTIFS(Ocorrências!$B:$B,$B27,Ocorrências!$N:$N,Config!$B$4,Ocorrências!$E:$E,"Positiva"))</f>
        <v/>
      </c>
      <c r="R27" s="17">
        <f>IF($B27="","",COUNTIFS(Ocorrências!$B:$B,$B27,Ocorrências!$N:$N,Config!$B$4,Ocorrências!$E:$E,"Ponto de atenção")+COUNTIFS(Ocorrências!$B:$B,$B27,Ocorrências!$N:$N,Config!$B$4,Ocorrências!$E:$E,"Incidente"))</f>
        <v/>
      </c>
      <c r="S27" s="17">
        <f>IF($B27="","",IF(COUNTIF(Ocorrências!$B:$B,$B27)=0,"",TODAY()-_xlfn.MAXIFS(Ocorrências!$A:$A,Ocorrências!$B:$B,$B27)))</f>
        <v/>
      </c>
      <c r="T27" s="17">
        <f>IF($B27="","",IF(COUNTIF('Reuniões 1a1'!$B:$B,$B27)=0,"",TODAY()-_xlfn.MAXIFS('Reuniões 1a1'!$A:$A,'Reuniões 1a1'!$B:$B,$B27)))</f>
        <v/>
      </c>
      <c r="U27" s="17">
        <f>IF($B27="","",COUNTIFS(Avaliação!$B:$B,$A27,Avaliação!$A:$A,Config!$B$4,Avaliação!$K:$K,"&gt;=2"))</f>
        <v/>
      </c>
      <c r="V27" s="17">
        <f>IF($B27="","",COUNTIFS(Avaliação!$B:$B,$A27,Avaliação!$A:$A,Config!$B$4,Avaliação!$O:$O,"SEM LASTRO"))</f>
        <v/>
      </c>
      <c r="W27" s="17">
        <f>IF($B27="","",COUNTIFS(Ocorrências!$B:$B,$B27,Ocorrências!$N:$N,Config!$B$4,Ocorrências!$K:$K,"Não",Ocorrências!$E:$E,"Ponto de atenção")+COUNTIFS(Ocorrências!$B:$B,$B27,Ocorrências!$N:$N,Config!$B$4,Ocorrências!$K:$K,"Não",Ocorrências!$E:$E,"Incidente"))</f>
        <v/>
      </c>
      <c r="X27" s="17">
        <f>IF($L27="","",_xlfn.MAXIFS(Avaliação!$M:$M,Avaliação!$B:$B,$A27,Avaliação!$A:$A,Config!$B$4)-_xlfn.MINIFS(Avaliação!$M:$M,Avaliação!$B:$B,$A27,Avaliação!$A:$A,Config!$B$4))</f>
        <v/>
      </c>
      <c r="Y27" s="15">
        <f>IF($B27="","",IF(OR($V27&gt;0,$W27&gt;0),"BLOQUEIO",IF($L27="","Sem avaliação",IF($N27&lt;-0.3,"Abaixo da expectativa",IF($U27&gt;0,"Calibrar",IF($X27=0,"Nota chapada",IF(IF($T27="",0,$T27)&gt;30,"1:1 atrasada",IF(IF($S27="",99,$S27)&gt;45,"Sem registro","OK"))))))))</f>
        <v/>
      </c>
      <c r="Z27" s="2" t="n"/>
      <c r="AA27" s="15">
        <f>IFERROR(INDEX(Config!$B$17:$E$20,MATCH(Config!$A$17,Config!$A$17:$A$20,0),MATCH($D27,Config!$B$16:$E$16,0)),0)</f>
        <v/>
      </c>
      <c r="AB27" s="15">
        <f>IFERROR(INDEX(Config!$B$17:$E$20,MATCH(Config!$A$18,Config!$A$17:$A$20,0),MATCH($D27,Config!$B$16:$E$16,0)),0)</f>
        <v/>
      </c>
      <c r="AC27" s="15">
        <f>IFERROR(INDEX(Config!$B$17:$E$20,MATCH(Config!$A$19,Config!$A$17:$A$20,0),MATCH($D27,Config!$B$16:$E$16,0)),0)</f>
        <v/>
      </c>
      <c r="AD27" s="15">
        <f>IFERROR(INDEX(Config!$B$17:$E$20,MATCH(Config!$A$20,Config!$A$17:$A$20,0),MATCH($D27,Config!$B$16:$E$16,0)),0)</f>
        <v/>
      </c>
      <c r="AE27" s="15">
        <f>IFERROR($H27*$AA27,0)+IFERROR($I27*$AB27,0)+IFERROR($J27*$AC27,0)+IFERROR($K27*$AD27,0)</f>
        <v/>
      </c>
      <c r="AF27" s="15">
        <f>IF(ISNUMBER($H27),$AA27,0)+IF(ISNUMBER($I27),$AB27,0)+IF(ISNUMBER($J27),$AC27,0)+IF(ISNUMBER($K27),$AD27,0)</f>
        <v/>
      </c>
    </row>
    <row r="28">
      <c r="A28" s="15">
        <f>IF(Colaboradores!$B28="","",Colaboradores!$A28)</f>
        <v/>
      </c>
      <c r="B28" s="15">
        <f>IF(Colaboradores!$B28="","",Colaboradores!$B28)</f>
        <v/>
      </c>
      <c r="C28" s="15">
        <f>IF(Colaboradores!$B28="","",Colaboradores!$F28)</f>
        <v/>
      </c>
      <c r="D28" s="15">
        <f>IF(Colaboradores!$B28="","",Colaboradores!$D28)</f>
        <v/>
      </c>
      <c r="E28" s="15">
        <f>IF(Colaboradores!$B28="","",Colaboradores!$E28)</f>
        <v/>
      </c>
      <c r="F28" s="15">
        <f>IF(Colaboradores!$B28="","",Colaboradores!$O28)</f>
        <v/>
      </c>
      <c r="G28" s="15">
        <f>IF(Colaboradores!$B28="","",Colaboradores!$P28)</f>
        <v/>
      </c>
      <c r="H28" s="16">
        <f>IF($B28="","",IFERROR(AVERAGEIFS(Avaliação!$M:$M,Avaliação!$B:$B,$A28,Avaliação!$A:$A,Config!$B$4,Avaliação!$G:$G,Config!$A$17),""))</f>
        <v/>
      </c>
      <c r="I28" s="16">
        <f>IF($B28="","",IFERROR(AVERAGEIFS(Avaliação!$M:$M,Avaliação!$B:$B,$A28,Avaliação!$A:$A,Config!$B$4,Avaliação!$G:$G,Config!$A$18),""))</f>
        <v/>
      </c>
      <c r="J28" s="16">
        <f>IF($B28="","",IFERROR(AVERAGEIFS(Avaliação!$M:$M,Avaliação!$B:$B,$A28,Avaliação!$A:$A,Config!$B$4,Avaliação!$G:$G,Config!$A$19),""))</f>
        <v/>
      </c>
      <c r="K28" s="16">
        <f>IF($B28="","",IFERROR(AVERAGEIFS(Avaliação!$M:$M,Avaliação!$B:$B,$A28,Avaliação!$A:$A,Config!$B$4,Avaliação!$G:$G,Config!$A$20),""))</f>
        <v/>
      </c>
      <c r="L28" s="16">
        <f>IF($AF28=0,"",$AE28/$AF28)</f>
        <v/>
      </c>
      <c r="M28" s="16">
        <f>IFERROR(INDEX(Config!$B$25:$B$28,MATCH($E28,Config!$A$25:$A$28,0)),"")</f>
        <v/>
      </c>
      <c r="N28" s="16">
        <f>IF(OR($L28="",$M28=""),"",$L28-$M28)</f>
        <v/>
      </c>
      <c r="O28" s="15">
        <f>IF($L28="","",IF($L28&lt;2.5,"Abaixo",IF($L28&lt;3.5,"Atende",IF($L28&lt;=4.2,"Supera","Referência"))))</f>
        <v/>
      </c>
      <c r="P28" s="17">
        <f>IF($B28="","",COUNTIFS(Ocorrências!$B:$B,$B28,Ocorrências!$N:$N,Config!$B$4))</f>
        <v/>
      </c>
      <c r="Q28" s="17">
        <f>IF($B28="","",COUNTIFS(Ocorrências!$B:$B,$B28,Ocorrências!$N:$N,Config!$B$4,Ocorrências!$E:$E,"Reconhecimento")+COUNTIFS(Ocorrências!$B:$B,$B28,Ocorrências!$N:$N,Config!$B$4,Ocorrências!$E:$E,"Positiva"))</f>
        <v/>
      </c>
      <c r="R28" s="17">
        <f>IF($B28="","",COUNTIFS(Ocorrências!$B:$B,$B28,Ocorrências!$N:$N,Config!$B$4,Ocorrências!$E:$E,"Ponto de atenção")+COUNTIFS(Ocorrências!$B:$B,$B28,Ocorrências!$N:$N,Config!$B$4,Ocorrências!$E:$E,"Incidente"))</f>
        <v/>
      </c>
      <c r="S28" s="17">
        <f>IF($B28="","",IF(COUNTIF(Ocorrências!$B:$B,$B28)=0,"",TODAY()-_xlfn.MAXIFS(Ocorrências!$A:$A,Ocorrências!$B:$B,$B28)))</f>
        <v/>
      </c>
      <c r="T28" s="17">
        <f>IF($B28="","",IF(COUNTIF('Reuniões 1a1'!$B:$B,$B28)=0,"",TODAY()-_xlfn.MAXIFS('Reuniões 1a1'!$A:$A,'Reuniões 1a1'!$B:$B,$B28)))</f>
        <v/>
      </c>
      <c r="U28" s="17">
        <f>IF($B28="","",COUNTIFS(Avaliação!$B:$B,$A28,Avaliação!$A:$A,Config!$B$4,Avaliação!$K:$K,"&gt;=2"))</f>
        <v/>
      </c>
      <c r="V28" s="17">
        <f>IF($B28="","",COUNTIFS(Avaliação!$B:$B,$A28,Avaliação!$A:$A,Config!$B$4,Avaliação!$O:$O,"SEM LASTRO"))</f>
        <v/>
      </c>
      <c r="W28" s="17">
        <f>IF($B28="","",COUNTIFS(Ocorrências!$B:$B,$B28,Ocorrências!$N:$N,Config!$B$4,Ocorrências!$K:$K,"Não",Ocorrências!$E:$E,"Ponto de atenção")+COUNTIFS(Ocorrências!$B:$B,$B28,Ocorrências!$N:$N,Config!$B$4,Ocorrências!$K:$K,"Não",Ocorrências!$E:$E,"Incidente"))</f>
        <v/>
      </c>
      <c r="X28" s="17">
        <f>IF($L28="","",_xlfn.MAXIFS(Avaliação!$M:$M,Avaliação!$B:$B,$A28,Avaliação!$A:$A,Config!$B$4)-_xlfn.MINIFS(Avaliação!$M:$M,Avaliação!$B:$B,$A28,Avaliação!$A:$A,Config!$B$4))</f>
        <v/>
      </c>
      <c r="Y28" s="15">
        <f>IF($B28="","",IF(OR($V28&gt;0,$W28&gt;0),"BLOQUEIO",IF($L28="","Sem avaliação",IF($N28&lt;-0.3,"Abaixo da expectativa",IF($U28&gt;0,"Calibrar",IF($X28=0,"Nota chapada",IF(IF($T28="",0,$T28)&gt;30,"1:1 atrasada",IF(IF($S28="",99,$S28)&gt;45,"Sem registro","OK"))))))))</f>
        <v/>
      </c>
      <c r="Z28" s="2" t="n"/>
      <c r="AA28" s="15">
        <f>IFERROR(INDEX(Config!$B$17:$E$20,MATCH(Config!$A$17,Config!$A$17:$A$20,0),MATCH($D28,Config!$B$16:$E$16,0)),0)</f>
        <v/>
      </c>
      <c r="AB28" s="15">
        <f>IFERROR(INDEX(Config!$B$17:$E$20,MATCH(Config!$A$18,Config!$A$17:$A$20,0),MATCH($D28,Config!$B$16:$E$16,0)),0)</f>
        <v/>
      </c>
      <c r="AC28" s="15">
        <f>IFERROR(INDEX(Config!$B$17:$E$20,MATCH(Config!$A$19,Config!$A$17:$A$20,0),MATCH($D28,Config!$B$16:$E$16,0)),0)</f>
        <v/>
      </c>
      <c r="AD28" s="15">
        <f>IFERROR(INDEX(Config!$B$17:$E$20,MATCH(Config!$A$20,Config!$A$17:$A$20,0),MATCH($D28,Config!$B$16:$E$16,0)),0)</f>
        <v/>
      </c>
      <c r="AE28" s="15">
        <f>IFERROR($H28*$AA28,0)+IFERROR($I28*$AB28,0)+IFERROR($J28*$AC28,0)+IFERROR($K28*$AD28,0)</f>
        <v/>
      </c>
      <c r="AF28" s="15">
        <f>IF(ISNUMBER($H28),$AA28,0)+IF(ISNUMBER($I28),$AB28,0)+IF(ISNUMBER($J28),$AC28,0)+IF(ISNUMBER($K28),$AD28,0)</f>
        <v/>
      </c>
    </row>
    <row r="29">
      <c r="A29" s="15">
        <f>IF(Colaboradores!$B29="","",Colaboradores!$A29)</f>
        <v/>
      </c>
      <c r="B29" s="15">
        <f>IF(Colaboradores!$B29="","",Colaboradores!$B29)</f>
        <v/>
      </c>
      <c r="C29" s="15">
        <f>IF(Colaboradores!$B29="","",Colaboradores!$F29)</f>
        <v/>
      </c>
      <c r="D29" s="15">
        <f>IF(Colaboradores!$B29="","",Colaboradores!$D29)</f>
        <v/>
      </c>
      <c r="E29" s="15">
        <f>IF(Colaboradores!$B29="","",Colaboradores!$E29)</f>
        <v/>
      </c>
      <c r="F29" s="15">
        <f>IF(Colaboradores!$B29="","",Colaboradores!$O29)</f>
        <v/>
      </c>
      <c r="G29" s="15">
        <f>IF(Colaboradores!$B29="","",Colaboradores!$P29)</f>
        <v/>
      </c>
      <c r="H29" s="16">
        <f>IF($B29="","",IFERROR(AVERAGEIFS(Avaliação!$M:$M,Avaliação!$B:$B,$A29,Avaliação!$A:$A,Config!$B$4,Avaliação!$G:$G,Config!$A$17),""))</f>
        <v/>
      </c>
      <c r="I29" s="16">
        <f>IF($B29="","",IFERROR(AVERAGEIFS(Avaliação!$M:$M,Avaliação!$B:$B,$A29,Avaliação!$A:$A,Config!$B$4,Avaliação!$G:$G,Config!$A$18),""))</f>
        <v/>
      </c>
      <c r="J29" s="16">
        <f>IF($B29="","",IFERROR(AVERAGEIFS(Avaliação!$M:$M,Avaliação!$B:$B,$A29,Avaliação!$A:$A,Config!$B$4,Avaliação!$G:$G,Config!$A$19),""))</f>
        <v/>
      </c>
      <c r="K29" s="16">
        <f>IF($B29="","",IFERROR(AVERAGEIFS(Avaliação!$M:$M,Avaliação!$B:$B,$A29,Avaliação!$A:$A,Config!$B$4,Avaliação!$G:$G,Config!$A$20),""))</f>
        <v/>
      </c>
      <c r="L29" s="16">
        <f>IF($AF29=0,"",$AE29/$AF29)</f>
        <v/>
      </c>
      <c r="M29" s="16">
        <f>IFERROR(INDEX(Config!$B$25:$B$28,MATCH($E29,Config!$A$25:$A$28,0)),"")</f>
        <v/>
      </c>
      <c r="N29" s="16">
        <f>IF(OR($L29="",$M29=""),"",$L29-$M29)</f>
        <v/>
      </c>
      <c r="O29" s="15">
        <f>IF($L29="","",IF($L29&lt;2.5,"Abaixo",IF($L29&lt;3.5,"Atende",IF($L29&lt;=4.2,"Supera","Referência"))))</f>
        <v/>
      </c>
      <c r="P29" s="17">
        <f>IF($B29="","",COUNTIFS(Ocorrências!$B:$B,$B29,Ocorrências!$N:$N,Config!$B$4))</f>
        <v/>
      </c>
      <c r="Q29" s="17">
        <f>IF($B29="","",COUNTIFS(Ocorrências!$B:$B,$B29,Ocorrências!$N:$N,Config!$B$4,Ocorrências!$E:$E,"Reconhecimento")+COUNTIFS(Ocorrências!$B:$B,$B29,Ocorrências!$N:$N,Config!$B$4,Ocorrências!$E:$E,"Positiva"))</f>
        <v/>
      </c>
      <c r="R29" s="17">
        <f>IF($B29="","",COUNTIFS(Ocorrências!$B:$B,$B29,Ocorrências!$N:$N,Config!$B$4,Ocorrências!$E:$E,"Ponto de atenção")+COUNTIFS(Ocorrências!$B:$B,$B29,Ocorrências!$N:$N,Config!$B$4,Ocorrências!$E:$E,"Incidente"))</f>
        <v/>
      </c>
      <c r="S29" s="17">
        <f>IF($B29="","",IF(COUNTIF(Ocorrências!$B:$B,$B29)=0,"",TODAY()-_xlfn.MAXIFS(Ocorrências!$A:$A,Ocorrências!$B:$B,$B29)))</f>
        <v/>
      </c>
      <c r="T29" s="17">
        <f>IF($B29="","",IF(COUNTIF('Reuniões 1a1'!$B:$B,$B29)=0,"",TODAY()-_xlfn.MAXIFS('Reuniões 1a1'!$A:$A,'Reuniões 1a1'!$B:$B,$B29)))</f>
        <v/>
      </c>
      <c r="U29" s="17">
        <f>IF($B29="","",COUNTIFS(Avaliação!$B:$B,$A29,Avaliação!$A:$A,Config!$B$4,Avaliação!$K:$K,"&gt;=2"))</f>
        <v/>
      </c>
      <c r="V29" s="17">
        <f>IF($B29="","",COUNTIFS(Avaliação!$B:$B,$A29,Avaliação!$A:$A,Config!$B$4,Avaliação!$O:$O,"SEM LASTRO"))</f>
        <v/>
      </c>
      <c r="W29" s="17">
        <f>IF($B29="","",COUNTIFS(Ocorrências!$B:$B,$B29,Ocorrências!$N:$N,Config!$B$4,Ocorrências!$K:$K,"Não",Ocorrências!$E:$E,"Ponto de atenção")+COUNTIFS(Ocorrências!$B:$B,$B29,Ocorrências!$N:$N,Config!$B$4,Ocorrências!$K:$K,"Não",Ocorrências!$E:$E,"Incidente"))</f>
        <v/>
      </c>
      <c r="X29" s="17">
        <f>IF($L29="","",_xlfn.MAXIFS(Avaliação!$M:$M,Avaliação!$B:$B,$A29,Avaliação!$A:$A,Config!$B$4)-_xlfn.MINIFS(Avaliação!$M:$M,Avaliação!$B:$B,$A29,Avaliação!$A:$A,Config!$B$4))</f>
        <v/>
      </c>
      <c r="Y29" s="15">
        <f>IF($B29="","",IF(OR($V29&gt;0,$W29&gt;0),"BLOQUEIO",IF($L29="","Sem avaliação",IF($N29&lt;-0.3,"Abaixo da expectativa",IF($U29&gt;0,"Calibrar",IF($X29=0,"Nota chapada",IF(IF($T29="",0,$T29)&gt;30,"1:1 atrasada",IF(IF($S29="",99,$S29)&gt;45,"Sem registro","OK"))))))))</f>
        <v/>
      </c>
      <c r="Z29" s="2" t="n"/>
      <c r="AA29" s="15">
        <f>IFERROR(INDEX(Config!$B$17:$E$20,MATCH(Config!$A$17,Config!$A$17:$A$20,0),MATCH($D29,Config!$B$16:$E$16,0)),0)</f>
        <v/>
      </c>
      <c r="AB29" s="15">
        <f>IFERROR(INDEX(Config!$B$17:$E$20,MATCH(Config!$A$18,Config!$A$17:$A$20,0),MATCH($D29,Config!$B$16:$E$16,0)),0)</f>
        <v/>
      </c>
      <c r="AC29" s="15">
        <f>IFERROR(INDEX(Config!$B$17:$E$20,MATCH(Config!$A$19,Config!$A$17:$A$20,0),MATCH($D29,Config!$B$16:$E$16,0)),0)</f>
        <v/>
      </c>
      <c r="AD29" s="15">
        <f>IFERROR(INDEX(Config!$B$17:$E$20,MATCH(Config!$A$20,Config!$A$17:$A$20,0),MATCH($D29,Config!$B$16:$E$16,0)),0)</f>
        <v/>
      </c>
      <c r="AE29" s="15">
        <f>IFERROR($H29*$AA29,0)+IFERROR($I29*$AB29,0)+IFERROR($J29*$AC29,0)+IFERROR($K29*$AD29,0)</f>
        <v/>
      </c>
      <c r="AF29" s="15">
        <f>IF(ISNUMBER($H29),$AA29,0)+IF(ISNUMBER($I29),$AB29,0)+IF(ISNUMBER($J29),$AC29,0)+IF(ISNUMBER($K29),$AD29,0)</f>
        <v/>
      </c>
    </row>
    <row r="30">
      <c r="A30" s="15">
        <f>IF(Colaboradores!$B30="","",Colaboradores!$A30)</f>
        <v/>
      </c>
      <c r="B30" s="15">
        <f>IF(Colaboradores!$B30="","",Colaboradores!$B30)</f>
        <v/>
      </c>
      <c r="C30" s="15">
        <f>IF(Colaboradores!$B30="","",Colaboradores!$F30)</f>
        <v/>
      </c>
      <c r="D30" s="15">
        <f>IF(Colaboradores!$B30="","",Colaboradores!$D30)</f>
        <v/>
      </c>
      <c r="E30" s="15">
        <f>IF(Colaboradores!$B30="","",Colaboradores!$E30)</f>
        <v/>
      </c>
      <c r="F30" s="15">
        <f>IF(Colaboradores!$B30="","",Colaboradores!$O30)</f>
        <v/>
      </c>
      <c r="G30" s="15">
        <f>IF(Colaboradores!$B30="","",Colaboradores!$P30)</f>
        <v/>
      </c>
      <c r="H30" s="16">
        <f>IF($B30="","",IFERROR(AVERAGEIFS(Avaliação!$M:$M,Avaliação!$B:$B,$A30,Avaliação!$A:$A,Config!$B$4,Avaliação!$G:$G,Config!$A$17),""))</f>
        <v/>
      </c>
      <c r="I30" s="16">
        <f>IF($B30="","",IFERROR(AVERAGEIFS(Avaliação!$M:$M,Avaliação!$B:$B,$A30,Avaliação!$A:$A,Config!$B$4,Avaliação!$G:$G,Config!$A$18),""))</f>
        <v/>
      </c>
      <c r="J30" s="16">
        <f>IF($B30="","",IFERROR(AVERAGEIFS(Avaliação!$M:$M,Avaliação!$B:$B,$A30,Avaliação!$A:$A,Config!$B$4,Avaliação!$G:$G,Config!$A$19),""))</f>
        <v/>
      </c>
      <c r="K30" s="16">
        <f>IF($B30="","",IFERROR(AVERAGEIFS(Avaliação!$M:$M,Avaliação!$B:$B,$A30,Avaliação!$A:$A,Config!$B$4,Avaliação!$G:$G,Config!$A$20),""))</f>
        <v/>
      </c>
      <c r="L30" s="16">
        <f>IF($AF30=0,"",$AE30/$AF30)</f>
        <v/>
      </c>
      <c r="M30" s="16">
        <f>IFERROR(INDEX(Config!$B$25:$B$28,MATCH($E30,Config!$A$25:$A$28,0)),"")</f>
        <v/>
      </c>
      <c r="N30" s="16">
        <f>IF(OR($L30="",$M30=""),"",$L30-$M30)</f>
        <v/>
      </c>
      <c r="O30" s="15">
        <f>IF($L30="","",IF($L30&lt;2.5,"Abaixo",IF($L30&lt;3.5,"Atende",IF($L30&lt;=4.2,"Supera","Referência"))))</f>
        <v/>
      </c>
      <c r="P30" s="17">
        <f>IF($B30="","",COUNTIFS(Ocorrências!$B:$B,$B30,Ocorrências!$N:$N,Config!$B$4))</f>
        <v/>
      </c>
      <c r="Q30" s="17">
        <f>IF($B30="","",COUNTIFS(Ocorrências!$B:$B,$B30,Ocorrências!$N:$N,Config!$B$4,Ocorrências!$E:$E,"Reconhecimento")+COUNTIFS(Ocorrências!$B:$B,$B30,Ocorrências!$N:$N,Config!$B$4,Ocorrências!$E:$E,"Positiva"))</f>
        <v/>
      </c>
      <c r="R30" s="17">
        <f>IF($B30="","",COUNTIFS(Ocorrências!$B:$B,$B30,Ocorrências!$N:$N,Config!$B$4,Ocorrências!$E:$E,"Ponto de atenção")+COUNTIFS(Ocorrências!$B:$B,$B30,Ocorrências!$N:$N,Config!$B$4,Ocorrências!$E:$E,"Incidente"))</f>
        <v/>
      </c>
      <c r="S30" s="17">
        <f>IF($B30="","",IF(COUNTIF(Ocorrências!$B:$B,$B30)=0,"",TODAY()-_xlfn.MAXIFS(Ocorrências!$A:$A,Ocorrências!$B:$B,$B30)))</f>
        <v/>
      </c>
      <c r="T30" s="17">
        <f>IF($B30="","",IF(COUNTIF('Reuniões 1a1'!$B:$B,$B30)=0,"",TODAY()-_xlfn.MAXIFS('Reuniões 1a1'!$A:$A,'Reuniões 1a1'!$B:$B,$B30)))</f>
        <v/>
      </c>
      <c r="U30" s="17">
        <f>IF($B30="","",COUNTIFS(Avaliação!$B:$B,$A30,Avaliação!$A:$A,Config!$B$4,Avaliação!$K:$K,"&gt;=2"))</f>
        <v/>
      </c>
      <c r="V30" s="17">
        <f>IF($B30="","",COUNTIFS(Avaliação!$B:$B,$A30,Avaliação!$A:$A,Config!$B$4,Avaliação!$O:$O,"SEM LASTRO"))</f>
        <v/>
      </c>
      <c r="W30" s="17">
        <f>IF($B30="","",COUNTIFS(Ocorrências!$B:$B,$B30,Ocorrências!$N:$N,Config!$B$4,Ocorrências!$K:$K,"Não",Ocorrências!$E:$E,"Ponto de atenção")+COUNTIFS(Ocorrências!$B:$B,$B30,Ocorrências!$N:$N,Config!$B$4,Ocorrências!$K:$K,"Não",Ocorrências!$E:$E,"Incidente"))</f>
        <v/>
      </c>
      <c r="X30" s="17">
        <f>IF($L30="","",_xlfn.MAXIFS(Avaliação!$M:$M,Avaliação!$B:$B,$A30,Avaliação!$A:$A,Config!$B$4)-_xlfn.MINIFS(Avaliação!$M:$M,Avaliação!$B:$B,$A30,Avaliação!$A:$A,Config!$B$4))</f>
        <v/>
      </c>
      <c r="Y30" s="15">
        <f>IF($B30="","",IF(OR($V30&gt;0,$W30&gt;0),"BLOQUEIO",IF($L30="","Sem avaliação",IF($N30&lt;-0.3,"Abaixo da expectativa",IF($U30&gt;0,"Calibrar",IF($X30=0,"Nota chapada",IF(IF($T30="",0,$T30)&gt;30,"1:1 atrasada",IF(IF($S30="",99,$S30)&gt;45,"Sem registro","OK"))))))))</f>
        <v/>
      </c>
      <c r="Z30" s="2" t="n"/>
      <c r="AA30" s="15">
        <f>IFERROR(INDEX(Config!$B$17:$E$20,MATCH(Config!$A$17,Config!$A$17:$A$20,0),MATCH($D30,Config!$B$16:$E$16,0)),0)</f>
        <v/>
      </c>
      <c r="AB30" s="15">
        <f>IFERROR(INDEX(Config!$B$17:$E$20,MATCH(Config!$A$18,Config!$A$17:$A$20,0),MATCH($D30,Config!$B$16:$E$16,0)),0)</f>
        <v/>
      </c>
      <c r="AC30" s="15">
        <f>IFERROR(INDEX(Config!$B$17:$E$20,MATCH(Config!$A$19,Config!$A$17:$A$20,0),MATCH($D30,Config!$B$16:$E$16,0)),0)</f>
        <v/>
      </c>
      <c r="AD30" s="15">
        <f>IFERROR(INDEX(Config!$B$17:$E$20,MATCH(Config!$A$20,Config!$A$17:$A$20,0),MATCH($D30,Config!$B$16:$E$16,0)),0)</f>
        <v/>
      </c>
      <c r="AE30" s="15">
        <f>IFERROR($H30*$AA30,0)+IFERROR($I30*$AB30,0)+IFERROR($J30*$AC30,0)+IFERROR($K30*$AD30,0)</f>
        <v/>
      </c>
      <c r="AF30" s="15">
        <f>IF(ISNUMBER($H30),$AA30,0)+IF(ISNUMBER($I30),$AB30,0)+IF(ISNUMBER($J30),$AC30,0)+IF(ISNUMBER($K30),$AD30,0)</f>
        <v/>
      </c>
    </row>
    <row r="31">
      <c r="A31" s="15">
        <f>IF(Colaboradores!$B31="","",Colaboradores!$A31)</f>
        <v/>
      </c>
      <c r="B31" s="15">
        <f>IF(Colaboradores!$B31="","",Colaboradores!$B31)</f>
        <v/>
      </c>
      <c r="C31" s="15">
        <f>IF(Colaboradores!$B31="","",Colaboradores!$F31)</f>
        <v/>
      </c>
      <c r="D31" s="15">
        <f>IF(Colaboradores!$B31="","",Colaboradores!$D31)</f>
        <v/>
      </c>
      <c r="E31" s="15">
        <f>IF(Colaboradores!$B31="","",Colaboradores!$E31)</f>
        <v/>
      </c>
      <c r="F31" s="15">
        <f>IF(Colaboradores!$B31="","",Colaboradores!$O31)</f>
        <v/>
      </c>
      <c r="G31" s="15">
        <f>IF(Colaboradores!$B31="","",Colaboradores!$P31)</f>
        <v/>
      </c>
      <c r="H31" s="16">
        <f>IF($B31="","",IFERROR(AVERAGEIFS(Avaliação!$M:$M,Avaliação!$B:$B,$A31,Avaliação!$A:$A,Config!$B$4,Avaliação!$G:$G,Config!$A$17),""))</f>
        <v/>
      </c>
      <c r="I31" s="16">
        <f>IF($B31="","",IFERROR(AVERAGEIFS(Avaliação!$M:$M,Avaliação!$B:$B,$A31,Avaliação!$A:$A,Config!$B$4,Avaliação!$G:$G,Config!$A$18),""))</f>
        <v/>
      </c>
      <c r="J31" s="16">
        <f>IF($B31="","",IFERROR(AVERAGEIFS(Avaliação!$M:$M,Avaliação!$B:$B,$A31,Avaliação!$A:$A,Config!$B$4,Avaliação!$G:$G,Config!$A$19),""))</f>
        <v/>
      </c>
      <c r="K31" s="16">
        <f>IF($B31="","",IFERROR(AVERAGEIFS(Avaliação!$M:$M,Avaliação!$B:$B,$A31,Avaliação!$A:$A,Config!$B$4,Avaliação!$G:$G,Config!$A$20),""))</f>
        <v/>
      </c>
      <c r="L31" s="16">
        <f>IF($AF31=0,"",$AE31/$AF31)</f>
        <v/>
      </c>
      <c r="M31" s="16">
        <f>IFERROR(INDEX(Config!$B$25:$B$28,MATCH($E31,Config!$A$25:$A$28,0)),"")</f>
        <v/>
      </c>
      <c r="N31" s="16">
        <f>IF(OR($L31="",$M31=""),"",$L31-$M31)</f>
        <v/>
      </c>
      <c r="O31" s="15">
        <f>IF($L31="","",IF($L31&lt;2.5,"Abaixo",IF($L31&lt;3.5,"Atende",IF($L31&lt;=4.2,"Supera","Referência"))))</f>
        <v/>
      </c>
      <c r="P31" s="17">
        <f>IF($B31="","",COUNTIFS(Ocorrências!$B:$B,$B31,Ocorrências!$N:$N,Config!$B$4))</f>
        <v/>
      </c>
      <c r="Q31" s="17">
        <f>IF($B31="","",COUNTIFS(Ocorrências!$B:$B,$B31,Ocorrências!$N:$N,Config!$B$4,Ocorrências!$E:$E,"Reconhecimento")+COUNTIFS(Ocorrências!$B:$B,$B31,Ocorrências!$N:$N,Config!$B$4,Ocorrências!$E:$E,"Positiva"))</f>
        <v/>
      </c>
      <c r="R31" s="17">
        <f>IF($B31="","",COUNTIFS(Ocorrências!$B:$B,$B31,Ocorrências!$N:$N,Config!$B$4,Ocorrências!$E:$E,"Ponto de atenção")+COUNTIFS(Ocorrências!$B:$B,$B31,Ocorrências!$N:$N,Config!$B$4,Ocorrências!$E:$E,"Incidente"))</f>
        <v/>
      </c>
      <c r="S31" s="17">
        <f>IF($B31="","",IF(COUNTIF(Ocorrências!$B:$B,$B31)=0,"",TODAY()-_xlfn.MAXIFS(Ocorrências!$A:$A,Ocorrências!$B:$B,$B31)))</f>
        <v/>
      </c>
      <c r="T31" s="17">
        <f>IF($B31="","",IF(COUNTIF('Reuniões 1a1'!$B:$B,$B31)=0,"",TODAY()-_xlfn.MAXIFS('Reuniões 1a1'!$A:$A,'Reuniões 1a1'!$B:$B,$B31)))</f>
        <v/>
      </c>
      <c r="U31" s="17">
        <f>IF($B31="","",COUNTIFS(Avaliação!$B:$B,$A31,Avaliação!$A:$A,Config!$B$4,Avaliação!$K:$K,"&gt;=2"))</f>
        <v/>
      </c>
      <c r="V31" s="17">
        <f>IF($B31="","",COUNTIFS(Avaliação!$B:$B,$A31,Avaliação!$A:$A,Config!$B$4,Avaliação!$O:$O,"SEM LASTRO"))</f>
        <v/>
      </c>
      <c r="W31" s="17">
        <f>IF($B31="","",COUNTIFS(Ocorrências!$B:$B,$B31,Ocorrências!$N:$N,Config!$B$4,Ocorrências!$K:$K,"Não",Ocorrências!$E:$E,"Ponto de atenção")+COUNTIFS(Ocorrências!$B:$B,$B31,Ocorrências!$N:$N,Config!$B$4,Ocorrências!$K:$K,"Não",Ocorrências!$E:$E,"Incidente"))</f>
        <v/>
      </c>
      <c r="X31" s="17">
        <f>IF($L31="","",_xlfn.MAXIFS(Avaliação!$M:$M,Avaliação!$B:$B,$A31,Avaliação!$A:$A,Config!$B$4)-_xlfn.MINIFS(Avaliação!$M:$M,Avaliação!$B:$B,$A31,Avaliação!$A:$A,Config!$B$4))</f>
        <v/>
      </c>
      <c r="Y31" s="15">
        <f>IF($B31="","",IF(OR($V31&gt;0,$W31&gt;0),"BLOQUEIO",IF($L31="","Sem avaliação",IF($N31&lt;-0.3,"Abaixo da expectativa",IF($U31&gt;0,"Calibrar",IF($X31=0,"Nota chapada",IF(IF($T31="",0,$T31)&gt;30,"1:1 atrasada",IF(IF($S31="",99,$S31)&gt;45,"Sem registro","OK"))))))))</f>
        <v/>
      </c>
      <c r="Z31" s="2" t="n"/>
      <c r="AA31" s="15">
        <f>IFERROR(INDEX(Config!$B$17:$E$20,MATCH(Config!$A$17,Config!$A$17:$A$20,0),MATCH($D31,Config!$B$16:$E$16,0)),0)</f>
        <v/>
      </c>
      <c r="AB31" s="15">
        <f>IFERROR(INDEX(Config!$B$17:$E$20,MATCH(Config!$A$18,Config!$A$17:$A$20,0),MATCH($D31,Config!$B$16:$E$16,0)),0)</f>
        <v/>
      </c>
      <c r="AC31" s="15">
        <f>IFERROR(INDEX(Config!$B$17:$E$20,MATCH(Config!$A$19,Config!$A$17:$A$20,0),MATCH($D31,Config!$B$16:$E$16,0)),0)</f>
        <v/>
      </c>
      <c r="AD31" s="15">
        <f>IFERROR(INDEX(Config!$B$17:$E$20,MATCH(Config!$A$20,Config!$A$17:$A$20,0),MATCH($D31,Config!$B$16:$E$16,0)),0)</f>
        <v/>
      </c>
      <c r="AE31" s="15">
        <f>IFERROR($H31*$AA31,0)+IFERROR($I31*$AB31,0)+IFERROR($J31*$AC31,0)+IFERROR($K31*$AD31,0)</f>
        <v/>
      </c>
      <c r="AF31" s="15">
        <f>IF(ISNUMBER($H31),$AA31,0)+IF(ISNUMBER($I31),$AB31,0)+IF(ISNUMBER($J31),$AC31,0)+IF(ISNUMBER($K31),$AD31,0)</f>
        <v/>
      </c>
    </row>
    <row r="32">
      <c r="A32" s="15">
        <f>IF(Colaboradores!$B32="","",Colaboradores!$A32)</f>
        <v/>
      </c>
      <c r="B32" s="15">
        <f>IF(Colaboradores!$B32="","",Colaboradores!$B32)</f>
        <v/>
      </c>
      <c r="C32" s="15">
        <f>IF(Colaboradores!$B32="","",Colaboradores!$F32)</f>
        <v/>
      </c>
      <c r="D32" s="15">
        <f>IF(Colaboradores!$B32="","",Colaboradores!$D32)</f>
        <v/>
      </c>
      <c r="E32" s="15">
        <f>IF(Colaboradores!$B32="","",Colaboradores!$E32)</f>
        <v/>
      </c>
      <c r="F32" s="15">
        <f>IF(Colaboradores!$B32="","",Colaboradores!$O32)</f>
        <v/>
      </c>
      <c r="G32" s="15">
        <f>IF(Colaboradores!$B32="","",Colaboradores!$P32)</f>
        <v/>
      </c>
      <c r="H32" s="16">
        <f>IF($B32="","",IFERROR(AVERAGEIFS(Avaliação!$M:$M,Avaliação!$B:$B,$A32,Avaliação!$A:$A,Config!$B$4,Avaliação!$G:$G,Config!$A$17),""))</f>
        <v/>
      </c>
      <c r="I32" s="16">
        <f>IF($B32="","",IFERROR(AVERAGEIFS(Avaliação!$M:$M,Avaliação!$B:$B,$A32,Avaliação!$A:$A,Config!$B$4,Avaliação!$G:$G,Config!$A$18),""))</f>
        <v/>
      </c>
      <c r="J32" s="16">
        <f>IF($B32="","",IFERROR(AVERAGEIFS(Avaliação!$M:$M,Avaliação!$B:$B,$A32,Avaliação!$A:$A,Config!$B$4,Avaliação!$G:$G,Config!$A$19),""))</f>
        <v/>
      </c>
      <c r="K32" s="16">
        <f>IF($B32="","",IFERROR(AVERAGEIFS(Avaliação!$M:$M,Avaliação!$B:$B,$A32,Avaliação!$A:$A,Config!$B$4,Avaliação!$G:$G,Config!$A$20),""))</f>
        <v/>
      </c>
      <c r="L32" s="16">
        <f>IF($AF32=0,"",$AE32/$AF32)</f>
        <v/>
      </c>
      <c r="M32" s="16">
        <f>IFERROR(INDEX(Config!$B$25:$B$28,MATCH($E32,Config!$A$25:$A$28,0)),"")</f>
        <v/>
      </c>
      <c r="N32" s="16">
        <f>IF(OR($L32="",$M32=""),"",$L32-$M32)</f>
        <v/>
      </c>
      <c r="O32" s="15">
        <f>IF($L32="","",IF($L32&lt;2.5,"Abaixo",IF($L32&lt;3.5,"Atende",IF($L32&lt;=4.2,"Supera","Referência"))))</f>
        <v/>
      </c>
      <c r="P32" s="17">
        <f>IF($B32="","",COUNTIFS(Ocorrências!$B:$B,$B32,Ocorrências!$N:$N,Config!$B$4))</f>
        <v/>
      </c>
      <c r="Q32" s="17">
        <f>IF($B32="","",COUNTIFS(Ocorrências!$B:$B,$B32,Ocorrências!$N:$N,Config!$B$4,Ocorrências!$E:$E,"Reconhecimento")+COUNTIFS(Ocorrências!$B:$B,$B32,Ocorrências!$N:$N,Config!$B$4,Ocorrências!$E:$E,"Positiva"))</f>
        <v/>
      </c>
      <c r="R32" s="17">
        <f>IF($B32="","",COUNTIFS(Ocorrências!$B:$B,$B32,Ocorrências!$N:$N,Config!$B$4,Ocorrências!$E:$E,"Ponto de atenção")+COUNTIFS(Ocorrências!$B:$B,$B32,Ocorrências!$N:$N,Config!$B$4,Ocorrências!$E:$E,"Incidente"))</f>
        <v/>
      </c>
      <c r="S32" s="17">
        <f>IF($B32="","",IF(COUNTIF(Ocorrências!$B:$B,$B32)=0,"",TODAY()-_xlfn.MAXIFS(Ocorrências!$A:$A,Ocorrências!$B:$B,$B32)))</f>
        <v/>
      </c>
      <c r="T32" s="17">
        <f>IF($B32="","",IF(COUNTIF('Reuniões 1a1'!$B:$B,$B32)=0,"",TODAY()-_xlfn.MAXIFS('Reuniões 1a1'!$A:$A,'Reuniões 1a1'!$B:$B,$B32)))</f>
        <v/>
      </c>
      <c r="U32" s="17">
        <f>IF($B32="","",COUNTIFS(Avaliação!$B:$B,$A32,Avaliação!$A:$A,Config!$B$4,Avaliação!$K:$K,"&gt;=2"))</f>
        <v/>
      </c>
      <c r="V32" s="17">
        <f>IF($B32="","",COUNTIFS(Avaliação!$B:$B,$A32,Avaliação!$A:$A,Config!$B$4,Avaliação!$O:$O,"SEM LASTRO"))</f>
        <v/>
      </c>
      <c r="W32" s="17">
        <f>IF($B32="","",COUNTIFS(Ocorrências!$B:$B,$B32,Ocorrências!$N:$N,Config!$B$4,Ocorrências!$K:$K,"Não",Ocorrências!$E:$E,"Ponto de atenção")+COUNTIFS(Ocorrências!$B:$B,$B32,Ocorrências!$N:$N,Config!$B$4,Ocorrências!$K:$K,"Não",Ocorrências!$E:$E,"Incidente"))</f>
        <v/>
      </c>
      <c r="X32" s="17">
        <f>IF($L32="","",_xlfn.MAXIFS(Avaliação!$M:$M,Avaliação!$B:$B,$A32,Avaliação!$A:$A,Config!$B$4)-_xlfn.MINIFS(Avaliação!$M:$M,Avaliação!$B:$B,$A32,Avaliação!$A:$A,Config!$B$4))</f>
        <v/>
      </c>
      <c r="Y32" s="15">
        <f>IF($B32="","",IF(OR($V32&gt;0,$W32&gt;0),"BLOQUEIO",IF($L32="","Sem avaliação",IF($N32&lt;-0.3,"Abaixo da expectativa",IF($U32&gt;0,"Calibrar",IF($X32=0,"Nota chapada",IF(IF($T32="",0,$T32)&gt;30,"1:1 atrasada",IF(IF($S32="",99,$S32)&gt;45,"Sem registro","OK"))))))))</f>
        <v/>
      </c>
      <c r="Z32" s="2" t="n"/>
      <c r="AA32" s="15">
        <f>IFERROR(INDEX(Config!$B$17:$E$20,MATCH(Config!$A$17,Config!$A$17:$A$20,0),MATCH($D32,Config!$B$16:$E$16,0)),0)</f>
        <v/>
      </c>
      <c r="AB32" s="15">
        <f>IFERROR(INDEX(Config!$B$17:$E$20,MATCH(Config!$A$18,Config!$A$17:$A$20,0),MATCH($D32,Config!$B$16:$E$16,0)),0)</f>
        <v/>
      </c>
      <c r="AC32" s="15">
        <f>IFERROR(INDEX(Config!$B$17:$E$20,MATCH(Config!$A$19,Config!$A$17:$A$20,0),MATCH($D32,Config!$B$16:$E$16,0)),0)</f>
        <v/>
      </c>
      <c r="AD32" s="15">
        <f>IFERROR(INDEX(Config!$B$17:$E$20,MATCH(Config!$A$20,Config!$A$17:$A$20,0),MATCH($D32,Config!$B$16:$E$16,0)),0)</f>
        <v/>
      </c>
      <c r="AE32" s="15">
        <f>IFERROR($H32*$AA32,0)+IFERROR($I32*$AB32,0)+IFERROR($J32*$AC32,0)+IFERROR($K32*$AD32,0)</f>
        <v/>
      </c>
      <c r="AF32" s="15">
        <f>IF(ISNUMBER($H32),$AA32,0)+IF(ISNUMBER($I32),$AB32,0)+IF(ISNUMBER($J32),$AC32,0)+IF(ISNUMBER($K32),$AD32,0)</f>
        <v/>
      </c>
    </row>
    <row r="33">
      <c r="A33" s="15">
        <f>IF(Colaboradores!$B33="","",Colaboradores!$A33)</f>
        <v/>
      </c>
      <c r="B33" s="15">
        <f>IF(Colaboradores!$B33="","",Colaboradores!$B33)</f>
        <v/>
      </c>
      <c r="C33" s="15">
        <f>IF(Colaboradores!$B33="","",Colaboradores!$F33)</f>
        <v/>
      </c>
      <c r="D33" s="15">
        <f>IF(Colaboradores!$B33="","",Colaboradores!$D33)</f>
        <v/>
      </c>
      <c r="E33" s="15">
        <f>IF(Colaboradores!$B33="","",Colaboradores!$E33)</f>
        <v/>
      </c>
      <c r="F33" s="15">
        <f>IF(Colaboradores!$B33="","",Colaboradores!$O33)</f>
        <v/>
      </c>
      <c r="G33" s="15">
        <f>IF(Colaboradores!$B33="","",Colaboradores!$P33)</f>
        <v/>
      </c>
      <c r="H33" s="16">
        <f>IF($B33="","",IFERROR(AVERAGEIFS(Avaliação!$M:$M,Avaliação!$B:$B,$A33,Avaliação!$A:$A,Config!$B$4,Avaliação!$G:$G,Config!$A$17),""))</f>
        <v/>
      </c>
      <c r="I33" s="16">
        <f>IF($B33="","",IFERROR(AVERAGEIFS(Avaliação!$M:$M,Avaliação!$B:$B,$A33,Avaliação!$A:$A,Config!$B$4,Avaliação!$G:$G,Config!$A$18),""))</f>
        <v/>
      </c>
      <c r="J33" s="16">
        <f>IF($B33="","",IFERROR(AVERAGEIFS(Avaliação!$M:$M,Avaliação!$B:$B,$A33,Avaliação!$A:$A,Config!$B$4,Avaliação!$G:$G,Config!$A$19),""))</f>
        <v/>
      </c>
      <c r="K33" s="16">
        <f>IF($B33="","",IFERROR(AVERAGEIFS(Avaliação!$M:$M,Avaliação!$B:$B,$A33,Avaliação!$A:$A,Config!$B$4,Avaliação!$G:$G,Config!$A$20),""))</f>
        <v/>
      </c>
      <c r="L33" s="16">
        <f>IF($AF33=0,"",$AE33/$AF33)</f>
        <v/>
      </c>
      <c r="M33" s="16">
        <f>IFERROR(INDEX(Config!$B$25:$B$28,MATCH($E33,Config!$A$25:$A$28,0)),"")</f>
        <v/>
      </c>
      <c r="N33" s="16">
        <f>IF(OR($L33="",$M33=""),"",$L33-$M33)</f>
        <v/>
      </c>
      <c r="O33" s="15">
        <f>IF($L33="","",IF($L33&lt;2.5,"Abaixo",IF($L33&lt;3.5,"Atende",IF($L33&lt;=4.2,"Supera","Referência"))))</f>
        <v/>
      </c>
      <c r="P33" s="17">
        <f>IF($B33="","",COUNTIFS(Ocorrências!$B:$B,$B33,Ocorrências!$N:$N,Config!$B$4))</f>
        <v/>
      </c>
      <c r="Q33" s="17">
        <f>IF($B33="","",COUNTIFS(Ocorrências!$B:$B,$B33,Ocorrências!$N:$N,Config!$B$4,Ocorrências!$E:$E,"Reconhecimento")+COUNTIFS(Ocorrências!$B:$B,$B33,Ocorrências!$N:$N,Config!$B$4,Ocorrências!$E:$E,"Positiva"))</f>
        <v/>
      </c>
      <c r="R33" s="17">
        <f>IF($B33="","",COUNTIFS(Ocorrências!$B:$B,$B33,Ocorrências!$N:$N,Config!$B$4,Ocorrências!$E:$E,"Ponto de atenção")+COUNTIFS(Ocorrências!$B:$B,$B33,Ocorrências!$N:$N,Config!$B$4,Ocorrências!$E:$E,"Incidente"))</f>
        <v/>
      </c>
      <c r="S33" s="17">
        <f>IF($B33="","",IF(COUNTIF(Ocorrências!$B:$B,$B33)=0,"",TODAY()-_xlfn.MAXIFS(Ocorrências!$A:$A,Ocorrências!$B:$B,$B33)))</f>
        <v/>
      </c>
      <c r="T33" s="17">
        <f>IF($B33="","",IF(COUNTIF('Reuniões 1a1'!$B:$B,$B33)=0,"",TODAY()-_xlfn.MAXIFS('Reuniões 1a1'!$A:$A,'Reuniões 1a1'!$B:$B,$B33)))</f>
        <v/>
      </c>
      <c r="U33" s="17">
        <f>IF($B33="","",COUNTIFS(Avaliação!$B:$B,$A33,Avaliação!$A:$A,Config!$B$4,Avaliação!$K:$K,"&gt;=2"))</f>
        <v/>
      </c>
      <c r="V33" s="17">
        <f>IF($B33="","",COUNTIFS(Avaliação!$B:$B,$A33,Avaliação!$A:$A,Config!$B$4,Avaliação!$O:$O,"SEM LASTRO"))</f>
        <v/>
      </c>
      <c r="W33" s="17">
        <f>IF($B33="","",COUNTIFS(Ocorrências!$B:$B,$B33,Ocorrências!$N:$N,Config!$B$4,Ocorrências!$K:$K,"Não",Ocorrências!$E:$E,"Ponto de atenção")+COUNTIFS(Ocorrências!$B:$B,$B33,Ocorrências!$N:$N,Config!$B$4,Ocorrências!$K:$K,"Não",Ocorrências!$E:$E,"Incidente"))</f>
        <v/>
      </c>
      <c r="X33" s="17">
        <f>IF($L33="","",_xlfn.MAXIFS(Avaliação!$M:$M,Avaliação!$B:$B,$A33,Avaliação!$A:$A,Config!$B$4)-_xlfn.MINIFS(Avaliação!$M:$M,Avaliação!$B:$B,$A33,Avaliação!$A:$A,Config!$B$4))</f>
        <v/>
      </c>
      <c r="Y33" s="15">
        <f>IF($B33="","",IF(OR($V33&gt;0,$W33&gt;0),"BLOQUEIO",IF($L33="","Sem avaliação",IF($N33&lt;-0.3,"Abaixo da expectativa",IF($U33&gt;0,"Calibrar",IF($X33=0,"Nota chapada",IF(IF($T33="",0,$T33)&gt;30,"1:1 atrasada",IF(IF($S33="",99,$S33)&gt;45,"Sem registro","OK"))))))))</f>
        <v/>
      </c>
      <c r="Z33" s="2" t="n"/>
      <c r="AA33" s="15">
        <f>IFERROR(INDEX(Config!$B$17:$E$20,MATCH(Config!$A$17,Config!$A$17:$A$20,0),MATCH($D33,Config!$B$16:$E$16,0)),0)</f>
        <v/>
      </c>
      <c r="AB33" s="15">
        <f>IFERROR(INDEX(Config!$B$17:$E$20,MATCH(Config!$A$18,Config!$A$17:$A$20,0),MATCH($D33,Config!$B$16:$E$16,0)),0)</f>
        <v/>
      </c>
      <c r="AC33" s="15">
        <f>IFERROR(INDEX(Config!$B$17:$E$20,MATCH(Config!$A$19,Config!$A$17:$A$20,0),MATCH($D33,Config!$B$16:$E$16,0)),0)</f>
        <v/>
      </c>
      <c r="AD33" s="15">
        <f>IFERROR(INDEX(Config!$B$17:$E$20,MATCH(Config!$A$20,Config!$A$17:$A$20,0),MATCH($D33,Config!$B$16:$E$16,0)),0)</f>
        <v/>
      </c>
      <c r="AE33" s="15">
        <f>IFERROR($H33*$AA33,0)+IFERROR($I33*$AB33,0)+IFERROR($J33*$AC33,0)+IFERROR($K33*$AD33,0)</f>
        <v/>
      </c>
      <c r="AF33" s="15">
        <f>IF(ISNUMBER($H33),$AA33,0)+IF(ISNUMBER($I33),$AB33,0)+IF(ISNUMBER($J33),$AC33,0)+IF(ISNUMBER($K33),$AD33,0)</f>
        <v/>
      </c>
    </row>
    <row r="34">
      <c r="A34" s="15">
        <f>IF(Colaboradores!$B34="","",Colaboradores!$A34)</f>
        <v/>
      </c>
      <c r="B34" s="15">
        <f>IF(Colaboradores!$B34="","",Colaboradores!$B34)</f>
        <v/>
      </c>
      <c r="C34" s="15">
        <f>IF(Colaboradores!$B34="","",Colaboradores!$F34)</f>
        <v/>
      </c>
      <c r="D34" s="15">
        <f>IF(Colaboradores!$B34="","",Colaboradores!$D34)</f>
        <v/>
      </c>
      <c r="E34" s="15">
        <f>IF(Colaboradores!$B34="","",Colaboradores!$E34)</f>
        <v/>
      </c>
      <c r="F34" s="15">
        <f>IF(Colaboradores!$B34="","",Colaboradores!$O34)</f>
        <v/>
      </c>
      <c r="G34" s="15">
        <f>IF(Colaboradores!$B34="","",Colaboradores!$P34)</f>
        <v/>
      </c>
      <c r="H34" s="16">
        <f>IF($B34="","",IFERROR(AVERAGEIFS(Avaliação!$M:$M,Avaliação!$B:$B,$A34,Avaliação!$A:$A,Config!$B$4,Avaliação!$G:$G,Config!$A$17),""))</f>
        <v/>
      </c>
      <c r="I34" s="16">
        <f>IF($B34="","",IFERROR(AVERAGEIFS(Avaliação!$M:$M,Avaliação!$B:$B,$A34,Avaliação!$A:$A,Config!$B$4,Avaliação!$G:$G,Config!$A$18),""))</f>
        <v/>
      </c>
      <c r="J34" s="16">
        <f>IF($B34="","",IFERROR(AVERAGEIFS(Avaliação!$M:$M,Avaliação!$B:$B,$A34,Avaliação!$A:$A,Config!$B$4,Avaliação!$G:$G,Config!$A$19),""))</f>
        <v/>
      </c>
      <c r="K34" s="16">
        <f>IF($B34="","",IFERROR(AVERAGEIFS(Avaliação!$M:$M,Avaliação!$B:$B,$A34,Avaliação!$A:$A,Config!$B$4,Avaliação!$G:$G,Config!$A$20),""))</f>
        <v/>
      </c>
      <c r="L34" s="16">
        <f>IF($AF34=0,"",$AE34/$AF34)</f>
        <v/>
      </c>
      <c r="M34" s="16">
        <f>IFERROR(INDEX(Config!$B$25:$B$28,MATCH($E34,Config!$A$25:$A$28,0)),"")</f>
        <v/>
      </c>
      <c r="N34" s="16">
        <f>IF(OR($L34="",$M34=""),"",$L34-$M34)</f>
        <v/>
      </c>
      <c r="O34" s="15">
        <f>IF($L34="","",IF($L34&lt;2.5,"Abaixo",IF($L34&lt;3.5,"Atende",IF($L34&lt;=4.2,"Supera","Referência"))))</f>
        <v/>
      </c>
      <c r="P34" s="17">
        <f>IF($B34="","",COUNTIFS(Ocorrências!$B:$B,$B34,Ocorrências!$N:$N,Config!$B$4))</f>
        <v/>
      </c>
      <c r="Q34" s="17">
        <f>IF($B34="","",COUNTIFS(Ocorrências!$B:$B,$B34,Ocorrências!$N:$N,Config!$B$4,Ocorrências!$E:$E,"Reconhecimento")+COUNTIFS(Ocorrências!$B:$B,$B34,Ocorrências!$N:$N,Config!$B$4,Ocorrências!$E:$E,"Positiva"))</f>
        <v/>
      </c>
      <c r="R34" s="17">
        <f>IF($B34="","",COUNTIFS(Ocorrências!$B:$B,$B34,Ocorrências!$N:$N,Config!$B$4,Ocorrências!$E:$E,"Ponto de atenção")+COUNTIFS(Ocorrências!$B:$B,$B34,Ocorrências!$N:$N,Config!$B$4,Ocorrências!$E:$E,"Incidente"))</f>
        <v/>
      </c>
      <c r="S34" s="17">
        <f>IF($B34="","",IF(COUNTIF(Ocorrências!$B:$B,$B34)=0,"",TODAY()-_xlfn.MAXIFS(Ocorrências!$A:$A,Ocorrências!$B:$B,$B34)))</f>
        <v/>
      </c>
      <c r="T34" s="17">
        <f>IF($B34="","",IF(COUNTIF('Reuniões 1a1'!$B:$B,$B34)=0,"",TODAY()-_xlfn.MAXIFS('Reuniões 1a1'!$A:$A,'Reuniões 1a1'!$B:$B,$B34)))</f>
        <v/>
      </c>
      <c r="U34" s="17">
        <f>IF($B34="","",COUNTIFS(Avaliação!$B:$B,$A34,Avaliação!$A:$A,Config!$B$4,Avaliação!$K:$K,"&gt;=2"))</f>
        <v/>
      </c>
      <c r="V34" s="17">
        <f>IF($B34="","",COUNTIFS(Avaliação!$B:$B,$A34,Avaliação!$A:$A,Config!$B$4,Avaliação!$O:$O,"SEM LASTRO"))</f>
        <v/>
      </c>
      <c r="W34" s="17">
        <f>IF($B34="","",COUNTIFS(Ocorrências!$B:$B,$B34,Ocorrências!$N:$N,Config!$B$4,Ocorrências!$K:$K,"Não",Ocorrências!$E:$E,"Ponto de atenção")+COUNTIFS(Ocorrências!$B:$B,$B34,Ocorrências!$N:$N,Config!$B$4,Ocorrências!$K:$K,"Não",Ocorrências!$E:$E,"Incidente"))</f>
        <v/>
      </c>
      <c r="X34" s="17">
        <f>IF($L34="","",_xlfn.MAXIFS(Avaliação!$M:$M,Avaliação!$B:$B,$A34,Avaliação!$A:$A,Config!$B$4)-_xlfn.MINIFS(Avaliação!$M:$M,Avaliação!$B:$B,$A34,Avaliação!$A:$A,Config!$B$4))</f>
        <v/>
      </c>
      <c r="Y34" s="15">
        <f>IF($B34="","",IF(OR($V34&gt;0,$W34&gt;0),"BLOQUEIO",IF($L34="","Sem avaliação",IF($N34&lt;-0.3,"Abaixo da expectativa",IF($U34&gt;0,"Calibrar",IF($X34=0,"Nota chapada",IF(IF($T34="",0,$T34)&gt;30,"1:1 atrasada",IF(IF($S34="",99,$S34)&gt;45,"Sem registro","OK"))))))))</f>
        <v/>
      </c>
      <c r="Z34" s="2" t="n"/>
      <c r="AA34" s="15">
        <f>IFERROR(INDEX(Config!$B$17:$E$20,MATCH(Config!$A$17,Config!$A$17:$A$20,0),MATCH($D34,Config!$B$16:$E$16,0)),0)</f>
        <v/>
      </c>
      <c r="AB34" s="15">
        <f>IFERROR(INDEX(Config!$B$17:$E$20,MATCH(Config!$A$18,Config!$A$17:$A$20,0),MATCH($D34,Config!$B$16:$E$16,0)),0)</f>
        <v/>
      </c>
      <c r="AC34" s="15">
        <f>IFERROR(INDEX(Config!$B$17:$E$20,MATCH(Config!$A$19,Config!$A$17:$A$20,0),MATCH($D34,Config!$B$16:$E$16,0)),0)</f>
        <v/>
      </c>
      <c r="AD34" s="15">
        <f>IFERROR(INDEX(Config!$B$17:$E$20,MATCH(Config!$A$20,Config!$A$17:$A$20,0),MATCH($D34,Config!$B$16:$E$16,0)),0)</f>
        <v/>
      </c>
      <c r="AE34" s="15">
        <f>IFERROR($H34*$AA34,0)+IFERROR($I34*$AB34,0)+IFERROR($J34*$AC34,0)+IFERROR($K34*$AD34,0)</f>
        <v/>
      </c>
      <c r="AF34" s="15">
        <f>IF(ISNUMBER($H34),$AA34,0)+IF(ISNUMBER($I34),$AB34,0)+IF(ISNUMBER($J34),$AC34,0)+IF(ISNUMBER($K34),$AD34,0)</f>
        <v/>
      </c>
    </row>
    <row r="35">
      <c r="A35" s="15">
        <f>IF(Colaboradores!$B35="","",Colaboradores!$A35)</f>
        <v/>
      </c>
      <c r="B35" s="15">
        <f>IF(Colaboradores!$B35="","",Colaboradores!$B35)</f>
        <v/>
      </c>
      <c r="C35" s="15">
        <f>IF(Colaboradores!$B35="","",Colaboradores!$F35)</f>
        <v/>
      </c>
      <c r="D35" s="15">
        <f>IF(Colaboradores!$B35="","",Colaboradores!$D35)</f>
        <v/>
      </c>
      <c r="E35" s="15">
        <f>IF(Colaboradores!$B35="","",Colaboradores!$E35)</f>
        <v/>
      </c>
      <c r="F35" s="15">
        <f>IF(Colaboradores!$B35="","",Colaboradores!$O35)</f>
        <v/>
      </c>
      <c r="G35" s="15">
        <f>IF(Colaboradores!$B35="","",Colaboradores!$P35)</f>
        <v/>
      </c>
      <c r="H35" s="16">
        <f>IF($B35="","",IFERROR(AVERAGEIFS(Avaliação!$M:$M,Avaliação!$B:$B,$A35,Avaliação!$A:$A,Config!$B$4,Avaliação!$G:$G,Config!$A$17),""))</f>
        <v/>
      </c>
      <c r="I35" s="16">
        <f>IF($B35="","",IFERROR(AVERAGEIFS(Avaliação!$M:$M,Avaliação!$B:$B,$A35,Avaliação!$A:$A,Config!$B$4,Avaliação!$G:$G,Config!$A$18),""))</f>
        <v/>
      </c>
      <c r="J35" s="16">
        <f>IF($B35="","",IFERROR(AVERAGEIFS(Avaliação!$M:$M,Avaliação!$B:$B,$A35,Avaliação!$A:$A,Config!$B$4,Avaliação!$G:$G,Config!$A$19),""))</f>
        <v/>
      </c>
      <c r="K35" s="16">
        <f>IF($B35="","",IFERROR(AVERAGEIFS(Avaliação!$M:$M,Avaliação!$B:$B,$A35,Avaliação!$A:$A,Config!$B$4,Avaliação!$G:$G,Config!$A$20),""))</f>
        <v/>
      </c>
      <c r="L35" s="16">
        <f>IF($AF35=0,"",$AE35/$AF35)</f>
        <v/>
      </c>
      <c r="M35" s="16">
        <f>IFERROR(INDEX(Config!$B$25:$B$28,MATCH($E35,Config!$A$25:$A$28,0)),"")</f>
        <v/>
      </c>
      <c r="N35" s="16">
        <f>IF(OR($L35="",$M35=""),"",$L35-$M35)</f>
        <v/>
      </c>
      <c r="O35" s="15">
        <f>IF($L35="","",IF($L35&lt;2.5,"Abaixo",IF($L35&lt;3.5,"Atende",IF($L35&lt;=4.2,"Supera","Referência"))))</f>
        <v/>
      </c>
      <c r="P35" s="17">
        <f>IF($B35="","",COUNTIFS(Ocorrências!$B:$B,$B35,Ocorrências!$N:$N,Config!$B$4))</f>
        <v/>
      </c>
      <c r="Q35" s="17">
        <f>IF($B35="","",COUNTIFS(Ocorrências!$B:$B,$B35,Ocorrências!$N:$N,Config!$B$4,Ocorrências!$E:$E,"Reconhecimento")+COUNTIFS(Ocorrências!$B:$B,$B35,Ocorrências!$N:$N,Config!$B$4,Ocorrências!$E:$E,"Positiva"))</f>
        <v/>
      </c>
      <c r="R35" s="17">
        <f>IF($B35="","",COUNTIFS(Ocorrências!$B:$B,$B35,Ocorrências!$N:$N,Config!$B$4,Ocorrências!$E:$E,"Ponto de atenção")+COUNTIFS(Ocorrências!$B:$B,$B35,Ocorrências!$N:$N,Config!$B$4,Ocorrências!$E:$E,"Incidente"))</f>
        <v/>
      </c>
      <c r="S35" s="17">
        <f>IF($B35="","",IF(COUNTIF(Ocorrências!$B:$B,$B35)=0,"",TODAY()-_xlfn.MAXIFS(Ocorrências!$A:$A,Ocorrências!$B:$B,$B35)))</f>
        <v/>
      </c>
      <c r="T35" s="17">
        <f>IF($B35="","",IF(COUNTIF('Reuniões 1a1'!$B:$B,$B35)=0,"",TODAY()-_xlfn.MAXIFS('Reuniões 1a1'!$A:$A,'Reuniões 1a1'!$B:$B,$B35)))</f>
        <v/>
      </c>
      <c r="U35" s="17">
        <f>IF($B35="","",COUNTIFS(Avaliação!$B:$B,$A35,Avaliação!$A:$A,Config!$B$4,Avaliação!$K:$K,"&gt;=2"))</f>
        <v/>
      </c>
      <c r="V35" s="17">
        <f>IF($B35="","",COUNTIFS(Avaliação!$B:$B,$A35,Avaliação!$A:$A,Config!$B$4,Avaliação!$O:$O,"SEM LASTRO"))</f>
        <v/>
      </c>
      <c r="W35" s="17">
        <f>IF($B35="","",COUNTIFS(Ocorrências!$B:$B,$B35,Ocorrências!$N:$N,Config!$B$4,Ocorrências!$K:$K,"Não",Ocorrências!$E:$E,"Ponto de atenção")+COUNTIFS(Ocorrências!$B:$B,$B35,Ocorrências!$N:$N,Config!$B$4,Ocorrências!$K:$K,"Não",Ocorrências!$E:$E,"Incidente"))</f>
        <v/>
      </c>
      <c r="X35" s="17">
        <f>IF($L35="","",_xlfn.MAXIFS(Avaliação!$M:$M,Avaliação!$B:$B,$A35,Avaliação!$A:$A,Config!$B$4)-_xlfn.MINIFS(Avaliação!$M:$M,Avaliação!$B:$B,$A35,Avaliação!$A:$A,Config!$B$4))</f>
        <v/>
      </c>
      <c r="Y35" s="15">
        <f>IF($B35="","",IF(OR($V35&gt;0,$W35&gt;0),"BLOQUEIO",IF($L35="","Sem avaliação",IF($N35&lt;-0.3,"Abaixo da expectativa",IF($U35&gt;0,"Calibrar",IF($X35=0,"Nota chapada",IF(IF($T35="",0,$T35)&gt;30,"1:1 atrasada",IF(IF($S35="",99,$S35)&gt;45,"Sem registro","OK"))))))))</f>
        <v/>
      </c>
      <c r="Z35" s="2" t="n"/>
      <c r="AA35" s="15">
        <f>IFERROR(INDEX(Config!$B$17:$E$20,MATCH(Config!$A$17,Config!$A$17:$A$20,0),MATCH($D35,Config!$B$16:$E$16,0)),0)</f>
        <v/>
      </c>
      <c r="AB35" s="15">
        <f>IFERROR(INDEX(Config!$B$17:$E$20,MATCH(Config!$A$18,Config!$A$17:$A$20,0),MATCH($D35,Config!$B$16:$E$16,0)),0)</f>
        <v/>
      </c>
      <c r="AC35" s="15">
        <f>IFERROR(INDEX(Config!$B$17:$E$20,MATCH(Config!$A$19,Config!$A$17:$A$20,0),MATCH($D35,Config!$B$16:$E$16,0)),0)</f>
        <v/>
      </c>
      <c r="AD35" s="15">
        <f>IFERROR(INDEX(Config!$B$17:$E$20,MATCH(Config!$A$20,Config!$A$17:$A$20,0),MATCH($D35,Config!$B$16:$E$16,0)),0)</f>
        <v/>
      </c>
      <c r="AE35" s="15">
        <f>IFERROR($H35*$AA35,0)+IFERROR($I35*$AB35,0)+IFERROR($J35*$AC35,0)+IFERROR($K35*$AD35,0)</f>
        <v/>
      </c>
      <c r="AF35" s="15">
        <f>IF(ISNUMBER($H35),$AA35,0)+IF(ISNUMBER($I35),$AB35,0)+IF(ISNUMBER($J35),$AC35,0)+IF(ISNUMBER($K35),$AD35,0)</f>
        <v/>
      </c>
    </row>
    <row r="36">
      <c r="A36" s="15">
        <f>IF(Colaboradores!$B36="","",Colaboradores!$A36)</f>
        <v/>
      </c>
      <c r="B36" s="15">
        <f>IF(Colaboradores!$B36="","",Colaboradores!$B36)</f>
        <v/>
      </c>
      <c r="C36" s="15">
        <f>IF(Colaboradores!$B36="","",Colaboradores!$F36)</f>
        <v/>
      </c>
      <c r="D36" s="15">
        <f>IF(Colaboradores!$B36="","",Colaboradores!$D36)</f>
        <v/>
      </c>
      <c r="E36" s="15">
        <f>IF(Colaboradores!$B36="","",Colaboradores!$E36)</f>
        <v/>
      </c>
      <c r="F36" s="15">
        <f>IF(Colaboradores!$B36="","",Colaboradores!$O36)</f>
        <v/>
      </c>
      <c r="G36" s="15">
        <f>IF(Colaboradores!$B36="","",Colaboradores!$P36)</f>
        <v/>
      </c>
      <c r="H36" s="16">
        <f>IF($B36="","",IFERROR(AVERAGEIFS(Avaliação!$M:$M,Avaliação!$B:$B,$A36,Avaliação!$A:$A,Config!$B$4,Avaliação!$G:$G,Config!$A$17),""))</f>
        <v/>
      </c>
      <c r="I36" s="16">
        <f>IF($B36="","",IFERROR(AVERAGEIFS(Avaliação!$M:$M,Avaliação!$B:$B,$A36,Avaliação!$A:$A,Config!$B$4,Avaliação!$G:$G,Config!$A$18),""))</f>
        <v/>
      </c>
      <c r="J36" s="16">
        <f>IF($B36="","",IFERROR(AVERAGEIFS(Avaliação!$M:$M,Avaliação!$B:$B,$A36,Avaliação!$A:$A,Config!$B$4,Avaliação!$G:$G,Config!$A$19),""))</f>
        <v/>
      </c>
      <c r="K36" s="16">
        <f>IF($B36="","",IFERROR(AVERAGEIFS(Avaliação!$M:$M,Avaliação!$B:$B,$A36,Avaliação!$A:$A,Config!$B$4,Avaliação!$G:$G,Config!$A$20),""))</f>
        <v/>
      </c>
      <c r="L36" s="16">
        <f>IF($AF36=0,"",$AE36/$AF36)</f>
        <v/>
      </c>
      <c r="M36" s="16">
        <f>IFERROR(INDEX(Config!$B$25:$B$28,MATCH($E36,Config!$A$25:$A$28,0)),"")</f>
        <v/>
      </c>
      <c r="N36" s="16">
        <f>IF(OR($L36="",$M36=""),"",$L36-$M36)</f>
        <v/>
      </c>
      <c r="O36" s="15">
        <f>IF($L36="","",IF($L36&lt;2.5,"Abaixo",IF($L36&lt;3.5,"Atende",IF($L36&lt;=4.2,"Supera","Referência"))))</f>
        <v/>
      </c>
      <c r="P36" s="17">
        <f>IF($B36="","",COUNTIFS(Ocorrências!$B:$B,$B36,Ocorrências!$N:$N,Config!$B$4))</f>
        <v/>
      </c>
      <c r="Q36" s="17">
        <f>IF($B36="","",COUNTIFS(Ocorrências!$B:$B,$B36,Ocorrências!$N:$N,Config!$B$4,Ocorrências!$E:$E,"Reconhecimento")+COUNTIFS(Ocorrências!$B:$B,$B36,Ocorrências!$N:$N,Config!$B$4,Ocorrências!$E:$E,"Positiva"))</f>
        <v/>
      </c>
      <c r="R36" s="17">
        <f>IF($B36="","",COUNTIFS(Ocorrências!$B:$B,$B36,Ocorrências!$N:$N,Config!$B$4,Ocorrências!$E:$E,"Ponto de atenção")+COUNTIFS(Ocorrências!$B:$B,$B36,Ocorrências!$N:$N,Config!$B$4,Ocorrências!$E:$E,"Incidente"))</f>
        <v/>
      </c>
      <c r="S36" s="17">
        <f>IF($B36="","",IF(COUNTIF(Ocorrências!$B:$B,$B36)=0,"",TODAY()-_xlfn.MAXIFS(Ocorrências!$A:$A,Ocorrências!$B:$B,$B36)))</f>
        <v/>
      </c>
      <c r="T36" s="17">
        <f>IF($B36="","",IF(COUNTIF('Reuniões 1a1'!$B:$B,$B36)=0,"",TODAY()-_xlfn.MAXIFS('Reuniões 1a1'!$A:$A,'Reuniões 1a1'!$B:$B,$B36)))</f>
        <v/>
      </c>
      <c r="U36" s="17">
        <f>IF($B36="","",COUNTIFS(Avaliação!$B:$B,$A36,Avaliação!$A:$A,Config!$B$4,Avaliação!$K:$K,"&gt;=2"))</f>
        <v/>
      </c>
      <c r="V36" s="17">
        <f>IF($B36="","",COUNTIFS(Avaliação!$B:$B,$A36,Avaliação!$A:$A,Config!$B$4,Avaliação!$O:$O,"SEM LASTRO"))</f>
        <v/>
      </c>
      <c r="W36" s="17">
        <f>IF($B36="","",COUNTIFS(Ocorrências!$B:$B,$B36,Ocorrências!$N:$N,Config!$B$4,Ocorrências!$K:$K,"Não",Ocorrências!$E:$E,"Ponto de atenção")+COUNTIFS(Ocorrências!$B:$B,$B36,Ocorrências!$N:$N,Config!$B$4,Ocorrências!$K:$K,"Não",Ocorrências!$E:$E,"Incidente"))</f>
        <v/>
      </c>
      <c r="X36" s="17">
        <f>IF($L36="","",_xlfn.MAXIFS(Avaliação!$M:$M,Avaliação!$B:$B,$A36,Avaliação!$A:$A,Config!$B$4)-_xlfn.MINIFS(Avaliação!$M:$M,Avaliação!$B:$B,$A36,Avaliação!$A:$A,Config!$B$4))</f>
        <v/>
      </c>
      <c r="Y36" s="15">
        <f>IF($B36="","",IF(OR($V36&gt;0,$W36&gt;0),"BLOQUEIO",IF($L36="","Sem avaliação",IF($N36&lt;-0.3,"Abaixo da expectativa",IF($U36&gt;0,"Calibrar",IF($X36=0,"Nota chapada",IF(IF($T36="",0,$T36)&gt;30,"1:1 atrasada",IF(IF($S36="",99,$S36)&gt;45,"Sem registro","OK"))))))))</f>
        <v/>
      </c>
      <c r="Z36" s="2" t="n"/>
      <c r="AA36" s="15">
        <f>IFERROR(INDEX(Config!$B$17:$E$20,MATCH(Config!$A$17,Config!$A$17:$A$20,0),MATCH($D36,Config!$B$16:$E$16,0)),0)</f>
        <v/>
      </c>
      <c r="AB36" s="15">
        <f>IFERROR(INDEX(Config!$B$17:$E$20,MATCH(Config!$A$18,Config!$A$17:$A$20,0),MATCH($D36,Config!$B$16:$E$16,0)),0)</f>
        <v/>
      </c>
      <c r="AC36" s="15">
        <f>IFERROR(INDEX(Config!$B$17:$E$20,MATCH(Config!$A$19,Config!$A$17:$A$20,0),MATCH($D36,Config!$B$16:$E$16,0)),0)</f>
        <v/>
      </c>
      <c r="AD36" s="15">
        <f>IFERROR(INDEX(Config!$B$17:$E$20,MATCH(Config!$A$20,Config!$A$17:$A$20,0),MATCH($D36,Config!$B$16:$E$16,0)),0)</f>
        <v/>
      </c>
      <c r="AE36" s="15">
        <f>IFERROR($H36*$AA36,0)+IFERROR($I36*$AB36,0)+IFERROR($J36*$AC36,0)+IFERROR($K36*$AD36,0)</f>
        <v/>
      </c>
      <c r="AF36" s="15">
        <f>IF(ISNUMBER($H36),$AA36,0)+IF(ISNUMBER($I36),$AB36,0)+IF(ISNUMBER($J36),$AC36,0)+IF(ISNUMBER($K36),$AD36,0)</f>
        <v/>
      </c>
    </row>
    <row r="37">
      <c r="A37" s="15">
        <f>IF(Colaboradores!$B37="","",Colaboradores!$A37)</f>
        <v/>
      </c>
      <c r="B37" s="15">
        <f>IF(Colaboradores!$B37="","",Colaboradores!$B37)</f>
        <v/>
      </c>
      <c r="C37" s="15">
        <f>IF(Colaboradores!$B37="","",Colaboradores!$F37)</f>
        <v/>
      </c>
      <c r="D37" s="15">
        <f>IF(Colaboradores!$B37="","",Colaboradores!$D37)</f>
        <v/>
      </c>
      <c r="E37" s="15">
        <f>IF(Colaboradores!$B37="","",Colaboradores!$E37)</f>
        <v/>
      </c>
      <c r="F37" s="15">
        <f>IF(Colaboradores!$B37="","",Colaboradores!$O37)</f>
        <v/>
      </c>
      <c r="G37" s="15">
        <f>IF(Colaboradores!$B37="","",Colaboradores!$P37)</f>
        <v/>
      </c>
      <c r="H37" s="16">
        <f>IF($B37="","",IFERROR(AVERAGEIFS(Avaliação!$M:$M,Avaliação!$B:$B,$A37,Avaliação!$A:$A,Config!$B$4,Avaliação!$G:$G,Config!$A$17),""))</f>
        <v/>
      </c>
      <c r="I37" s="16">
        <f>IF($B37="","",IFERROR(AVERAGEIFS(Avaliação!$M:$M,Avaliação!$B:$B,$A37,Avaliação!$A:$A,Config!$B$4,Avaliação!$G:$G,Config!$A$18),""))</f>
        <v/>
      </c>
      <c r="J37" s="16">
        <f>IF($B37="","",IFERROR(AVERAGEIFS(Avaliação!$M:$M,Avaliação!$B:$B,$A37,Avaliação!$A:$A,Config!$B$4,Avaliação!$G:$G,Config!$A$19),""))</f>
        <v/>
      </c>
      <c r="K37" s="16">
        <f>IF($B37="","",IFERROR(AVERAGEIFS(Avaliação!$M:$M,Avaliação!$B:$B,$A37,Avaliação!$A:$A,Config!$B$4,Avaliação!$G:$G,Config!$A$20),""))</f>
        <v/>
      </c>
      <c r="L37" s="16">
        <f>IF($AF37=0,"",$AE37/$AF37)</f>
        <v/>
      </c>
      <c r="M37" s="16">
        <f>IFERROR(INDEX(Config!$B$25:$B$28,MATCH($E37,Config!$A$25:$A$28,0)),"")</f>
        <v/>
      </c>
      <c r="N37" s="16">
        <f>IF(OR($L37="",$M37=""),"",$L37-$M37)</f>
        <v/>
      </c>
      <c r="O37" s="15">
        <f>IF($L37="","",IF($L37&lt;2.5,"Abaixo",IF($L37&lt;3.5,"Atende",IF($L37&lt;=4.2,"Supera","Referência"))))</f>
        <v/>
      </c>
      <c r="P37" s="17">
        <f>IF($B37="","",COUNTIFS(Ocorrências!$B:$B,$B37,Ocorrências!$N:$N,Config!$B$4))</f>
        <v/>
      </c>
      <c r="Q37" s="17">
        <f>IF($B37="","",COUNTIFS(Ocorrências!$B:$B,$B37,Ocorrências!$N:$N,Config!$B$4,Ocorrências!$E:$E,"Reconhecimento")+COUNTIFS(Ocorrências!$B:$B,$B37,Ocorrências!$N:$N,Config!$B$4,Ocorrências!$E:$E,"Positiva"))</f>
        <v/>
      </c>
      <c r="R37" s="17">
        <f>IF($B37="","",COUNTIFS(Ocorrências!$B:$B,$B37,Ocorrências!$N:$N,Config!$B$4,Ocorrências!$E:$E,"Ponto de atenção")+COUNTIFS(Ocorrências!$B:$B,$B37,Ocorrências!$N:$N,Config!$B$4,Ocorrências!$E:$E,"Incidente"))</f>
        <v/>
      </c>
      <c r="S37" s="17">
        <f>IF($B37="","",IF(COUNTIF(Ocorrências!$B:$B,$B37)=0,"",TODAY()-_xlfn.MAXIFS(Ocorrências!$A:$A,Ocorrências!$B:$B,$B37)))</f>
        <v/>
      </c>
      <c r="T37" s="17">
        <f>IF($B37="","",IF(COUNTIF('Reuniões 1a1'!$B:$B,$B37)=0,"",TODAY()-_xlfn.MAXIFS('Reuniões 1a1'!$A:$A,'Reuniões 1a1'!$B:$B,$B37)))</f>
        <v/>
      </c>
      <c r="U37" s="17">
        <f>IF($B37="","",COUNTIFS(Avaliação!$B:$B,$A37,Avaliação!$A:$A,Config!$B$4,Avaliação!$K:$K,"&gt;=2"))</f>
        <v/>
      </c>
      <c r="V37" s="17">
        <f>IF($B37="","",COUNTIFS(Avaliação!$B:$B,$A37,Avaliação!$A:$A,Config!$B$4,Avaliação!$O:$O,"SEM LASTRO"))</f>
        <v/>
      </c>
      <c r="W37" s="17">
        <f>IF($B37="","",COUNTIFS(Ocorrências!$B:$B,$B37,Ocorrências!$N:$N,Config!$B$4,Ocorrências!$K:$K,"Não",Ocorrências!$E:$E,"Ponto de atenção")+COUNTIFS(Ocorrências!$B:$B,$B37,Ocorrências!$N:$N,Config!$B$4,Ocorrências!$K:$K,"Não",Ocorrências!$E:$E,"Incidente"))</f>
        <v/>
      </c>
      <c r="X37" s="17">
        <f>IF($L37="","",_xlfn.MAXIFS(Avaliação!$M:$M,Avaliação!$B:$B,$A37,Avaliação!$A:$A,Config!$B$4)-_xlfn.MINIFS(Avaliação!$M:$M,Avaliação!$B:$B,$A37,Avaliação!$A:$A,Config!$B$4))</f>
        <v/>
      </c>
      <c r="Y37" s="15">
        <f>IF($B37="","",IF(OR($V37&gt;0,$W37&gt;0),"BLOQUEIO",IF($L37="","Sem avaliação",IF($N37&lt;-0.3,"Abaixo da expectativa",IF($U37&gt;0,"Calibrar",IF($X37=0,"Nota chapada",IF(IF($T37="",0,$T37)&gt;30,"1:1 atrasada",IF(IF($S37="",99,$S37)&gt;45,"Sem registro","OK"))))))))</f>
        <v/>
      </c>
      <c r="Z37" s="2" t="n"/>
      <c r="AA37" s="15">
        <f>IFERROR(INDEX(Config!$B$17:$E$20,MATCH(Config!$A$17,Config!$A$17:$A$20,0),MATCH($D37,Config!$B$16:$E$16,0)),0)</f>
        <v/>
      </c>
      <c r="AB37" s="15">
        <f>IFERROR(INDEX(Config!$B$17:$E$20,MATCH(Config!$A$18,Config!$A$17:$A$20,0),MATCH($D37,Config!$B$16:$E$16,0)),0)</f>
        <v/>
      </c>
      <c r="AC37" s="15">
        <f>IFERROR(INDEX(Config!$B$17:$E$20,MATCH(Config!$A$19,Config!$A$17:$A$20,0),MATCH($D37,Config!$B$16:$E$16,0)),0)</f>
        <v/>
      </c>
      <c r="AD37" s="15">
        <f>IFERROR(INDEX(Config!$B$17:$E$20,MATCH(Config!$A$20,Config!$A$17:$A$20,0),MATCH($D37,Config!$B$16:$E$16,0)),0)</f>
        <v/>
      </c>
      <c r="AE37" s="15">
        <f>IFERROR($H37*$AA37,0)+IFERROR($I37*$AB37,0)+IFERROR($J37*$AC37,0)+IFERROR($K37*$AD37,0)</f>
        <v/>
      </c>
      <c r="AF37" s="15">
        <f>IF(ISNUMBER($H37),$AA37,0)+IF(ISNUMBER($I37),$AB37,0)+IF(ISNUMBER($J37),$AC37,0)+IF(ISNUMBER($K37),$AD37,0)</f>
        <v/>
      </c>
    </row>
    <row r="38">
      <c r="A38" s="15">
        <f>IF(Colaboradores!$B38="","",Colaboradores!$A38)</f>
        <v/>
      </c>
      <c r="B38" s="15">
        <f>IF(Colaboradores!$B38="","",Colaboradores!$B38)</f>
        <v/>
      </c>
      <c r="C38" s="15">
        <f>IF(Colaboradores!$B38="","",Colaboradores!$F38)</f>
        <v/>
      </c>
      <c r="D38" s="15">
        <f>IF(Colaboradores!$B38="","",Colaboradores!$D38)</f>
        <v/>
      </c>
      <c r="E38" s="15">
        <f>IF(Colaboradores!$B38="","",Colaboradores!$E38)</f>
        <v/>
      </c>
      <c r="F38" s="15">
        <f>IF(Colaboradores!$B38="","",Colaboradores!$O38)</f>
        <v/>
      </c>
      <c r="G38" s="15">
        <f>IF(Colaboradores!$B38="","",Colaboradores!$P38)</f>
        <v/>
      </c>
      <c r="H38" s="16">
        <f>IF($B38="","",IFERROR(AVERAGEIFS(Avaliação!$M:$M,Avaliação!$B:$B,$A38,Avaliação!$A:$A,Config!$B$4,Avaliação!$G:$G,Config!$A$17),""))</f>
        <v/>
      </c>
      <c r="I38" s="16">
        <f>IF($B38="","",IFERROR(AVERAGEIFS(Avaliação!$M:$M,Avaliação!$B:$B,$A38,Avaliação!$A:$A,Config!$B$4,Avaliação!$G:$G,Config!$A$18),""))</f>
        <v/>
      </c>
      <c r="J38" s="16">
        <f>IF($B38="","",IFERROR(AVERAGEIFS(Avaliação!$M:$M,Avaliação!$B:$B,$A38,Avaliação!$A:$A,Config!$B$4,Avaliação!$G:$G,Config!$A$19),""))</f>
        <v/>
      </c>
      <c r="K38" s="16">
        <f>IF($B38="","",IFERROR(AVERAGEIFS(Avaliação!$M:$M,Avaliação!$B:$B,$A38,Avaliação!$A:$A,Config!$B$4,Avaliação!$G:$G,Config!$A$20),""))</f>
        <v/>
      </c>
      <c r="L38" s="16">
        <f>IF($AF38=0,"",$AE38/$AF38)</f>
        <v/>
      </c>
      <c r="M38" s="16">
        <f>IFERROR(INDEX(Config!$B$25:$B$28,MATCH($E38,Config!$A$25:$A$28,0)),"")</f>
        <v/>
      </c>
      <c r="N38" s="16">
        <f>IF(OR($L38="",$M38=""),"",$L38-$M38)</f>
        <v/>
      </c>
      <c r="O38" s="15">
        <f>IF($L38="","",IF($L38&lt;2.5,"Abaixo",IF($L38&lt;3.5,"Atende",IF($L38&lt;=4.2,"Supera","Referência"))))</f>
        <v/>
      </c>
      <c r="P38" s="17">
        <f>IF($B38="","",COUNTIFS(Ocorrências!$B:$B,$B38,Ocorrências!$N:$N,Config!$B$4))</f>
        <v/>
      </c>
      <c r="Q38" s="17">
        <f>IF($B38="","",COUNTIFS(Ocorrências!$B:$B,$B38,Ocorrências!$N:$N,Config!$B$4,Ocorrências!$E:$E,"Reconhecimento")+COUNTIFS(Ocorrências!$B:$B,$B38,Ocorrências!$N:$N,Config!$B$4,Ocorrências!$E:$E,"Positiva"))</f>
        <v/>
      </c>
      <c r="R38" s="17">
        <f>IF($B38="","",COUNTIFS(Ocorrências!$B:$B,$B38,Ocorrências!$N:$N,Config!$B$4,Ocorrências!$E:$E,"Ponto de atenção")+COUNTIFS(Ocorrências!$B:$B,$B38,Ocorrências!$N:$N,Config!$B$4,Ocorrências!$E:$E,"Incidente"))</f>
        <v/>
      </c>
      <c r="S38" s="17">
        <f>IF($B38="","",IF(COUNTIF(Ocorrências!$B:$B,$B38)=0,"",TODAY()-_xlfn.MAXIFS(Ocorrências!$A:$A,Ocorrências!$B:$B,$B38)))</f>
        <v/>
      </c>
      <c r="T38" s="17">
        <f>IF($B38="","",IF(COUNTIF('Reuniões 1a1'!$B:$B,$B38)=0,"",TODAY()-_xlfn.MAXIFS('Reuniões 1a1'!$A:$A,'Reuniões 1a1'!$B:$B,$B38)))</f>
        <v/>
      </c>
      <c r="U38" s="17">
        <f>IF($B38="","",COUNTIFS(Avaliação!$B:$B,$A38,Avaliação!$A:$A,Config!$B$4,Avaliação!$K:$K,"&gt;=2"))</f>
        <v/>
      </c>
      <c r="V38" s="17">
        <f>IF($B38="","",COUNTIFS(Avaliação!$B:$B,$A38,Avaliação!$A:$A,Config!$B$4,Avaliação!$O:$O,"SEM LASTRO"))</f>
        <v/>
      </c>
      <c r="W38" s="17">
        <f>IF($B38="","",COUNTIFS(Ocorrências!$B:$B,$B38,Ocorrências!$N:$N,Config!$B$4,Ocorrências!$K:$K,"Não",Ocorrências!$E:$E,"Ponto de atenção")+COUNTIFS(Ocorrências!$B:$B,$B38,Ocorrências!$N:$N,Config!$B$4,Ocorrências!$K:$K,"Não",Ocorrências!$E:$E,"Incidente"))</f>
        <v/>
      </c>
      <c r="X38" s="17">
        <f>IF($L38="","",_xlfn.MAXIFS(Avaliação!$M:$M,Avaliação!$B:$B,$A38,Avaliação!$A:$A,Config!$B$4)-_xlfn.MINIFS(Avaliação!$M:$M,Avaliação!$B:$B,$A38,Avaliação!$A:$A,Config!$B$4))</f>
        <v/>
      </c>
      <c r="Y38" s="15">
        <f>IF($B38="","",IF(OR($V38&gt;0,$W38&gt;0),"BLOQUEIO",IF($L38="","Sem avaliação",IF($N38&lt;-0.3,"Abaixo da expectativa",IF($U38&gt;0,"Calibrar",IF($X38=0,"Nota chapada",IF(IF($T38="",0,$T38)&gt;30,"1:1 atrasada",IF(IF($S38="",99,$S38)&gt;45,"Sem registro","OK"))))))))</f>
        <v/>
      </c>
      <c r="Z38" s="2" t="n"/>
      <c r="AA38" s="15">
        <f>IFERROR(INDEX(Config!$B$17:$E$20,MATCH(Config!$A$17,Config!$A$17:$A$20,0),MATCH($D38,Config!$B$16:$E$16,0)),0)</f>
        <v/>
      </c>
      <c r="AB38" s="15">
        <f>IFERROR(INDEX(Config!$B$17:$E$20,MATCH(Config!$A$18,Config!$A$17:$A$20,0),MATCH($D38,Config!$B$16:$E$16,0)),0)</f>
        <v/>
      </c>
      <c r="AC38" s="15">
        <f>IFERROR(INDEX(Config!$B$17:$E$20,MATCH(Config!$A$19,Config!$A$17:$A$20,0),MATCH($D38,Config!$B$16:$E$16,0)),0)</f>
        <v/>
      </c>
      <c r="AD38" s="15">
        <f>IFERROR(INDEX(Config!$B$17:$E$20,MATCH(Config!$A$20,Config!$A$17:$A$20,0),MATCH($D38,Config!$B$16:$E$16,0)),0)</f>
        <v/>
      </c>
      <c r="AE38" s="15">
        <f>IFERROR($H38*$AA38,0)+IFERROR($I38*$AB38,0)+IFERROR($J38*$AC38,0)+IFERROR($K38*$AD38,0)</f>
        <v/>
      </c>
      <c r="AF38" s="15">
        <f>IF(ISNUMBER($H38),$AA38,0)+IF(ISNUMBER($I38),$AB38,0)+IF(ISNUMBER($J38),$AC38,0)+IF(ISNUMBER($K38),$AD38,0)</f>
        <v/>
      </c>
    </row>
    <row r="39">
      <c r="A39" s="15">
        <f>IF(Colaboradores!$B39="","",Colaboradores!$A39)</f>
        <v/>
      </c>
      <c r="B39" s="15">
        <f>IF(Colaboradores!$B39="","",Colaboradores!$B39)</f>
        <v/>
      </c>
      <c r="C39" s="15">
        <f>IF(Colaboradores!$B39="","",Colaboradores!$F39)</f>
        <v/>
      </c>
      <c r="D39" s="15">
        <f>IF(Colaboradores!$B39="","",Colaboradores!$D39)</f>
        <v/>
      </c>
      <c r="E39" s="15">
        <f>IF(Colaboradores!$B39="","",Colaboradores!$E39)</f>
        <v/>
      </c>
      <c r="F39" s="15">
        <f>IF(Colaboradores!$B39="","",Colaboradores!$O39)</f>
        <v/>
      </c>
      <c r="G39" s="15">
        <f>IF(Colaboradores!$B39="","",Colaboradores!$P39)</f>
        <v/>
      </c>
      <c r="H39" s="16">
        <f>IF($B39="","",IFERROR(AVERAGEIFS(Avaliação!$M:$M,Avaliação!$B:$B,$A39,Avaliação!$A:$A,Config!$B$4,Avaliação!$G:$G,Config!$A$17),""))</f>
        <v/>
      </c>
      <c r="I39" s="16">
        <f>IF($B39="","",IFERROR(AVERAGEIFS(Avaliação!$M:$M,Avaliação!$B:$B,$A39,Avaliação!$A:$A,Config!$B$4,Avaliação!$G:$G,Config!$A$18),""))</f>
        <v/>
      </c>
      <c r="J39" s="16">
        <f>IF($B39="","",IFERROR(AVERAGEIFS(Avaliação!$M:$M,Avaliação!$B:$B,$A39,Avaliação!$A:$A,Config!$B$4,Avaliação!$G:$G,Config!$A$19),""))</f>
        <v/>
      </c>
      <c r="K39" s="16">
        <f>IF($B39="","",IFERROR(AVERAGEIFS(Avaliação!$M:$M,Avaliação!$B:$B,$A39,Avaliação!$A:$A,Config!$B$4,Avaliação!$G:$G,Config!$A$20),""))</f>
        <v/>
      </c>
      <c r="L39" s="16">
        <f>IF($AF39=0,"",$AE39/$AF39)</f>
        <v/>
      </c>
      <c r="M39" s="16">
        <f>IFERROR(INDEX(Config!$B$25:$B$28,MATCH($E39,Config!$A$25:$A$28,0)),"")</f>
        <v/>
      </c>
      <c r="N39" s="16">
        <f>IF(OR($L39="",$M39=""),"",$L39-$M39)</f>
        <v/>
      </c>
      <c r="O39" s="15">
        <f>IF($L39="","",IF($L39&lt;2.5,"Abaixo",IF($L39&lt;3.5,"Atende",IF($L39&lt;=4.2,"Supera","Referência"))))</f>
        <v/>
      </c>
      <c r="P39" s="17">
        <f>IF($B39="","",COUNTIFS(Ocorrências!$B:$B,$B39,Ocorrências!$N:$N,Config!$B$4))</f>
        <v/>
      </c>
      <c r="Q39" s="17">
        <f>IF($B39="","",COUNTIFS(Ocorrências!$B:$B,$B39,Ocorrências!$N:$N,Config!$B$4,Ocorrências!$E:$E,"Reconhecimento")+COUNTIFS(Ocorrências!$B:$B,$B39,Ocorrências!$N:$N,Config!$B$4,Ocorrências!$E:$E,"Positiva"))</f>
        <v/>
      </c>
      <c r="R39" s="17">
        <f>IF($B39="","",COUNTIFS(Ocorrências!$B:$B,$B39,Ocorrências!$N:$N,Config!$B$4,Ocorrências!$E:$E,"Ponto de atenção")+COUNTIFS(Ocorrências!$B:$B,$B39,Ocorrências!$N:$N,Config!$B$4,Ocorrências!$E:$E,"Incidente"))</f>
        <v/>
      </c>
      <c r="S39" s="17">
        <f>IF($B39="","",IF(COUNTIF(Ocorrências!$B:$B,$B39)=0,"",TODAY()-_xlfn.MAXIFS(Ocorrências!$A:$A,Ocorrências!$B:$B,$B39)))</f>
        <v/>
      </c>
      <c r="T39" s="17">
        <f>IF($B39="","",IF(COUNTIF('Reuniões 1a1'!$B:$B,$B39)=0,"",TODAY()-_xlfn.MAXIFS('Reuniões 1a1'!$A:$A,'Reuniões 1a1'!$B:$B,$B39)))</f>
        <v/>
      </c>
      <c r="U39" s="17">
        <f>IF($B39="","",COUNTIFS(Avaliação!$B:$B,$A39,Avaliação!$A:$A,Config!$B$4,Avaliação!$K:$K,"&gt;=2"))</f>
        <v/>
      </c>
      <c r="V39" s="17">
        <f>IF($B39="","",COUNTIFS(Avaliação!$B:$B,$A39,Avaliação!$A:$A,Config!$B$4,Avaliação!$O:$O,"SEM LASTRO"))</f>
        <v/>
      </c>
      <c r="W39" s="17">
        <f>IF($B39="","",COUNTIFS(Ocorrências!$B:$B,$B39,Ocorrências!$N:$N,Config!$B$4,Ocorrências!$K:$K,"Não",Ocorrências!$E:$E,"Ponto de atenção")+COUNTIFS(Ocorrências!$B:$B,$B39,Ocorrências!$N:$N,Config!$B$4,Ocorrências!$K:$K,"Não",Ocorrências!$E:$E,"Incidente"))</f>
        <v/>
      </c>
      <c r="X39" s="17">
        <f>IF($L39="","",_xlfn.MAXIFS(Avaliação!$M:$M,Avaliação!$B:$B,$A39,Avaliação!$A:$A,Config!$B$4)-_xlfn.MINIFS(Avaliação!$M:$M,Avaliação!$B:$B,$A39,Avaliação!$A:$A,Config!$B$4))</f>
        <v/>
      </c>
      <c r="Y39" s="15">
        <f>IF($B39="","",IF(OR($V39&gt;0,$W39&gt;0),"BLOQUEIO",IF($L39="","Sem avaliação",IF($N39&lt;-0.3,"Abaixo da expectativa",IF($U39&gt;0,"Calibrar",IF($X39=0,"Nota chapada",IF(IF($T39="",0,$T39)&gt;30,"1:1 atrasada",IF(IF($S39="",99,$S39)&gt;45,"Sem registro","OK"))))))))</f>
        <v/>
      </c>
      <c r="Z39" s="2" t="n"/>
      <c r="AA39" s="15">
        <f>IFERROR(INDEX(Config!$B$17:$E$20,MATCH(Config!$A$17,Config!$A$17:$A$20,0),MATCH($D39,Config!$B$16:$E$16,0)),0)</f>
        <v/>
      </c>
      <c r="AB39" s="15">
        <f>IFERROR(INDEX(Config!$B$17:$E$20,MATCH(Config!$A$18,Config!$A$17:$A$20,0),MATCH($D39,Config!$B$16:$E$16,0)),0)</f>
        <v/>
      </c>
      <c r="AC39" s="15">
        <f>IFERROR(INDEX(Config!$B$17:$E$20,MATCH(Config!$A$19,Config!$A$17:$A$20,0),MATCH($D39,Config!$B$16:$E$16,0)),0)</f>
        <v/>
      </c>
      <c r="AD39" s="15">
        <f>IFERROR(INDEX(Config!$B$17:$E$20,MATCH(Config!$A$20,Config!$A$17:$A$20,0),MATCH($D39,Config!$B$16:$E$16,0)),0)</f>
        <v/>
      </c>
      <c r="AE39" s="15">
        <f>IFERROR($H39*$AA39,0)+IFERROR($I39*$AB39,0)+IFERROR($J39*$AC39,0)+IFERROR($K39*$AD39,0)</f>
        <v/>
      </c>
      <c r="AF39" s="15">
        <f>IF(ISNUMBER($H39),$AA39,0)+IF(ISNUMBER($I39),$AB39,0)+IF(ISNUMBER($J39),$AC39,0)+IF(ISNUMBER($K39),$AD39,0)</f>
        <v/>
      </c>
    </row>
    <row r="40">
      <c r="A40" s="15">
        <f>IF(Colaboradores!$B40="","",Colaboradores!$A40)</f>
        <v/>
      </c>
      <c r="B40" s="15">
        <f>IF(Colaboradores!$B40="","",Colaboradores!$B40)</f>
        <v/>
      </c>
      <c r="C40" s="15">
        <f>IF(Colaboradores!$B40="","",Colaboradores!$F40)</f>
        <v/>
      </c>
      <c r="D40" s="15">
        <f>IF(Colaboradores!$B40="","",Colaboradores!$D40)</f>
        <v/>
      </c>
      <c r="E40" s="15">
        <f>IF(Colaboradores!$B40="","",Colaboradores!$E40)</f>
        <v/>
      </c>
      <c r="F40" s="15">
        <f>IF(Colaboradores!$B40="","",Colaboradores!$O40)</f>
        <v/>
      </c>
      <c r="G40" s="15">
        <f>IF(Colaboradores!$B40="","",Colaboradores!$P40)</f>
        <v/>
      </c>
      <c r="H40" s="16">
        <f>IF($B40="","",IFERROR(AVERAGEIFS(Avaliação!$M:$M,Avaliação!$B:$B,$A40,Avaliação!$A:$A,Config!$B$4,Avaliação!$G:$G,Config!$A$17),""))</f>
        <v/>
      </c>
      <c r="I40" s="16">
        <f>IF($B40="","",IFERROR(AVERAGEIFS(Avaliação!$M:$M,Avaliação!$B:$B,$A40,Avaliação!$A:$A,Config!$B$4,Avaliação!$G:$G,Config!$A$18),""))</f>
        <v/>
      </c>
      <c r="J40" s="16">
        <f>IF($B40="","",IFERROR(AVERAGEIFS(Avaliação!$M:$M,Avaliação!$B:$B,$A40,Avaliação!$A:$A,Config!$B$4,Avaliação!$G:$G,Config!$A$19),""))</f>
        <v/>
      </c>
      <c r="K40" s="16">
        <f>IF($B40="","",IFERROR(AVERAGEIFS(Avaliação!$M:$M,Avaliação!$B:$B,$A40,Avaliação!$A:$A,Config!$B$4,Avaliação!$G:$G,Config!$A$20),""))</f>
        <v/>
      </c>
      <c r="L40" s="16">
        <f>IF($AF40=0,"",$AE40/$AF40)</f>
        <v/>
      </c>
      <c r="M40" s="16">
        <f>IFERROR(INDEX(Config!$B$25:$B$28,MATCH($E40,Config!$A$25:$A$28,0)),"")</f>
        <v/>
      </c>
      <c r="N40" s="16">
        <f>IF(OR($L40="",$M40=""),"",$L40-$M40)</f>
        <v/>
      </c>
      <c r="O40" s="15">
        <f>IF($L40="","",IF($L40&lt;2.5,"Abaixo",IF($L40&lt;3.5,"Atende",IF($L40&lt;=4.2,"Supera","Referência"))))</f>
        <v/>
      </c>
      <c r="P40" s="17">
        <f>IF($B40="","",COUNTIFS(Ocorrências!$B:$B,$B40,Ocorrências!$N:$N,Config!$B$4))</f>
        <v/>
      </c>
      <c r="Q40" s="17">
        <f>IF($B40="","",COUNTIFS(Ocorrências!$B:$B,$B40,Ocorrências!$N:$N,Config!$B$4,Ocorrências!$E:$E,"Reconhecimento")+COUNTIFS(Ocorrências!$B:$B,$B40,Ocorrências!$N:$N,Config!$B$4,Ocorrências!$E:$E,"Positiva"))</f>
        <v/>
      </c>
      <c r="R40" s="17">
        <f>IF($B40="","",COUNTIFS(Ocorrências!$B:$B,$B40,Ocorrências!$N:$N,Config!$B$4,Ocorrências!$E:$E,"Ponto de atenção")+COUNTIFS(Ocorrências!$B:$B,$B40,Ocorrências!$N:$N,Config!$B$4,Ocorrências!$E:$E,"Incidente"))</f>
        <v/>
      </c>
      <c r="S40" s="17">
        <f>IF($B40="","",IF(COUNTIF(Ocorrências!$B:$B,$B40)=0,"",TODAY()-_xlfn.MAXIFS(Ocorrências!$A:$A,Ocorrências!$B:$B,$B40)))</f>
        <v/>
      </c>
      <c r="T40" s="17">
        <f>IF($B40="","",IF(COUNTIF('Reuniões 1a1'!$B:$B,$B40)=0,"",TODAY()-_xlfn.MAXIFS('Reuniões 1a1'!$A:$A,'Reuniões 1a1'!$B:$B,$B40)))</f>
        <v/>
      </c>
      <c r="U40" s="17">
        <f>IF($B40="","",COUNTIFS(Avaliação!$B:$B,$A40,Avaliação!$A:$A,Config!$B$4,Avaliação!$K:$K,"&gt;=2"))</f>
        <v/>
      </c>
      <c r="V40" s="17">
        <f>IF($B40="","",COUNTIFS(Avaliação!$B:$B,$A40,Avaliação!$A:$A,Config!$B$4,Avaliação!$O:$O,"SEM LASTRO"))</f>
        <v/>
      </c>
      <c r="W40" s="17">
        <f>IF($B40="","",COUNTIFS(Ocorrências!$B:$B,$B40,Ocorrências!$N:$N,Config!$B$4,Ocorrências!$K:$K,"Não",Ocorrências!$E:$E,"Ponto de atenção")+COUNTIFS(Ocorrências!$B:$B,$B40,Ocorrências!$N:$N,Config!$B$4,Ocorrências!$K:$K,"Não",Ocorrências!$E:$E,"Incidente"))</f>
        <v/>
      </c>
      <c r="X40" s="17">
        <f>IF($L40="","",_xlfn.MAXIFS(Avaliação!$M:$M,Avaliação!$B:$B,$A40,Avaliação!$A:$A,Config!$B$4)-_xlfn.MINIFS(Avaliação!$M:$M,Avaliação!$B:$B,$A40,Avaliação!$A:$A,Config!$B$4))</f>
        <v/>
      </c>
      <c r="Y40" s="15">
        <f>IF($B40="","",IF(OR($V40&gt;0,$W40&gt;0),"BLOQUEIO",IF($L40="","Sem avaliação",IF($N40&lt;-0.3,"Abaixo da expectativa",IF($U40&gt;0,"Calibrar",IF($X40=0,"Nota chapada",IF(IF($T40="",0,$T40)&gt;30,"1:1 atrasada",IF(IF($S40="",99,$S40)&gt;45,"Sem registro","OK"))))))))</f>
        <v/>
      </c>
      <c r="Z40" s="2" t="n"/>
      <c r="AA40" s="15">
        <f>IFERROR(INDEX(Config!$B$17:$E$20,MATCH(Config!$A$17,Config!$A$17:$A$20,0),MATCH($D40,Config!$B$16:$E$16,0)),0)</f>
        <v/>
      </c>
      <c r="AB40" s="15">
        <f>IFERROR(INDEX(Config!$B$17:$E$20,MATCH(Config!$A$18,Config!$A$17:$A$20,0),MATCH($D40,Config!$B$16:$E$16,0)),0)</f>
        <v/>
      </c>
      <c r="AC40" s="15">
        <f>IFERROR(INDEX(Config!$B$17:$E$20,MATCH(Config!$A$19,Config!$A$17:$A$20,0),MATCH($D40,Config!$B$16:$E$16,0)),0)</f>
        <v/>
      </c>
      <c r="AD40" s="15">
        <f>IFERROR(INDEX(Config!$B$17:$E$20,MATCH(Config!$A$20,Config!$A$17:$A$20,0),MATCH($D40,Config!$B$16:$E$16,0)),0)</f>
        <v/>
      </c>
      <c r="AE40" s="15">
        <f>IFERROR($H40*$AA40,0)+IFERROR($I40*$AB40,0)+IFERROR($J40*$AC40,0)+IFERROR($K40*$AD40,0)</f>
        <v/>
      </c>
      <c r="AF40" s="15">
        <f>IF(ISNUMBER($H40),$AA40,0)+IF(ISNUMBER($I40),$AB40,0)+IF(ISNUMBER($J40),$AC40,0)+IF(ISNUMBER($K40),$AD40,0)</f>
        <v/>
      </c>
    </row>
    <row r="41">
      <c r="A41" s="15">
        <f>IF(Colaboradores!$B41="","",Colaboradores!$A41)</f>
        <v/>
      </c>
      <c r="B41" s="15">
        <f>IF(Colaboradores!$B41="","",Colaboradores!$B41)</f>
        <v/>
      </c>
      <c r="C41" s="15">
        <f>IF(Colaboradores!$B41="","",Colaboradores!$F41)</f>
        <v/>
      </c>
      <c r="D41" s="15">
        <f>IF(Colaboradores!$B41="","",Colaboradores!$D41)</f>
        <v/>
      </c>
      <c r="E41" s="15">
        <f>IF(Colaboradores!$B41="","",Colaboradores!$E41)</f>
        <v/>
      </c>
      <c r="F41" s="15">
        <f>IF(Colaboradores!$B41="","",Colaboradores!$O41)</f>
        <v/>
      </c>
      <c r="G41" s="15">
        <f>IF(Colaboradores!$B41="","",Colaboradores!$P41)</f>
        <v/>
      </c>
      <c r="H41" s="16">
        <f>IF($B41="","",IFERROR(AVERAGEIFS(Avaliação!$M:$M,Avaliação!$B:$B,$A41,Avaliação!$A:$A,Config!$B$4,Avaliação!$G:$G,Config!$A$17),""))</f>
        <v/>
      </c>
      <c r="I41" s="16">
        <f>IF($B41="","",IFERROR(AVERAGEIFS(Avaliação!$M:$M,Avaliação!$B:$B,$A41,Avaliação!$A:$A,Config!$B$4,Avaliação!$G:$G,Config!$A$18),""))</f>
        <v/>
      </c>
      <c r="J41" s="16">
        <f>IF($B41="","",IFERROR(AVERAGEIFS(Avaliação!$M:$M,Avaliação!$B:$B,$A41,Avaliação!$A:$A,Config!$B$4,Avaliação!$G:$G,Config!$A$19),""))</f>
        <v/>
      </c>
      <c r="K41" s="16">
        <f>IF($B41="","",IFERROR(AVERAGEIFS(Avaliação!$M:$M,Avaliação!$B:$B,$A41,Avaliação!$A:$A,Config!$B$4,Avaliação!$G:$G,Config!$A$20),""))</f>
        <v/>
      </c>
      <c r="L41" s="16">
        <f>IF($AF41=0,"",$AE41/$AF41)</f>
        <v/>
      </c>
      <c r="M41" s="16">
        <f>IFERROR(INDEX(Config!$B$25:$B$28,MATCH($E41,Config!$A$25:$A$28,0)),"")</f>
        <v/>
      </c>
      <c r="N41" s="16">
        <f>IF(OR($L41="",$M41=""),"",$L41-$M41)</f>
        <v/>
      </c>
      <c r="O41" s="15">
        <f>IF($L41="","",IF($L41&lt;2.5,"Abaixo",IF($L41&lt;3.5,"Atende",IF($L41&lt;=4.2,"Supera","Referência"))))</f>
        <v/>
      </c>
      <c r="P41" s="17">
        <f>IF($B41="","",COUNTIFS(Ocorrências!$B:$B,$B41,Ocorrências!$N:$N,Config!$B$4))</f>
        <v/>
      </c>
      <c r="Q41" s="17">
        <f>IF($B41="","",COUNTIFS(Ocorrências!$B:$B,$B41,Ocorrências!$N:$N,Config!$B$4,Ocorrências!$E:$E,"Reconhecimento")+COUNTIFS(Ocorrências!$B:$B,$B41,Ocorrências!$N:$N,Config!$B$4,Ocorrências!$E:$E,"Positiva"))</f>
        <v/>
      </c>
      <c r="R41" s="17">
        <f>IF($B41="","",COUNTIFS(Ocorrências!$B:$B,$B41,Ocorrências!$N:$N,Config!$B$4,Ocorrências!$E:$E,"Ponto de atenção")+COUNTIFS(Ocorrências!$B:$B,$B41,Ocorrências!$N:$N,Config!$B$4,Ocorrências!$E:$E,"Incidente"))</f>
        <v/>
      </c>
      <c r="S41" s="17">
        <f>IF($B41="","",IF(COUNTIF(Ocorrências!$B:$B,$B41)=0,"",TODAY()-_xlfn.MAXIFS(Ocorrências!$A:$A,Ocorrências!$B:$B,$B41)))</f>
        <v/>
      </c>
      <c r="T41" s="17">
        <f>IF($B41="","",IF(COUNTIF('Reuniões 1a1'!$B:$B,$B41)=0,"",TODAY()-_xlfn.MAXIFS('Reuniões 1a1'!$A:$A,'Reuniões 1a1'!$B:$B,$B41)))</f>
        <v/>
      </c>
      <c r="U41" s="17">
        <f>IF($B41="","",COUNTIFS(Avaliação!$B:$B,$A41,Avaliação!$A:$A,Config!$B$4,Avaliação!$K:$K,"&gt;=2"))</f>
        <v/>
      </c>
      <c r="V41" s="17">
        <f>IF($B41="","",COUNTIFS(Avaliação!$B:$B,$A41,Avaliação!$A:$A,Config!$B$4,Avaliação!$O:$O,"SEM LASTRO"))</f>
        <v/>
      </c>
      <c r="W41" s="17">
        <f>IF($B41="","",COUNTIFS(Ocorrências!$B:$B,$B41,Ocorrências!$N:$N,Config!$B$4,Ocorrências!$K:$K,"Não",Ocorrências!$E:$E,"Ponto de atenção")+COUNTIFS(Ocorrências!$B:$B,$B41,Ocorrências!$N:$N,Config!$B$4,Ocorrências!$K:$K,"Não",Ocorrências!$E:$E,"Incidente"))</f>
        <v/>
      </c>
      <c r="X41" s="17">
        <f>IF($L41="","",_xlfn.MAXIFS(Avaliação!$M:$M,Avaliação!$B:$B,$A41,Avaliação!$A:$A,Config!$B$4)-_xlfn.MINIFS(Avaliação!$M:$M,Avaliação!$B:$B,$A41,Avaliação!$A:$A,Config!$B$4))</f>
        <v/>
      </c>
      <c r="Y41" s="15">
        <f>IF($B41="","",IF(OR($V41&gt;0,$W41&gt;0),"BLOQUEIO",IF($L41="","Sem avaliação",IF($N41&lt;-0.3,"Abaixo da expectativa",IF($U41&gt;0,"Calibrar",IF($X41=0,"Nota chapada",IF(IF($T41="",0,$T41)&gt;30,"1:1 atrasada",IF(IF($S41="",99,$S41)&gt;45,"Sem registro","OK"))))))))</f>
        <v/>
      </c>
      <c r="Z41" s="2" t="n"/>
      <c r="AA41" s="15">
        <f>IFERROR(INDEX(Config!$B$17:$E$20,MATCH(Config!$A$17,Config!$A$17:$A$20,0),MATCH($D41,Config!$B$16:$E$16,0)),0)</f>
        <v/>
      </c>
      <c r="AB41" s="15">
        <f>IFERROR(INDEX(Config!$B$17:$E$20,MATCH(Config!$A$18,Config!$A$17:$A$20,0),MATCH($D41,Config!$B$16:$E$16,0)),0)</f>
        <v/>
      </c>
      <c r="AC41" s="15">
        <f>IFERROR(INDEX(Config!$B$17:$E$20,MATCH(Config!$A$19,Config!$A$17:$A$20,0),MATCH($D41,Config!$B$16:$E$16,0)),0)</f>
        <v/>
      </c>
      <c r="AD41" s="15">
        <f>IFERROR(INDEX(Config!$B$17:$E$20,MATCH(Config!$A$20,Config!$A$17:$A$20,0),MATCH($D41,Config!$B$16:$E$16,0)),0)</f>
        <v/>
      </c>
      <c r="AE41" s="15">
        <f>IFERROR($H41*$AA41,0)+IFERROR($I41*$AB41,0)+IFERROR($J41*$AC41,0)+IFERROR($K41*$AD41,0)</f>
        <v/>
      </c>
      <c r="AF41" s="15">
        <f>IF(ISNUMBER($H41),$AA41,0)+IF(ISNUMBER($I41),$AB41,0)+IF(ISNUMBER($J41),$AC41,0)+IF(ISNUMBER($K41),$AD41,0)</f>
        <v/>
      </c>
    </row>
    <row r="42">
      <c r="A42" s="15">
        <f>IF(Colaboradores!$B42="","",Colaboradores!$A42)</f>
        <v/>
      </c>
      <c r="B42" s="15">
        <f>IF(Colaboradores!$B42="","",Colaboradores!$B42)</f>
        <v/>
      </c>
      <c r="C42" s="15">
        <f>IF(Colaboradores!$B42="","",Colaboradores!$F42)</f>
        <v/>
      </c>
      <c r="D42" s="15">
        <f>IF(Colaboradores!$B42="","",Colaboradores!$D42)</f>
        <v/>
      </c>
      <c r="E42" s="15">
        <f>IF(Colaboradores!$B42="","",Colaboradores!$E42)</f>
        <v/>
      </c>
      <c r="F42" s="15">
        <f>IF(Colaboradores!$B42="","",Colaboradores!$O42)</f>
        <v/>
      </c>
      <c r="G42" s="15">
        <f>IF(Colaboradores!$B42="","",Colaboradores!$P42)</f>
        <v/>
      </c>
      <c r="H42" s="16">
        <f>IF($B42="","",IFERROR(AVERAGEIFS(Avaliação!$M:$M,Avaliação!$B:$B,$A42,Avaliação!$A:$A,Config!$B$4,Avaliação!$G:$G,Config!$A$17),""))</f>
        <v/>
      </c>
      <c r="I42" s="16">
        <f>IF($B42="","",IFERROR(AVERAGEIFS(Avaliação!$M:$M,Avaliação!$B:$B,$A42,Avaliação!$A:$A,Config!$B$4,Avaliação!$G:$G,Config!$A$18),""))</f>
        <v/>
      </c>
      <c r="J42" s="16">
        <f>IF($B42="","",IFERROR(AVERAGEIFS(Avaliação!$M:$M,Avaliação!$B:$B,$A42,Avaliação!$A:$A,Config!$B$4,Avaliação!$G:$G,Config!$A$19),""))</f>
        <v/>
      </c>
      <c r="K42" s="16">
        <f>IF($B42="","",IFERROR(AVERAGEIFS(Avaliação!$M:$M,Avaliação!$B:$B,$A42,Avaliação!$A:$A,Config!$B$4,Avaliação!$G:$G,Config!$A$20),""))</f>
        <v/>
      </c>
      <c r="L42" s="16">
        <f>IF($AF42=0,"",$AE42/$AF42)</f>
        <v/>
      </c>
      <c r="M42" s="16">
        <f>IFERROR(INDEX(Config!$B$25:$B$28,MATCH($E42,Config!$A$25:$A$28,0)),"")</f>
        <v/>
      </c>
      <c r="N42" s="16">
        <f>IF(OR($L42="",$M42=""),"",$L42-$M42)</f>
        <v/>
      </c>
      <c r="O42" s="15">
        <f>IF($L42="","",IF($L42&lt;2.5,"Abaixo",IF($L42&lt;3.5,"Atende",IF($L42&lt;=4.2,"Supera","Referência"))))</f>
        <v/>
      </c>
      <c r="P42" s="17">
        <f>IF($B42="","",COUNTIFS(Ocorrências!$B:$B,$B42,Ocorrências!$N:$N,Config!$B$4))</f>
        <v/>
      </c>
      <c r="Q42" s="17">
        <f>IF($B42="","",COUNTIFS(Ocorrências!$B:$B,$B42,Ocorrências!$N:$N,Config!$B$4,Ocorrências!$E:$E,"Reconhecimento")+COUNTIFS(Ocorrências!$B:$B,$B42,Ocorrências!$N:$N,Config!$B$4,Ocorrências!$E:$E,"Positiva"))</f>
        <v/>
      </c>
      <c r="R42" s="17">
        <f>IF($B42="","",COUNTIFS(Ocorrências!$B:$B,$B42,Ocorrências!$N:$N,Config!$B$4,Ocorrências!$E:$E,"Ponto de atenção")+COUNTIFS(Ocorrências!$B:$B,$B42,Ocorrências!$N:$N,Config!$B$4,Ocorrências!$E:$E,"Incidente"))</f>
        <v/>
      </c>
      <c r="S42" s="17">
        <f>IF($B42="","",IF(COUNTIF(Ocorrências!$B:$B,$B42)=0,"",TODAY()-_xlfn.MAXIFS(Ocorrências!$A:$A,Ocorrências!$B:$B,$B42)))</f>
        <v/>
      </c>
      <c r="T42" s="17">
        <f>IF($B42="","",IF(COUNTIF('Reuniões 1a1'!$B:$B,$B42)=0,"",TODAY()-_xlfn.MAXIFS('Reuniões 1a1'!$A:$A,'Reuniões 1a1'!$B:$B,$B42)))</f>
        <v/>
      </c>
      <c r="U42" s="17">
        <f>IF($B42="","",COUNTIFS(Avaliação!$B:$B,$A42,Avaliação!$A:$A,Config!$B$4,Avaliação!$K:$K,"&gt;=2"))</f>
        <v/>
      </c>
      <c r="V42" s="17">
        <f>IF($B42="","",COUNTIFS(Avaliação!$B:$B,$A42,Avaliação!$A:$A,Config!$B$4,Avaliação!$O:$O,"SEM LASTRO"))</f>
        <v/>
      </c>
      <c r="W42" s="17">
        <f>IF($B42="","",COUNTIFS(Ocorrências!$B:$B,$B42,Ocorrências!$N:$N,Config!$B$4,Ocorrências!$K:$K,"Não",Ocorrências!$E:$E,"Ponto de atenção")+COUNTIFS(Ocorrências!$B:$B,$B42,Ocorrências!$N:$N,Config!$B$4,Ocorrências!$K:$K,"Não",Ocorrências!$E:$E,"Incidente"))</f>
        <v/>
      </c>
      <c r="X42" s="17">
        <f>IF($L42="","",_xlfn.MAXIFS(Avaliação!$M:$M,Avaliação!$B:$B,$A42,Avaliação!$A:$A,Config!$B$4)-_xlfn.MINIFS(Avaliação!$M:$M,Avaliação!$B:$B,$A42,Avaliação!$A:$A,Config!$B$4))</f>
        <v/>
      </c>
      <c r="Y42" s="15">
        <f>IF($B42="","",IF(OR($V42&gt;0,$W42&gt;0),"BLOQUEIO",IF($L42="","Sem avaliação",IF($N42&lt;-0.3,"Abaixo da expectativa",IF($U42&gt;0,"Calibrar",IF($X42=0,"Nota chapada",IF(IF($T42="",0,$T42)&gt;30,"1:1 atrasada",IF(IF($S42="",99,$S42)&gt;45,"Sem registro","OK"))))))))</f>
        <v/>
      </c>
      <c r="Z42" s="2" t="n"/>
      <c r="AA42" s="15">
        <f>IFERROR(INDEX(Config!$B$17:$E$20,MATCH(Config!$A$17,Config!$A$17:$A$20,0),MATCH($D42,Config!$B$16:$E$16,0)),0)</f>
        <v/>
      </c>
      <c r="AB42" s="15">
        <f>IFERROR(INDEX(Config!$B$17:$E$20,MATCH(Config!$A$18,Config!$A$17:$A$20,0),MATCH($D42,Config!$B$16:$E$16,0)),0)</f>
        <v/>
      </c>
      <c r="AC42" s="15">
        <f>IFERROR(INDEX(Config!$B$17:$E$20,MATCH(Config!$A$19,Config!$A$17:$A$20,0),MATCH($D42,Config!$B$16:$E$16,0)),0)</f>
        <v/>
      </c>
      <c r="AD42" s="15">
        <f>IFERROR(INDEX(Config!$B$17:$E$20,MATCH(Config!$A$20,Config!$A$17:$A$20,0),MATCH($D42,Config!$B$16:$E$16,0)),0)</f>
        <v/>
      </c>
      <c r="AE42" s="15">
        <f>IFERROR($H42*$AA42,0)+IFERROR($I42*$AB42,0)+IFERROR($J42*$AC42,0)+IFERROR($K42*$AD42,0)</f>
        <v/>
      </c>
      <c r="AF42" s="15">
        <f>IF(ISNUMBER($H42),$AA42,0)+IF(ISNUMBER($I42),$AB42,0)+IF(ISNUMBER($J42),$AC42,0)+IF(ISNUMBER($K42),$AD42,0)</f>
        <v/>
      </c>
    </row>
    <row r="43">
      <c r="A43" s="15">
        <f>IF(Colaboradores!$B43="","",Colaboradores!$A43)</f>
        <v/>
      </c>
      <c r="B43" s="15">
        <f>IF(Colaboradores!$B43="","",Colaboradores!$B43)</f>
        <v/>
      </c>
      <c r="C43" s="15">
        <f>IF(Colaboradores!$B43="","",Colaboradores!$F43)</f>
        <v/>
      </c>
      <c r="D43" s="15">
        <f>IF(Colaboradores!$B43="","",Colaboradores!$D43)</f>
        <v/>
      </c>
      <c r="E43" s="15">
        <f>IF(Colaboradores!$B43="","",Colaboradores!$E43)</f>
        <v/>
      </c>
      <c r="F43" s="15">
        <f>IF(Colaboradores!$B43="","",Colaboradores!$O43)</f>
        <v/>
      </c>
      <c r="G43" s="15">
        <f>IF(Colaboradores!$B43="","",Colaboradores!$P43)</f>
        <v/>
      </c>
      <c r="H43" s="16">
        <f>IF($B43="","",IFERROR(AVERAGEIFS(Avaliação!$M:$M,Avaliação!$B:$B,$A43,Avaliação!$A:$A,Config!$B$4,Avaliação!$G:$G,Config!$A$17),""))</f>
        <v/>
      </c>
      <c r="I43" s="16">
        <f>IF($B43="","",IFERROR(AVERAGEIFS(Avaliação!$M:$M,Avaliação!$B:$B,$A43,Avaliação!$A:$A,Config!$B$4,Avaliação!$G:$G,Config!$A$18),""))</f>
        <v/>
      </c>
      <c r="J43" s="16">
        <f>IF($B43="","",IFERROR(AVERAGEIFS(Avaliação!$M:$M,Avaliação!$B:$B,$A43,Avaliação!$A:$A,Config!$B$4,Avaliação!$G:$G,Config!$A$19),""))</f>
        <v/>
      </c>
      <c r="K43" s="16">
        <f>IF($B43="","",IFERROR(AVERAGEIFS(Avaliação!$M:$M,Avaliação!$B:$B,$A43,Avaliação!$A:$A,Config!$B$4,Avaliação!$G:$G,Config!$A$20),""))</f>
        <v/>
      </c>
      <c r="L43" s="16">
        <f>IF($AF43=0,"",$AE43/$AF43)</f>
        <v/>
      </c>
      <c r="M43" s="16">
        <f>IFERROR(INDEX(Config!$B$25:$B$28,MATCH($E43,Config!$A$25:$A$28,0)),"")</f>
        <v/>
      </c>
      <c r="N43" s="16">
        <f>IF(OR($L43="",$M43=""),"",$L43-$M43)</f>
        <v/>
      </c>
      <c r="O43" s="15">
        <f>IF($L43="","",IF($L43&lt;2.5,"Abaixo",IF($L43&lt;3.5,"Atende",IF($L43&lt;=4.2,"Supera","Referência"))))</f>
        <v/>
      </c>
      <c r="P43" s="17">
        <f>IF($B43="","",COUNTIFS(Ocorrências!$B:$B,$B43,Ocorrências!$N:$N,Config!$B$4))</f>
        <v/>
      </c>
      <c r="Q43" s="17">
        <f>IF($B43="","",COUNTIFS(Ocorrências!$B:$B,$B43,Ocorrências!$N:$N,Config!$B$4,Ocorrências!$E:$E,"Reconhecimento")+COUNTIFS(Ocorrências!$B:$B,$B43,Ocorrências!$N:$N,Config!$B$4,Ocorrências!$E:$E,"Positiva"))</f>
        <v/>
      </c>
      <c r="R43" s="17">
        <f>IF($B43="","",COUNTIFS(Ocorrências!$B:$B,$B43,Ocorrências!$N:$N,Config!$B$4,Ocorrências!$E:$E,"Ponto de atenção")+COUNTIFS(Ocorrências!$B:$B,$B43,Ocorrências!$N:$N,Config!$B$4,Ocorrências!$E:$E,"Incidente"))</f>
        <v/>
      </c>
      <c r="S43" s="17">
        <f>IF($B43="","",IF(COUNTIF(Ocorrências!$B:$B,$B43)=0,"",TODAY()-_xlfn.MAXIFS(Ocorrências!$A:$A,Ocorrências!$B:$B,$B43)))</f>
        <v/>
      </c>
      <c r="T43" s="17">
        <f>IF($B43="","",IF(COUNTIF('Reuniões 1a1'!$B:$B,$B43)=0,"",TODAY()-_xlfn.MAXIFS('Reuniões 1a1'!$A:$A,'Reuniões 1a1'!$B:$B,$B43)))</f>
        <v/>
      </c>
      <c r="U43" s="17">
        <f>IF($B43="","",COUNTIFS(Avaliação!$B:$B,$A43,Avaliação!$A:$A,Config!$B$4,Avaliação!$K:$K,"&gt;=2"))</f>
        <v/>
      </c>
      <c r="V43" s="17">
        <f>IF($B43="","",COUNTIFS(Avaliação!$B:$B,$A43,Avaliação!$A:$A,Config!$B$4,Avaliação!$O:$O,"SEM LASTRO"))</f>
        <v/>
      </c>
      <c r="W43" s="17">
        <f>IF($B43="","",COUNTIFS(Ocorrências!$B:$B,$B43,Ocorrências!$N:$N,Config!$B$4,Ocorrências!$K:$K,"Não",Ocorrências!$E:$E,"Ponto de atenção")+COUNTIFS(Ocorrências!$B:$B,$B43,Ocorrências!$N:$N,Config!$B$4,Ocorrências!$K:$K,"Não",Ocorrências!$E:$E,"Incidente"))</f>
        <v/>
      </c>
      <c r="X43" s="17">
        <f>IF($L43="","",_xlfn.MAXIFS(Avaliação!$M:$M,Avaliação!$B:$B,$A43,Avaliação!$A:$A,Config!$B$4)-_xlfn.MINIFS(Avaliação!$M:$M,Avaliação!$B:$B,$A43,Avaliação!$A:$A,Config!$B$4))</f>
        <v/>
      </c>
      <c r="Y43" s="15">
        <f>IF($B43="","",IF(OR($V43&gt;0,$W43&gt;0),"BLOQUEIO",IF($L43="","Sem avaliação",IF($N43&lt;-0.3,"Abaixo da expectativa",IF($U43&gt;0,"Calibrar",IF($X43=0,"Nota chapada",IF(IF($T43="",0,$T43)&gt;30,"1:1 atrasada",IF(IF($S43="",99,$S43)&gt;45,"Sem registro","OK"))))))))</f>
        <v/>
      </c>
      <c r="Z43" s="2" t="n"/>
      <c r="AA43" s="15">
        <f>IFERROR(INDEX(Config!$B$17:$E$20,MATCH(Config!$A$17,Config!$A$17:$A$20,0),MATCH($D43,Config!$B$16:$E$16,0)),0)</f>
        <v/>
      </c>
      <c r="AB43" s="15">
        <f>IFERROR(INDEX(Config!$B$17:$E$20,MATCH(Config!$A$18,Config!$A$17:$A$20,0),MATCH($D43,Config!$B$16:$E$16,0)),0)</f>
        <v/>
      </c>
      <c r="AC43" s="15">
        <f>IFERROR(INDEX(Config!$B$17:$E$20,MATCH(Config!$A$19,Config!$A$17:$A$20,0),MATCH($D43,Config!$B$16:$E$16,0)),0)</f>
        <v/>
      </c>
      <c r="AD43" s="15">
        <f>IFERROR(INDEX(Config!$B$17:$E$20,MATCH(Config!$A$20,Config!$A$17:$A$20,0),MATCH($D43,Config!$B$16:$E$16,0)),0)</f>
        <v/>
      </c>
      <c r="AE43" s="15">
        <f>IFERROR($H43*$AA43,0)+IFERROR($I43*$AB43,0)+IFERROR($J43*$AC43,0)+IFERROR($K43*$AD43,0)</f>
        <v/>
      </c>
      <c r="AF43" s="15">
        <f>IF(ISNUMBER($H43),$AA43,0)+IF(ISNUMBER($I43),$AB43,0)+IF(ISNUMBER($J43),$AC43,0)+IF(ISNUMBER($K43),$AD43,0)</f>
        <v/>
      </c>
    </row>
    <row r="44">
      <c r="A44" s="15">
        <f>IF(Colaboradores!$B44="","",Colaboradores!$A44)</f>
        <v/>
      </c>
      <c r="B44" s="15">
        <f>IF(Colaboradores!$B44="","",Colaboradores!$B44)</f>
        <v/>
      </c>
      <c r="C44" s="15">
        <f>IF(Colaboradores!$B44="","",Colaboradores!$F44)</f>
        <v/>
      </c>
      <c r="D44" s="15">
        <f>IF(Colaboradores!$B44="","",Colaboradores!$D44)</f>
        <v/>
      </c>
      <c r="E44" s="15">
        <f>IF(Colaboradores!$B44="","",Colaboradores!$E44)</f>
        <v/>
      </c>
      <c r="F44" s="15">
        <f>IF(Colaboradores!$B44="","",Colaboradores!$O44)</f>
        <v/>
      </c>
      <c r="G44" s="15">
        <f>IF(Colaboradores!$B44="","",Colaboradores!$P44)</f>
        <v/>
      </c>
      <c r="H44" s="16">
        <f>IF($B44="","",IFERROR(AVERAGEIFS(Avaliação!$M:$M,Avaliação!$B:$B,$A44,Avaliação!$A:$A,Config!$B$4,Avaliação!$G:$G,Config!$A$17),""))</f>
        <v/>
      </c>
      <c r="I44" s="16">
        <f>IF($B44="","",IFERROR(AVERAGEIFS(Avaliação!$M:$M,Avaliação!$B:$B,$A44,Avaliação!$A:$A,Config!$B$4,Avaliação!$G:$G,Config!$A$18),""))</f>
        <v/>
      </c>
      <c r="J44" s="16">
        <f>IF($B44="","",IFERROR(AVERAGEIFS(Avaliação!$M:$M,Avaliação!$B:$B,$A44,Avaliação!$A:$A,Config!$B$4,Avaliação!$G:$G,Config!$A$19),""))</f>
        <v/>
      </c>
      <c r="K44" s="16">
        <f>IF($B44="","",IFERROR(AVERAGEIFS(Avaliação!$M:$M,Avaliação!$B:$B,$A44,Avaliação!$A:$A,Config!$B$4,Avaliação!$G:$G,Config!$A$20),""))</f>
        <v/>
      </c>
      <c r="L44" s="16">
        <f>IF($AF44=0,"",$AE44/$AF44)</f>
        <v/>
      </c>
      <c r="M44" s="16">
        <f>IFERROR(INDEX(Config!$B$25:$B$28,MATCH($E44,Config!$A$25:$A$28,0)),"")</f>
        <v/>
      </c>
      <c r="N44" s="16">
        <f>IF(OR($L44="",$M44=""),"",$L44-$M44)</f>
        <v/>
      </c>
      <c r="O44" s="15">
        <f>IF($L44="","",IF($L44&lt;2.5,"Abaixo",IF($L44&lt;3.5,"Atende",IF($L44&lt;=4.2,"Supera","Referência"))))</f>
        <v/>
      </c>
      <c r="P44" s="17">
        <f>IF($B44="","",COUNTIFS(Ocorrências!$B:$B,$B44,Ocorrências!$N:$N,Config!$B$4))</f>
        <v/>
      </c>
      <c r="Q44" s="17">
        <f>IF($B44="","",COUNTIFS(Ocorrências!$B:$B,$B44,Ocorrências!$N:$N,Config!$B$4,Ocorrências!$E:$E,"Reconhecimento")+COUNTIFS(Ocorrências!$B:$B,$B44,Ocorrências!$N:$N,Config!$B$4,Ocorrências!$E:$E,"Positiva"))</f>
        <v/>
      </c>
      <c r="R44" s="17">
        <f>IF($B44="","",COUNTIFS(Ocorrências!$B:$B,$B44,Ocorrências!$N:$N,Config!$B$4,Ocorrências!$E:$E,"Ponto de atenção")+COUNTIFS(Ocorrências!$B:$B,$B44,Ocorrências!$N:$N,Config!$B$4,Ocorrências!$E:$E,"Incidente"))</f>
        <v/>
      </c>
      <c r="S44" s="17">
        <f>IF($B44="","",IF(COUNTIF(Ocorrências!$B:$B,$B44)=0,"",TODAY()-_xlfn.MAXIFS(Ocorrências!$A:$A,Ocorrências!$B:$B,$B44)))</f>
        <v/>
      </c>
      <c r="T44" s="17">
        <f>IF($B44="","",IF(COUNTIF('Reuniões 1a1'!$B:$B,$B44)=0,"",TODAY()-_xlfn.MAXIFS('Reuniões 1a1'!$A:$A,'Reuniões 1a1'!$B:$B,$B44)))</f>
        <v/>
      </c>
      <c r="U44" s="17">
        <f>IF($B44="","",COUNTIFS(Avaliação!$B:$B,$A44,Avaliação!$A:$A,Config!$B$4,Avaliação!$K:$K,"&gt;=2"))</f>
        <v/>
      </c>
      <c r="V44" s="17">
        <f>IF($B44="","",COUNTIFS(Avaliação!$B:$B,$A44,Avaliação!$A:$A,Config!$B$4,Avaliação!$O:$O,"SEM LASTRO"))</f>
        <v/>
      </c>
      <c r="W44" s="17">
        <f>IF($B44="","",COUNTIFS(Ocorrências!$B:$B,$B44,Ocorrências!$N:$N,Config!$B$4,Ocorrências!$K:$K,"Não",Ocorrências!$E:$E,"Ponto de atenção")+COUNTIFS(Ocorrências!$B:$B,$B44,Ocorrências!$N:$N,Config!$B$4,Ocorrências!$K:$K,"Não",Ocorrências!$E:$E,"Incidente"))</f>
        <v/>
      </c>
      <c r="X44" s="17">
        <f>IF($L44="","",_xlfn.MAXIFS(Avaliação!$M:$M,Avaliação!$B:$B,$A44,Avaliação!$A:$A,Config!$B$4)-_xlfn.MINIFS(Avaliação!$M:$M,Avaliação!$B:$B,$A44,Avaliação!$A:$A,Config!$B$4))</f>
        <v/>
      </c>
      <c r="Y44" s="15">
        <f>IF($B44="","",IF(OR($V44&gt;0,$W44&gt;0),"BLOQUEIO",IF($L44="","Sem avaliação",IF($N44&lt;-0.3,"Abaixo da expectativa",IF($U44&gt;0,"Calibrar",IF($X44=0,"Nota chapada",IF(IF($T44="",0,$T44)&gt;30,"1:1 atrasada",IF(IF($S44="",99,$S44)&gt;45,"Sem registro","OK"))))))))</f>
        <v/>
      </c>
      <c r="Z44" s="2" t="n"/>
      <c r="AA44" s="15">
        <f>IFERROR(INDEX(Config!$B$17:$E$20,MATCH(Config!$A$17,Config!$A$17:$A$20,0),MATCH($D44,Config!$B$16:$E$16,0)),0)</f>
        <v/>
      </c>
      <c r="AB44" s="15">
        <f>IFERROR(INDEX(Config!$B$17:$E$20,MATCH(Config!$A$18,Config!$A$17:$A$20,0),MATCH($D44,Config!$B$16:$E$16,0)),0)</f>
        <v/>
      </c>
      <c r="AC44" s="15">
        <f>IFERROR(INDEX(Config!$B$17:$E$20,MATCH(Config!$A$19,Config!$A$17:$A$20,0),MATCH($D44,Config!$B$16:$E$16,0)),0)</f>
        <v/>
      </c>
      <c r="AD44" s="15">
        <f>IFERROR(INDEX(Config!$B$17:$E$20,MATCH(Config!$A$20,Config!$A$17:$A$20,0),MATCH($D44,Config!$B$16:$E$16,0)),0)</f>
        <v/>
      </c>
      <c r="AE44" s="15">
        <f>IFERROR($H44*$AA44,0)+IFERROR($I44*$AB44,0)+IFERROR($J44*$AC44,0)+IFERROR($K44*$AD44,0)</f>
        <v/>
      </c>
      <c r="AF44" s="15">
        <f>IF(ISNUMBER($H44),$AA44,0)+IF(ISNUMBER($I44),$AB44,0)+IF(ISNUMBER($J44),$AC44,0)+IF(ISNUMBER($K44),$AD44,0)</f>
        <v/>
      </c>
    </row>
    <row r="45">
      <c r="A45" s="15">
        <f>IF(Colaboradores!$B45="","",Colaboradores!$A45)</f>
        <v/>
      </c>
      <c r="B45" s="15">
        <f>IF(Colaboradores!$B45="","",Colaboradores!$B45)</f>
        <v/>
      </c>
      <c r="C45" s="15">
        <f>IF(Colaboradores!$B45="","",Colaboradores!$F45)</f>
        <v/>
      </c>
      <c r="D45" s="15">
        <f>IF(Colaboradores!$B45="","",Colaboradores!$D45)</f>
        <v/>
      </c>
      <c r="E45" s="15">
        <f>IF(Colaboradores!$B45="","",Colaboradores!$E45)</f>
        <v/>
      </c>
      <c r="F45" s="15">
        <f>IF(Colaboradores!$B45="","",Colaboradores!$O45)</f>
        <v/>
      </c>
      <c r="G45" s="15">
        <f>IF(Colaboradores!$B45="","",Colaboradores!$P45)</f>
        <v/>
      </c>
      <c r="H45" s="16">
        <f>IF($B45="","",IFERROR(AVERAGEIFS(Avaliação!$M:$M,Avaliação!$B:$B,$A45,Avaliação!$A:$A,Config!$B$4,Avaliação!$G:$G,Config!$A$17),""))</f>
        <v/>
      </c>
      <c r="I45" s="16">
        <f>IF($B45="","",IFERROR(AVERAGEIFS(Avaliação!$M:$M,Avaliação!$B:$B,$A45,Avaliação!$A:$A,Config!$B$4,Avaliação!$G:$G,Config!$A$18),""))</f>
        <v/>
      </c>
      <c r="J45" s="16">
        <f>IF($B45="","",IFERROR(AVERAGEIFS(Avaliação!$M:$M,Avaliação!$B:$B,$A45,Avaliação!$A:$A,Config!$B$4,Avaliação!$G:$G,Config!$A$19),""))</f>
        <v/>
      </c>
      <c r="K45" s="16">
        <f>IF($B45="","",IFERROR(AVERAGEIFS(Avaliação!$M:$M,Avaliação!$B:$B,$A45,Avaliação!$A:$A,Config!$B$4,Avaliação!$G:$G,Config!$A$20),""))</f>
        <v/>
      </c>
      <c r="L45" s="16">
        <f>IF($AF45=0,"",$AE45/$AF45)</f>
        <v/>
      </c>
      <c r="M45" s="16">
        <f>IFERROR(INDEX(Config!$B$25:$B$28,MATCH($E45,Config!$A$25:$A$28,0)),"")</f>
        <v/>
      </c>
      <c r="N45" s="16">
        <f>IF(OR($L45="",$M45=""),"",$L45-$M45)</f>
        <v/>
      </c>
      <c r="O45" s="15">
        <f>IF($L45="","",IF($L45&lt;2.5,"Abaixo",IF($L45&lt;3.5,"Atende",IF($L45&lt;=4.2,"Supera","Referência"))))</f>
        <v/>
      </c>
      <c r="P45" s="17">
        <f>IF($B45="","",COUNTIFS(Ocorrências!$B:$B,$B45,Ocorrências!$N:$N,Config!$B$4))</f>
        <v/>
      </c>
      <c r="Q45" s="17">
        <f>IF($B45="","",COUNTIFS(Ocorrências!$B:$B,$B45,Ocorrências!$N:$N,Config!$B$4,Ocorrências!$E:$E,"Reconhecimento")+COUNTIFS(Ocorrências!$B:$B,$B45,Ocorrências!$N:$N,Config!$B$4,Ocorrências!$E:$E,"Positiva"))</f>
        <v/>
      </c>
      <c r="R45" s="17">
        <f>IF($B45="","",COUNTIFS(Ocorrências!$B:$B,$B45,Ocorrências!$N:$N,Config!$B$4,Ocorrências!$E:$E,"Ponto de atenção")+COUNTIFS(Ocorrências!$B:$B,$B45,Ocorrências!$N:$N,Config!$B$4,Ocorrências!$E:$E,"Incidente"))</f>
        <v/>
      </c>
      <c r="S45" s="17">
        <f>IF($B45="","",IF(COUNTIF(Ocorrências!$B:$B,$B45)=0,"",TODAY()-_xlfn.MAXIFS(Ocorrências!$A:$A,Ocorrências!$B:$B,$B45)))</f>
        <v/>
      </c>
      <c r="T45" s="17">
        <f>IF($B45="","",IF(COUNTIF('Reuniões 1a1'!$B:$B,$B45)=0,"",TODAY()-_xlfn.MAXIFS('Reuniões 1a1'!$A:$A,'Reuniões 1a1'!$B:$B,$B45)))</f>
        <v/>
      </c>
      <c r="U45" s="17">
        <f>IF($B45="","",COUNTIFS(Avaliação!$B:$B,$A45,Avaliação!$A:$A,Config!$B$4,Avaliação!$K:$K,"&gt;=2"))</f>
        <v/>
      </c>
      <c r="V45" s="17">
        <f>IF($B45="","",COUNTIFS(Avaliação!$B:$B,$A45,Avaliação!$A:$A,Config!$B$4,Avaliação!$O:$O,"SEM LASTRO"))</f>
        <v/>
      </c>
      <c r="W45" s="17">
        <f>IF($B45="","",COUNTIFS(Ocorrências!$B:$B,$B45,Ocorrências!$N:$N,Config!$B$4,Ocorrências!$K:$K,"Não",Ocorrências!$E:$E,"Ponto de atenção")+COUNTIFS(Ocorrências!$B:$B,$B45,Ocorrências!$N:$N,Config!$B$4,Ocorrências!$K:$K,"Não",Ocorrências!$E:$E,"Incidente"))</f>
        <v/>
      </c>
      <c r="X45" s="17">
        <f>IF($L45="","",_xlfn.MAXIFS(Avaliação!$M:$M,Avaliação!$B:$B,$A45,Avaliação!$A:$A,Config!$B$4)-_xlfn.MINIFS(Avaliação!$M:$M,Avaliação!$B:$B,$A45,Avaliação!$A:$A,Config!$B$4))</f>
        <v/>
      </c>
      <c r="Y45" s="15">
        <f>IF($B45="","",IF(OR($V45&gt;0,$W45&gt;0),"BLOQUEIO",IF($L45="","Sem avaliação",IF($N45&lt;-0.3,"Abaixo da expectativa",IF($U45&gt;0,"Calibrar",IF($X45=0,"Nota chapada",IF(IF($T45="",0,$T45)&gt;30,"1:1 atrasada",IF(IF($S45="",99,$S45)&gt;45,"Sem registro","OK"))))))))</f>
        <v/>
      </c>
      <c r="Z45" s="2" t="n"/>
      <c r="AA45" s="15">
        <f>IFERROR(INDEX(Config!$B$17:$E$20,MATCH(Config!$A$17,Config!$A$17:$A$20,0),MATCH($D45,Config!$B$16:$E$16,0)),0)</f>
        <v/>
      </c>
      <c r="AB45" s="15">
        <f>IFERROR(INDEX(Config!$B$17:$E$20,MATCH(Config!$A$18,Config!$A$17:$A$20,0),MATCH($D45,Config!$B$16:$E$16,0)),0)</f>
        <v/>
      </c>
      <c r="AC45" s="15">
        <f>IFERROR(INDEX(Config!$B$17:$E$20,MATCH(Config!$A$19,Config!$A$17:$A$20,0),MATCH($D45,Config!$B$16:$E$16,0)),0)</f>
        <v/>
      </c>
      <c r="AD45" s="15">
        <f>IFERROR(INDEX(Config!$B$17:$E$20,MATCH(Config!$A$20,Config!$A$17:$A$20,0),MATCH($D45,Config!$B$16:$E$16,0)),0)</f>
        <v/>
      </c>
      <c r="AE45" s="15">
        <f>IFERROR($H45*$AA45,0)+IFERROR($I45*$AB45,0)+IFERROR($J45*$AC45,0)+IFERROR($K45*$AD45,0)</f>
        <v/>
      </c>
      <c r="AF45" s="15">
        <f>IF(ISNUMBER($H45),$AA45,0)+IF(ISNUMBER($I45),$AB45,0)+IF(ISNUMBER($J45),$AC45,0)+IF(ISNUMBER($K45),$AD45,0)</f>
        <v/>
      </c>
    </row>
    <row r="46">
      <c r="A46" s="15">
        <f>IF(Colaboradores!$B46="","",Colaboradores!$A46)</f>
        <v/>
      </c>
      <c r="B46" s="15">
        <f>IF(Colaboradores!$B46="","",Colaboradores!$B46)</f>
        <v/>
      </c>
      <c r="C46" s="15">
        <f>IF(Colaboradores!$B46="","",Colaboradores!$F46)</f>
        <v/>
      </c>
      <c r="D46" s="15">
        <f>IF(Colaboradores!$B46="","",Colaboradores!$D46)</f>
        <v/>
      </c>
      <c r="E46" s="15">
        <f>IF(Colaboradores!$B46="","",Colaboradores!$E46)</f>
        <v/>
      </c>
      <c r="F46" s="15">
        <f>IF(Colaboradores!$B46="","",Colaboradores!$O46)</f>
        <v/>
      </c>
      <c r="G46" s="15">
        <f>IF(Colaboradores!$B46="","",Colaboradores!$P46)</f>
        <v/>
      </c>
      <c r="H46" s="16">
        <f>IF($B46="","",IFERROR(AVERAGEIFS(Avaliação!$M:$M,Avaliação!$B:$B,$A46,Avaliação!$A:$A,Config!$B$4,Avaliação!$G:$G,Config!$A$17),""))</f>
        <v/>
      </c>
      <c r="I46" s="16">
        <f>IF($B46="","",IFERROR(AVERAGEIFS(Avaliação!$M:$M,Avaliação!$B:$B,$A46,Avaliação!$A:$A,Config!$B$4,Avaliação!$G:$G,Config!$A$18),""))</f>
        <v/>
      </c>
      <c r="J46" s="16">
        <f>IF($B46="","",IFERROR(AVERAGEIFS(Avaliação!$M:$M,Avaliação!$B:$B,$A46,Avaliação!$A:$A,Config!$B$4,Avaliação!$G:$G,Config!$A$19),""))</f>
        <v/>
      </c>
      <c r="K46" s="16">
        <f>IF($B46="","",IFERROR(AVERAGEIFS(Avaliação!$M:$M,Avaliação!$B:$B,$A46,Avaliação!$A:$A,Config!$B$4,Avaliação!$G:$G,Config!$A$20),""))</f>
        <v/>
      </c>
      <c r="L46" s="16">
        <f>IF($AF46=0,"",$AE46/$AF46)</f>
        <v/>
      </c>
      <c r="M46" s="16">
        <f>IFERROR(INDEX(Config!$B$25:$B$28,MATCH($E46,Config!$A$25:$A$28,0)),"")</f>
        <v/>
      </c>
      <c r="N46" s="16">
        <f>IF(OR($L46="",$M46=""),"",$L46-$M46)</f>
        <v/>
      </c>
      <c r="O46" s="15">
        <f>IF($L46="","",IF($L46&lt;2.5,"Abaixo",IF($L46&lt;3.5,"Atende",IF($L46&lt;=4.2,"Supera","Referência"))))</f>
        <v/>
      </c>
      <c r="P46" s="17">
        <f>IF($B46="","",COUNTIFS(Ocorrências!$B:$B,$B46,Ocorrências!$N:$N,Config!$B$4))</f>
        <v/>
      </c>
      <c r="Q46" s="17">
        <f>IF($B46="","",COUNTIFS(Ocorrências!$B:$B,$B46,Ocorrências!$N:$N,Config!$B$4,Ocorrências!$E:$E,"Reconhecimento")+COUNTIFS(Ocorrências!$B:$B,$B46,Ocorrências!$N:$N,Config!$B$4,Ocorrências!$E:$E,"Positiva"))</f>
        <v/>
      </c>
      <c r="R46" s="17">
        <f>IF($B46="","",COUNTIFS(Ocorrências!$B:$B,$B46,Ocorrências!$N:$N,Config!$B$4,Ocorrências!$E:$E,"Ponto de atenção")+COUNTIFS(Ocorrências!$B:$B,$B46,Ocorrências!$N:$N,Config!$B$4,Ocorrências!$E:$E,"Incidente"))</f>
        <v/>
      </c>
      <c r="S46" s="17">
        <f>IF($B46="","",IF(COUNTIF(Ocorrências!$B:$B,$B46)=0,"",TODAY()-_xlfn.MAXIFS(Ocorrências!$A:$A,Ocorrências!$B:$B,$B46)))</f>
        <v/>
      </c>
      <c r="T46" s="17">
        <f>IF($B46="","",IF(COUNTIF('Reuniões 1a1'!$B:$B,$B46)=0,"",TODAY()-_xlfn.MAXIFS('Reuniões 1a1'!$A:$A,'Reuniões 1a1'!$B:$B,$B46)))</f>
        <v/>
      </c>
      <c r="U46" s="17">
        <f>IF($B46="","",COUNTIFS(Avaliação!$B:$B,$A46,Avaliação!$A:$A,Config!$B$4,Avaliação!$K:$K,"&gt;=2"))</f>
        <v/>
      </c>
      <c r="V46" s="17">
        <f>IF($B46="","",COUNTIFS(Avaliação!$B:$B,$A46,Avaliação!$A:$A,Config!$B$4,Avaliação!$O:$O,"SEM LASTRO"))</f>
        <v/>
      </c>
      <c r="W46" s="17">
        <f>IF($B46="","",COUNTIFS(Ocorrências!$B:$B,$B46,Ocorrências!$N:$N,Config!$B$4,Ocorrências!$K:$K,"Não",Ocorrências!$E:$E,"Ponto de atenção")+COUNTIFS(Ocorrências!$B:$B,$B46,Ocorrências!$N:$N,Config!$B$4,Ocorrências!$K:$K,"Não",Ocorrências!$E:$E,"Incidente"))</f>
        <v/>
      </c>
      <c r="X46" s="17">
        <f>IF($L46="","",_xlfn.MAXIFS(Avaliação!$M:$M,Avaliação!$B:$B,$A46,Avaliação!$A:$A,Config!$B$4)-_xlfn.MINIFS(Avaliação!$M:$M,Avaliação!$B:$B,$A46,Avaliação!$A:$A,Config!$B$4))</f>
        <v/>
      </c>
      <c r="Y46" s="15">
        <f>IF($B46="","",IF(OR($V46&gt;0,$W46&gt;0),"BLOQUEIO",IF($L46="","Sem avaliação",IF($N46&lt;-0.3,"Abaixo da expectativa",IF($U46&gt;0,"Calibrar",IF($X46=0,"Nota chapada",IF(IF($T46="",0,$T46)&gt;30,"1:1 atrasada",IF(IF($S46="",99,$S46)&gt;45,"Sem registro","OK"))))))))</f>
        <v/>
      </c>
      <c r="Z46" s="2" t="n"/>
      <c r="AA46" s="15">
        <f>IFERROR(INDEX(Config!$B$17:$E$20,MATCH(Config!$A$17,Config!$A$17:$A$20,0),MATCH($D46,Config!$B$16:$E$16,0)),0)</f>
        <v/>
      </c>
      <c r="AB46" s="15">
        <f>IFERROR(INDEX(Config!$B$17:$E$20,MATCH(Config!$A$18,Config!$A$17:$A$20,0),MATCH($D46,Config!$B$16:$E$16,0)),0)</f>
        <v/>
      </c>
      <c r="AC46" s="15">
        <f>IFERROR(INDEX(Config!$B$17:$E$20,MATCH(Config!$A$19,Config!$A$17:$A$20,0),MATCH($D46,Config!$B$16:$E$16,0)),0)</f>
        <v/>
      </c>
      <c r="AD46" s="15">
        <f>IFERROR(INDEX(Config!$B$17:$E$20,MATCH(Config!$A$20,Config!$A$17:$A$20,0),MATCH($D46,Config!$B$16:$E$16,0)),0)</f>
        <v/>
      </c>
      <c r="AE46" s="15">
        <f>IFERROR($H46*$AA46,0)+IFERROR($I46*$AB46,0)+IFERROR($J46*$AC46,0)+IFERROR($K46*$AD46,0)</f>
        <v/>
      </c>
      <c r="AF46" s="15">
        <f>IF(ISNUMBER($H46),$AA46,0)+IF(ISNUMBER($I46),$AB46,0)+IF(ISNUMBER($J46),$AC46,0)+IF(ISNUMBER($K46),$AD46,0)</f>
        <v/>
      </c>
    </row>
    <row r="47">
      <c r="A47" s="15">
        <f>IF(Colaboradores!$B47="","",Colaboradores!$A47)</f>
        <v/>
      </c>
      <c r="B47" s="15">
        <f>IF(Colaboradores!$B47="","",Colaboradores!$B47)</f>
        <v/>
      </c>
      <c r="C47" s="15">
        <f>IF(Colaboradores!$B47="","",Colaboradores!$F47)</f>
        <v/>
      </c>
      <c r="D47" s="15">
        <f>IF(Colaboradores!$B47="","",Colaboradores!$D47)</f>
        <v/>
      </c>
      <c r="E47" s="15">
        <f>IF(Colaboradores!$B47="","",Colaboradores!$E47)</f>
        <v/>
      </c>
      <c r="F47" s="15">
        <f>IF(Colaboradores!$B47="","",Colaboradores!$O47)</f>
        <v/>
      </c>
      <c r="G47" s="15">
        <f>IF(Colaboradores!$B47="","",Colaboradores!$P47)</f>
        <v/>
      </c>
      <c r="H47" s="16">
        <f>IF($B47="","",IFERROR(AVERAGEIFS(Avaliação!$M:$M,Avaliação!$B:$B,$A47,Avaliação!$A:$A,Config!$B$4,Avaliação!$G:$G,Config!$A$17),""))</f>
        <v/>
      </c>
      <c r="I47" s="16">
        <f>IF($B47="","",IFERROR(AVERAGEIFS(Avaliação!$M:$M,Avaliação!$B:$B,$A47,Avaliação!$A:$A,Config!$B$4,Avaliação!$G:$G,Config!$A$18),""))</f>
        <v/>
      </c>
      <c r="J47" s="16">
        <f>IF($B47="","",IFERROR(AVERAGEIFS(Avaliação!$M:$M,Avaliação!$B:$B,$A47,Avaliação!$A:$A,Config!$B$4,Avaliação!$G:$G,Config!$A$19),""))</f>
        <v/>
      </c>
      <c r="K47" s="16">
        <f>IF($B47="","",IFERROR(AVERAGEIFS(Avaliação!$M:$M,Avaliação!$B:$B,$A47,Avaliação!$A:$A,Config!$B$4,Avaliação!$G:$G,Config!$A$20),""))</f>
        <v/>
      </c>
      <c r="L47" s="16">
        <f>IF($AF47=0,"",$AE47/$AF47)</f>
        <v/>
      </c>
      <c r="M47" s="16">
        <f>IFERROR(INDEX(Config!$B$25:$B$28,MATCH($E47,Config!$A$25:$A$28,0)),"")</f>
        <v/>
      </c>
      <c r="N47" s="16">
        <f>IF(OR($L47="",$M47=""),"",$L47-$M47)</f>
        <v/>
      </c>
      <c r="O47" s="15">
        <f>IF($L47="","",IF($L47&lt;2.5,"Abaixo",IF($L47&lt;3.5,"Atende",IF($L47&lt;=4.2,"Supera","Referência"))))</f>
        <v/>
      </c>
      <c r="P47" s="17">
        <f>IF($B47="","",COUNTIFS(Ocorrências!$B:$B,$B47,Ocorrências!$N:$N,Config!$B$4))</f>
        <v/>
      </c>
      <c r="Q47" s="17">
        <f>IF($B47="","",COUNTIFS(Ocorrências!$B:$B,$B47,Ocorrências!$N:$N,Config!$B$4,Ocorrências!$E:$E,"Reconhecimento")+COUNTIFS(Ocorrências!$B:$B,$B47,Ocorrências!$N:$N,Config!$B$4,Ocorrências!$E:$E,"Positiva"))</f>
        <v/>
      </c>
      <c r="R47" s="17">
        <f>IF($B47="","",COUNTIFS(Ocorrências!$B:$B,$B47,Ocorrências!$N:$N,Config!$B$4,Ocorrências!$E:$E,"Ponto de atenção")+COUNTIFS(Ocorrências!$B:$B,$B47,Ocorrências!$N:$N,Config!$B$4,Ocorrências!$E:$E,"Incidente"))</f>
        <v/>
      </c>
      <c r="S47" s="17">
        <f>IF($B47="","",IF(COUNTIF(Ocorrências!$B:$B,$B47)=0,"",TODAY()-_xlfn.MAXIFS(Ocorrências!$A:$A,Ocorrências!$B:$B,$B47)))</f>
        <v/>
      </c>
      <c r="T47" s="17">
        <f>IF($B47="","",IF(COUNTIF('Reuniões 1a1'!$B:$B,$B47)=0,"",TODAY()-_xlfn.MAXIFS('Reuniões 1a1'!$A:$A,'Reuniões 1a1'!$B:$B,$B47)))</f>
        <v/>
      </c>
      <c r="U47" s="17">
        <f>IF($B47="","",COUNTIFS(Avaliação!$B:$B,$A47,Avaliação!$A:$A,Config!$B$4,Avaliação!$K:$K,"&gt;=2"))</f>
        <v/>
      </c>
      <c r="V47" s="17">
        <f>IF($B47="","",COUNTIFS(Avaliação!$B:$B,$A47,Avaliação!$A:$A,Config!$B$4,Avaliação!$O:$O,"SEM LASTRO"))</f>
        <v/>
      </c>
      <c r="W47" s="17">
        <f>IF($B47="","",COUNTIFS(Ocorrências!$B:$B,$B47,Ocorrências!$N:$N,Config!$B$4,Ocorrências!$K:$K,"Não",Ocorrências!$E:$E,"Ponto de atenção")+COUNTIFS(Ocorrências!$B:$B,$B47,Ocorrências!$N:$N,Config!$B$4,Ocorrências!$K:$K,"Não",Ocorrências!$E:$E,"Incidente"))</f>
        <v/>
      </c>
      <c r="X47" s="17">
        <f>IF($L47="","",_xlfn.MAXIFS(Avaliação!$M:$M,Avaliação!$B:$B,$A47,Avaliação!$A:$A,Config!$B$4)-_xlfn.MINIFS(Avaliação!$M:$M,Avaliação!$B:$B,$A47,Avaliação!$A:$A,Config!$B$4))</f>
        <v/>
      </c>
      <c r="Y47" s="15">
        <f>IF($B47="","",IF(OR($V47&gt;0,$W47&gt;0),"BLOQUEIO",IF($L47="","Sem avaliação",IF($N47&lt;-0.3,"Abaixo da expectativa",IF($U47&gt;0,"Calibrar",IF($X47=0,"Nota chapada",IF(IF($T47="",0,$T47)&gt;30,"1:1 atrasada",IF(IF($S47="",99,$S47)&gt;45,"Sem registro","OK"))))))))</f>
        <v/>
      </c>
      <c r="Z47" s="2" t="n"/>
      <c r="AA47" s="15">
        <f>IFERROR(INDEX(Config!$B$17:$E$20,MATCH(Config!$A$17,Config!$A$17:$A$20,0),MATCH($D47,Config!$B$16:$E$16,0)),0)</f>
        <v/>
      </c>
      <c r="AB47" s="15">
        <f>IFERROR(INDEX(Config!$B$17:$E$20,MATCH(Config!$A$18,Config!$A$17:$A$20,0),MATCH($D47,Config!$B$16:$E$16,0)),0)</f>
        <v/>
      </c>
      <c r="AC47" s="15">
        <f>IFERROR(INDEX(Config!$B$17:$E$20,MATCH(Config!$A$19,Config!$A$17:$A$20,0),MATCH($D47,Config!$B$16:$E$16,0)),0)</f>
        <v/>
      </c>
      <c r="AD47" s="15">
        <f>IFERROR(INDEX(Config!$B$17:$E$20,MATCH(Config!$A$20,Config!$A$17:$A$20,0),MATCH($D47,Config!$B$16:$E$16,0)),0)</f>
        <v/>
      </c>
      <c r="AE47" s="15">
        <f>IFERROR($H47*$AA47,0)+IFERROR($I47*$AB47,0)+IFERROR($J47*$AC47,0)+IFERROR($K47*$AD47,0)</f>
        <v/>
      </c>
      <c r="AF47" s="15">
        <f>IF(ISNUMBER($H47),$AA47,0)+IF(ISNUMBER($I47),$AB47,0)+IF(ISNUMBER($J47),$AC47,0)+IF(ISNUMBER($K47),$AD47,0)</f>
        <v/>
      </c>
    </row>
    <row r="48">
      <c r="A48" s="15">
        <f>IF(Colaboradores!$B48="","",Colaboradores!$A48)</f>
        <v/>
      </c>
      <c r="B48" s="15">
        <f>IF(Colaboradores!$B48="","",Colaboradores!$B48)</f>
        <v/>
      </c>
      <c r="C48" s="15">
        <f>IF(Colaboradores!$B48="","",Colaboradores!$F48)</f>
        <v/>
      </c>
      <c r="D48" s="15">
        <f>IF(Colaboradores!$B48="","",Colaboradores!$D48)</f>
        <v/>
      </c>
      <c r="E48" s="15">
        <f>IF(Colaboradores!$B48="","",Colaboradores!$E48)</f>
        <v/>
      </c>
      <c r="F48" s="15">
        <f>IF(Colaboradores!$B48="","",Colaboradores!$O48)</f>
        <v/>
      </c>
      <c r="G48" s="15">
        <f>IF(Colaboradores!$B48="","",Colaboradores!$P48)</f>
        <v/>
      </c>
      <c r="H48" s="16">
        <f>IF($B48="","",IFERROR(AVERAGEIFS(Avaliação!$M:$M,Avaliação!$B:$B,$A48,Avaliação!$A:$A,Config!$B$4,Avaliação!$G:$G,Config!$A$17),""))</f>
        <v/>
      </c>
      <c r="I48" s="16">
        <f>IF($B48="","",IFERROR(AVERAGEIFS(Avaliação!$M:$M,Avaliação!$B:$B,$A48,Avaliação!$A:$A,Config!$B$4,Avaliação!$G:$G,Config!$A$18),""))</f>
        <v/>
      </c>
      <c r="J48" s="16">
        <f>IF($B48="","",IFERROR(AVERAGEIFS(Avaliação!$M:$M,Avaliação!$B:$B,$A48,Avaliação!$A:$A,Config!$B$4,Avaliação!$G:$G,Config!$A$19),""))</f>
        <v/>
      </c>
      <c r="K48" s="16">
        <f>IF($B48="","",IFERROR(AVERAGEIFS(Avaliação!$M:$M,Avaliação!$B:$B,$A48,Avaliação!$A:$A,Config!$B$4,Avaliação!$G:$G,Config!$A$20),""))</f>
        <v/>
      </c>
      <c r="L48" s="16">
        <f>IF($AF48=0,"",$AE48/$AF48)</f>
        <v/>
      </c>
      <c r="M48" s="16">
        <f>IFERROR(INDEX(Config!$B$25:$B$28,MATCH($E48,Config!$A$25:$A$28,0)),"")</f>
        <v/>
      </c>
      <c r="N48" s="16">
        <f>IF(OR($L48="",$M48=""),"",$L48-$M48)</f>
        <v/>
      </c>
      <c r="O48" s="15">
        <f>IF($L48="","",IF($L48&lt;2.5,"Abaixo",IF($L48&lt;3.5,"Atende",IF($L48&lt;=4.2,"Supera","Referência"))))</f>
        <v/>
      </c>
      <c r="P48" s="17">
        <f>IF($B48="","",COUNTIFS(Ocorrências!$B:$B,$B48,Ocorrências!$N:$N,Config!$B$4))</f>
        <v/>
      </c>
      <c r="Q48" s="17">
        <f>IF($B48="","",COUNTIFS(Ocorrências!$B:$B,$B48,Ocorrências!$N:$N,Config!$B$4,Ocorrências!$E:$E,"Reconhecimento")+COUNTIFS(Ocorrências!$B:$B,$B48,Ocorrências!$N:$N,Config!$B$4,Ocorrências!$E:$E,"Positiva"))</f>
        <v/>
      </c>
      <c r="R48" s="17">
        <f>IF($B48="","",COUNTIFS(Ocorrências!$B:$B,$B48,Ocorrências!$N:$N,Config!$B$4,Ocorrências!$E:$E,"Ponto de atenção")+COUNTIFS(Ocorrências!$B:$B,$B48,Ocorrências!$N:$N,Config!$B$4,Ocorrências!$E:$E,"Incidente"))</f>
        <v/>
      </c>
      <c r="S48" s="17">
        <f>IF($B48="","",IF(COUNTIF(Ocorrências!$B:$B,$B48)=0,"",TODAY()-_xlfn.MAXIFS(Ocorrências!$A:$A,Ocorrências!$B:$B,$B48)))</f>
        <v/>
      </c>
      <c r="T48" s="17">
        <f>IF($B48="","",IF(COUNTIF('Reuniões 1a1'!$B:$B,$B48)=0,"",TODAY()-_xlfn.MAXIFS('Reuniões 1a1'!$A:$A,'Reuniões 1a1'!$B:$B,$B48)))</f>
        <v/>
      </c>
      <c r="U48" s="17">
        <f>IF($B48="","",COUNTIFS(Avaliação!$B:$B,$A48,Avaliação!$A:$A,Config!$B$4,Avaliação!$K:$K,"&gt;=2"))</f>
        <v/>
      </c>
      <c r="V48" s="17">
        <f>IF($B48="","",COUNTIFS(Avaliação!$B:$B,$A48,Avaliação!$A:$A,Config!$B$4,Avaliação!$O:$O,"SEM LASTRO"))</f>
        <v/>
      </c>
      <c r="W48" s="17">
        <f>IF($B48="","",COUNTIFS(Ocorrências!$B:$B,$B48,Ocorrências!$N:$N,Config!$B$4,Ocorrências!$K:$K,"Não",Ocorrências!$E:$E,"Ponto de atenção")+COUNTIFS(Ocorrências!$B:$B,$B48,Ocorrências!$N:$N,Config!$B$4,Ocorrências!$K:$K,"Não",Ocorrências!$E:$E,"Incidente"))</f>
        <v/>
      </c>
      <c r="X48" s="17">
        <f>IF($L48="","",_xlfn.MAXIFS(Avaliação!$M:$M,Avaliação!$B:$B,$A48,Avaliação!$A:$A,Config!$B$4)-_xlfn.MINIFS(Avaliação!$M:$M,Avaliação!$B:$B,$A48,Avaliação!$A:$A,Config!$B$4))</f>
        <v/>
      </c>
      <c r="Y48" s="15">
        <f>IF($B48="","",IF(OR($V48&gt;0,$W48&gt;0),"BLOQUEIO",IF($L48="","Sem avaliação",IF($N48&lt;-0.3,"Abaixo da expectativa",IF($U48&gt;0,"Calibrar",IF($X48=0,"Nota chapada",IF(IF($T48="",0,$T48)&gt;30,"1:1 atrasada",IF(IF($S48="",99,$S48)&gt;45,"Sem registro","OK"))))))))</f>
        <v/>
      </c>
      <c r="Z48" s="2" t="n"/>
      <c r="AA48" s="15">
        <f>IFERROR(INDEX(Config!$B$17:$E$20,MATCH(Config!$A$17,Config!$A$17:$A$20,0),MATCH($D48,Config!$B$16:$E$16,0)),0)</f>
        <v/>
      </c>
      <c r="AB48" s="15">
        <f>IFERROR(INDEX(Config!$B$17:$E$20,MATCH(Config!$A$18,Config!$A$17:$A$20,0),MATCH($D48,Config!$B$16:$E$16,0)),0)</f>
        <v/>
      </c>
      <c r="AC48" s="15">
        <f>IFERROR(INDEX(Config!$B$17:$E$20,MATCH(Config!$A$19,Config!$A$17:$A$20,0),MATCH($D48,Config!$B$16:$E$16,0)),0)</f>
        <v/>
      </c>
      <c r="AD48" s="15">
        <f>IFERROR(INDEX(Config!$B$17:$E$20,MATCH(Config!$A$20,Config!$A$17:$A$20,0),MATCH($D48,Config!$B$16:$E$16,0)),0)</f>
        <v/>
      </c>
      <c r="AE48" s="15">
        <f>IFERROR($H48*$AA48,0)+IFERROR($I48*$AB48,0)+IFERROR($J48*$AC48,0)+IFERROR($K48*$AD48,0)</f>
        <v/>
      </c>
      <c r="AF48" s="15">
        <f>IF(ISNUMBER($H48),$AA48,0)+IF(ISNUMBER($I48),$AB48,0)+IF(ISNUMBER($J48),$AC48,0)+IF(ISNUMBER($K48),$AD48,0)</f>
        <v/>
      </c>
    </row>
    <row r="49">
      <c r="A49" s="15">
        <f>IF(Colaboradores!$B49="","",Colaboradores!$A49)</f>
        <v/>
      </c>
      <c r="B49" s="15">
        <f>IF(Colaboradores!$B49="","",Colaboradores!$B49)</f>
        <v/>
      </c>
      <c r="C49" s="15">
        <f>IF(Colaboradores!$B49="","",Colaboradores!$F49)</f>
        <v/>
      </c>
      <c r="D49" s="15">
        <f>IF(Colaboradores!$B49="","",Colaboradores!$D49)</f>
        <v/>
      </c>
      <c r="E49" s="15">
        <f>IF(Colaboradores!$B49="","",Colaboradores!$E49)</f>
        <v/>
      </c>
      <c r="F49" s="15">
        <f>IF(Colaboradores!$B49="","",Colaboradores!$O49)</f>
        <v/>
      </c>
      <c r="G49" s="15">
        <f>IF(Colaboradores!$B49="","",Colaboradores!$P49)</f>
        <v/>
      </c>
      <c r="H49" s="16">
        <f>IF($B49="","",IFERROR(AVERAGEIFS(Avaliação!$M:$M,Avaliação!$B:$B,$A49,Avaliação!$A:$A,Config!$B$4,Avaliação!$G:$G,Config!$A$17),""))</f>
        <v/>
      </c>
      <c r="I49" s="16">
        <f>IF($B49="","",IFERROR(AVERAGEIFS(Avaliação!$M:$M,Avaliação!$B:$B,$A49,Avaliação!$A:$A,Config!$B$4,Avaliação!$G:$G,Config!$A$18),""))</f>
        <v/>
      </c>
      <c r="J49" s="16">
        <f>IF($B49="","",IFERROR(AVERAGEIFS(Avaliação!$M:$M,Avaliação!$B:$B,$A49,Avaliação!$A:$A,Config!$B$4,Avaliação!$G:$G,Config!$A$19),""))</f>
        <v/>
      </c>
      <c r="K49" s="16">
        <f>IF($B49="","",IFERROR(AVERAGEIFS(Avaliação!$M:$M,Avaliação!$B:$B,$A49,Avaliação!$A:$A,Config!$B$4,Avaliação!$G:$G,Config!$A$20),""))</f>
        <v/>
      </c>
      <c r="L49" s="16">
        <f>IF($AF49=0,"",$AE49/$AF49)</f>
        <v/>
      </c>
      <c r="M49" s="16">
        <f>IFERROR(INDEX(Config!$B$25:$B$28,MATCH($E49,Config!$A$25:$A$28,0)),"")</f>
        <v/>
      </c>
      <c r="N49" s="16">
        <f>IF(OR($L49="",$M49=""),"",$L49-$M49)</f>
        <v/>
      </c>
      <c r="O49" s="15">
        <f>IF($L49="","",IF($L49&lt;2.5,"Abaixo",IF($L49&lt;3.5,"Atende",IF($L49&lt;=4.2,"Supera","Referência"))))</f>
        <v/>
      </c>
      <c r="P49" s="17">
        <f>IF($B49="","",COUNTIFS(Ocorrências!$B:$B,$B49,Ocorrências!$N:$N,Config!$B$4))</f>
        <v/>
      </c>
      <c r="Q49" s="17">
        <f>IF($B49="","",COUNTIFS(Ocorrências!$B:$B,$B49,Ocorrências!$N:$N,Config!$B$4,Ocorrências!$E:$E,"Reconhecimento")+COUNTIFS(Ocorrências!$B:$B,$B49,Ocorrências!$N:$N,Config!$B$4,Ocorrências!$E:$E,"Positiva"))</f>
        <v/>
      </c>
      <c r="R49" s="17">
        <f>IF($B49="","",COUNTIFS(Ocorrências!$B:$B,$B49,Ocorrências!$N:$N,Config!$B$4,Ocorrências!$E:$E,"Ponto de atenção")+COUNTIFS(Ocorrências!$B:$B,$B49,Ocorrências!$N:$N,Config!$B$4,Ocorrências!$E:$E,"Incidente"))</f>
        <v/>
      </c>
      <c r="S49" s="17">
        <f>IF($B49="","",IF(COUNTIF(Ocorrências!$B:$B,$B49)=0,"",TODAY()-_xlfn.MAXIFS(Ocorrências!$A:$A,Ocorrências!$B:$B,$B49)))</f>
        <v/>
      </c>
      <c r="T49" s="17">
        <f>IF($B49="","",IF(COUNTIF('Reuniões 1a1'!$B:$B,$B49)=0,"",TODAY()-_xlfn.MAXIFS('Reuniões 1a1'!$A:$A,'Reuniões 1a1'!$B:$B,$B49)))</f>
        <v/>
      </c>
      <c r="U49" s="17">
        <f>IF($B49="","",COUNTIFS(Avaliação!$B:$B,$A49,Avaliação!$A:$A,Config!$B$4,Avaliação!$K:$K,"&gt;=2"))</f>
        <v/>
      </c>
      <c r="V49" s="17">
        <f>IF($B49="","",COUNTIFS(Avaliação!$B:$B,$A49,Avaliação!$A:$A,Config!$B$4,Avaliação!$O:$O,"SEM LASTRO"))</f>
        <v/>
      </c>
      <c r="W49" s="17">
        <f>IF($B49="","",COUNTIFS(Ocorrências!$B:$B,$B49,Ocorrências!$N:$N,Config!$B$4,Ocorrências!$K:$K,"Não",Ocorrências!$E:$E,"Ponto de atenção")+COUNTIFS(Ocorrências!$B:$B,$B49,Ocorrências!$N:$N,Config!$B$4,Ocorrências!$K:$K,"Não",Ocorrências!$E:$E,"Incidente"))</f>
        <v/>
      </c>
      <c r="X49" s="17">
        <f>IF($L49="","",_xlfn.MAXIFS(Avaliação!$M:$M,Avaliação!$B:$B,$A49,Avaliação!$A:$A,Config!$B$4)-_xlfn.MINIFS(Avaliação!$M:$M,Avaliação!$B:$B,$A49,Avaliação!$A:$A,Config!$B$4))</f>
        <v/>
      </c>
      <c r="Y49" s="15">
        <f>IF($B49="","",IF(OR($V49&gt;0,$W49&gt;0),"BLOQUEIO",IF($L49="","Sem avaliação",IF($N49&lt;-0.3,"Abaixo da expectativa",IF($U49&gt;0,"Calibrar",IF($X49=0,"Nota chapada",IF(IF($T49="",0,$T49)&gt;30,"1:1 atrasada",IF(IF($S49="",99,$S49)&gt;45,"Sem registro","OK"))))))))</f>
        <v/>
      </c>
      <c r="Z49" s="2" t="n"/>
      <c r="AA49" s="15">
        <f>IFERROR(INDEX(Config!$B$17:$E$20,MATCH(Config!$A$17,Config!$A$17:$A$20,0),MATCH($D49,Config!$B$16:$E$16,0)),0)</f>
        <v/>
      </c>
      <c r="AB49" s="15">
        <f>IFERROR(INDEX(Config!$B$17:$E$20,MATCH(Config!$A$18,Config!$A$17:$A$20,0),MATCH($D49,Config!$B$16:$E$16,0)),0)</f>
        <v/>
      </c>
      <c r="AC49" s="15">
        <f>IFERROR(INDEX(Config!$B$17:$E$20,MATCH(Config!$A$19,Config!$A$17:$A$20,0),MATCH($D49,Config!$B$16:$E$16,0)),0)</f>
        <v/>
      </c>
      <c r="AD49" s="15">
        <f>IFERROR(INDEX(Config!$B$17:$E$20,MATCH(Config!$A$20,Config!$A$17:$A$20,0),MATCH($D49,Config!$B$16:$E$16,0)),0)</f>
        <v/>
      </c>
      <c r="AE49" s="15">
        <f>IFERROR($H49*$AA49,0)+IFERROR($I49*$AB49,0)+IFERROR($J49*$AC49,0)+IFERROR($K49*$AD49,0)</f>
        <v/>
      </c>
      <c r="AF49" s="15">
        <f>IF(ISNUMBER($H49),$AA49,0)+IF(ISNUMBER($I49),$AB49,0)+IF(ISNUMBER($J49),$AC49,0)+IF(ISNUMBER($K49),$AD49,0)</f>
        <v/>
      </c>
    </row>
    <row r="50">
      <c r="A50" s="15">
        <f>IF(Colaboradores!$B50="","",Colaboradores!$A50)</f>
        <v/>
      </c>
      <c r="B50" s="15">
        <f>IF(Colaboradores!$B50="","",Colaboradores!$B50)</f>
        <v/>
      </c>
      <c r="C50" s="15">
        <f>IF(Colaboradores!$B50="","",Colaboradores!$F50)</f>
        <v/>
      </c>
      <c r="D50" s="15">
        <f>IF(Colaboradores!$B50="","",Colaboradores!$D50)</f>
        <v/>
      </c>
      <c r="E50" s="15">
        <f>IF(Colaboradores!$B50="","",Colaboradores!$E50)</f>
        <v/>
      </c>
      <c r="F50" s="15">
        <f>IF(Colaboradores!$B50="","",Colaboradores!$O50)</f>
        <v/>
      </c>
      <c r="G50" s="15">
        <f>IF(Colaboradores!$B50="","",Colaboradores!$P50)</f>
        <v/>
      </c>
      <c r="H50" s="16">
        <f>IF($B50="","",IFERROR(AVERAGEIFS(Avaliação!$M:$M,Avaliação!$B:$B,$A50,Avaliação!$A:$A,Config!$B$4,Avaliação!$G:$G,Config!$A$17),""))</f>
        <v/>
      </c>
      <c r="I50" s="16">
        <f>IF($B50="","",IFERROR(AVERAGEIFS(Avaliação!$M:$M,Avaliação!$B:$B,$A50,Avaliação!$A:$A,Config!$B$4,Avaliação!$G:$G,Config!$A$18),""))</f>
        <v/>
      </c>
      <c r="J50" s="16">
        <f>IF($B50="","",IFERROR(AVERAGEIFS(Avaliação!$M:$M,Avaliação!$B:$B,$A50,Avaliação!$A:$A,Config!$B$4,Avaliação!$G:$G,Config!$A$19),""))</f>
        <v/>
      </c>
      <c r="K50" s="16">
        <f>IF($B50="","",IFERROR(AVERAGEIFS(Avaliação!$M:$M,Avaliação!$B:$B,$A50,Avaliação!$A:$A,Config!$B$4,Avaliação!$G:$G,Config!$A$20),""))</f>
        <v/>
      </c>
      <c r="L50" s="16">
        <f>IF($AF50=0,"",$AE50/$AF50)</f>
        <v/>
      </c>
      <c r="M50" s="16">
        <f>IFERROR(INDEX(Config!$B$25:$B$28,MATCH($E50,Config!$A$25:$A$28,0)),"")</f>
        <v/>
      </c>
      <c r="N50" s="16">
        <f>IF(OR($L50="",$M50=""),"",$L50-$M50)</f>
        <v/>
      </c>
      <c r="O50" s="15">
        <f>IF($L50="","",IF($L50&lt;2.5,"Abaixo",IF($L50&lt;3.5,"Atende",IF($L50&lt;=4.2,"Supera","Referência"))))</f>
        <v/>
      </c>
      <c r="P50" s="17">
        <f>IF($B50="","",COUNTIFS(Ocorrências!$B:$B,$B50,Ocorrências!$N:$N,Config!$B$4))</f>
        <v/>
      </c>
      <c r="Q50" s="17">
        <f>IF($B50="","",COUNTIFS(Ocorrências!$B:$B,$B50,Ocorrências!$N:$N,Config!$B$4,Ocorrências!$E:$E,"Reconhecimento")+COUNTIFS(Ocorrências!$B:$B,$B50,Ocorrências!$N:$N,Config!$B$4,Ocorrências!$E:$E,"Positiva"))</f>
        <v/>
      </c>
      <c r="R50" s="17">
        <f>IF($B50="","",COUNTIFS(Ocorrências!$B:$B,$B50,Ocorrências!$N:$N,Config!$B$4,Ocorrências!$E:$E,"Ponto de atenção")+COUNTIFS(Ocorrências!$B:$B,$B50,Ocorrências!$N:$N,Config!$B$4,Ocorrências!$E:$E,"Incidente"))</f>
        <v/>
      </c>
      <c r="S50" s="17">
        <f>IF($B50="","",IF(COUNTIF(Ocorrências!$B:$B,$B50)=0,"",TODAY()-_xlfn.MAXIFS(Ocorrências!$A:$A,Ocorrências!$B:$B,$B50)))</f>
        <v/>
      </c>
      <c r="T50" s="17">
        <f>IF($B50="","",IF(COUNTIF('Reuniões 1a1'!$B:$B,$B50)=0,"",TODAY()-_xlfn.MAXIFS('Reuniões 1a1'!$A:$A,'Reuniões 1a1'!$B:$B,$B50)))</f>
        <v/>
      </c>
      <c r="U50" s="17">
        <f>IF($B50="","",COUNTIFS(Avaliação!$B:$B,$A50,Avaliação!$A:$A,Config!$B$4,Avaliação!$K:$K,"&gt;=2"))</f>
        <v/>
      </c>
      <c r="V50" s="17">
        <f>IF($B50="","",COUNTIFS(Avaliação!$B:$B,$A50,Avaliação!$A:$A,Config!$B$4,Avaliação!$O:$O,"SEM LASTRO"))</f>
        <v/>
      </c>
      <c r="W50" s="17">
        <f>IF($B50="","",COUNTIFS(Ocorrências!$B:$B,$B50,Ocorrências!$N:$N,Config!$B$4,Ocorrências!$K:$K,"Não",Ocorrências!$E:$E,"Ponto de atenção")+COUNTIFS(Ocorrências!$B:$B,$B50,Ocorrências!$N:$N,Config!$B$4,Ocorrências!$K:$K,"Não",Ocorrências!$E:$E,"Incidente"))</f>
        <v/>
      </c>
      <c r="X50" s="17">
        <f>IF($L50="","",_xlfn.MAXIFS(Avaliação!$M:$M,Avaliação!$B:$B,$A50,Avaliação!$A:$A,Config!$B$4)-_xlfn.MINIFS(Avaliação!$M:$M,Avaliação!$B:$B,$A50,Avaliação!$A:$A,Config!$B$4))</f>
        <v/>
      </c>
      <c r="Y50" s="15">
        <f>IF($B50="","",IF(OR($V50&gt;0,$W50&gt;0),"BLOQUEIO",IF($L50="","Sem avaliação",IF($N50&lt;-0.3,"Abaixo da expectativa",IF($U50&gt;0,"Calibrar",IF($X50=0,"Nota chapada",IF(IF($T50="",0,$T50)&gt;30,"1:1 atrasada",IF(IF($S50="",99,$S50)&gt;45,"Sem registro","OK"))))))))</f>
        <v/>
      </c>
      <c r="Z50" s="2" t="n"/>
      <c r="AA50" s="15">
        <f>IFERROR(INDEX(Config!$B$17:$E$20,MATCH(Config!$A$17,Config!$A$17:$A$20,0),MATCH($D50,Config!$B$16:$E$16,0)),0)</f>
        <v/>
      </c>
      <c r="AB50" s="15">
        <f>IFERROR(INDEX(Config!$B$17:$E$20,MATCH(Config!$A$18,Config!$A$17:$A$20,0),MATCH($D50,Config!$B$16:$E$16,0)),0)</f>
        <v/>
      </c>
      <c r="AC50" s="15">
        <f>IFERROR(INDEX(Config!$B$17:$E$20,MATCH(Config!$A$19,Config!$A$17:$A$20,0),MATCH($D50,Config!$B$16:$E$16,0)),0)</f>
        <v/>
      </c>
      <c r="AD50" s="15">
        <f>IFERROR(INDEX(Config!$B$17:$E$20,MATCH(Config!$A$20,Config!$A$17:$A$20,0),MATCH($D50,Config!$B$16:$E$16,0)),0)</f>
        <v/>
      </c>
      <c r="AE50" s="15">
        <f>IFERROR($H50*$AA50,0)+IFERROR($I50*$AB50,0)+IFERROR($J50*$AC50,0)+IFERROR($K50*$AD50,0)</f>
        <v/>
      </c>
      <c r="AF50" s="15">
        <f>IF(ISNUMBER($H50),$AA50,0)+IF(ISNUMBER($I50),$AB50,0)+IF(ISNUMBER($J50),$AC50,0)+IF(ISNUMBER($K50),$AD50,0)</f>
        <v/>
      </c>
    </row>
    <row r="51">
      <c r="A51" s="15">
        <f>IF(Colaboradores!$B51="","",Colaboradores!$A51)</f>
        <v/>
      </c>
      <c r="B51" s="15">
        <f>IF(Colaboradores!$B51="","",Colaboradores!$B51)</f>
        <v/>
      </c>
      <c r="C51" s="15">
        <f>IF(Colaboradores!$B51="","",Colaboradores!$F51)</f>
        <v/>
      </c>
      <c r="D51" s="15">
        <f>IF(Colaboradores!$B51="","",Colaboradores!$D51)</f>
        <v/>
      </c>
      <c r="E51" s="15">
        <f>IF(Colaboradores!$B51="","",Colaboradores!$E51)</f>
        <v/>
      </c>
      <c r="F51" s="15">
        <f>IF(Colaboradores!$B51="","",Colaboradores!$O51)</f>
        <v/>
      </c>
      <c r="G51" s="15">
        <f>IF(Colaboradores!$B51="","",Colaboradores!$P51)</f>
        <v/>
      </c>
      <c r="H51" s="16">
        <f>IF($B51="","",IFERROR(AVERAGEIFS(Avaliação!$M:$M,Avaliação!$B:$B,$A51,Avaliação!$A:$A,Config!$B$4,Avaliação!$G:$G,Config!$A$17),""))</f>
        <v/>
      </c>
      <c r="I51" s="16">
        <f>IF($B51="","",IFERROR(AVERAGEIFS(Avaliação!$M:$M,Avaliação!$B:$B,$A51,Avaliação!$A:$A,Config!$B$4,Avaliação!$G:$G,Config!$A$18),""))</f>
        <v/>
      </c>
      <c r="J51" s="16">
        <f>IF($B51="","",IFERROR(AVERAGEIFS(Avaliação!$M:$M,Avaliação!$B:$B,$A51,Avaliação!$A:$A,Config!$B$4,Avaliação!$G:$G,Config!$A$19),""))</f>
        <v/>
      </c>
      <c r="K51" s="16">
        <f>IF($B51="","",IFERROR(AVERAGEIFS(Avaliação!$M:$M,Avaliação!$B:$B,$A51,Avaliação!$A:$A,Config!$B$4,Avaliação!$G:$G,Config!$A$20),""))</f>
        <v/>
      </c>
      <c r="L51" s="16">
        <f>IF($AF51=0,"",$AE51/$AF51)</f>
        <v/>
      </c>
      <c r="M51" s="16">
        <f>IFERROR(INDEX(Config!$B$25:$B$28,MATCH($E51,Config!$A$25:$A$28,0)),"")</f>
        <v/>
      </c>
      <c r="N51" s="16">
        <f>IF(OR($L51="",$M51=""),"",$L51-$M51)</f>
        <v/>
      </c>
      <c r="O51" s="15">
        <f>IF($L51="","",IF($L51&lt;2.5,"Abaixo",IF($L51&lt;3.5,"Atende",IF($L51&lt;=4.2,"Supera","Referência"))))</f>
        <v/>
      </c>
      <c r="P51" s="17">
        <f>IF($B51="","",COUNTIFS(Ocorrências!$B:$B,$B51,Ocorrências!$N:$N,Config!$B$4))</f>
        <v/>
      </c>
      <c r="Q51" s="17">
        <f>IF($B51="","",COUNTIFS(Ocorrências!$B:$B,$B51,Ocorrências!$N:$N,Config!$B$4,Ocorrências!$E:$E,"Reconhecimento")+COUNTIFS(Ocorrências!$B:$B,$B51,Ocorrências!$N:$N,Config!$B$4,Ocorrências!$E:$E,"Positiva"))</f>
        <v/>
      </c>
      <c r="R51" s="17">
        <f>IF($B51="","",COUNTIFS(Ocorrências!$B:$B,$B51,Ocorrências!$N:$N,Config!$B$4,Ocorrências!$E:$E,"Ponto de atenção")+COUNTIFS(Ocorrências!$B:$B,$B51,Ocorrências!$N:$N,Config!$B$4,Ocorrências!$E:$E,"Incidente"))</f>
        <v/>
      </c>
      <c r="S51" s="17">
        <f>IF($B51="","",IF(COUNTIF(Ocorrências!$B:$B,$B51)=0,"",TODAY()-_xlfn.MAXIFS(Ocorrências!$A:$A,Ocorrências!$B:$B,$B51)))</f>
        <v/>
      </c>
      <c r="T51" s="17">
        <f>IF($B51="","",IF(COUNTIF('Reuniões 1a1'!$B:$B,$B51)=0,"",TODAY()-_xlfn.MAXIFS('Reuniões 1a1'!$A:$A,'Reuniões 1a1'!$B:$B,$B51)))</f>
        <v/>
      </c>
      <c r="U51" s="17">
        <f>IF($B51="","",COUNTIFS(Avaliação!$B:$B,$A51,Avaliação!$A:$A,Config!$B$4,Avaliação!$K:$K,"&gt;=2"))</f>
        <v/>
      </c>
      <c r="V51" s="17">
        <f>IF($B51="","",COUNTIFS(Avaliação!$B:$B,$A51,Avaliação!$A:$A,Config!$B$4,Avaliação!$O:$O,"SEM LASTRO"))</f>
        <v/>
      </c>
      <c r="W51" s="17">
        <f>IF($B51="","",COUNTIFS(Ocorrências!$B:$B,$B51,Ocorrências!$N:$N,Config!$B$4,Ocorrências!$K:$K,"Não",Ocorrências!$E:$E,"Ponto de atenção")+COUNTIFS(Ocorrências!$B:$B,$B51,Ocorrências!$N:$N,Config!$B$4,Ocorrências!$K:$K,"Não",Ocorrências!$E:$E,"Incidente"))</f>
        <v/>
      </c>
      <c r="X51" s="17">
        <f>IF($L51="","",_xlfn.MAXIFS(Avaliação!$M:$M,Avaliação!$B:$B,$A51,Avaliação!$A:$A,Config!$B$4)-_xlfn.MINIFS(Avaliação!$M:$M,Avaliação!$B:$B,$A51,Avaliação!$A:$A,Config!$B$4))</f>
        <v/>
      </c>
      <c r="Y51" s="15">
        <f>IF($B51="","",IF(OR($V51&gt;0,$W51&gt;0),"BLOQUEIO",IF($L51="","Sem avaliação",IF($N51&lt;-0.3,"Abaixo da expectativa",IF($U51&gt;0,"Calibrar",IF($X51=0,"Nota chapada",IF(IF($T51="",0,$T51)&gt;30,"1:1 atrasada",IF(IF($S51="",99,$S51)&gt;45,"Sem registro","OK"))))))))</f>
        <v/>
      </c>
      <c r="Z51" s="2" t="n"/>
      <c r="AA51" s="15">
        <f>IFERROR(INDEX(Config!$B$17:$E$20,MATCH(Config!$A$17,Config!$A$17:$A$20,0),MATCH($D51,Config!$B$16:$E$16,0)),0)</f>
        <v/>
      </c>
      <c r="AB51" s="15">
        <f>IFERROR(INDEX(Config!$B$17:$E$20,MATCH(Config!$A$18,Config!$A$17:$A$20,0),MATCH($D51,Config!$B$16:$E$16,0)),0)</f>
        <v/>
      </c>
      <c r="AC51" s="15">
        <f>IFERROR(INDEX(Config!$B$17:$E$20,MATCH(Config!$A$19,Config!$A$17:$A$20,0),MATCH($D51,Config!$B$16:$E$16,0)),0)</f>
        <v/>
      </c>
      <c r="AD51" s="15">
        <f>IFERROR(INDEX(Config!$B$17:$E$20,MATCH(Config!$A$20,Config!$A$17:$A$20,0),MATCH($D51,Config!$B$16:$E$16,0)),0)</f>
        <v/>
      </c>
      <c r="AE51" s="15">
        <f>IFERROR($H51*$AA51,0)+IFERROR($I51*$AB51,0)+IFERROR($J51*$AC51,0)+IFERROR($K51*$AD51,0)</f>
        <v/>
      </c>
      <c r="AF51" s="15">
        <f>IF(ISNUMBER($H51),$AA51,0)+IF(ISNUMBER($I51),$AB51,0)+IF(ISNUMBER($J51),$AC51,0)+IF(ISNUMBER($K51),$AD51,0)</f>
        <v/>
      </c>
    </row>
    <row r="52">
      <c r="A52" s="15">
        <f>IF(Colaboradores!$B52="","",Colaboradores!$A52)</f>
        <v/>
      </c>
      <c r="B52" s="15">
        <f>IF(Colaboradores!$B52="","",Colaboradores!$B52)</f>
        <v/>
      </c>
      <c r="C52" s="15">
        <f>IF(Colaboradores!$B52="","",Colaboradores!$F52)</f>
        <v/>
      </c>
      <c r="D52" s="15">
        <f>IF(Colaboradores!$B52="","",Colaboradores!$D52)</f>
        <v/>
      </c>
      <c r="E52" s="15">
        <f>IF(Colaboradores!$B52="","",Colaboradores!$E52)</f>
        <v/>
      </c>
      <c r="F52" s="15">
        <f>IF(Colaboradores!$B52="","",Colaboradores!$O52)</f>
        <v/>
      </c>
      <c r="G52" s="15">
        <f>IF(Colaboradores!$B52="","",Colaboradores!$P52)</f>
        <v/>
      </c>
      <c r="H52" s="16">
        <f>IF($B52="","",IFERROR(AVERAGEIFS(Avaliação!$M:$M,Avaliação!$B:$B,$A52,Avaliação!$A:$A,Config!$B$4,Avaliação!$G:$G,Config!$A$17),""))</f>
        <v/>
      </c>
      <c r="I52" s="16">
        <f>IF($B52="","",IFERROR(AVERAGEIFS(Avaliação!$M:$M,Avaliação!$B:$B,$A52,Avaliação!$A:$A,Config!$B$4,Avaliação!$G:$G,Config!$A$18),""))</f>
        <v/>
      </c>
      <c r="J52" s="16">
        <f>IF($B52="","",IFERROR(AVERAGEIFS(Avaliação!$M:$M,Avaliação!$B:$B,$A52,Avaliação!$A:$A,Config!$B$4,Avaliação!$G:$G,Config!$A$19),""))</f>
        <v/>
      </c>
      <c r="K52" s="16">
        <f>IF($B52="","",IFERROR(AVERAGEIFS(Avaliação!$M:$M,Avaliação!$B:$B,$A52,Avaliação!$A:$A,Config!$B$4,Avaliação!$G:$G,Config!$A$20),""))</f>
        <v/>
      </c>
      <c r="L52" s="16">
        <f>IF($AF52=0,"",$AE52/$AF52)</f>
        <v/>
      </c>
      <c r="M52" s="16">
        <f>IFERROR(INDEX(Config!$B$25:$B$28,MATCH($E52,Config!$A$25:$A$28,0)),"")</f>
        <v/>
      </c>
      <c r="N52" s="16">
        <f>IF(OR($L52="",$M52=""),"",$L52-$M52)</f>
        <v/>
      </c>
      <c r="O52" s="15">
        <f>IF($L52="","",IF($L52&lt;2.5,"Abaixo",IF($L52&lt;3.5,"Atende",IF($L52&lt;=4.2,"Supera","Referência"))))</f>
        <v/>
      </c>
      <c r="P52" s="17">
        <f>IF($B52="","",COUNTIFS(Ocorrências!$B:$B,$B52,Ocorrências!$N:$N,Config!$B$4))</f>
        <v/>
      </c>
      <c r="Q52" s="17">
        <f>IF($B52="","",COUNTIFS(Ocorrências!$B:$B,$B52,Ocorrências!$N:$N,Config!$B$4,Ocorrências!$E:$E,"Reconhecimento")+COUNTIFS(Ocorrências!$B:$B,$B52,Ocorrências!$N:$N,Config!$B$4,Ocorrências!$E:$E,"Positiva"))</f>
        <v/>
      </c>
      <c r="R52" s="17">
        <f>IF($B52="","",COUNTIFS(Ocorrências!$B:$B,$B52,Ocorrências!$N:$N,Config!$B$4,Ocorrências!$E:$E,"Ponto de atenção")+COUNTIFS(Ocorrências!$B:$B,$B52,Ocorrências!$N:$N,Config!$B$4,Ocorrências!$E:$E,"Incidente"))</f>
        <v/>
      </c>
      <c r="S52" s="17">
        <f>IF($B52="","",IF(COUNTIF(Ocorrências!$B:$B,$B52)=0,"",TODAY()-_xlfn.MAXIFS(Ocorrências!$A:$A,Ocorrências!$B:$B,$B52)))</f>
        <v/>
      </c>
      <c r="T52" s="17">
        <f>IF($B52="","",IF(COUNTIF('Reuniões 1a1'!$B:$B,$B52)=0,"",TODAY()-_xlfn.MAXIFS('Reuniões 1a1'!$A:$A,'Reuniões 1a1'!$B:$B,$B52)))</f>
        <v/>
      </c>
      <c r="U52" s="17">
        <f>IF($B52="","",COUNTIFS(Avaliação!$B:$B,$A52,Avaliação!$A:$A,Config!$B$4,Avaliação!$K:$K,"&gt;=2"))</f>
        <v/>
      </c>
      <c r="V52" s="17">
        <f>IF($B52="","",COUNTIFS(Avaliação!$B:$B,$A52,Avaliação!$A:$A,Config!$B$4,Avaliação!$O:$O,"SEM LASTRO"))</f>
        <v/>
      </c>
      <c r="W52" s="17">
        <f>IF($B52="","",COUNTIFS(Ocorrências!$B:$B,$B52,Ocorrências!$N:$N,Config!$B$4,Ocorrências!$K:$K,"Não",Ocorrências!$E:$E,"Ponto de atenção")+COUNTIFS(Ocorrências!$B:$B,$B52,Ocorrências!$N:$N,Config!$B$4,Ocorrências!$K:$K,"Não",Ocorrências!$E:$E,"Incidente"))</f>
        <v/>
      </c>
      <c r="X52" s="17">
        <f>IF($L52="","",_xlfn.MAXIFS(Avaliação!$M:$M,Avaliação!$B:$B,$A52,Avaliação!$A:$A,Config!$B$4)-_xlfn.MINIFS(Avaliação!$M:$M,Avaliação!$B:$B,$A52,Avaliação!$A:$A,Config!$B$4))</f>
        <v/>
      </c>
      <c r="Y52" s="15">
        <f>IF($B52="","",IF(OR($V52&gt;0,$W52&gt;0),"BLOQUEIO",IF($L52="","Sem avaliação",IF($N52&lt;-0.3,"Abaixo da expectativa",IF($U52&gt;0,"Calibrar",IF($X52=0,"Nota chapada",IF(IF($T52="",0,$T52)&gt;30,"1:1 atrasada",IF(IF($S52="",99,$S52)&gt;45,"Sem registro","OK"))))))))</f>
        <v/>
      </c>
      <c r="Z52" s="2" t="n"/>
      <c r="AA52" s="15">
        <f>IFERROR(INDEX(Config!$B$17:$E$20,MATCH(Config!$A$17,Config!$A$17:$A$20,0),MATCH($D52,Config!$B$16:$E$16,0)),0)</f>
        <v/>
      </c>
      <c r="AB52" s="15">
        <f>IFERROR(INDEX(Config!$B$17:$E$20,MATCH(Config!$A$18,Config!$A$17:$A$20,0),MATCH($D52,Config!$B$16:$E$16,0)),0)</f>
        <v/>
      </c>
      <c r="AC52" s="15">
        <f>IFERROR(INDEX(Config!$B$17:$E$20,MATCH(Config!$A$19,Config!$A$17:$A$20,0),MATCH($D52,Config!$B$16:$E$16,0)),0)</f>
        <v/>
      </c>
      <c r="AD52" s="15">
        <f>IFERROR(INDEX(Config!$B$17:$E$20,MATCH(Config!$A$20,Config!$A$17:$A$20,0),MATCH($D52,Config!$B$16:$E$16,0)),0)</f>
        <v/>
      </c>
      <c r="AE52" s="15">
        <f>IFERROR($H52*$AA52,0)+IFERROR($I52*$AB52,0)+IFERROR($J52*$AC52,0)+IFERROR($K52*$AD52,0)</f>
        <v/>
      </c>
      <c r="AF52" s="15">
        <f>IF(ISNUMBER($H52),$AA52,0)+IF(ISNUMBER($I52),$AB52,0)+IF(ISNUMBER($J52),$AC52,0)+IF(ISNUMBER($K52),$AD52,0)</f>
        <v/>
      </c>
    </row>
    <row r="53">
      <c r="A53" s="15">
        <f>IF(Colaboradores!$B53="","",Colaboradores!$A53)</f>
        <v/>
      </c>
      <c r="B53" s="15">
        <f>IF(Colaboradores!$B53="","",Colaboradores!$B53)</f>
        <v/>
      </c>
      <c r="C53" s="15">
        <f>IF(Colaboradores!$B53="","",Colaboradores!$F53)</f>
        <v/>
      </c>
      <c r="D53" s="15">
        <f>IF(Colaboradores!$B53="","",Colaboradores!$D53)</f>
        <v/>
      </c>
      <c r="E53" s="15">
        <f>IF(Colaboradores!$B53="","",Colaboradores!$E53)</f>
        <v/>
      </c>
      <c r="F53" s="15">
        <f>IF(Colaboradores!$B53="","",Colaboradores!$O53)</f>
        <v/>
      </c>
      <c r="G53" s="15">
        <f>IF(Colaboradores!$B53="","",Colaboradores!$P53)</f>
        <v/>
      </c>
      <c r="H53" s="16">
        <f>IF($B53="","",IFERROR(AVERAGEIFS(Avaliação!$M:$M,Avaliação!$B:$B,$A53,Avaliação!$A:$A,Config!$B$4,Avaliação!$G:$G,Config!$A$17),""))</f>
        <v/>
      </c>
      <c r="I53" s="16">
        <f>IF($B53="","",IFERROR(AVERAGEIFS(Avaliação!$M:$M,Avaliação!$B:$B,$A53,Avaliação!$A:$A,Config!$B$4,Avaliação!$G:$G,Config!$A$18),""))</f>
        <v/>
      </c>
      <c r="J53" s="16">
        <f>IF($B53="","",IFERROR(AVERAGEIFS(Avaliação!$M:$M,Avaliação!$B:$B,$A53,Avaliação!$A:$A,Config!$B$4,Avaliação!$G:$G,Config!$A$19),""))</f>
        <v/>
      </c>
      <c r="K53" s="16">
        <f>IF($B53="","",IFERROR(AVERAGEIFS(Avaliação!$M:$M,Avaliação!$B:$B,$A53,Avaliação!$A:$A,Config!$B$4,Avaliação!$G:$G,Config!$A$20),""))</f>
        <v/>
      </c>
      <c r="L53" s="16">
        <f>IF($AF53=0,"",$AE53/$AF53)</f>
        <v/>
      </c>
      <c r="M53" s="16">
        <f>IFERROR(INDEX(Config!$B$25:$B$28,MATCH($E53,Config!$A$25:$A$28,0)),"")</f>
        <v/>
      </c>
      <c r="N53" s="16">
        <f>IF(OR($L53="",$M53=""),"",$L53-$M53)</f>
        <v/>
      </c>
      <c r="O53" s="15">
        <f>IF($L53="","",IF($L53&lt;2.5,"Abaixo",IF($L53&lt;3.5,"Atende",IF($L53&lt;=4.2,"Supera","Referência"))))</f>
        <v/>
      </c>
      <c r="P53" s="17">
        <f>IF($B53="","",COUNTIFS(Ocorrências!$B:$B,$B53,Ocorrências!$N:$N,Config!$B$4))</f>
        <v/>
      </c>
      <c r="Q53" s="17">
        <f>IF($B53="","",COUNTIFS(Ocorrências!$B:$B,$B53,Ocorrências!$N:$N,Config!$B$4,Ocorrências!$E:$E,"Reconhecimento")+COUNTIFS(Ocorrências!$B:$B,$B53,Ocorrências!$N:$N,Config!$B$4,Ocorrências!$E:$E,"Positiva"))</f>
        <v/>
      </c>
      <c r="R53" s="17">
        <f>IF($B53="","",COUNTIFS(Ocorrências!$B:$B,$B53,Ocorrências!$N:$N,Config!$B$4,Ocorrências!$E:$E,"Ponto de atenção")+COUNTIFS(Ocorrências!$B:$B,$B53,Ocorrências!$N:$N,Config!$B$4,Ocorrências!$E:$E,"Incidente"))</f>
        <v/>
      </c>
      <c r="S53" s="17">
        <f>IF($B53="","",IF(COUNTIF(Ocorrências!$B:$B,$B53)=0,"",TODAY()-_xlfn.MAXIFS(Ocorrências!$A:$A,Ocorrências!$B:$B,$B53)))</f>
        <v/>
      </c>
      <c r="T53" s="17">
        <f>IF($B53="","",IF(COUNTIF('Reuniões 1a1'!$B:$B,$B53)=0,"",TODAY()-_xlfn.MAXIFS('Reuniões 1a1'!$A:$A,'Reuniões 1a1'!$B:$B,$B53)))</f>
        <v/>
      </c>
      <c r="U53" s="17">
        <f>IF($B53="","",COUNTIFS(Avaliação!$B:$B,$A53,Avaliação!$A:$A,Config!$B$4,Avaliação!$K:$K,"&gt;=2"))</f>
        <v/>
      </c>
      <c r="V53" s="17">
        <f>IF($B53="","",COUNTIFS(Avaliação!$B:$B,$A53,Avaliação!$A:$A,Config!$B$4,Avaliação!$O:$O,"SEM LASTRO"))</f>
        <v/>
      </c>
      <c r="W53" s="17">
        <f>IF($B53="","",COUNTIFS(Ocorrências!$B:$B,$B53,Ocorrências!$N:$N,Config!$B$4,Ocorrências!$K:$K,"Não",Ocorrências!$E:$E,"Ponto de atenção")+COUNTIFS(Ocorrências!$B:$B,$B53,Ocorrências!$N:$N,Config!$B$4,Ocorrências!$K:$K,"Não",Ocorrências!$E:$E,"Incidente"))</f>
        <v/>
      </c>
      <c r="X53" s="17">
        <f>IF($L53="","",_xlfn.MAXIFS(Avaliação!$M:$M,Avaliação!$B:$B,$A53,Avaliação!$A:$A,Config!$B$4)-_xlfn.MINIFS(Avaliação!$M:$M,Avaliação!$B:$B,$A53,Avaliação!$A:$A,Config!$B$4))</f>
        <v/>
      </c>
      <c r="Y53" s="15">
        <f>IF($B53="","",IF(OR($V53&gt;0,$W53&gt;0),"BLOQUEIO",IF($L53="","Sem avaliação",IF($N53&lt;-0.3,"Abaixo da expectativa",IF($U53&gt;0,"Calibrar",IF($X53=0,"Nota chapada",IF(IF($T53="",0,$T53)&gt;30,"1:1 atrasada",IF(IF($S53="",99,$S53)&gt;45,"Sem registro","OK"))))))))</f>
        <v/>
      </c>
      <c r="Z53" s="2" t="n"/>
      <c r="AA53" s="15">
        <f>IFERROR(INDEX(Config!$B$17:$E$20,MATCH(Config!$A$17,Config!$A$17:$A$20,0),MATCH($D53,Config!$B$16:$E$16,0)),0)</f>
        <v/>
      </c>
      <c r="AB53" s="15">
        <f>IFERROR(INDEX(Config!$B$17:$E$20,MATCH(Config!$A$18,Config!$A$17:$A$20,0),MATCH($D53,Config!$B$16:$E$16,0)),0)</f>
        <v/>
      </c>
      <c r="AC53" s="15">
        <f>IFERROR(INDEX(Config!$B$17:$E$20,MATCH(Config!$A$19,Config!$A$17:$A$20,0),MATCH($D53,Config!$B$16:$E$16,0)),0)</f>
        <v/>
      </c>
      <c r="AD53" s="15">
        <f>IFERROR(INDEX(Config!$B$17:$E$20,MATCH(Config!$A$20,Config!$A$17:$A$20,0),MATCH($D53,Config!$B$16:$E$16,0)),0)</f>
        <v/>
      </c>
      <c r="AE53" s="15">
        <f>IFERROR($H53*$AA53,0)+IFERROR($I53*$AB53,0)+IFERROR($J53*$AC53,0)+IFERROR($K53*$AD53,0)</f>
        <v/>
      </c>
      <c r="AF53" s="15">
        <f>IF(ISNUMBER($H53),$AA53,0)+IF(ISNUMBER($I53),$AB53,0)+IF(ISNUMBER($J53),$AC53,0)+IF(ISNUMBER($K53),$AD53,0)</f>
        <v/>
      </c>
    </row>
    <row r="54">
      <c r="A54" s="15">
        <f>IF(Colaboradores!$B54="","",Colaboradores!$A54)</f>
        <v/>
      </c>
      <c r="B54" s="15">
        <f>IF(Colaboradores!$B54="","",Colaboradores!$B54)</f>
        <v/>
      </c>
      <c r="C54" s="15">
        <f>IF(Colaboradores!$B54="","",Colaboradores!$F54)</f>
        <v/>
      </c>
      <c r="D54" s="15">
        <f>IF(Colaboradores!$B54="","",Colaboradores!$D54)</f>
        <v/>
      </c>
      <c r="E54" s="15">
        <f>IF(Colaboradores!$B54="","",Colaboradores!$E54)</f>
        <v/>
      </c>
      <c r="F54" s="15">
        <f>IF(Colaboradores!$B54="","",Colaboradores!$O54)</f>
        <v/>
      </c>
      <c r="G54" s="15">
        <f>IF(Colaboradores!$B54="","",Colaboradores!$P54)</f>
        <v/>
      </c>
      <c r="H54" s="16">
        <f>IF($B54="","",IFERROR(AVERAGEIFS(Avaliação!$M:$M,Avaliação!$B:$B,$A54,Avaliação!$A:$A,Config!$B$4,Avaliação!$G:$G,Config!$A$17),""))</f>
        <v/>
      </c>
      <c r="I54" s="16">
        <f>IF($B54="","",IFERROR(AVERAGEIFS(Avaliação!$M:$M,Avaliação!$B:$B,$A54,Avaliação!$A:$A,Config!$B$4,Avaliação!$G:$G,Config!$A$18),""))</f>
        <v/>
      </c>
      <c r="J54" s="16">
        <f>IF($B54="","",IFERROR(AVERAGEIFS(Avaliação!$M:$M,Avaliação!$B:$B,$A54,Avaliação!$A:$A,Config!$B$4,Avaliação!$G:$G,Config!$A$19),""))</f>
        <v/>
      </c>
      <c r="K54" s="16">
        <f>IF($B54="","",IFERROR(AVERAGEIFS(Avaliação!$M:$M,Avaliação!$B:$B,$A54,Avaliação!$A:$A,Config!$B$4,Avaliação!$G:$G,Config!$A$20),""))</f>
        <v/>
      </c>
      <c r="L54" s="16">
        <f>IF($AF54=0,"",$AE54/$AF54)</f>
        <v/>
      </c>
      <c r="M54" s="16">
        <f>IFERROR(INDEX(Config!$B$25:$B$28,MATCH($E54,Config!$A$25:$A$28,0)),"")</f>
        <v/>
      </c>
      <c r="N54" s="16">
        <f>IF(OR($L54="",$M54=""),"",$L54-$M54)</f>
        <v/>
      </c>
      <c r="O54" s="15">
        <f>IF($L54="","",IF($L54&lt;2.5,"Abaixo",IF($L54&lt;3.5,"Atende",IF($L54&lt;=4.2,"Supera","Referência"))))</f>
        <v/>
      </c>
      <c r="P54" s="17">
        <f>IF($B54="","",COUNTIFS(Ocorrências!$B:$B,$B54,Ocorrências!$N:$N,Config!$B$4))</f>
        <v/>
      </c>
      <c r="Q54" s="17">
        <f>IF($B54="","",COUNTIFS(Ocorrências!$B:$B,$B54,Ocorrências!$N:$N,Config!$B$4,Ocorrências!$E:$E,"Reconhecimento")+COUNTIFS(Ocorrências!$B:$B,$B54,Ocorrências!$N:$N,Config!$B$4,Ocorrências!$E:$E,"Positiva"))</f>
        <v/>
      </c>
      <c r="R54" s="17">
        <f>IF($B54="","",COUNTIFS(Ocorrências!$B:$B,$B54,Ocorrências!$N:$N,Config!$B$4,Ocorrências!$E:$E,"Ponto de atenção")+COUNTIFS(Ocorrências!$B:$B,$B54,Ocorrências!$N:$N,Config!$B$4,Ocorrências!$E:$E,"Incidente"))</f>
        <v/>
      </c>
      <c r="S54" s="17">
        <f>IF($B54="","",IF(COUNTIF(Ocorrências!$B:$B,$B54)=0,"",TODAY()-_xlfn.MAXIFS(Ocorrências!$A:$A,Ocorrências!$B:$B,$B54)))</f>
        <v/>
      </c>
      <c r="T54" s="17">
        <f>IF($B54="","",IF(COUNTIF('Reuniões 1a1'!$B:$B,$B54)=0,"",TODAY()-_xlfn.MAXIFS('Reuniões 1a1'!$A:$A,'Reuniões 1a1'!$B:$B,$B54)))</f>
        <v/>
      </c>
      <c r="U54" s="17">
        <f>IF($B54="","",COUNTIFS(Avaliação!$B:$B,$A54,Avaliação!$A:$A,Config!$B$4,Avaliação!$K:$K,"&gt;=2"))</f>
        <v/>
      </c>
      <c r="V54" s="17">
        <f>IF($B54="","",COUNTIFS(Avaliação!$B:$B,$A54,Avaliação!$A:$A,Config!$B$4,Avaliação!$O:$O,"SEM LASTRO"))</f>
        <v/>
      </c>
      <c r="W54" s="17">
        <f>IF($B54="","",COUNTIFS(Ocorrências!$B:$B,$B54,Ocorrências!$N:$N,Config!$B$4,Ocorrências!$K:$K,"Não",Ocorrências!$E:$E,"Ponto de atenção")+COUNTIFS(Ocorrências!$B:$B,$B54,Ocorrências!$N:$N,Config!$B$4,Ocorrências!$K:$K,"Não",Ocorrências!$E:$E,"Incidente"))</f>
        <v/>
      </c>
      <c r="X54" s="17">
        <f>IF($L54="","",_xlfn.MAXIFS(Avaliação!$M:$M,Avaliação!$B:$B,$A54,Avaliação!$A:$A,Config!$B$4)-_xlfn.MINIFS(Avaliação!$M:$M,Avaliação!$B:$B,$A54,Avaliação!$A:$A,Config!$B$4))</f>
        <v/>
      </c>
      <c r="Y54" s="15">
        <f>IF($B54="","",IF(OR($V54&gt;0,$W54&gt;0),"BLOQUEIO",IF($L54="","Sem avaliação",IF($N54&lt;-0.3,"Abaixo da expectativa",IF($U54&gt;0,"Calibrar",IF($X54=0,"Nota chapada",IF(IF($T54="",0,$T54)&gt;30,"1:1 atrasada",IF(IF($S54="",99,$S54)&gt;45,"Sem registro","OK"))))))))</f>
        <v/>
      </c>
      <c r="Z54" s="2" t="n"/>
      <c r="AA54" s="15">
        <f>IFERROR(INDEX(Config!$B$17:$E$20,MATCH(Config!$A$17,Config!$A$17:$A$20,0),MATCH($D54,Config!$B$16:$E$16,0)),0)</f>
        <v/>
      </c>
      <c r="AB54" s="15">
        <f>IFERROR(INDEX(Config!$B$17:$E$20,MATCH(Config!$A$18,Config!$A$17:$A$20,0),MATCH($D54,Config!$B$16:$E$16,0)),0)</f>
        <v/>
      </c>
      <c r="AC54" s="15">
        <f>IFERROR(INDEX(Config!$B$17:$E$20,MATCH(Config!$A$19,Config!$A$17:$A$20,0),MATCH($D54,Config!$B$16:$E$16,0)),0)</f>
        <v/>
      </c>
      <c r="AD54" s="15">
        <f>IFERROR(INDEX(Config!$B$17:$E$20,MATCH(Config!$A$20,Config!$A$17:$A$20,0),MATCH($D54,Config!$B$16:$E$16,0)),0)</f>
        <v/>
      </c>
      <c r="AE54" s="15">
        <f>IFERROR($H54*$AA54,0)+IFERROR($I54*$AB54,0)+IFERROR($J54*$AC54,0)+IFERROR($K54*$AD54,0)</f>
        <v/>
      </c>
      <c r="AF54" s="15">
        <f>IF(ISNUMBER($H54),$AA54,0)+IF(ISNUMBER($I54),$AB54,0)+IF(ISNUMBER($J54),$AC54,0)+IF(ISNUMBER($K54),$AD54,0)</f>
        <v/>
      </c>
    </row>
    <row r="55">
      <c r="A55" s="15">
        <f>IF(Colaboradores!$B55="","",Colaboradores!$A55)</f>
        <v/>
      </c>
      <c r="B55" s="15">
        <f>IF(Colaboradores!$B55="","",Colaboradores!$B55)</f>
        <v/>
      </c>
      <c r="C55" s="15">
        <f>IF(Colaboradores!$B55="","",Colaboradores!$F55)</f>
        <v/>
      </c>
      <c r="D55" s="15">
        <f>IF(Colaboradores!$B55="","",Colaboradores!$D55)</f>
        <v/>
      </c>
      <c r="E55" s="15">
        <f>IF(Colaboradores!$B55="","",Colaboradores!$E55)</f>
        <v/>
      </c>
      <c r="F55" s="15">
        <f>IF(Colaboradores!$B55="","",Colaboradores!$O55)</f>
        <v/>
      </c>
      <c r="G55" s="15">
        <f>IF(Colaboradores!$B55="","",Colaboradores!$P55)</f>
        <v/>
      </c>
      <c r="H55" s="16">
        <f>IF($B55="","",IFERROR(AVERAGEIFS(Avaliação!$M:$M,Avaliação!$B:$B,$A55,Avaliação!$A:$A,Config!$B$4,Avaliação!$G:$G,Config!$A$17),""))</f>
        <v/>
      </c>
      <c r="I55" s="16">
        <f>IF($B55="","",IFERROR(AVERAGEIFS(Avaliação!$M:$M,Avaliação!$B:$B,$A55,Avaliação!$A:$A,Config!$B$4,Avaliação!$G:$G,Config!$A$18),""))</f>
        <v/>
      </c>
      <c r="J55" s="16">
        <f>IF($B55="","",IFERROR(AVERAGEIFS(Avaliação!$M:$M,Avaliação!$B:$B,$A55,Avaliação!$A:$A,Config!$B$4,Avaliação!$G:$G,Config!$A$19),""))</f>
        <v/>
      </c>
      <c r="K55" s="16">
        <f>IF($B55="","",IFERROR(AVERAGEIFS(Avaliação!$M:$M,Avaliação!$B:$B,$A55,Avaliação!$A:$A,Config!$B$4,Avaliação!$G:$G,Config!$A$20),""))</f>
        <v/>
      </c>
      <c r="L55" s="16">
        <f>IF($AF55=0,"",$AE55/$AF55)</f>
        <v/>
      </c>
      <c r="M55" s="16">
        <f>IFERROR(INDEX(Config!$B$25:$B$28,MATCH($E55,Config!$A$25:$A$28,0)),"")</f>
        <v/>
      </c>
      <c r="N55" s="16">
        <f>IF(OR($L55="",$M55=""),"",$L55-$M55)</f>
        <v/>
      </c>
      <c r="O55" s="15">
        <f>IF($L55="","",IF($L55&lt;2.5,"Abaixo",IF($L55&lt;3.5,"Atende",IF($L55&lt;=4.2,"Supera","Referência"))))</f>
        <v/>
      </c>
      <c r="P55" s="17">
        <f>IF($B55="","",COUNTIFS(Ocorrências!$B:$B,$B55,Ocorrências!$N:$N,Config!$B$4))</f>
        <v/>
      </c>
      <c r="Q55" s="17">
        <f>IF($B55="","",COUNTIFS(Ocorrências!$B:$B,$B55,Ocorrências!$N:$N,Config!$B$4,Ocorrências!$E:$E,"Reconhecimento")+COUNTIFS(Ocorrências!$B:$B,$B55,Ocorrências!$N:$N,Config!$B$4,Ocorrências!$E:$E,"Positiva"))</f>
        <v/>
      </c>
      <c r="R55" s="17">
        <f>IF($B55="","",COUNTIFS(Ocorrências!$B:$B,$B55,Ocorrências!$N:$N,Config!$B$4,Ocorrências!$E:$E,"Ponto de atenção")+COUNTIFS(Ocorrências!$B:$B,$B55,Ocorrências!$N:$N,Config!$B$4,Ocorrências!$E:$E,"Incidente"))</f>
        <v/>
      </c>
      <c r="S55" s="17">
        <f>IF($B55="","",IF(COUNTIF(Ocorrências!$B:$B,$B55)=0,"",TODAY()-_xlfn.MAXIFS(Ocorrências!$A:$A,Ocorrências!$B:$B,$B55)))</f>
        <v/>
      </c>
      <c r="T55" s="17">
        <f>IF($B55="","",IF(COUNTIF('Reuniões 1a1'!$B:$B,$B55)=0,"",TODAY()-_xlfn.MAXIFS('Reuniões 1a1'!$A:$A,'Reuniões 1a1'!$B:$B,$B55)))</f>
        <v/>
      </c>
      <c r="U55" s="17">
        <f>IF($B55="","",COUNTIFS(Avaliação!$B:$B,$A55,Avaliação!$A:$A,Config!$B$4,Avaliação!$K:$K,"&gt;=2"))</f>
        <v/>
      </c>
      <c r="V55" s="17">
        <f>IF($B55="","",COUNTIFS(Avaliação!$B:$B,$A55,Avaliação!$A:$A,Config!$B$4,Avaliação!$O:$O,"SEM LASTRO"))</f>
        <v/>
      </c>
      <c r="W55" s="17">
        <f>IF($B55="","",COUNTIFS(Ocorrências!$B:$B,$B55,Ocorrências!$N:$N,Config!$B$4,Ocorrências!$K:$K,"Não",Ocorrências!$E:$E,"Ponto de atenção")+COUNTIFS(Ocorrências!$B:$B,$B55,Ocorrências!$N:$N,Config!$B$4,Ocorrências!$K:$K,"Não",Ocorrências!$E:$E,"Incidente"))</f>
        <v/>
      </c>
      <c r="X55" s="17">
        <f>IF($L55="","",_xlfn.MAXIFS(Avaliação!$M:$M,Avaliação!$B:$B,$A55,Avaliação!$A:$A,Config!$B$4)-_xlfn.MINIFS(Avaliação!$M:$M,Avaliação!$B:$B,$A55,Avaliação!$A:$A,Config!$B$4))</f>
        <v/>
      </c>
      <c r="Y55" s="15">
        <f>IF($B55="","",IF(OR($V55&gt;0,$W55&gt;0),"BLOQUEIO",IF($L55="","Sem avaliação",IF($N55&lt;-0.3,"Abaixo da expectativa",IF($U55&gt;0,"Calibrar",IF($X55=0,"Nota chapada",IF(IF($T55="",0,$T55)&gt;30,"1:1 atrasada",IF(IF($S55="",99,$S55)&gt;45,"Sem registro","OK"))))))))</f>
        <v/>
      </c>
      <c r="Z55" s="2" t="n"/>
      <c r="AA55" s="15">
        <f>IFERROR(INDEX(Config!$B$17:$E$20,MATCH(Config!$A$17,Config!$A$17:$A$20,0),MATCH($D55,Config!$B$16:$E$16,0)),0)</f>
        <v/>
      </c>
      <c r="AB55" s="15">
        <f>IFERROR(INDEX(Config!$B$17:$E$20,MATCH(Config!$A$18,Config!$A$17:$A$20,0),MATCH($D55,Config!$B$16:$E$16,0)),0)</f>
        <v/>
      </c>
      <c r="AC55" s="15">
        <f>IFERROR(INDEX(Config!$B$17:$E$20,MATCH(Config!$A$19,Config!$A$17:$A$20,0),MATCH($D55,Config!$B$16:$E$16,0)),0)</f>
        <v/>
      </c>
      <c r="AD55" s="15">
        <f>IFERROR(INDEX(Config!$B$17:$E$20,MATCH(Config!$A$20,Config!$A$17:$A$20,0),MATCH($D55,Config!$B$16:$E$16,0)),0)</f>
        <v/>
      </c>
      <c r="AE55" s="15">
        <f>IFERROR($H55*$AA55,0)+IFERROR($I55*$AB55,0)+IFERROR($J55*$AC55,0)+IFERROR($K55*$AD55,0)</f>
        <v/>
      </c>
      <c r="AF55" s="15">
        <f>IF(ISNUMBER($H55),$AA55,0)+IF(ISNUMBER($I55),$AB55,0)+IF(ISNUMBER($J55),$AC55,0)+IF(ISNUMBER($K55),$AD55,0)</f>
        <v/>
      </c>
    </row>
    <row r="56">
      <c r="A56" s="15">
        <f>IF(Colaboradores!$B56="","",Colaboradores!$A56)</f>
        <v/>
      </c>
      <c r="B56" s="15">
        <f>IF(Colaboradores!$B56="","",Colaboradores!$B56)</f>
        <v/>
      </c>
      <c r="C56" s="15">
        <f>IF(Colaboradores!$B56="","",Colaboradores!$F56)</f>
        <v/>
      </c>
      <c r="D56" s="15">
        <f>IF(Colaboradores!$B56="","",Colaboradores!$D56)</f>
        <v/>
      </c>
      <c r="E56" s="15">
        <f>IF(Colaboradores!$B56="","",Colaboradores!$E56)</f>
        <v/>
      </c>
      <c r="F56" s="15">
        <f>IF(Colaboradores!$B56="","",Colaboradores!$O56)</f>
        <v/>
      </c>
      <c r="G56" s="15">
        <f>IF(Colaboradores!$B56="","",Colaboradores!$P56)</f>
        <v/>
      </c>
      <c r="H56" s="16">
        <f>IF($B56="","",IFERROR(AVERAGEIFS(Avaliação!$M:$M,Avaliação!$B:$B,$A56,Avaliação!$A:$A,Config!$B$4,Avaliação!$G:$G,Config!$A$17),""))</f>
        <v/>
      </c>
      <c r="I56" s="16">
        <f>IF($B56="","",IFERROR(AVERAGEIFS(Avaliação!$M:$M,Avaliação!$B:$B,$A56,Avaliação!$A:$A,Config!$B$4,Avaliação!$G:$G,Config!$A$18),""))</f>
        <v/>
      </c>
      <c r="J56" s="16">
        <f>IF($B56="","",IFERROR(AVERAGEIFS(Avaliação!$M:$M,Avaliação!$B:$B,$A56,Avaliação!$A:$A,Config!$B$4,Avaliação!$G:$G,Config!$A$19),""))</f>
        <v/>
      </c>
      <c r="K56" s="16">
        <f>IF($B56="","",IFERROR(AVERAGEIFS(Avaliação!$M:$M,Avaliação!$B:$B,$A56,Avaliação!$A:$A,Config!$B$4,Avaliação!$G:$G,Config!$A$20),""))</f>
        <v/>
      </c>
      <c r="L56" s="16">
        <f>IF($AF56=0,"",$AE56/$AF56)</f>
        <v/>
      </c>
      <c r="M56" s="16">
        <f>IFERROR(INDEX(Config!$B$25:$B$28,MATCH($E56,Config!$A$25:$A$28,0)),"")</f>
        <v/>
      </c>
      <c r="N56" s="16">
        <f>IF(OR($L56="",$M56=""),"",$L56-$M56)</f>
        <v/>
      </c>
      <c r="O56" s="15">
        <f>IF($L56="","",IF($L56&lt;2.5,"Abaixo",IF($L56&lt;3.5,"Atende",IF($L56&lt;=4.2,"Supera","Referência"))))</f>
        <v/>
      </c>
      <c r="P56" s="17">
        <f>IF($B56="","",COUNTIFS(Ocorrências!$B:$B,$B56,Ocorrências!$N:$N,Config!$B$4))</f>
        <v/>
      </c>
      <c r="Q56" s="17">
        <f>IF($B56="","",COUNTIFS(Ocorrências!$B:$B,$B56,Ocorrências!$N:$N,Config!$B$4,Ocorrências!$E:$E,"Reconhecimento")+COUNTIFS(Ocorrências!$B:$B,$B56,Ocorrências!$N:$N,Config!$B$4,Ocorrências!$E:$E,"Positiva"))</f>
        <v/>
      </c>
      <c r="R56" s="17">
        <f>IF($B56="","",COUNTIFS(Ocorrências!$B:$B,$B56,Ocorrências!$N:$N,Config!$B$4,Ocorrências!$E:$E,"Ponto de atenção")+COUNTIFS(Ocorrências!$B:$B,$B56,Ocorrências!$N:$N,Config!$B$4,Ocorrências!$E:$E,"Incidente"))</f>
        <v/>
      </c>
      <c r="S56" s="17">
        <f>IF($B56="","",IF(COUNTIF(Ocorrências!$B:$B,$B56)=0,"",TODAY()-_xlfn.MAXIFS(Ocorrências!$A:$A,Ocorrências!$B:$B,$B56)))</f>
        <v/>
      </c>
      <c r="T56" s="17">
        <f>IF($B56="","",IF(COUNTIF('Reuniões 1a1'!$B:$B,$B56)=0,"",TODAY()-_xlfn.MAXIFS('Reuniões 1a1'!$A:$A,'Reuniões 1a1'!$B:$B,$B56)))</f>
        <v/>
      </c>
      <c r="U56" s="17">
        <f>IF($B56="","",COUNTIFS(Avaliação!$B:$B,$A56,Avaliação!$A:$A,Config!$B$4,Avaliação!$K:$K,"&gt;=2"))</f>
        <v/>
      </c>
      <c r="V56" s="17">
        <f>IF($B56="","",COUNTIFS(Avaliação!$B:$B,$A56,Avaliação!$A:$A,Config!$B$4,Avaliação!$O:$O,"SEM LASTRO"))</f>
        <v/>
      </c>
      <c r="W56" s="17">
        <f>IF($B56="","",COUNTIFS(Ocorrências!$B:$B,$B56,Ocorrências!$N:$N,Config!$B$4,Ocorrências!$K:$K,"Não",Ocorrências!$E:$E,"Ponto de atenção")+COUNTIFS(Ocorrências!$B:$B,$B56,Ocorrências!$N:$N,Config!$B$4,Ocorrências!$K:$K,"Não",Ocorrências!$E:$E,"Incidente"))</f>
        <v/>
      </c>
      <c r="X56" s="17">
        <f>IF($L56="","",_xlfn.MAXIFS(Avaliação!$M:$M,Avaliação!$B:$B,$A56,Avaliação!$A:$A,Config!$B$4)-_xlfn.MINIFS(Avaliação!$M:$M,Avaliação!$B:$B,$A56,Avaliação!$A:$A,Config!$B$4))</f>
        <v/>
      </c>
      <c r="Y56" s="15">
        <f>IF($B56="","",IF(OR($V56&gt;0,$W56&gt;0),"BLOQUEIO",IF($L56="","Sem avaliação",IF($N56&lt;-0.3,"Abaixo da expectativa",IF($U56&gt;0,"Calibrar",IF($X56=0,"Nota chapada",IF(IF($T56="",0,$T56)&gt;30,"1:1 atrasada",IF(IF($S56="",99,$S56)&gt;45,"Sem registro","OK"))))))))</f>
        <v/>
      </c>
      <c r="Z56" s="2" t="n"/>
      <c r="AA56" s="15">
        <f>IFERROR(INDEX(Config!$B$17:$E$20,MATCH(Config!$A$17,Config!$A$17:$A$20,0),MATCH($D56,Config!$B$16:$E$16,0)),0)</f>
        <v/>
      </c>
      <c r="AB56" s="15">
        <f>IFERROR(INDEX(Config!$B$17:$E$20,MATCH(Config!$A$18,Config!$A$17:$A$20,0),MATCH($D56,Config!$B$16:$E$16,0)),0)</f>
        <v/>
      </c>
      <c r="AC56" s="15">
        <f>IFERROR(INDEX(Config!$B$17:$E$20,MATCH(Config!$A$19,Config!$A$17:$A$20,0),MATCH($D56,Config!$B$16:$E$16,0)),0)</f>
        <v/>
      </c>
      <c r="AD56" s="15">
        <f>IFERROR(INDEX(Config!$B$17:$E$20,MATCH(Config!$A$20,Config!$A$17:$A$20,0),MATCH($D56,Config!$B$16:$E$16,0)),0)</f>
        <v/>
      </c>
      <c r="AE56" s="15">
        <f>IFERROR($H56*$AA56,0)+IFERROR($I56*$AB56,0)+IFERROR($J56*$AC56,0)+IFERROR($K56*$AD56,0)</f>
        <v/>
      </c>
      <c r="AF56" s="15">
        <f>IF(ISNUMBER($H56),$AA56,0)+IF(ISNUMBER($I56),$AB56,0)+IF(ISNUMBER($J56),$AC56,0)+IF(ISNUMBER($K56),$AD56,0)</f>
        <v/>
      </c>
    </row>
    <row r="57">
      <c r="A57" s="15">
        <f>IF(Colaboradores!$B57="","",Colaboradores!$A57)</f>
        <v/>
      </c>
      <c r="B57" s="15">
        <f>IF(Colaboradores!$B57="","",Colaboradores!$B57)</f>
        <v/>
      </c>
      <c r="C57" s="15">
        <f>IF(Colaboradores!$B57="","",Colaboradores!$F57)</f>
        <v/>
      </c>
      <c r="D57" s="15">
        <f>IF(Colaboradores!$B57="","",Colaboradores!$D57)</f>
        <v/>
      </c>
      <c r="E57" s="15">
        <f>IF(Colaboradores!$B57="","",Colaboradores!$E57)</f>
        <v/>
      </c>
      <c r="F57" s="15">
        <f>IF(Colaboradores!$B57="","",Colaboradores!$O57)</f>
        <v/>
      </c>
      <c r="G57" s="15">
        <f>IF(Colaboradores!$B57="","",Colaboradores!$P57)</f>
        <v/>
      </c>
      <c r="H57" s="16">
        <f>IF($B57="","",IFERROR(AVERAGEIFS(Avaliação!$M:$M,Avaliação!$B:$B,$A57,Avaliação!$A:$A,Config!$B$4,Avaliação!$G:$G,Config!$A$17),""))</f>
        <v/>
      </c>
      <c r="I57" s="16">
        <f>IF($B57="","",IFERROR(AVERAGEIFS(Avaliação!$M:$M,Avaliação!$B:$B,$A57,Avaliação!$A:$A,Config!$B$4,Avaliação!$G:$G,Config!$A$18),""))</f>
        <v/>
      </c>
      <c r="J57" s="16">
        <f>IF($B57="","",IFERROR(AVERAGEIFS(Avaliação!$M:$M,Avaliação!$B:$B,$A57,Avaliação!$A:$A,Config!$B$4,Avaliação!$G:$G,Config!$A$19),""))</f>
        <v/>
      </c>
      <c r="K57" s="16">
        <f>IF($B57="","",IFERROR(AVERAGEIFS(Avaliação!$M:$M,Avaliação!$B:$B,$A57,Avaliação!$A:$A,Config!$B$4,Avaliação!$G:$G,Config!$A$20),""))</f>
        <v/>
      </c>
      <c r="L57" s="16">
        <f>IF($AF57=0,"",$AE57/$AF57)</f>
        <v/>
      </c>
      <c r="M57" s="16">
        <f>IFERROR(INDEX(Config!$B$25:$B$28,MATCH($E57,Config!$A$25:$A$28,0)),"")</f>
        <v/>
      </c>
      <c r="N57" s="16">
        <f>IF(OR($L57="",$M57=""),"",$L57-$M57)</f>
        <v/>
      </c>
      <c r="O57" s="15">
        <f>IF($L57="","",IF($L57&lt;2.5,"Abaixo",IF($L57&lt;3.5,"Atende",IF($L57&lt;=4.2,"Supera","Referência"))))</f>
        <v/>
      </c>
      <c r="P57" s="17">
        <f>IF($B57="","",COUNTIFS(Ocorrências!$B:$B,$B57,Ocorrências!$N:$N,Config!$B$4))</f>
        <v/>
      </c>
      <c r="Q57" s="17">
        <f>IF($B57="","",COUNTIFS(Ocorrências!$B:$B,$B57,Ocorrências!$N:$N,Config!$B$4,Ocorrências!$E:$E,"Reconhecimento")+COUNTIFS(Ocorrências!$B:$B,$B57,Ocorrências!$N:$N,Config!$B$4,Ocorrências!$E:$E,"Positiva"))</f>
        <v/>
      </c>
      <c r="R57" s="17">
        <f>IF($B57="","",COUNTIFS(Ocorrências!$B:$B,$B57,Ocorrências!$N:$N,Config!$B$4,Ocorrências!$E:$E,"Ponto de atenção")+COUNTIFS(Ocorrências!$B:$B,$B57,Ocorrências!$N:$N,Config!$B$4,Ocorrências!$E:$E,"Incidente"))</f>
        <v/>
      </c>
      <c r="S57" s="17">
        <f>IF($B57="","",IF(COUNTIF(Ocorrências!$B:$B,$B57)=0,"",TODAY()-_xlfn.MAXIFS(Ocorrências!$A:$A,Ocorrências!$B:$B,$B57)))</f>
        <v/>
      </c>
      <c r="T57" s="17">
        <f>IF($B57="","",IF(COUNTIF('Reuniões 1a1'!$B:$B,$B57)=0,"",TODAY()-_xlfn.MAXIFS('Reuniões 1a1'!$A:$A,'Reuniões 1a1'!$B:$B,$B57)))</f>
        <v/>
      </c>
      <c r="U57" s="17">
        <f>IF($B57="","",COUNTIFS(Avaliação!$B:$B,$A57,Avaliação!$A:$A,Config!$B$4,Avaliação!$K:$K,"&gt;=2"))</f>
        <v/>
      </c>
      <c r="V57" s="17">
        <f>IF($B57="","",COUNTIFS(Avaliação!$B:$B,$A57,Avaliação!$A:$A,Config!$B$4,Avaliação!$O:$O,"SEM LASTRO"))</f>
        <v/>
      </c>
      <c r="W57" s="17">
        <f>IF($B57="","",COUNTIFS(Ocorrências!$B:$B,$B57,Ocorrências!$N:$N,Config!$B$4,Ocorrências!$K:$K,"Não",Ocorrências!$E:$E,"Ponto de atenção")+COUNTIFS(Ocorrências!$B:$B,$B57,Ocorrências!$N:$N,Config!$B$4,Ocorrências!$K:$K,"Não",Ocorrências!$E:$E,"Incidente"))</f>
        <v/>
      </c>
      <c r="X57" s="17">
        <f>IF($L57="","",_xlfn.MAXIFS(Avaliação!$M:$M,Avaliação!$B:$B,$A57,Avaliação!$A:$A,Config!$B$4)-_xlfn.MINIFS(Avaliação!$M:$M,Avaliação!$B:$B,$A57,Avaliação!$A:$A,Config!$B$4))</f>
        <v/>
      </c>
      <c r="Y57" s="15">
        <f>IF($B57="","",IF(OR($V57&gt;0,$W57&gt;0),"BLOQUEIO",IF($L57="","Sem avaliação",IF($N57&lt;-0.3,"Abaixo da expectativa",IF($U57&gt;0,"Calibrar",IF($X57=0,"Nota chapada",IF(IF($T57="",0,$T57)&gt;30,"1:1 atrasada",IF(IF($S57="",99,$S57)&gt;45,"Sem registro","OK"))))))))</f>
        <v/>
      </c>
      <c r="Z57" s="2" t="n"/>
      <c r="AA57" s="15">
        <f>IFERROR(INDEX(Config!$B$17:$E$20,MATCH(Config!$A$17,Config!$A$17:$A$20,0),MATCH($D57,Config!$B$16:$E$16,0)),0)</f>
        <v/>
      </c>
      <c r="AB57" s="15">
        <f>IFERROR(INDEX(Config!$B$17:$E$20,MATCH(Config!$A$18,Config!$A$17:$A$20,0),MATCH($D57,Config!$B$16:$E$16,0)),0)</f>
        <v/>
      </c>
      <c r="AC57" s="15">
        <f>IFERROR(INDEX(Config!$B$17:$E$20,MATCH(Config!$A$19,Config!$A$17:$A$20,0),MATCH($D57,Config!$B$16:$E$16,0)),0)</f>
        <v/>
      </c>
      <c r="AD57" s="15">
        <f>IFERROR(INDEX(Config!$B$17:$E$20,MATCH(Config!$A$20,Config!$A$17:$A$20,0),MATCH($D57,Config!$B$16:$E$16,0)),0)</f>
        <v/>
      </c>
      <c r="AE57" s="15">
        <f>IFERROR($H57*$AA57,0)+IFERROR($I57*$AB57,0)+IFERROR($J57*$AC57,0)+IFERROR($K57*$AD57,0)</f>
        <v/>
      </c>
      <c r="AF57" s="15">
        <f>IF(ISNUMBER($H57),$AA57,0)+IF(ISNUMBER($I57),$AB57,0)+IF(ISNUMBER($J57),$AC57,0)+IF(ISNUMBER($K57),$AD57,0)</f>
        <v/>
      </c>
    </row>
    <row r="58">
      <c r="A58" s="15">
        <f>IF(Colaboradores!$B58="","",Colaboradores!$A58)</f>
        <v/>
      </c>
      <c r="B58" s="15">
        <f>IF(Colaboradores!$B58="","",Colaboradores!$B58)</f>
        <v/>
      </c>
      <c r="C58" s="15">
        <f>IF(Colaboradores!$B58="","",Colaboradores!$F58)</f>
        <v/>
      </c>
      <c r="D58" s="15">
        <f>IF(Colaboradores!$B58="","",Colaboradores!$D58)</f>
        <v/>
      </c>
      <c r="E58" s="15">
        <f>IF(Colaboradores!$B58="","",Colaboradores!$E58)</f>
        <v/>
      </c>
      <c r="F58" s="15">
        <f>IF(Colaboradores!$B58="","",Colaboradores!$O58)</f>
        <v/>
      </c>
      <c r="G58" s="15">
        <f>IF(Colaboradores!$B58="","",Colaboradores!$P58)</f>
        <v/>
      </c>
      <c r="H58" s="16">
        <f>IF($B58="","",IFERROR(AVERAGEIFS(Avaliação!$M:$M,Avaliação!$B:$B,$A58,Avaliação!$A:$A,Config!$B$4,Avaliação!$G:$G,Config!$A$17),""))</f>
        <v/>
      </c>
      <c r="I58" s="16">
        <f>IF($B58="","",IFERROR(AVERAGEIFS(Avaliação!$M:$M,Avaliação!$B:$B,$A58,Avaliação!$A:$A,Config!$B$4,Avaliação!$G:$G,Config!$A$18),""))</f>
        <v/>
      </c>
      <c r="J58" s="16">
        <f>IF($B58="","",IFERROR(AVERAGEIFS(Avaliação!$M:$M,Avaliação!$B:$B,$A58,Avaliação!$A:$A,Config!$B$4,Avaliação!$G:$G,Config!$A$19),""))</f>
        <v/>
      </c>
      <c r="K58" s="16">
        <f>IF($B58="","",IFERROR(AVERAGEIFS(Avaliação!$M:$M,Avaliação!$B:$B,$A58,Avaliação!$A:$A,Config!$B$4,Avaliação!$G:$G,Config!$A$20),""))</f>
        <v/>
      </c>
      <c r="L58" s="16">
        <f>IF($AF58=0,"",$AE58/$AF58)</f>
        <v/>
      </c>
      <c r="M58" s="16">
        <f>IFERROR(INDEX(Config!$B$25:$B$28,MATCH($E58,Config!$A$25:$A$28,0)),"")</f>
        <v/>
      </c>
      <c r="N58" s="16">
        <f>IF(OR($L58="",$M58=""),"",$L58-$M58)</f>
        <v/>
      </c>
      <c r="O58" s="15">
        <f>IF($L58="","",IF($L58&lt;2.5,"Abaixo",IF($L58&lt;3.5,"Atende",IF($L58&lt;=4.2,"Supera","Referência"))))</f>
        <v/>
      </c>
      <c r="P58" s="17">
        <f>IF($B58="","",COUNTIFS(Ocorrências!$B:$B,$B58,Ocorrências!$N:$N,Config!$B$4))</f>
        <v/>
      </c>
      <c r="Q58" s="17">
        <f>IF($B58="","",COUNTIFS(Ocorrências!$B:$B,$B58,Ocorrências!$N:$N,Config!$B$4,Ocorrências!$E:$E,"Reconhecimento")+COUNTIFS(Ocorrências!$B:$B,$B58,Ocorrências!$N:$N,Config!$B$4,Ocorrências!$E:$E,"Positiva"))</f>
        <v/>
      </c>
      <c r="R58" s="17">
        <f>IF($B58="","",COUNTIFS(Ocorrências!$B:$B,$B58,Ocorrências!$N:$N,Config!$B$4,Ocorrências!$E:$E,"Ponto de atenção")+COUNTIFS(Ocorrências!$B:$B,$B58,Ocorrências!$N:$N,Config!$B$4,Ocorrências!$E:$E,"Incidente"))</f>
        <v/>
      </c>
      <c r="S58" s="17">
        <f>IF($B58="","",IF(COUNTIF(Ocorrências!$B:$B,$B58)=0,"",TODAY()-_xlfn.MAXIFS(Ocorrências!$A:$A,Ocorrências!$B:$B,$B58)))</f>
        <v/>
      </c>
      <c r="T58" s="17">
        <f>IF($B58="","",IF(COUNTIF('Reuniões 1a1'!$B:$B,$B58)=0,"",TODAY()-_xlfn.MAXIFS('Reuniões 1a1'!$A:$A,'Reuniões 1a1'!$B:$B,$B58)))</f>
        <v/>
      </c>
      <c r="U58" s="17">
        <f>IF($B58="","",COUNTIFS(Avaliação!$B:$B,$A58,Avaliação!$A:$A,Config!$B$4,Avaliação!$K:$K,"&gt;=2"))</f>
        <v/>
      </c>
      <c r="V58" s="17">
        <f>IF($B58="","",COUNTIFS(Avaliação!$B:$B,$A58,Avaliação!$A:$A,Config!$B$4,Avaliação!$O:$O,"SEM LASTRO"))</f>
        <v/>
      </c>
      <c r="W58" s="17">
        <f>IF($B58="","",COUNTIFS(Ocorrências!$B:$B,$B58,Ocorrências!$N:$N,Config!$B$4,Ocorrências!$K:$K,"Não",Ocorrências!$E:$E,"Ponto de atenção")+COUNTIFS(Ocorrências!$B:$B,$B58,Ocorrências!$N:$N,Config!$B$4,Ocorrências!$K:$K,"Não",Ocorrências!$E:$E,"Incidente"))</f>
        <v/>
      </c>
      <c r="X58" s="17">
        <f>IF($L58="","",_xlfn.MAXIFS(Avaliação!$M:$M,Avaliação!$B:$B,$A58,Avaliação!$A:$A,Config!$B$4)-_xlfn.MINIFS(Avaliação!$M:$M,Avaliação!$B:$B,$A58,Avaliação!$A:$A,Config!$B$4))</f>
        <v/>
      </c>
      <c r="Y58" s="15">
        <f>IF($B58="","",IF(OR($V58&gt;0,$W58&gt;0),"BLOQUEIO",IF($L58="","Sem avaliação",IF($N58&lt;-0.3,"Abaixo da expectativa",IF($U58&gt;0,"Calibrar",IF($X58=0,"Nota chapada",IF(IF($T58="",0,$T58)&gt;30,"1:1 atrasada",IF(IF($S58="",99,$S58)&gt;45,"Sem registro","OK"))))))))</f>
        <v/>
      </c>
      <c r="Z58" s="2" t="n"/>
      <c r="AA58" s="15">
        <f>IFERROR(INDEX(Config!$B$17:$E$20,MATCH(Config!$A$17,Config!$A$17:$A$20,0),MATCH($D58,Config!$B$16:$E$16,0)),0)</f>
        <v/>
      </c>
      <c r="AB58" s="15">
        <f>IFERROR(INDEX(Config!$B$17:$E$20,MATCH(Config!$A$18,Config!$A$17:$A$20,0),MATCH($D58,Config!$B$16:$E$16,0)),0)</f>
        <v/>
      </c>
      <c r="AC58" s="15">
        <f>IFERROR(INDEX(Config!$B$17:$E$20,MATCH(Config!$A$19,Config!$A$17:$A$20,0),MATCH($D58,Config!$B$16:$E$16,0)),0)</f>
        <v/>
      </c>
      <c r="AD58" s="15">
        <f>IFERROR(INDEX(Config!$B$17:$E$20,MATCH(Config!$A$20,Config!$A$17:$A$20,0),MATCH($D58,Config!$B$16:$E$16,0)),0)</f>
        <v/>
      </c>
      <c r="AE58" s="15">
        <f>IFERROR($H58*$AA58,0)+IFERROR($I58*$AB58,0)+IFERROR($J58*$AC58,0)+IFERROR($K58*$AD58,0)</f>
        <v/>
      </c>
      <c r="AF58" s="15">
        <f>IF(ISNUMBER($H58),$AA58,0)+IF(ISNUMBER($I58),$AB58,0)+IF(ISNUMBER($J58),$AC58,0)+IF(ISNUMBER($K58),$AD58,0)</f>
        <v/>
      </c>
    </row>
    <row r="59">
      <c r="A59" s="15">
        <f>IF(Colaboradores!$B59="","",Colaboradores!$A59)</f>
        <v/>
      </c>
      <c r="B59" s="15">
        <f>IF(Colaboradores!$B59="","",Colaboradores!$B59)</f>
        <v/>
      </c>
      <c r="C59" s="15">
        <f>IF(Colaboradores!$B59="","",Colaboradores!$F59)</f>
        <v/>
      </c>
      <c r="D59" s="15">
        <f>IF(Colaboradores!$B59="","",Colaboradores!$D59)</f>
        <v/>
      </c>
      <c r="E59" s="15">
        <f>IF(Colaboradores!$B59="","",Colaboradores!$E59)</f>
        <v/>
      </c>
      <c r="F59" s="15">
        <f>IF(Colaboradores!$B59="","",Colaboradores!$O59)</f>
        <v/>
      </c>
      <c r="G59" s="15">
        <f>IF(Colaboradores!$B59="","",Colaboradores!$P59)</f>
        <v/>
      </c>
      <c r="H59" s="16">
        <f>IF($B59="","",IFERROR(AVERAGEIFS(Avaliação!$M:$M,Avaliação!$B:$B,$A59,Avaliação!$A:$A,Config!$B$4,Avaliação!$G:$G,Config!$A$17),""))</f>
        <v/>
      </c>
      <c r="I59" s="16">
        <f>IF($B59="","",IFERROR(AVERAGEIFS(Avaliação!$M:$M,Avaliação!$B:$B,$A59,Avaliação!$A:$A,Config!$B$4,Avaliação!$G:$G,Config!$A$18),""))</f>
        <v/>
      </c>
      <c r="J59" s="16">
        <f>IF($B59="","",IFERROR(AVERAGEIFS(Avaliação!$M:$M,Avaliação!$B:$B,$A59,Avaliação!$A:$A,Config!$B$4,Avaliação!$G:$G,Config!$A$19),""))</f>
        <v/>
      </c>
      <c r="K59" s="16">
        <f>IF($B59="","",IFERROR(AVERAGEIFS(Avaliação!$M:$M,Avaliação!$B:$B,$A59,Avaliação!$A:$A,Config!$B$4,Avaliação!$G:$G,Config!$A$20),""))</f>
        <v/>
      </c>
      <c r="L59" s="16">
        <f>IF($AF59=0,"",$AE59/$AF59)</f>
        <v/>
      </c>
      <c r="M59" s="16">
        <f>IFERROR(INDEX(Config!$B$25:$B$28,MATCH($E59,Config!$A$25:$A$28,0)),"")</f>
        <v/>
      </c>
      <c r="N59" s="16">
        <f>IF(OR($L59="",$M59=""),"",$L59-$M59)</f>
        <v/>
      </c>
      <c r="O59" s="15">
        <f>IF($L59="","",IF($L59&lt;2.5,"Abaixo",IF($L59&lt;3.5,"Atende",IF($L59&lt;=4.2,"Supera","Referência"))))</f>
        <v/>
      </c>
      <c r="P59" s="17">
        <f>IF($B59="","",COUNTIFS(Ocorrências!$B:$B,$B59,Ocorrências!$N:$N,Config!$B$4))</f>
        <v/>
      </c>
      <c r="Q59" s="17">
        <f>IF($B59="","",COUNTIFS(Ocorrências!$B:$B,$B59,Ocorrências!$N:$N,Config!$B$4,Ocorrências!$E:$E,"Reconhecimento")+COUNTIFS(Ocorrências!$B:$B,$B59,Ocorrências!$N:$N,Config!$B$4,Ocorrências!$E:$E,"Positiva"))</f>
        <v/>
      </c>
      <c r="R59" s="17">
        <f>IF($B59="","",COUNTIFS(Ocorrências!$B:$B,$B59,Ocorrências!$N:$N,Config!$B$4,Ocorrências!$E:$E,"Ponto de atenção")+COUNTIFS(Ocorrências!$B:$B,$B59,Ocorrências!$N:$N,Config!$B$4,Ocorrências!$E:$E,"Incidente"))</f>
        <v/>
      </c>
      <c r="S59" s="17">
        <f>IF($B59="","",IF(COUNTIF(Ocorrências!$B:$B,$B59)=0,"",TODAY()-_xlfn.MAXIFS(Ocorrências!$A:$A,Ocorrências!$B:$B,$B59)))</f>
        <v/>
      </c>
      <c r="T59" s="17">
        <f>IF($B59="","",IF(COUNTIF('Reuniões 1a1'!$B:$B,$B59)=0,"",TODAY()-_xlfn.MAXIFS('Reuniões 1a1'!$A:$A,'Reuniões 1a1'!$B:$B,$B59)))</f>
        <v/>
      </c>
      <c r="U59" s="17">
        <f>IF($B59="","",COUNTIFS(Avaliação!$B:$B,$A59,Avaliação!$A:$A,Config!$B$4,Avaliação!$K:$K,"&gt;=2"))</f>
        <v/>
      </c>
      <c r="V59" s="17">
        <f>IF($B59="","",COUNTIFS(Avaliação!$B:$B,$A59,Avaliação!$A:$A,Config!$B$4,Avaliação!$O:$O,"SEM LASTRO"))</f>
        <v/>
      </c>
      <c r="W59" s="17">
        <f>IF($B59="","",COUNTIFS(Ocorrências!$B:$B,$B59,Ocorrências!$N:$N,Config!$B$4,Ocorrências!$K:$K,"Não",Ocorrências!$E:$E,"Ponto de atenção")+COUNTIFS(Ocorrências!$B:$B,$B59,Ocorrências!$N:$N,Config!$B$4,Ocorrências!$K:$K,"Não",Ocorrências!$E:$E,"Incidente"))</f>
        <v/>
      </c>
      <c r="X59" s="17">
        <f>IF($L59="","",_xlfn.MAXIFS(Avaliação!$M:$M,Avaliação!$B:$B,$A59,Avaliação!$A:$A,Config!$B$4)-_xlfn.MINIFS(Avaliação!$M:$M,Avaliação!$B:$B,$A59,Avaliação!$A:$A,Config!$B$4))</f>
        <v/>
      </c>
      <c r="Y59" s="15">
        <f>IF($B59="","",IF(OR($V59&gt;0,$W59&gt;0),"BLOQUEIO",IF($L59="","Sem avaliação",IF($N59&lt;-0.3,"Abaixo da expectativa",IF($U59&gt;0,"Calibrar",IF($X59=0,"Nota chapada",IF(IF($T59="",0,$T59)&gt;30,"1:1 atrasada",IF(IF($S59="",99,$S59)&gt;45,"Sem registro","OK"))))))))</f>
        <v/>
      </c>
      <c r="Z59" s="2" t="n"/>
      <c r="AA59" s="15">
        <f>IFERROR(INDEX(Config!$B$17:$E$20,MATCH(Config!$A$17,Config!$A$17:$A$20,0),MATCH($D59,Config!$B$16:$E$16,0)),0)</f>
        <v/>
      </c>
      <c r="AB59" s="15">
        <f>IFERROR(INDEX(Config!$B$17:$E$20,MATCH(Config!$A$18,Config!$A$17:$A$20,0),MATCH($D59,Config!$B$16:$E$16,0)),0)</f>
        <v/>
      </c>
      <c r="AC59" s="15">
        <f>IFERROR(INDEX(Config!$B$17:$E$20,MATCH(Config!$A$19,Config!$A$17:$A$20,0),MATCH($D59,Config!$B$16:$E$16,0)),0)</f>
        <v/>
      </c>
      <c r="AD59" s="15">
        <f>IFERROR(INDEX(Config!$B$17:$E$20,MATCH(Config!$A$20,Config!$A$17:$A$20,0),MATCH($D59,Config!$B$16:$E$16,0)),0)</f>
        <v/>
      </c>
      <c r="AE59" s="15">
        <f>IFERROR($H59*$AA59,0)+IFERROR($I59*$AB59,0)+IFERROR($J59*$AC59,0)+IFERROR($K59*$AD59,0)</f>
        <v/>
      </c>
      <c r="AF59" s="15">
        <f>IF(ISNUMBER($H59),$AA59,0)+IF(ISNUMBER($I59),$AB59,0)+IF(ISNUMBER($J59),$AC59,0)+IF(ISNUMBER($K59),$AD59,0)</f>
        <v/>
      </c>
    </row>
    <row r="60">
      <c r="A60" s="15">
        <f>IF(Colaboradores!$B60="","",Colaboradores!$A60)</f>
        <v/>
      </c>
      <c r="B60" s="15">
        <f>IF(Colaboradores!$B60="","",Colaboradores!$B60)</f>
        <v/>
      </c>
      <c r="C60" s="15">
        <f>IF(Colaboradores!$B60="","",Colaboradores!$F60)</f>
        <v/>
      </c>
      <c r="D60" s="15">
        <f>IF(Colaboradores!$B60="","",Colaboradores!$D60)</f>
        <v/>
      </c>
      <c r="E60" s="15">
        <f>IF(Colaboradores!$B60="","",Colaboradores!$E60)</f>
        <v/>
      </c>
      <c r="F60" s="15">
        <f>IF(Colaboradores!$B60="","",Colaboradores!$O60)</f>
        <v/>
      </c>
      <c r="G60" s="15">
        <f>IF(Colaboradores!$B60="","",Colaboradores!$P60)</f>
        <v/>
      </c>
      <c r="H60" s="16">
        <f>IF($B60="","",IFERROR(AVERAGEIFS(Avaliação!$M:$M,Avaliação!$B:$B,$A60,Avaliação!$A:$A,Config!$B$4,Avaliação!$G:$G,Config!$A$17),""))</f>
        <v/>
      </c>
      <c r="I60" s="16">
        <f>IF($B60="","",IFERROR(AVERAGEIFS(Avaliação!$M:$M,Avaliação!$B:$B,$A60,Avaliação!$A:$A,Config!$B$4,Avaliação!$G:$G,Config!$A$18),""))</f>
        <v/>
      </c>
      <c r="J60" s="16">
        <f>IF($B60="","",IFERROR(AVERAGEIFS(Avaliação!$M:$M,Avaliação!$B:$B,$A60,Avaliação!$A:$A,Config!$B$4,Avaliação!$G:$G,Config!$A$19),""))</f>
        <v/>
      </c>
      <c r="K60" s="16">
        <f>IF($B60="","",IFERROR(AVERAGEIFS(Avaliação!$M:$M,Avaliação!$B:$B,$A60,Avaliação!$A:$A,Config!$B$4,Avaliação!$G:$G,Config!$A$20),""))</f>
        <v/>
      </c>
      <c r="L60" s="16">
        <f>IF($AF60=0,"",$AE60/$AF60)</f>
        <v/>
      </c>
      <c r="M60" s="16">
        <f>IFERROR(INDEX(Config!$B$25:$B$28,MATCH($E60,Config!$A$25:$A$28,0)),"")</f>
        <v/>
      </c>
      <c r="N60" s="16">
        <f>IF(OR($L60="",$M60=""),"",$L60-$M60)</f>
        <v/>
      </c>
      <c r="O60" s="15">
        <f>IF($L60="","",IF($L60&lt;2.5,"Abaixo",IF($L60&lt;3.5,"Atende",IF($L60&lt;=4.2,"Supera","Referência"))))</f>
        <v/>
      </c>
      <c r="P60" s="17">
        <f>IF($B60="","",COUNTIFS(Ocorrências!$B:$B,$B60,Ocorrências!$N:$N,Config!$B$4))</f>
        <v/>
      </c>
      <c r="Q60" s="17">
        <f>IF($B60="","",COUNTIFS(Ocorrências!$B:$B,$B60,Ocorrências!$N:$N,Config!$B$4,Ocorrências!$E:$E,"Reconhecimento")+COUNTIFS(Ocorrências!$B:$B,$B60,Ocorrências!$N:$N,Config!$B$4,Ocorrências!$E:$E,"Positiva"))</f>
        <v/>
      </c>
      <c r="R60" s="17">
        <f>IF($B60="","",COUNTIFS(Ocorrências!$B:$B,$B60,Ocorrências!$N:$N,Config!$B$4,Ocorrências!$E:$E,"Ponto de atenção")+COUNTIFS(Ocorrências!$B:$B,$B60,Ocorrências!$N:$N,Config!$B$4,Ocorrências!$E:$E,"Incidente"))</f>
        <v/>
      </c>
      <c r="S60" s="17">
        <f>IF($B60="","",IF(COUNTIF(Ocorrências!$B:$B,$B60)=0,"",TODAY()-_xlfn.MAXIFS(Ocorrências!$A:$A,Ocorrências!$B:$B,$B60)))</f>
        <v/>
      </c>
      <c r="T60" s="17">
        <f>IF($B60="","",IF(COUNTIF('Reuniões 1a1'!$B:$B,$B60)=0,"",TODAY()-_xlfn.MAXIFS('Reuniões 1a1'!$A:$A,'Reuniões 1a1'!$B:$B,$B60)))</f>
        <v/>
      </c>
      <c r="U60" s="17">
        <f>IF($B60="","",COUNTIFS(Avaliação!$B:$B,$A60,Avaliação!$A:$A,Config!$B$4,Avaliação!$K:$K,"&gt;=2"))</f>
        <v/>
      </c>
      <c r="V60" s="17">
        <f>IF($B60="","",COUNTIFS(Avaliação!$B:$B,$A60,Avaliação!$A:$A,Config!$B$4,Avaliação!$O:$O,"SEM LASTRO"))</f>
        <v/>
      </c>
      <c r="W60" s="17">
        <f>IF($B60="","",COUNTIFS(Ocorrências!$B:$B,$B60,Ocorrências!$N:$N,Config!$B$4,Ocorrências!$K:$K,"Não",Ocorrências!$E:$E,"Ponto de atenção")+COUNTIFS(Ocorrências!$B:$B,$B60,Ocorrências!$N:$N,Config!$B$4,Ocorrências!$K:$K,"Não",Ocorrências!$E:$E,"Incidente"))</f>
        <v/>
      </c>
      <c r="X60" s="17">
        <f>IF($L60="","",_xlfn.MAXIFS(Avaliação!$M:$M,Avaliação!$B:$B,$A60,Avaliação!$A:$A,Config!$B$4)-_xlfn.MINIFS(Avaliação!$M:$M,Avaliação!$B:$B,$A60,Avaliação!$A:$A,Config!$B$4))</f>
        <v/>
      </c>
      <c r="Y60" s="15">
        <f>IF($B60="","",IF(OR($V60&gt;0,$W60&gt;0),"BLOQUEIO",IF($L60="","Sem avaliação",IF($N60&lt;-0.3,"Abaixo da expectativa",IF($U60&gt;0,"Calibrar",IF($X60=0,"Nota chapada",IF(IF($T60="",0,$T60)&gt;30,"1:1 atrasada",IF(IF($S60="",99,$S60)&gt;45,"Sem registro","OK"))))))))</f>
        <v/>
      </c>
      <c r="Z60" s="2" t="n"/>
      <c r="AA60" s="15">
        <f>IFERROR(INDEX(Config!$B$17:$E$20,MATCH(Config!$A$17,Config!$A$17:$A$20,0),MATCH($D60,Config!$B$16:$E$16,0)),0)</f>
        <v/>
      </c>
      <c r="AB60" s="15">
        <f>IFERROR(INDEX(Config!$B$17:$E$20,MATCH(Config!$A$18,Config!$A$17:$A$20,0),MATCH($D60,Config!$B$16:$E$16,0)),0)</f>
        <v/>
      </c>
      <c r="AC60" s="15">
        <f>IFERROR(INDEX(Config!$B$17:$E$20,MATCH(Config!$A$19,Config!$A$17:$A$20,0),MATCH($D60,Config!$B$16:$E$16,0)),0)</f>
        <v/>
      </c>
      <c r="AD60" s="15">
        <f>IFERROR(INDEX(Config!$B$17:$E$20,MATCH(Config!$A$20,Config!$A$17:$A$20,0),MATCH($D60,Config!$B$16:$E$16,0)),0)</f>
        <v/>
      </c>
      <c r="AE60" s="15">
        <f>IFERROR($H60*$AA60,0)+IFERROR($I60*$AB60,0)+IFERROR($J60*$AC60,0)+IFERROR($K60*$AD60,0)</f>
        <v/>
      </c>
      <c r="AF60" s="15">
        <f>IF(ISNUMBER($H60),$AA60,0)+IF(ISNUMBER($I60),$AB60,0)+IF(ISNUMBER($J60),$AC60,0)+IF(ISNUMBER($K60),$AD60,0)</f>
        <v/>
      </c>
    </row>
    <row r="61">
      <c r="A61" s="15">
        <f>IF(Colaboradores!$B61="","",Colaboradores!$A61)</f>
        <v/>
      </c>
      <c r="B61" s="15">
        <f>IF(Colaboradores!$B61="","",Colaboradores!$B61)</f>
        <v/>
      </c>
      <c r="C61" s="15">
        <f>IF(Colaboradores!$B61="","",Colaboradores!$F61)</f>
        <v/>
      </c>
      <c r="D61" s="15">
        <f>IF(Colaboradores!$B61="","",Colaboradores!$D61)</f>
        <v/>
      </c>
      <c r="E61" s="15">
        <f>IF(Colaboradores!$B61="","",Colaboradores!$E61)</f>
        <v/>
      </c>
      <c r="F61" s="15">
        <f>IF(Colaboradores!$B61="","",Colaboradores!$O61)</f>
        <v/>
      </c>
      <c r="G61" s="15">
        <f>IF(Colaboradores!$B61="","",Colaboradores!$P61)</f>
        <v/>
      </c>
      <c r="H61" s="16">
        <f>IF($B61="","",IFERROR(AVERAGEIFS(Avaliação!$M:$M,Avaliação!$B:$B,$A61,Avaliação!$A:$A,Config!$B$4,Avaliação!$G:$G,Config!$A$17),""))</f>
        <v/>
      </c>
      <c r="I61" s="16">
        <f>IF($B61="","",IFERROR(AVERAGEIFS(Avaliação!$M:$M,Avaliação!$B:$B,$A61,Avaliação!$A:$A,Config!$B$4,Avaliação!$G:$G,Config!$A$18),""))</f>
        <v/>
      </c>
      <c r="J61" s="16">
        <f>IF($B61="","",IFERROR(AVERAGEIFS(Avaliação!$M:$M,Avaliação!$B:$B,$A61,Avaliação!$A:$A,Config!$B$4,Avaliação!$G:$G,Config!$A$19),""))</f>
        <v/>
      </c>
      <c r="K61" s="16">
        <f>IF($B61="","",IFERROR(AVERAGEIFS(Avaliação!$M:$M,Avaliação!$B:$B,$A61,Avaliação!$A:$A,Config!$B$4,Avaliação!$G:$G,Config!$A$20),""))</f>
        <v/>
      </c>
      <c r="L61" s="16">
        <f>IF($AF61=0,"",$AE61/$AF61)</f>
        <v/>
      </c>
      <c r="M61" s="16">
        <f>IFERROR(INDEX(Config!$B$25:$B$28,MATCH($E61,Config!$A$25:$A$28,0)),"")</f>
        <v/>
      </c>
      <c r="N61" s="16">
        <f>IF(OR($L61="",$M61=""),"",$L61-$M61)</f>
        <v/>
      </c>
      <c r="O61" s="15">
        <f>IF($L61="","",IF($L61&lt;2.5,"Abaixo",IF($L61&lt;3.5,"Atende",IF($L61&lt;=4.2,"Supera","Referência"))))</f>
        <v/>
      </c>
      <c r="P61" s="17">
        <f>IF($B61="","",COUNTIFS(Ocorrências!$B:$B,$B61,Ocorrências!$N:$N,Config!$B$4))</f>
        <v/>
      </c>
      <c r="Q61" s="17">
        <f>IF($B61="","",COUNTIFS(Ocorrências!$B:$B,$B61,Ocorrências!$N:$N,Config!$B$4,Ocorrências!$E:$E,"Reconhecimento")+COUNTIFS(Ocorrências!$B:$B,$B61,Ocorrências!$N:$N,Config!$B$4,Ocorrências!$E:$E,"Positiva"))</f>
        <v/>
      </c>
      <c r="R61" s="17">
        <f>IF($B61="","",COUNTIFS(Ocorrências!$B:$B,$B61,Ocorrências!$N:$N,Config!$B$4,Ocorrências!$E:$E,"Ponto de atenção")+COUNTIFS(Ocorrências!$B:$B,$B61,Ocorrências!$N:$N,Config!$B$4,Ocorrências!$E:$E,"Incidente"))</f>
        <v/>
      </c>
      <c r="S61" s="17">
        <f>IF($B61="","",IF(COUNTIF(Ocorrências!$B:$B,$B61)=0,"",TODAY()-_xlfn.MAXIFS(Ocorrências!$A:$A,Ocorrências!$B:$B,$B61)))</f>
        <v/>
      </c>
      <c r="T61" s="17">
        <f>IF($B61="","",IF(COUNTIF('Reuniões 1a1'!$B:$B,$B61)=0,"",TODAY()-_xlfn.MAXIFS('Reuniões 1a1'!$A:$A,'Reuniões 1a1'!$B:$B,$B61)))</f>
        <v/>
      </c>
      <c r="U61" s="17">
        <f>IF($B61="","",COUNTIFS(Avaliação!$B:$B,$A61,Avaliação!$A:$A,Config!$B$4,Avaliação!$K:$K,"&gt;=2"))</f>
        <v/>
      </c>
      <c r="V61" s="17">
        <f>IF($B61="","",COUNTIFS(Avaliação!$B:$B,$A61,Avaliação!$A:$A,Config!$B$4,Avaliação!$O:$O,"SEM LASTRO"))</f>
        <v/>
      </c>
      <c r="W61" s="17">
        <f>IF($B61="","",COUNTIFS(Ocorrências!$B:$B,$B61,Ocorrências!$N:$N,Config!$B$4,Ocorrências!$K:$K,"Não",Ocorrências!$E:$E,"Ponto de atenção")+COUNTIFS(Ocorrências!$B:$B,$B61,Ocorrências!$N:$N,Config!$B$4,Ocorrências!$K:$K,"Não",Ocorrências!$E:$E,"Incidente"))</f>
        <v/>
      </c>
      <c r="X61" s="17">
        <f>IF($L61="","",_xlfn.MAXIFS(Avaliação!$M:$M,Avaliação!$B:$B,$A61,Avaliação!$A:$A,Config!$B$4)-_xlfn.MINIFS(Avaliação!$M:$M,Avaliação!$B:$B,$A61,Avaliação!$A:$A,Config!$B$4))</f>
        <v/>
      </c>
      <c r="Y61" s="15">
        <f>IF($B61="","",IF(OR($V61&gt;0,$W61&gt;0),"BLOQUEIO",IF($L61="","Sem avaliação",IF($N61&lt;-0.3,"Abaixo da expectativa",IF($U61&gt;0,"Calibrar",IF($X61=0,"Nota chapada",IF(IF($T61="",0,$T61)&gt;30,"1:1 atrasada",IF(IF($S61="",99,$S61)&gt;45,"Sem registro","OK"))))))))</f>
        <v/>
      </c>
      <c r="Z61" s="2" t="n"/>
      <c r="AA61" s="15">
        <f>IFERROR(INDEX(Config!$B$17:$E$20,MATCH(Config!$A$17,Config!$A$17:$A$20,0),MATCH($D61,Config!$B$16:$E$16,0)),0)</f>
        <v/>
      </c>
      <c r="AB61" s="15">
        <f>IFERROR(INDEX(Config!$B$17:$E$20,MATCH(Config!$A$18,Config!$A$17:$A$20,0),MATCH($D61,Config!$B$16:$E$16,0)),0)</f>
        <v/>
      </c>
      <c r="AC61" s="15">
        <f>IFERROR(INDEX(Config!$B$17:$E$20,MATCH(Config!$A$19,Config!$A$17:$A$20,0),MATCH($D61,Config!$B$16:$E$16,0)),0)</f>
        <v/>
      </c>
      <c r="AD61" s="15">
        <f>IFERROR(INDEX(Config!$B$17:$E$20,MATCH(Config!$A$20,Config!$A$17:$A$20,0),MATCH($D61,Config!$B$16:$E$16,0)),0)</f>
        <v/>
      </c>
      <c r="AE61" s="15">
        <f>IFERROR($H61*$AA61,0)+IFERROR($I61*$AB61,0)+IFERROR($J61*$AC61,0)+IFERROR($K61*$AD61,0)</f>
        <v/>
      </c>
      <c r="AF61" s="15">
        <f>IF(ISNUMBER($H61),$AA61,0)+IF(ISNUMBER($I61),$AB61,0)+IF(ISNUMBER($J61),$AC61,0)+IF(ISNUMBER($K61),$AD61,0)</f>
        <v/>
      </c>
    </row>
    <row r="62">
      <c r="A62" s="15">
        <f>IF(Colaboradores!$B62="","",Colaboradores!$A62)</f>
        <v/>
      </c>
      <c r="B62" s="15">
        <f>IF(Colaboradores!$B62="","",Colaboradores!$B62)</f>
        <v/>
      </c>
      <c r="C62" s="15">
        <f>IF(Colaboradores!$B62="","",Colaboradores!$F62)</f>
        <v/>
      </c>
      <c r="D62" s="15">
        <f>IF(Colaboradores!$B62="","",Colaboradores!$D62)</f>
        <v/>
      </c>
      <c r="E62" s="15">
        <f>IF(Colaboradores!$B62="","",Colaboradores!$E62)</f>
        <v/>
      </c>
      <c r="F62" s="15">
        <f>IF(Colaboradores!$B62="","",Colaboradores!$O62)</f>
        <v/>
      </c>
      <c r="G62" s="15">
        <f>IF(Colaboradores!$B62="","",Colaboradores!$P62)</f>
        <v/>
      </c>
      <c r="H62" s="16">
        <f>IF($B62="","",IFERROR(AVERAGEIFS(Avaliação!$M:$M,Avaliação!$B:$B,$A62,Avaliação!$A:$A,Config!$B$4,Avaliação!$G:$G,Config!$A$17),""))</f>
        <v/>
      </c>
      <c r="I62" s="16">
        <f>IF($B62="","",IFERROR(AVERAGEIFS(Avaliação!$M:$M,Avaliação!$B:$B,$A62,Avaliação!$A:$A,Config!$B$4,Avaliação!$G:$G,Config!$A$18),""))</f>
        <v/>
      </c>
      <c r="J62" s="16">
        <f>IF($B62="","",IFERROR(AVERAGEIFS(Avaliação!$M:$M,Avaliação!$B:$B,$A62,Avaliação!$A:$A,Config!$B$4,Avaliação!$G:$G,Config!$A$19),""))</f>
        <v/>
      </c>
      <c r="K62" s="16">
        <f>IF($B62="","",IFERROR(AVERAGEIFS(Avaliação!$M:$M,Avaliação!$B:$B,$A62,Avaliação!$A:$A,Config!$B$4,Avaliação!$G:$G,Config!$A$20),""))</f>
        <v/>
      </c>
      <c r="L62" s="16">
        <f>IF($AF62=0,"",$AE62/$AF62)</f>
        <v/>
      </c>
      <c r="M62" s="16">
        <f>IFERROR(INDEX(Config!$B$25:$B$28,MATCH($E62,Config!$A$25:$A$28,0)),"")</f>
        <v/>
      </c>
      <c r="N62" s="16">
        <f>IF(OR($L62="",$M62=""),"",$L62-$M62)</f>
        <v/>
      </c>
      <c r="O62" s="15">
        <f>IF($L62="","",IF($L62&lt;2.5,"Abaixo",IF($L62&lt;3.5,"Atende",IF($L62&lt;=4.2,"Supera","Referência"))))</f>
        <v/>
      </c>
      <c r="P62" s="17">
        <f>IF($B62="","",COUNTIFS(Ocorrências!$B:$B,$B62,Ocorrências!$N:$N,Config!$B$4))</f>
        <v/>
      </c>
      <c r="Q62" s="17">
        <f>IF($B62="","",COUNTIFS(Ocorrências!$B:$B,$B62,Ocorrências!$N:$N,Config!$B$4,Ocorrências!$E:$E,"Reconhecimento")+COUNTIFS(Ocorrências!$B:$B,$B62,Ocorrências!$N:$N,Config!$B$4,Ocorrências!$E:$E,"Positiva"))</f>
        <v/>
      </c>
      <c r="R62" s="17">
        <f>IF($B62="","",COUNTIFS(Ocorrências!$B:$B,$B62,Ocorrências!$N:$N,Config!$B$4,Ocorrências!$E:$E,"Ponto de atenção")+COUNTIFS(Ocorrências!$B:$B,$B62,Ocorrências!$N:$N,Config!$B$4,Ocorrências!$E:$E,"Incidente"))</f>
        <v/>
      </c>
      <c r="S62" s="17">
        <f>IF($B62="","",IF(COUNTIF(Ocorrências!$B:$B,$B62)=0,"",TODAY()-_xlfn.MAXIFS(Ocorrências!$A:$A,Ocorrências!$B:$B,$B62)))</f>
        <v/>
      </c>
      <c r="T62" s="17">
        <f>IF($B62="","",IF(COUNTIF('Reuniões 1a1'!$B:$B,$B62)=0,"",TODAY()-_xlfn.MAXIFS('Reuniões 1a1'!$A:$A,'Reuniões 1a1'!$B:$B,$B62)))</f>
        <v/>
      </c>
      <c r="U62" s="17">
        <f>IF($B62="","",COUNTIFS(Avaliação!$B:$B,$A62,Avaliação!$A:$A,Config!$B$4,Avaliação!$K:$K,"&gt;=2"))</f>
        <v/>
      </c>
      <c r="V62" s="17">
        <f>IF($B62="","",COUNTIFS(Avaliação!$B:$B,$A62,Avaliação!$A:$A,Config!$B$4,Avaliação!$O:$O,"SEM LASTRO"))</f>
        <v/>
      </c>
      <c r="W62" s="17">
        <f>IF($B62="","",COUNTIFS(Ocorrências!$B:$B,$B62,Ocorrências!$N:$N,Config!$B$4,Ocorrências!$K:$K,"Não",Ocorrências!$E:$E,"Ponto de atenção")+COUNTIFS(Ocorrências!$B:$B,$B62,Ocorrências!$N:$N,Config!$B$4,Ocorrências!$K:$K,"Não",Ocorrências!$E:$E,"Incidente"))</f>
        <v/>
      </c>
      <c r="X62" s="17">
        <f>IF($L62="","",_xlfn.MAXIFS(Avaliação!$M:$M,Avaliação!$B:$B,$A62,Avaliação!$A:$A,Config!$B$4)-_xlfn.MINIFS(Avaliação!$M:$M,Avaliação!$B:$B,$A62,Avaliação!$A:$A,Config!$B$4))</f>
        <v/>
      </c>
      <c r="Y62" s="15">
        <f>IF($B62="","",IF(OR($V62&gt;0,$W62&gt;0),"BLOQUEIO",IF($L62="","Sem avaliação",IF($N62&lt;-0.3,"Abaixo da expectativa",IF($U62&gt;0,"Calibrar",IF($X62=0,"Nota chapada",IF(IF($T62="",0,$T62)&gt;30,"1:1 atrasada",IF(IF($S62="",99,$S62)&gt;45,"Sem registro","OK"))))))))</f>
        <v/>
      </c>
      <c r="Z62" s="2" t="n"/>
      <c r="AA62" s="15">
        <f>IFERROR(INDEX(Config!$B$17:$E$20,MATCH(Config!$A$17,Config!$A$17:$A$20,0),MATCH($D62,Config!$B$16:$E$16,0)),0)</f>
        <v/>
      </c>
      <c r="AB62" s="15">
        <f>IFERROR(INDEX(Config!$B$17:$E$20,MATCH(Config!$A$18,Config!$A$17:$A$20,0),MATCH($D62,Config!$B$16:$E$16,0)),0)</f>
        <v/>
      </c>
      <c r="AC62" s="15">
        <f>IFERROR(INDEX(Config!$B$17:$E$20,MATCH(Config!$A$19,Config!$A$17:$A$20,0),MATCH($D62,Config!$B$16:$E$16,0)),0)</f>
        <v/>
      </c>
      <c r="AD62" s="15">
        <f>IFERROR(INDEX(Config!$B$17:$E$20,MATCH(Config!$A$20,Config!$A$17:$A$20,0),MATCH($D62,Config!$B$16:$E$16,0)),0)</f>
        <v/>
      </c>
      <c r="AE62" s="15">
        <f>IFERROR($H62*$AA62,0)+IFERROR($I62*$AB62,0)+IFERROR($J62*$AC62,0)+IFERROR($K62*$AD62,0)</f>
        <v/>
      </c>
      <c r="AF62" s="15">
        <f>IF(ISNUMBER($H62),$AA62,0)+IF(ISNUMBER($I62),$AB62,0)+IF(ISNUMBER($J62),$AC62,0)+IF(ISNUMBER($K62),$AD62,0)</f>
        <v/>
      </c>
    </row>
    <row r="63">
      <c r="A63" s="15">
        <f>IF(Colaboradores!$B63="","",Colaboradores!$A63)</f>
        <v/>
      </c>
      <c r="B63" s="15">
        <f>IF(Colaboradores!$B63="","",Colaboradores!$B63)</f>
        <v/>
      </c>
      <c r="C63" s="15">
        <f>IF(Colaboradores!$B63="","",Colaboradores!$F63)</f>
        <v/>
      </c>
      <c r="D63" s="15">
        <f>IF(Colaboradores!$B63="","",Colaboradores!$D63)</f>
        <v/>
      </c>
      <c r="E63" s="15">
        <f>IF(Colaboradores!$B63="","",Colaboradores!$E63)</f>
        <v/>
      </c>
      <c r="F63" s="15">
        <f>IF(Colaboradores!$B63="","",Colaboradores!$O63)</f>
        <v/>
      </c>
      <c r="G63" s="15">
        <f>IF(Colaboradores!$B63="","",Colaboradores!$P63)</f>
        <v/>
      </c>
      <c r="H63" s="16">
        <f>IF($B63="","",IFERROR(AVERAGEIFS(Avaliação!$M:$M,Avaliação!$B:$B,$A63,Avaliação!$A:$A,Config!$B$4,Avaliação!$G:$G,Config!$A$17),""))</f>
        <v/>
      </c>
      <c r="I63" s="16">
        <f>IF($B63="","",IFERROR(AVERAGEIFS(Avaliação!$M:$M,Avaliação!$B:$B,$A63,Avaliação!$A:$A,Config!$B$4,Avaliação!$G:$G,Config!$A$18),""))</f>
        <v/>
      </c>
      <c r="J63" s="16">
        <f>IF($B63="","",IFERROR(AVERAGEIFS(Avaliação!$M:$M,Avaliação!$B:$B,$A63,Avaliação!$A:$A,Config!$B$4,Avaliação!$G:$G,Config!$A$19),""))</f>
        <v/>
      </c>
      <c r="K63" s="16">
        <f>IF($B63="","",IFERROR(AVERAGEIFS(Avaliação!$M:$M,Avaliação!$B:$B,$A63,Avaliação!$A:$A,Config!$B$4,Avaliação!$G:$G,Config!$A$20),""))</f>
        <v/>
      </c>
      <c r="L63" s="16">
        <f>IF($AF63=0,"",$AE63/$AF63)</f>
        <v/>
      </c>
      <c r="M63" s="16">
        <f>IFERROR(INDEX(Config!$B$25:$B$28,MATCH($E63,Config!$A$25:$A$28,0)),"")</f>
        <v/>
      </c>
      <c r="N63" s="16">
        <f>IF(OR($L63="",$M63=""),"",$L63-$M63)</f>
        <v/>
      </c>
      <c r="O63" s="15">
        <f>IF($L63="","",IF($L63&lt;2.5,"Abaixo",IF($L63&lt;3.5,"Atende",IF($L63&lt;=4.2,"Supera","Referência"))))</f>
        <v/>
      </c>
      <c r="P63" s="17">
        <f>IF($B63="","",COUNTIFS(Ocorrências!$B:$B,$B63,Ocorrências!$N:$N,Config!$B$4))</f>
        <v/>
      </c>
      <c r="Q63" s="17">
        <f>IF($B63="","",COUNTIFS(Ocorrências!$B:$B,$B63,Ocorrências!$N:$N,Config!$B$4,Ocorrências!$E:$E,"Reconhecimento")+COUNTIFS(Ocorrências!$B:$B,$B63,Ocorrências!$N:$N,Config!$B$4,Ocorrências!$E:$E,"Positiva"))</f>
        <v/>
      </c>
      <c r="R63" s="17">
        <f>IF($B63="","",COUNTIFS(Ocorrências!$B:$B,$B63,Ocorrências!$N:$N,Config!$B$4,Ocorrências!$E:$E,"Ponto de atenção")+COUNTIFS(Ocorrências!$B:$B,$B63,Ocorrências!$N:$N,Config!$B$4,Ocorrências!$E:$E,"Incidente"))</f>
        <v/>
      </c>
      <c r="S63" s="17">
        <f>IF($B63="","",IF(COUNTIF(Ocorrências!$B:$B,$B63)=0,"",TODAY()-_xlfn.MAXIFS(Ocorrências!$A:$A,Ocorrências!$B:$B,$B63)))</f>
        <v/>
      </c>
      <c r="T63" s="17">
        <f>IF($B63="","",IF(COUNTIF('Reuniões 1a1'!$B:$B,$B63)=0,"",TODAY()-_xlfn.MAXIFS('Reuniões 1a1'!$A:$A,'Reuniões 1a1'!$B:$B,$B63)))</f>
        <v/>
      </c>
      <c r="U63" s="17">
        <f>IF($B63="","",COUNTIFS(Avaliação!$B:$B,$A63,Avaliação!$A:$A,Config!$B$4,Avaliação!$K:$K,"&gt;=2"))</f>
        <v/>
      </c>
      <c r="V63" s="17">
        <f>IF($B63="","",COUNTIFS(Avaliação!$B:$B,$A63,Avaliação!$A:$A,Config!$B$4,Avaliação!$O:$O,"SEM LASTRO"))</f>
        <v/>
      </c>
      <c r="W63" s="17">
        <f>IF($B63="","",COUNTIFS(Ocorrências!$B:$B,$B63,Ocorrências!$N:$N,Config!$B$4,Ocorrências!$K:$K,"Não",Ocorrências!$E:$E,"Ponto de atenção")+COUNTIFS(Ocorrências!$B:$B,$B63,Ocorrências!$N:$N,Config!$B$4,Ocorrências!$K:$K,"Não",Ocorrências!$E:$E,"Incidente"))</f>
        <v/>
      </c>
      <c r="X63" s="17">
        <f>IF($L63="","",_xlfn.MAXIFS(Avaliação!$M:$M,Avaliação!$B:$B,$A63,Avaliação!$A:$A,Config!$B$4)-_xlfn.MINIFS(Avaliação!$M:$M,Avaliação!$B:$B,$A63,Avaliação!$A:$A,Config!$B$4))</f>
        <v/>
      </c>
      <c r="Y63" s="15">
        <f>IF($B63="","",IF(OR($V63&gt;0,$W63&gt;0),"BLOQUEIO",IF($L63="","Sem avaliação",IF($N63&lt;-0.3,"Abaixo da expectativa",IF($U63&gt;0,"Calibrar",IF($X63=0,"Nota chapada",IF(IF($T63="",0,$T63)&gt;30,"1:1 atrasada",IF(IF($S63="",99,$S63)&gt;45,"Sem registro","OK"))))))))</f>
        <v/>
      </c>
      <c r="Z63" s="2" t="n"/>
      <c r="AA63" s="15">
        <f>IFERROR(INDEX(Config!$B$17:$E$20,MATCH(Config!$A$17,Config!$A$17:$A$20,0),MATCH($D63,Config!$B$16:$E$16,0)),0)</f>
        <v/>
      </c>
      <c r="AB63" s="15">
        <f>IFERROR(INDEX(Config!$B$17:$E$20,MATCH(Config!$A$18,Config!$A$17:$A$20,0),MATCH($D63,Config!$B$16:$E$16,0)),0)</f>
        <v/>
      </c>
      <c r="AC63" s="15">
        <f>IFERROR(INDEX(Config!$B$17:$E$20,MATCH(Config!$A$19,Config!$A$17:$A$20,0),MATCH($D63,Config!$B$16:$E$16,0)),0)</f>
        <v/>
      </c>
      <c r="AD63" s="15">
        <f>IFERROR(INDEX(Config!$B$17:$E$20,MATCH(Config!$A$20,Config!$A$17:$A$20,0),MATCH($D63,Config!$B$16:$E$16,0)),0)</f>
        <v/>
      </c>
      <c r="AE63" s="15">
        <f>IFERROR($H63*$AA63,0)+IFERROR($I63*$AB63,0)+IFERROR($J63*$AC63,0)+IFERROR($K63*$AD63,0)</f>
        <v/>
      </c>
      <c r="AF63" s="15">
        <f>IF(ISNUMBER($H63),$AA63,0)+IF(ISNUMBER($I63),$AB63,0)+IF(ISNUMBER($J63),$AC63,0)+IF(ISNUMBER($K63),$AD63,0)</f>
        <v/>
      </c>
    </row>
    <row r="64">
      <c r="A64" s="15">
        <f>IF(Colaboradores!$B64="","",Colaboradores!$A64)</f>
        <v/>
      </c>
      <c r="B64" s="15">
        <f>IF(Colaboradores!$B64="","",Colaboradores!$B64)</f>
        <v/>
      </c>
      <c r="C64" s="15">
        <f>IF(Colaboradores!$B64="","",Colaboradores!$F64)</f>
        <v/>
      </c>
      <c r="D64" s="15">
        <f>IF(Colaboradores!$B64="","",Colaboradores!$D64)</f>
        <v/>
      </c>
      <c r="E64" s="15">
        <f>IF(Colaboradores!$B64="","",Colaboradores!$E64)</f>
        <v/>
      </c>
      <c r="F64" s="15">
        <f>IF(Colaboradores!$B64="","",Colaboradores!$O64)</f>
        <v/>
      </c>
      <c r="G64" s="15">
        <f>IF(Colaboradores!$B64="","",Colaboradores!$P64)</f>
        <v/>
      </c>
      <c r="H64" s="16">
        <f>IF($B64="","",IFERROR(AVERAGEIFS(Avaliação!$M:$M,Avaliação!$B:$B,$A64,Avaliação!$A:$A,Config!$B$4,Avaliação!$G:$G,Config!$A$17),""))</f>
        <v/>
      </c>
      <c r="I64" s="16">
        <f>IF($B64="","",IFERROR(AVERAGEIFS(Avaliação!$M:$M,Avaliação!$B:$B,$A64,Avaliação!$A:$A,Config!$B$4,Avaliação!$G:$G,Config!$A$18),""))</f>
        <v/>
      </c>
      <c r="J64" s="16">
        <f>IF($B64="","",IFERROR(AVERAGEIFS(Avaliação!$M:$M,Avaliação!$B:$B,$A64,Avaliação!$A:$A,Config!$B$4,Avaliação!$G:$G,Config!$A$19),""))</f>
        <v/>
      </c>
      <c r="K64" s="16">
        <f>IF($B64="","",IFERROR(AVERAGEIFS(Avaliação!$M:$M,Avaliação!$B:$B,$A64,Avaliação!$A:$A,Config!$B$4,Avaliação!$G:$G,Config!$A$20),""))</f>
        <v/>
      </c>
      <c r="L64" s="16">
        <f>IF($AF64=0,"",$AE64/$AF64)</f>
        <v/>
      </c>
      <c r="M64" s="16">
        <f>IFERROR(INDEX(Config!$B$25:$B$28,MATCH($E64,Config!$A$25:$A$28,0)),"")</f>
        <v/>
      </c>
      <c r="N64" s="16">
        <f>IF(OR($L64="",$M64=""),"",$L64-$M64)</f>
        <v/>
      </c>
      <c r="O64" s="15">
        <f>IF($L64="","",IF($L64&lt;2.5,"Abaixo",IF($L64&lt;3.5,"Atende",IF($L64&lt;=4.2,"Supera","Referência"))))</f>
        <v/>
      </c>
      <c r="P64" s="17">
        <f>IF($B64="","",COUNTIFS(Ocorrências!$B:$B,$B64,Ocorrências!$N:$N,Config!$B$4))</f>
        <v/>
      </c>
      <c r="Q64" s="17">
        <f>IF($B64="","",COUNTIFS(Ocorrências!$B:$B,$B64,Ocorrências!$N:$N,Config!$B$4,Ocorrências!$E:$E,"Reconhecimento")+COUNTIFS(Ocorrências!$B:$B,$B64,Ocorrências!$N:$N,Config!$B$4,Ocorrências!$E:$E,"Positiva"))</f>
        <v/>
      </c>
      <c r="R64" s="17">
        <f>IF($B64="","",COUNTIFS(Ocorrências!$B:$B,$B64,Ocorrências!$N:$N,Config!$B$4,Ocorrências!$E:$E,"Ponto de atenção")+COUNTIFS(Ocorrências!$B:$B,$B64,Ocorrências!$N:$N,Config!$B$4,Ocorrências!$E:$E,"Incidente"))</f>
        <v/>
      </c>
      <c r="S64" s="17">
        <f>IF($B64="","",IF(COUNTIF(Ocorrências!$B:$B,$B64)=0,"",TODAY()-_xlfn.MAXIFS(Ocorrências!$A:$A,Ocorrências!$B:$B,$B64)))</f>
        <v/>
      </c>
      <c r="T64" s="17">
        <f>IF($B64="","",IF(COUNTIF('Reuniões 1a1'!$B:$B,$B64)=0,"",TODAY()-_xlfn.MAXIFS('Reuniões 1a1'!$A:$A,'Reuniões 1a1'!$B:$B,$B64)))</f>
        <v/>
      </c>
      <c r="U64" s="17">
        <f>IF($B64="","",COUNTIFS(Avaliação!$B:$B,$A64,Avaliação!$A:$A,Config!$B$4,Avaliação!$K:$K,"&gt;=2"))</f>
        <v/>
      </c>
      <c r="V64" s="17">
        <f>IF($B64="","",COUNTIFS(Avaliação!$B:$B,$A64,Avaliação!$A:$A,Config!$B$4,Avaliação!$O:$O,"SEM LASTRO"))</f>
        <v/>
      </c>
      <c r="W64" s="17">
        <f>IF($B64="","",COUNTIFS(Ocorrências!$B:$B,$B64,Ocorrências!$N:$N,Config!$B$4,Ocorrências!$K:$K,"Não",Ocorrências!$E:$E,"Ponto de atenção")+COUNTIFS(Ocorrências!$B:$B,$B64,Ocorrências!$N:$N,Config!$B$4,Ocorrências!$K:$K,"Não",Ocorrências!$E:$E,"Incidente"))</f>
        <v/>
      </c>
      <c r="X64" s="17">
        <f>IF($L64="","",_xlfn.MAXIFS(Avaliação!$M:$M,Avaliação!$B:$B,$A64,Avaliação!$A:$A,Config!$B$4)-_xlfn.MINIFS(Avaliação!$M:$M,Avaliação!$B:$B,$A64,Avaliação!$A:$A,Config!$B$4))</f>
        <v/>
      </c>
      <c r="Y64" s="15">
        <f>IF($B64="","",IF(OR($V64&gt;0,$W64&gt;0),"BLOQUEIO",IF($L64="","Sem avaliação",IF($N64&lt;-0.3,"Abaixo da expectativa",IF($U64&gt;0,"Calibrar",IF($X64=0,"Nota chapada",IF(IF($T64="",0,$T64)&gt;30,"1:1 atrasada",IF(IF($S64="",99,$S64)&gt;45,"Sem registro","OK"))))))))</f>
        <v/>
      </c>
      <c r="Z64" s="2" t="n"/>
      <c r="AA64" s="15">
        <f>IFERROR(INDEX(Config!$B$17:$E$20,MATCH(Config!$A$17,Config!$A$17:$A$20,0),MATCH($D64,Config!$B$16:$E$16,0)),0)</f>
        <v/>
      </c>
      <c r="AB64" s="15">
        <f>IFERROR(INDEX(Config!$B$17:$E$20,MATCH(Config!$A$18,Config!$A$17:$A$20,0),MATCH($D64,Config!$B$16:$E$16,0)),0)</f>
        <v/>
      </c>
      <c r="AC64" s="15">
        <f>IFERROR(INDEX(Config!$B$17:$E$20,MATCH(Config!$A$19,Config!$A$17:$A$20,0),MATCH($D64,Config!$B$16:$E$16,0)),0)</f>
        <v/>
      </c>
      <c r="AD64" s="15">
        <f>IFERROR(INDEX(Config!$B$17:$E$20,MATCH(Config!$A$20,Config!$A$17:$A$20,0),MATCH($D64,Config!$B$16:$E$16,0)),0)</f>
        <v/>
      </c>
      <c r="AE64" s="15">
        <f>IFERROR($H64*$AA64,0)+IFERROR($I64*$AB64,0)+IFERROR($J64*$AC64,0)+IFERROR($K64*$AD64,0)</f>
        <v/>
      </c>
      <c r="AF64" s="15">
        <f>IF(ISNUMBER($H64),$AA64,0)+IF(ISNUMBER($I64),$AB64,0)+IF(ISNUMBER($J64),$AC64,0)+IF(ISNUMBER($K64),$AD64,0)</f>
        <v/>
      </c>
    </row>
  </sheetData>
  <autoFilter ref="A4:Y64"/>
  <conditionalFormatting sqref="A5:Y64">
    <cfRule type="expression" priority="1" dxfId="0">
      <formula>$Y5="BLOQUEIO"</formula>
    </cfRule>
    <cfRule type="expression" priority="2" dxfId="1">
      <formula>$Y5="Abaixo da expectativa"</formula>
    </cfRule>
    <cfRule type="expression" priority="3" dxfId="2">
      <formula>$Y5="OK"</formula>
    </cfRule>
  </conditionalFormatting>
  <conditionalFormatting sqref="N5:N64">
    <cfRule type="cellIs" priority="4" operator="lessThan" dxfId="3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3" customWidth="1" min="4" max="4"/>
    <col width="20" customWidth="1" min="5" max="5"/>
    <col width="20" customWidth="1" min="6" max="6"/>
    <col width="52" customWidth="1" min="7" max="7"/>
    <col width="10" customWidth="1" min="8" max="8"/>
    <col width="40" customWidth="1" min="9" max="9"/>
    <col width="32" customWidth="1" min="10" max="10"/>
    <col width="13" customWidth="1" min="11" max="11"/>
    <col width="22" customWidth="1" min="12" max="12"/>
    <col width="15" customWidth="1" min="13" max="13"/>
    <col width="10" customWidth="1" min="14" max="14"/>
    <col width="15" customWidth="1" min="15" max="15"/>
    <col width="11" customWidth="1" min="16" max="16"/>
  </cols>
  <sheetData>
    <row r="1" ht="22" customHeight="1">
      <c r="A1" s="1" t="inlineStr">
        <is>
          <t>Ocorrências — o registro contínuo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Alvo: 60 segundos por lançamento. Registro mais recente no topo. Meta: pelo menos 1 registro positivo a cada 2 negativos.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2" t="inlineStr">
        <is>
          <t>Regra de escrita: o FATO não aceita adjetivo. 'Subiu hotfix sem aprovação na sexta 18h' ✔ · 'É descuidado' ✘. O juízo vai em Consequência, e precisa ser defensável a partir do fato ao lado. Nada de saúde, vida pessoal ou motivo de ausência.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30" customHeight="1">
      <c r="A4" s="13" t="inlineStr">
        <is>
          <t>Data do fato</t>
        </is>
      </c>
      <c r="B4" s="13" t="inlineStr">
        <is>
          <t>Colaborador</t>
        </is>
      </c>
      <c r="C4" s="13" t="inlineStr">
        <is>
          <t>Registrado por</t>
        </is>
      </c>
      <c r="D4" s="13" t="inlineStr">
        <is>
          <t>Papel do autor</t>
        </is>
      </c>
      <c r="E4" s="13" t="inlineStr">
        <is>
          <t>Tipo</t>
        </is>
      </c>
      <c r="F4" s="13" t="inlineStr">
        <is>
          <t>Competência</t>
        </is>
      </c>
      <c r="G4" s="13" t="inlineStr">
        <is>
          <t>Fato observável (sem adjetivo de personalidade)</t>
        </is>
      </c>
      <c r="H4" s="13" t="inlineStr">
        <is>
          <t>Impacto</t>
        </is>
      </c>
      <c r="I4" s="13" t="inlineStr">
        <is>
          <t>Consequência observada</t>
        </is>
      </c>
      <c r="J4" s="13" t="inlineStr">
        <is>
          <t>Ação tomada pelo gestor</t>
        </is>
      </c>
      <c r="K4" s="13" t="inlineStr">
        <is>
          <t>Informado ao colaborador?</t>
        </is>
      </c>
      <c r="L4" s="13" t="inlineStr">
        <is>
          <t>Link / evidência</t>
        </is>
      </c>
      <c r="M4" s="13" t="inlineStr">
        <is>
          <t>Confidencialidade</t>
        </is>
      </c>
      <c r="N4" s="13" t="inlineStr">
        <is>
          <t>Ciclo</t>
        </is>
      </c>
      <c r="O4" s="13" t="inlineStr">
        <is>
          <t>Registro válido?</t>
        </is>
      </c>
      <c r="P4" s="13" t="inlineStr">
        <is>
          <t>Seq. p/ pauta</t>
        </is>
      </c>
    </row>
    <row r="5">
      <c r="A5" s="18" t="n">
        <v>46212</v>
      </c>
      <c r="B5" s="19" t="inlineStr">
        <is>
          <t>Ana Ribeiro</t>
        </is>
      </c>
      <c r="C5" s="19" t="inlineStr">
        <is>
          <t>Rafael Souza</t>
        </is>
      </c>
      <c r="D5" s="19" t="inlineStr">
        <is>
          <t>Líder Técnico</t>
        </is>
      </c>
      <c r="E5" s="19" t="inlineStr">
        <is>
          <t>Positiva</t>
        </is>
      </c>
      <c r="F5" s="19" t="inlineStr">
        <is>
          <t>Colaboração e review</t>
        </is>
      </c>
      <c r="G5" s="19" t="inlineStr">
        <is>
          <t>No PR #812 apontou uma condição de corrida no resgate de cupom antes do merge, com o trecho e a sugestão de UPDATE atômico.</t>
        </is>
      </c>
      <c r="H5" s="19" t="inlineStr">
        <is>
          <t>Alto</t>
        </is>
      </c>
      <c r="I5" s="19" t="inlineStr">
        <is>
          <t>Evitou um bug de duplicidade de resgate que teria ido para produção no contrato A.</t>
        </is>
      </c>
      <c r="J5" s="19" t="inlineStr">
        <is>
          <t>Reconhecido na retro do dia 10/07.</t>
        </is>
      </c>
      <c r="K5" s="19" t="inlineStr">
        <is>
          <t>Sim</t>
        </is>
      </c>
      <c r="L5" s="19" t="inlineStr">
        <is>
          <t>PR #812</t>
        </is>
      </c>
      <c r="M5" s="19" t="inlineStr">
        <is>
          <t>Squad</t>
        </is>
      </c>
      <c r="N5" s="15">
        <f>IF($A5="","",YEAR($A5)&amp;"-Q"&amp;ROUNDUP(MONTH($A5)/3,0))</f>
        <v/>
      </c>
      <c r="O5" s="15">
        <f>IF($A5="","",IF(OR($B5="",$E5="",$F5="",$G5="",$I5="",$K5=""),"Faltam campos","OK"))</f>
        <v/>
      </c>
      <c r="P5" s="15">
        <f>IF(OR($B5="",$B5&lt;&gt;'Pauta 1a1'!$B$4,$N5&lt;&gt;'Pauta 1a1'!$B$5),"",COUNTIFS($B$5:$B5,'Pauta 1a1'!$B$4,$N$5:$N5,'Pauta 1a1'!$B$5))</f>
        <v/>
      </c>
    </row>
    <row r="6">
      <c r="A6" s="18" t="n">
        <v>46225</v>
      </c>
      <c r="B6" s="19" t="inlineStr">
        <is>
          <t>Bruno Tavares</t>
        </is>
      </c>
      <c r="C6" s="19" t="inlineStr">
        <is>
          <t>Marcos Lima</t>
        </is>
      </c>
      <c r="D6" s="19" t="inlineStr">
        <is>
          <t>GP</t>
        </is>
      </c>
      <c r="E6" s="19" t="inlineStr">
        <is>
          <t>Ponto de atenção</t>
        </is>
      </c>
      <c r="F6" s="19" t="inlineStr">
        <is>
          <t>Previsibilidade</t>
        </is>
      </c>
      <c r="G6" s="19" t="inlineStr">
        <is>
          <t>Card CB-118 ficou 4 dias sem atualização e o bloqueio (falta de credencial de homologação) só foi comunicado na review.</t>
        </is>
      </c>
      <c r="H6" s="19" t="inlineStr">
        <is>
          <t>Médio</t>
        </is>
      </c>
      <c r="I6" s="19" t="inlineStr">
        <is>
          <t>A sprint fechou com o item em carry over e o PO replanejou a demo com o cliente em cima da hora.</t>
        </is>
      </c>
      <c r="J6" s="19" t="inlineStr">
        <is>
          <t>Feedback na 1:1 de 23/07; combinado avisar bloqueio na daily do mesmo dia.</t>
        </is>
      </c>
      <c r="K6" s="19" t="inlineStr">
        <is>
          <t>Sim</t>
        </is>
      </c>
      <c r="L6" s="19" t="inlineStr">
        <is>
          <t>CB-118</t>
        </is>
      </c>
      <c r="M6" s="19" t="inlineStr">
        <is>
          <t>Squad</t>
        </is>
      </c>
      <c r="N6" s="15">
        <f>IF($A6="","",YEAR($A6)&amp;"-Q"&amp;ROUNDUP(MONTH($A6)/3,0))</f>
        <v/>
      </c>
      <c r="O6" s="15">
        <f>IF($A6="","",IF(OR($B6="",$E6="",$F6="",$G6="",$I6="",$K6=""),"Faltam campos","OK"))</f>
        <v/>
      </c>
      <c r="P6" s="15">
        <f>IF(OR($B6="",$B6&lt;&gt;'Pauta 1a1'!$B$4,$N6&lt;&gt;'Pauta 1a1'!$B$5),"",COUNTIFS($B$5:$B6,'Pauta 1a1'!$B$4,$N$5:$N6,'Pauta 1a1'!$B$5))</f>
        <v/>
      </c>
    </row>
    <row r="7">
      <c r="A7" s="18" t="n">
        <v>46238</v>
      </c>
      <c r="B7" s="19" t="inlineStr">
        <is>
          <t>Bruno Tavares</t>
        </is>
      </c>
      <c r="C7" s="19" t="inlineStr">
        <is>
          <t>Marcos Lima</t>
        </is>
      </c>
      <c r="D7" s="19" t="inlineStr">
        <is>
          <t>GP</t>
        </is>
      </c>
      <c r="E7" s="19" t="inlineStr">
        <is>
          <t>Positiva</t>
        </is>
      </c>
      <c r="F7" s="19" t="inlineStr">
        <is>
          <t>Comunicação</t>
        </is>
      </c>
      <c r="G7" s="19" t="inlineStr">
        <is>
          <t>Na daily de 04/08 avisou no mesmo dia que a integração de pagamento estava fora do ar, com print do erro e a alternativa de mockar.</t>
        </is>
      </c>
      <c r="H7" s="19" t="inlineStr">
        <is>
          <t>Médio</t>
        </is>
      </c>
      <c r="I7" s="19" t="inlineStr">
        <is>
          <t>O time replanejou a sprint no mesmo dia, sem perda de entrega.</t>
        </is>
      </c>
      <c r="J7" s="19" t="inlineStr">
        <is>
          <t>Reconhecido na daily.</t>
        </is>
      </c>
      <c r="K7" s="19" t="inlineStr">
        <is>
          <t>Sim</t>
        </is>
      </c>
      <c r="L7" s="19" t="inlineStr"/>
      <c r="M7" s="19" t="inlineStr">
        <is>
          <t>Squad</t>
        </is>
      </c>
      <c r="N7" s="15">
        <f>IF($A7="","",YEAR($A7)&amp;"-Q"&amp;ROUNDUP(MONTH($A7)/3,0))</f>
        <v/>
      </c>
      <c r="O7" s="15">
        <f>IF($A7="","",IF(OR($B7="",$E7="",$F7="",$G7="",$I7="",$K7=""),"Faltam campos","OK"))</f>
        <v/>
      </c>
      <c r="P7" s="15">
        <f>IF(OR($B7="",$B7&lt;&gt;'Pauta 1a1'!$B$4,$N7&lt;&gt;'Pauta 1a1'!$B$5),"",COUNTIFS($B$5:$B7,'Pauta 1a1'!$B$4,$N$5:$N7,'Pauta 1a1'!$B$5))</f>
        <v/>
      </c>
    </row>
    <row r="8">
      <c r="A8" s="18" t="n">
        <v>46246</v>
      </c>
      <c r="B8" s="19" t="inlineStr">
        <is>
          <t>Carla Nunes</t>
        </is>
      </c>
      <c r="C8" s="19" t="inlineStr">
        <is>
          <t>Marcos Lima</t>
        </is>
      </c>
      <c r="D8" s="19" t="inlineStr">
        <is>
          <t>GP</t>
        </is>
      </c>
      <c r="E8" s="19" t="inlineStr">
        <is>
          <t>Contexto atenuante</t>
        </is>
      </c>
      <c r="F8" s="19" t="inlineStr">
        <is>
          <t>Previsibilidade</t>
        </is>
      </c>
      <c r="G8" s="19" t="inlineStr">
        <is>
          <t>Assumiu o on-call do Contrato B por duas semanas cobrindo férias, além dos 50% de alocação no Motor de Cobrança.</t>
        </is>
      </c>
      <c r="H8" s="19" t="inlineStr">
        <is>
          <t>Alto</t>
        </is>
      </c>
      <c r="I8" s="19" t="inlineStr">
        <is>
          <t>Reduziu em ~40% o tempo disponível para o roadmap no período.</t>
        </is>
      </c>
      <c r="J8" s="19" t="inlineStr">
        <is>
          <t>Registrado para a calibração; escopo da sprint 14 reduzido.</t>
        </is>
      </c>
      <c r="K8" s="19" t="inlineStr">
        <is>
          <t>Sim</t>
        </is>
      </c>
      <c r="L8" s="19" t="inlineStr"/>
      <c r="M8" s="19" t="inlineStr">
        <is>
          <t>Squad</t>
        </is>
      </c>
      <c r="N8" s="15">
        <f>IF($A8="","",YEAR($A8)&amp;"-Q"&amp;ROUNDUP(MONTH($A8)/3,0))</f>
        <v/>
      </c>
      <c r="O8" s="15">
        <f>IF($A8="","",IF(OR($B8="",$E8="",$F8="",$G8="",$I8="",$K8=""),"Faltam campos","OK"))</f>
        <v/>
      </c>
      <c r="P8" s="15">
        <f>IF(OR($B8="",$B8&lt;&gt;'Pauta 1a1'!$B$4,$N8&lt;&gt;'Pauta 1a1'!$B$5),"",COUNTIFS($B$5:$B8,'Pauta 1a1'!$B$4,$N$5:$N8,'Pauta 1a1'!$B$5))</f>
        <v/>
      </c>
    </row>
    <row r="9">
      <c r="A9" s="18" t="n">
        <v>46253</v>
      </c>
      <c r="B9" s="19" t="inlineStr">
        <is>
          <t>Ana Ribeiro</t>
        </is>
      </c>
      <c r="C9" s="19" t="inlineStr">
        <is>
          <t>Rafael Souza</t>
        </is>
      </c>
      <c r="D9" s="19" t="inlineStr">
        <is>
          <t>Líder Técnico</t>
        </is>
      </c>
      <c r="E9" s="19" t="inlineStr">
        <is>
          <t>Ponto de atenção</t>
        </is>
      </c>
      <c r="F9" s="19" t="inlineStr">
        <is>
          <t>Qualidade da entrega</t>
        </is>
      </c>
      <c r="G9" s="19" t="inlineStr">
        <is>
          <t>PR #857 voltou em 3 rodadas: nas duas primeiras faltava teste do caminho de erro na rota de resgate.</t>
        </is>
      </c>
      <c r="H9" s="19" t="inlineStr">
        <is>
          <t>Médio</t>
        </is>
      </c>
      <c r="I9" s="19" t="inlineStr">
        <is>
          <t>Atrasou o merge em 2 dias e consumiu 3 rodadas de review do time.</t>
        </is>
      </c>
      <c r="J9" s="19" t="inlineStr">
        <is>
          <t>Combinado no 1:1 de 20/08: incluir teste de erro antes de abrir o PR.</t>
        </is>
      </c>
      <c r="K9" s="19" t="inlineStr">
        <is>
          <t>Sim</t>
        </is>
      </c>
      <c r="L9" s="19" t="inlineStr">
        <is>
          <t>PR #857</t>
        </is>
      </c>
      <c r="M9" s="19" t="inlineStr">
        <is>
          <t>Squad</t>
        </is>
      </c>
      <c r="N9" s="15">
        <f>IF($A9="","",YEAR($A9)&amp;"-Q"&amp;ROUNDUP(MONTH($A9)/3,0))</f>
        <v/>
      </c>
      <c r="O9" s="15">
        <f>IF($A9="","",IF(OR($B9="",$E9="",$F9="",$G9="",$I9="",$K9=""),"Faltam campos","OK"))</f>
        <v/>
      </c>
      <c r="P9" s="15">
        <f>IF(OR($B9="",$B9&lt;&gt;'Pauta 1a1'!$B$4,$N9&lt;&gt;'Pauta 1a1'!$B$5),"",COUNTIFS($B$5:$B9,'Pauta 1a1'!$B$4,$N$5:$N9,'Pauta 1a1'!$B$5))</f>
        <v/>
      </c>
    </row>
    <row r="10">
      <c r="A10" s="18" t="n">
        <v>46259</v>
      </c>
      <c r="B10" s="19" t="inlineStr">
        <is>
          <t>Carla Nunes</t>
        </is>
      </c>
      <c r="C10" s="19" t="inlineStr">
        <is>
          <t>Rafael Souza</t>
        </is>
      </c>
      <c r="D10" s="19" t="inlineStr">
        <is>
          <t>Líder Técnico</t>
        </is>
      </c>
      <c r="E10" s="19" t="inlineStr">
        <is>
          <t>Reconhecimento</t>
        </is>
      </c>
      <c r="F10" s="19" t="inlineStr">
        <is>
          <t>Desenvolvimento de outros</t>
        </is>
      </c>
      <c r="G10" s="19" t="inlineStr">
        <is>
          <t>Escreveu a ADR-07 sobre o advisory lock no cooldown e conduziu a sessão de 40 min com as squads Alfa e Beta.</t>
        </is>
      </c>
      <c r="H10" s="19" t="inlineStr">
        <is>
          <t>Alto</t>
        </is>
      </c>
      <c r="I10" s="19" t="inlineStr">
        <is>
          <t>Duas squads passaram a usar o mesmo padrão; a discussão não voltou nos refinamentos seguintes.</t>
        </is>
      </c>
      <c r="J10" s="19" t="inlineStr">
        <is>
          <t>Levado ao comitê de calibração como evidência de atuação de Especialista.</t>
        </is>
      </c>
      <c r="K10" s="19" t="inlineStr">
        <is>
          <t>Sim</t>
        </is>
      </c>
      <c r="L10" s="19" t="inlineStr">
        <is>
          <t>ADR-07</t>
        </is>
      </c>
      <c r="M10" s="19" t="inlineStr">
        <is>
          <t>Gestão</t>
        </is>
      </c>
      <c r="N10" s="15">
        <f>IF($A10="","",YEAR($A10)&amp;"-Q"&amp;ROUNDUP(MONTH($A10)/3,0))</f>
        <v/>
      </c>
      <c r="O10" s="15">
        <f>IF($A10="","",IF(OR($B10="",$E10="",$F10="",$G10="",$I10="",$K10=""),"Faltam campos","OK"))</f>
        <v/>
      </c>
      <c r="P10" s="15">
        <f>IF(OR($B10="",$B10&lt;&gt;'Pauta 1a1'!$B$4,$N10&lt;&gt;'Pauta 1a1'!$B$5),"",COUNTIFS($B$5:$B10,'Pauta 1a1'!$B$4,$N$5:$N10,'Pauta 1a1'!$B$5))</f>
        <v/>
      </c>
    </row>
    <row r="11">
      <c r="A11" s="18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5">
        <f>IF($A11="","",YEAR($A11)&amp;"-Q"&amp;ROUNDUP(MONTH($A11)/3,0))</f>
        <v/>
      </c>
      <c r="O11" s="15">
        <f>IF($A11="","",IF(OR($B11="",$E11="",$F11="",$G11="",$I11="",$K11=""),"Faltam campos","OK"))</f>
        <v/>
      </c>
      <c r="P11" s="15">
        <f>IF(OR($B11="",$B11&lt;&gt;'Pauta 1a1'!$B$4,$N11&lt;&gt;'Pauta 1a1'!$B$5),"",COUNTIFS($B$5:$B11,'Pauta 1a1'!$B$4,$N$5:$N11,'Pauta 1a1'!$B$5))</f>
        <v/>
      </c>
    </row>
    <row r="12">
      <c r="A12" s="18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5">
        <f>IF($A12="","",YEAR($A12)&amp;"-Q"&amp;ROUNDUP(MONTH($A12)/3,0))</f>
        <v/>
      </c>
      <c r="O12" s="15">
        <f>IF($A12="","",IF(OR($B12="",$E12="",$F12="",$G12="",$I12="",$K12=""),"Faltam campos","OK"))</f>
        <v/>
      </c>
      <c r="P12" s="15">
        <f>IF(OR($B12="",$B12&lt;&gt;'Pauta 1a1'!$B$4,$N12&lt;&gt;'Pauta 1a1'!$B$5),"",COUNTIFS($B$5:$B12,'Pauta 1a1'!$B$4,$N$5:$N12,'Pauta 1a1'!$B$5))</f>
        <v/>
      </c>
    </row>
    <row r="13">
      <c r="A13" s="18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5">
        <f>IF($A13="","",YEAR($A13)&amp;"-Q"&amp;ROUNDUP(MONTH($A13)/3,0))</f>
        <v/>
      </c>
      <c r="O13" s="15">
        <f>IF($A13="","",IF(OR($B13="",$E13="",$F13="",$G13="",$I13="",$K13=""),"Faltam campos","OK"))</f>
        <v/>
      </c>
      <c r="P13" s="15">
        <f>IF(OR($B13="",$B13&lt;&gt;'Pauta 1a1'!$B$4,$N13&lt;&gt;'Pauta 1a1'!$B$5),"",COUNTIFS($B$5:$B13,'Pauta 1a1'!$B$4,$N$5:$N13,'Pauta 1a1'!$B$5))</f>
        <v/>
      </c>
    </row>
    <row r="14">
      <c r="A14" s="18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5">
        <f>IF($A14="","",YEAR($A14)&amp;"-Q"&amp;ROUNDUP(MONTH($A14)/3,0))</f>
        <v/>
      </c>
      <c r="O14" s="15">
        <f>IF($A14="","",IF(OR($B14="",$E14="",$F14="",$G14="",$I14="",$K14=""),"Faltam campos","OK"))</f>
        <v/>
      </c>
      <c r="P14" s="15">
        <f>IF(OR($B14="",$B14&lt;&gt;'Pauta 1a1'!$B$4,$N14&lt;&gt;'Pauta 1a1'!$B$5),"",COUNTIFS($B$5:$B14,'Pauta 1a1'!$B$4,$N$5:$N14,'Pauta 1a1'!$B$5))</f>
        <v/>
      </c>
    </row>
    <row r="15">
      <c r="A15" s="18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5">
        <f>IF($A15="","",YEAR($A15)&amp;"-Q"&amp;ROUNDUP(MONTH($A15)/3,0))</f>
        <v/>
      </c>
      <c r="O15" s="15">
        <f>IF($A15="","",IF(OR($B15="",$E15="",$F15="",$G15="",$I15="",$K15=""),"Faltam campos","OK"))</f>
        <v/>
      </c>
      <c r="P15" s="15">
        <f>IF(OR($B15="",$B15&lt;&gt;'Pauta 1a1'!$B$4,$N15&lt;&gt;'Pauta 1a1'!$B$5),"",COUNTIFS($B$5:$B15,'Pauta 1a1'!$B$4,$N$5:$N15,'Pauta 1a1'!$B$5))</f>
        <v/>
      </c>
    </row>
    <row r="16">
      <c r="A16" s="18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5">
        <f>IF($A16="","",YEAR($A16)&amp;"-Q"&amp;ROUNDUP(MONTH($A16)/3,0))</f>
        <v/>
      </c>
      <c r="O16" s="15">
        <f>IF($A16="","",IF(OR($B16="",$E16="",$F16="",$G16="",$I16="",$K16=""),"Faltam campos","OK"))</f>
        <v/>
      </c>
      <c r="P16" s="15">
        <f>IF(OR($B16="",$B16&lt;&gt;'Pauta 1a1'!$B$4,$N16&lt;&gt;'Pauta 1a1'!$B$5),"",COUNTIFS($B$5:$B16,'Pauta 1a1'!$B$4,$N$5:$N16,'Pauta 1a1'!$B$5))</f>
        <v/>
      </c>
    </row>
    <row r="17">
      <c r="A17" s="18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5">
        <f>IF($A17="","",YEAR($A17)&amp;"-Q"&amp;ROUNDUP(MONTH($A17)/3,0))</f>
        <v/>
      </c>
      <c r="O17" s="15">
        <f>IF($A17="","",IF(OR($B17="",$E17="",$F17="",$G17="",$I17="",$K17=""),"Faltam campos","OK"))</f>
        <v/>
      </c>
      <c r="P17" s="15">
        <f>IF(OR($B17="",$B17&lt;&gt;'Pauta 1a1'!$B$4,$N17&lt;&gt;'Pauta 1a1'!$B$5),"",COUNTIFS($B$5:$B17,'Pauta 1a1'!$B$4,$N$5:$N17,'Pauta 1a1'!$B$5))</f>
        <v/>
      </c>
    </row>
    <row r="18">
      <c r="A18" s="18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5">
        <f>IF($A18="","",YEAR($A18)&amp;"-Q"&amp;ROUNDUP(MONTH($A18)/3,0))</f>
        <v/>
      </c>
      <c r="O18" s="15">
        <f>IF($A18="","",IF(OR($B18="",$E18="",$F18="",$G18="",$I18="",$K18=""),"Faltam campos","OK"))</f>
        <v/>
      </c>
      <c r="P18" s="15">
        <f>IF(OR($B18="",$B18&lt;&gt;'Pauta 1a1'!$B$4,$N18&lt;&gt;'Pauta 1a1'!$B$5),"",COUNTIFS($B$5:$B18,'Pauta 1a1'!$B$4,$N$5:$N18,'Pauta 1a1'!$B$5))</f>
        <v/>
      </c>
    </row>
    <row r="19">
      <c r="A19" s="18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5">
        <f>IF($A19="","",YEAR($A19)&amp;"-Q"&amp;ROUNDUP(MONTH($A19)/3,0))</f>
        <v/>
      </c>
      <c r="O19" s="15">
        <f>IF($A19="","",IF(OR($B19="",$E19="",$F19="",$G19="",$I19="",$K19=""),"Faltam campos","OK"))</f>
        <v/>
      </c>
      <c r="P19" s="15">
        <f>IF(OR($B19="",$B19&lt;&gt;'Pauta 1a1'!$B$4,$N19&lt;&gt;'Pauta 1a1'!$B$5),"",COUNTIFS($B$5:$B19,'Pauta 1a1'!$B$4,$N$5:$N19,'Pauta 1a1'!$B$5))</f>
        <v/>
      </c>
    </row>
    <row r="20">
      <c r="A20" s="18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5">
        <f>IF($A20="","",YEAR($A20)&amp;"-Q"&amp;ROUNDUP(MONTH($A20)/3,0))</f>
        <v/>
      </c>
      <c r="O20" s="15">
        <f>IF($A20="","",IF(OR($B20="",$E20="",$F20="",$G20="",$I20="",$K20=""),"Faltam campos","OK"))</f>
        <v/>
      </c>
      <c r="P20" s="15">
        <f>IF(OR($B20="",$B20&lt;&gt;'Pauta 1a1'!$B$4,$N20&lt;&gt;'Pauta 1a1'!$B$5),"",COUNTIFS($B$5:$B20,'Pauta 1a1'!$B$4,$N$5:$N20,'Pauta 1a1'!$B$5))</f>
        <v/>
      </c>
    </row>
    <row r="21">
      <c r="A21" s="18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5">
        <f>IF($A21="","",YEAR($A21)&amp;"-Q"&amp;ROUNDUP(MONTH($A21)/3,0))</f>
        <v/>
      </c>
      <c r="O21" s="15">
        <f>IF($A21="","",IF(OR($B21="",$E21="",$F21="",$G21="",$I21="",$K21=""),"Faltam campos","OK"))</f>
        <v/>
      </c>
      <c r="P21" s="15">
        <f>IF(OR($B21="",$B21&lt;&gt;'Pauta 1a1'!$B$4,$N21&lt;&gt;'Pauta 1a1'!$B$5),"",COUNTIFS($B$5:$B21,'Pauta 1a1'!$B$4,$N$5:$N21,'Pauta 1a1'!$B$5))</f>
        <v/>
      </c>
    </row>
    <row r="22">
      <c r="A22" s="18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5">
        <f>IF($A22="","",YEAR($A22)&amp;"-Q"&amp;ROUNDUP(MONTH($A22)/3,0))</f>
        <v/>
      </c>
      <c r="O22" s="15">
        <f>IF($A22="","",IF(OR($B22="",$E22="",$F22="",$G22="",$I22="",$K22=""),"Faltam campos","OK"))</f>
        <v/>
      </c>
      <c r="P22" s="15">
        <f>IF(OR($B22="",$B22&lt;&gt;'Pauta 1a1'!$B$4,$N22&lt;&gt;'Pauta 1a1'!$B$5),"",COUNTIFS($B$5:$B22,'Pauta 1a1'!$B$4,$N$5:$N22,'Pauta 1a1'!$B$5))</f>
        <v/>
      </c>
    </row>
    <row r="23">
      <c r="A23" s="18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5">
        <f>IF($A23="","",YEAR($A23)&amp;"-Q"&amp;ROUNDUP(MONTH($A23)/3,0))</f>
        <v/>
      </c>
      <c r="O23" s="15">
        <f>IF($A23="","",IF(OR($B23="",$E23="",$F23="",$G23="",$I23="",$K23=""),"Faltam campos","OK"))</f>
        <v/>
      </c>
      <c r="P23" s="15">
        <f>IF(OR($B23="",$B23&lt;&gt;'Pauta 1a1'!$B$4,$N23&lt;&gt;'Pauta 1a1'!$B$5),"",COUNTIFS($B$5:$B23,'Pauta 1a1'!$B$4,$N$5:$N23,'Pauta 1a1'!$B$5))</f>
        <v/>
      </c>
    </row>
    <row r="24">
      <c r="A24" s="18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5">
        <f>IF($A24="","",YEAR($A24)&amp;"-Q"&amp;ROUNDUP(MONTH($A24)/3,0))</f>
        <v/>
      </c>
      <c r="O24" s="15">
        <f>IF($A24="","",IF(OR($B24="",$E24="",$F24="",$G24="",$I24="",$K24=""),"Faltam campos","OK"))</f>
        <v/>
      </c>
      <c r="P24" s="15">
        <f>IF(OR($B24="",$B24&lt;&gt;'Pauta 1a1'!$B$4,$N24&lt;&gt;'Pauta 1a1'!$B$5),"",COUNTIFS($B$5:$B24,'Pauta 1a1'!$B$4,$N$5:$N24,'Pauta 1a1'!$B$5))</f>
        <v/>
      </c>
    </row>
    <row r="25">
      <c r="A25" s="18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5">
        <f>IF($A25="","",YEAR($A25)&amp;"-Q"&amp;ROUNDUP(MONTH($A25)/3,0))</f>
        <v/>
      </c>
      <c r="O25" s="15">
        <f>IF($A25="","",IF(OR($B25="",$E25="",$F25="",$G25="",$I25="",$K25=""),"Faltam campos","OK"))</f>
        <v/>
      </c>
      <c r="P25" s="15">
        <f>IF(OR($B25="",$B25&lt;&gt;'Pauta 1a1'!$B$4,$N25&lt;&gt;'Pauta 1a1'!$B$5),"",COUNTIFS($B$5:$B25,'Pauta 1a1'!$B$4,$N$5:$N25,'Pauta 1a1'!$B$5))</f>
        <v/>
      </c>
    </row>
    <row r="26">
      <c r="A26" s="18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5">
        <f>IF($A26="","",YEAR($A26)&amp;"-Q"&amp;ROUNDUP(MONTH($A26)/3,0))</f>
        <v/>
      </c>
      <c r="O26" s="15">
        <f>IF($A26="","",IF(OR($B26="",$E26="",$F26="",$G26="",$I26="",$K26=""),"Faltam campos","OK"))</f>
        <v/>
      </c>
      <c r="P26" s="15">
        <f>IF(OR($B26="",$B26&lt;&gt;'Pauta 1a1'!$B$4,$N26&lt;&gt;'Pauta 1a1'!$B$5),"",COUNTIFS($B$5:$B26,'Pauta 1a1'!$B$4,$N$5:$N26,'Pauta 1a1'!$B$5))</f>
        <v/>
      </c>
    </row>
    <row r="27">
      <c r="A27" s="18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5">
        <f>IF($A27="","",YEAR($A27)&amp;"-Q"&amp;ROUNDUP(MONTH($A27)/3,0))</f>
        <v/>
      </c>
      <c r="O27" s="15">
        <f>IF($A27="","",IF(OR($B27="",$E27="",$F27="",$G27="",$I27="",$K27=""),"Faltam campos","OK"))</f>
        <v/>
      </c>
      <c r="P27" s="15">
        <f>IF(OR($B27="",$B27&lt;&gt;'Pauta 1a1'!$B$4,$N27&lt;&gt;'Pauta 1a1'!$B$5),"",COUNTIFS($B$5:$B27,'Pauta 1a1'!$B$4,$N$5:$N27,'Pauta 1a1'!$B$5))</f>
        <v/>
      </c>
    </row>
    <row r="28">
      <c r="A28" s="18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5">
        <f>IF($A28="","",YEAR($A28)&amp;"-Q"&amp;ROUNDUP(MONTH($A28)/3,0))</f>
        <v/>
      </c>
      <c r="O28" s="15">
        <f>IF($A28="","",IF(OR($B28="",$E28="",$F28="",$G28="",$I28="",$K28=""),"Faltam campos","OK"))</f>
        <v/>
      </c>
      <c r="P28" s="15">
        <f>IF(OR($B28="",$B28&lt;&gt;'Pauta 1a1'!$B$4,$N28&lt;&gt;'Pauta 1a1'!$B$5),"",COUNTIFS($B$5:$B28,'Pauta 1a1'!$B$4,$N$5:$N28,'Pauta 1a1'!$B$5))</f>
        <v/>
      </c>
    </row>
    <row r="29">
      <c r="A29" s="18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5">
        <f>IF($A29="","",YEAR($A29)&amp;"-Q"&amp;ROUNDUP(MONTH($A29)/3,0))</f>
        <v/>
      </c>
      <c r="O29" s="15">
        <f>IF($A29="","",IF(OR($B29="",$E29="",$F29="",$G29="",$I29="",$K29=""),"Faltam campos","OK"))</f>
        <v/>
      </c>
      <c r="P29" s="15">
        <f>IF(OR($B29="",$B29&lt;&gt;'Pauta 1a1'!$B$4,$N29&lt;&gt;'Pauta 1a1'!$B$5),"",COUNTIFS($B$5:$B29,'Pauta 1a1'!$B$4,$N$5:$N29,'Pauta 1a1'!$B$5))</f>
        <v/>
      </c>
    </row>
    <row r="30">
      <c r="A30" s="18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5">
        <f>IF($A30="","",YEAR($A30)&amp;"-Q"&amp;ROUNDUP(MONTH($A30)/3,0))</f>
        <v/>
      </c>
      <c r="O30" s="15">
        <f>IF($A30="","",IF(OR($B30="",$E30="",$F30="",$G30="",$I30="",$K30=""),"Faltam campos","OK"))</f>
        <v/>
      </c>
      <c r="P30" s="15">
        <f>IF(OR($B30="",$B30&lt;&gt;'Pauta 1a1'!$B$4,$N30&lt;&gt;'Pauta 1a1'!$B$5),"",COUNTIFS($B$5:$B30,'Pauta 1a1'!$B$4,$N$5:$N30,'Pauta 1a1'!$B$5))</f>
        <v/>
      </c>
    </row>
    <row r="31">
      <c r="A31" s="18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5">
        <f>IF($A31="","",YEAR($A31)&amp;"-Q"&amp;ROUNDUP(MONTH($A31)/3,0))</f>
        <v/>
      </c>
      <c r="O31" s="15">
        <f>IF($A31="","",IF(OR($B31="",$E31="",$F31="",$G31="",$I31="",$K31=""),"Faltam campos","OK"))</f>
        <v/>
      </c>
      <c r="P31" s="15">
        <f>IF(OR($B31="",$B31&lt;&gt;'Pauta 1a1'!$B$4,$N31&lt;&gt;'Pauta 1a1'!$B$5),"",COUNTIFS($B$5:$B31,'Pauta 1a1'!$B$4,$N$5:$N31,'Pauta 1a1'!$B$5))</f>
        <v/>
      </c>
    </row>
    <row r="32">
      <c r="A32" s="18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5">
        <f>IF($A32="","",YEAR($A32)&amp;"-Q"&amp;ROUNDUP(MONTH($A32)/3,0))</f>
        <v/>
      </c>
      <c r="O32" s="15">
        <f>IF($A32="","",IF(OR($B32="",$E32="",$F32="",$G32="",$I32="",$K32=""),"Faltam campos","OK"))</f>
        <v/>
      </c>
      <c r="P32" s="15">
        <f>IF(OR($B32="",$B32&lt;&gt;'Pauta 1a1'!$B$4,$N32&lt;&gt;'Pauta 1a1'!$B$5),"",COUNTIFS($B$5:$B32,'Pauta 1a1'!$B$4,$N$5:$N32,'Pauta 1a1'!$B$5))</f>
        <v/>
      </c>
    </row>
    <row r="33">
      <c r="A33" s="18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5">
        <f>IF($A33="","",YEAR($A33)&amp;"-Q"&amp;ROUNDUP(MONTH($A33)/3,0))</f>
        <v/>
      </c>
      <c r="O33" s="15">
        <f>IF($A33="","",IF(OR($B33="",$E33="",$F33="",$G33="",$I33="",$K33=""),"Faltam campos","OK"))</f>
        <v/>
      </c>
      <c r="P33" s="15">
        <f>IF(OR($B33="",$B33&lt;&gt;'Pauta 1a1'!$B$4,$N33&lt;&gt;'Pauta 1a1'!$B$5),"",COUNTIFS($B$5:$B33,'Pauta 1a1'!$B$4,$N$5:$N33,'Pauta 1a1'!$B$5))</f>
        <v/>
      </c>
    </row>
    <row r="34">
      <c r="A34" s="18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5">
        <f>IF($A34="","",YEAR($A34)&amp;"-Q"&amp;ROUNDUP(MONTH($A34)/3,0))</f>
        <v/>
      </c>
      <c r="O34" s="15">
        <f>IF($A34="","",IF(OR($B34="",$E34="",$F34="",$G34="",$I34="",$K34=""),"Faltam campos","OK"))</f>
        <v/>
      </c>
      <c r="P34" s="15">
        <f>IF(OR($B34="",$B34&lt;&gt;'Pauta 1a1'!$B$4,$N34&lt;&gt;'Pauta 1a1'!$B$5),"",COUNTIFS($B$5:$B34,'Pauta 1a1'!$B$4,$N$5:$N34,'Pauta 1a1'!$B$5))</f>
        <v/>
      </c>
    </row>
    <row r="35">
      <c r="A35" s="18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5">
        <f>IF($A35="","",YEAR($A35)&amp;"-Q"&amp;ROUNDUP(MONTH($A35)/3,0))</f>
        <v/>
      </c>
      <c r="O35" s="15">
        <f>IF($A35="","",IF(OR($B35="",$E35="",$F35="",$G35="",$I35="",$K35=""),"Faltam campos","OK"))</f>
        <v/>
      </c>
      <c r="P35" s="15">
        <f>IF(OR($B35="",$B35&lt;&gt;'Pauta 1a1'!$B$4,$N35&lt;&gt;'Pauta 1a1'!$B$5),"",COUNTIFS($B$5:$B35,'Pauta 1a1'!$B$4,$N$5:$N35,'Pauta 1a1'!$B$5))</f>
        <v/>
      </c>
    </row>
    <row r="36">
      <c r="A36" s="18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5">
        <f>IF($A36="","",YEAR($A36)&amp;"-Q"&amp;ROUNDUP(MONTH($A36)/3,0))</f>
        <v/>
      </c>
      <c r="O36" s="15">
        <f>IF($A36="","",IF(OR($B36="",$E36="",$F36="",$G36="",$I36="",$K36=""),"Faltam campos","OK"))</f>
        <v/>
      </c>
      <c r="P36" s="15">
        <f>IF(OR($B36="",$B36&lt;&gt;'Pauta 1a1'!$B$4,$N36&lt;&gt;'Pauta 1a1'!$B$5),"",COUNTIFS($B$5:$B36,'Pauta 1a1'!$B$4,$N$5:$N36,'Pauta 1a1'!$B$5))</f>
        <v/>
      </c>
    </row>
    <row r="37">
      <c r="A37" s="18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5">
        <f>IF($A37="","",YEAR($A37)&amp;"-Q"&amp;ROUNDUP(MONTH($A37)/3,0))</f>
        <v/>
      </c>
      <c r="O37" s="15">
        <f>IF($A37="","",IF(OR($B37="",$E37="",$F37="",$G37="",$I37="",$K37=""),"Faltam campos","OK"))</f>
        <v/>
      </c>
      <c r="P37" s="15">
        <f>IF(OR($B37="",$B37&lt;&gt;'Pauta 1a1'!$B$4,$N37&lt;&gt;'Pauta 1a1'!$B$5),"",COUNTIFS($B$5:$B37,'Pauta 1a1'!$B$4,$N$5:$N37,'Pauta 1a1'!$B$5))</f>
        <v/>
      </c>
    </row>
    <row r="38">
      <c r="A38" s="18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5">
        <f>IF($A38="","",YEAR($A38)&amp;"-Q"&amp;ROUNDUP(MONTH($A38)/3,0))</f>
        <v/>
      </c>
      <c r="O38" s="15">
        <f>IF($A38="","",IF(OR($B38="",$E38="",$F38="",$G38="",$I38="",$K38=""),"Faltam campos","OK"))</f>
        <v/>
      </c>
      <c r="P38" s="15">
        <f>IF(OR($B38="",$B38&lt;&gt;'Pauta 1a1'!$B$4,$N38&lt;&gt;'Pauta 1a1'!$B$5),"",COUNTIFS($B$5:$B38,'Pauta 1a1'!$B$4,$N$5:$N38,'Pauta 1a1'!$B$5))</f>
        <v/>
      </c>
    </row>
    <row r="39">
      <c r="A39" s="18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5">
        <f>IF($A39="","",YEAR($A39)&amp;"-Q"&amp;ROUNDUP(MONTH($A39)/3,0))</f>
        <v/>
      </c>
      <c r="O39" s="15">
        <f>IF($A39="","",IF(OR($B39="",$E39="",$F39="",$G39="",$I39="",$K39=""),"Faltam campos","OK"))</f>
        <v/>
      </c>
      <c r="P39" s="15">
        <f>IF(OR($B39="",$B39&lt;&gt;'Pauta 1a1'!$B$4,$N39&lt;&gt;'Pauta 1a1'!$B$5),"",COUNTIFS($B$5:$B39,'Pauta 1a1'!$B$4,$N$5:$N39,'Pauta 1a1'!$B$5))</f>
        <v/>
      </c>
    </row>
    <row r="40">
      <c r="A40" s="18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5">
        <f>IF($A40="","",YEAR($A40)&amp;"-Q"&amp;ROUNDUP(MONTH($A40)/3,0))</f>
        <v/>
      </c>
      <c r="O40" s="15">
        <f>IF($A40="","",IF(OR($B40="",$E40="",$F40="",$G40="",$I40="",$K40=""),"Faltam campos","OK"))</f>
        <v/>
      </c>
      <c r="P40" s="15">
        <f>IF(OR($B40="",$B40&lt;&gt;'Pauta 1a1'!$B$4,$N40&lt;&gt;'Pauta 1a1'!$B$5),"",COUNTIFS($B$5:$B40,'Pauta 1a1'!$B$4,$N$5:$N40,'Pauta 1a1'!$B$5))</f>
        <v/>
      </c>
    </row>
    <row r="41">
      <c r="A41" s="18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5">
        <f>IF($A41="","",YEAR($A41)&amp;"-Q"&amp;ROUNDUP(MONTH($A41)/3,0))</f>
        <v/>
      </c>
      <c r="O41" s="15">
        <f>IF($A41="","",IF(OR($B41="",$E41="",$F41="",$G41="",$I41="",$K41=""),"Faltam campos","OK"))</f>
        <v/>
      </c>
      <c r="P41" s="15">
        <f>IF(OR($B41="",$B41&lt;&gt;'Pauta 1a1'!$B$4,$N41&lt;&gt;'Pauta 1a1'!$B$5),"",COUNTIFS($B$5:$B41,'Pauta 1a1'!$B$4,$N$5:$N41,'Pauta 1a1'!$B$5))</f>
        <v/>
      </c>
    </row>
    <row r="42">
      <c r="A42" s="18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5">
        <f>IF($A42="","",YEAR($A42)&amp;"-Q"&amp;ROUNDUP(MONTH($A42)/3,0))</f>
        <v/>
      </c>
      <c r="O42" s="15">
        <f>IF($A42="","",IF(OR($B42="",$E42="",$F42="",$G42="",$I42="",$K42=""),"Faltam campos","OK"))</f>
        <v/>
      </c>
      <c r="P42" s="15">
        <f>IF(OR($B42="",$B42&lt;&gt;'Pauta 1a1'!$B$4,$N42&lt;&gt;'Pauta 1a1'!$B$5),"",COUNTIFS($B$5:$B42,'Pauta 1a1'!$B$4,$N$5:$N42,'Pauta 1a1'!$B$5))</f>
        <v/>
      </c>
    </row>
    <row r="43">
      <c r="A43" s="18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5">
        <f>IF($A43="","",YEAR($A43)&amp;"-Q"&amp;ROUNDUP(MONTH($A43)/3,0))</f>
        <v/>
      </c>
      <c r="O43" s="15">
        <f>IF($A43="","",IF(OR($B43="",$E43="",$F43="",$G43="",$I43="",$K43=""),"Faltam campos","OK"))</f>
        <v/>
      </c>
      <c r="P43" s="15">
        <f>IF(OR($B43="",$B43&lt;&gt;'Pauta 1a1'!$B$4,$N43&lt;&gt;'Pauta 1a1'!$B$5),"",COUNTIFS($B$5:$B43,'Pauta 1a1'!$B$4,$N$5:$N43,'Pauta 1a1'!$B$5))</f>
        <v/>
      </c>
    </row>
    <row r="44">
      <c r="A44" s="18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5">
        <f>IF($A44="","",YEAR($A44)&amp;"-Q"&amp;ROUNDUP(MONTH($A44)/3,0))</f>
        <v/>
      </c>
      <c r="O44" s="15">
        <f>IF($A44="","",IF(OR($B44="",$E44="",$F44="",$G44="",$I44="",$K44=""),"Faltam campos","OK"))</f>
        <v/>
      </c>
      <c r="P44" s="15">
        <f>IF(OR($B44="",$B44&lt;&gt;'Pauta 1a1'!$B$4,$N44&lt;&gt;'Pauta 1a1'!$B$5),"",COUNTIFS($B$5:$B44,'Pauta 1a1'!$B$4,$N$5:$N44,'Pauta 1a1'!$B$5))</f>
        <v/>
      </c>
    </row>
    <row r="45">
      <c r="A45" s="18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5">
        <f>IF($A45="","",YEAR($A45)&amp;"-Q"&amp;ROUNDUP(MONTH($A45)/3,0))</f>
        <v/>
      </c>
      <c r="O45" s="15">
        <f>IF($A45="","",IF(OR($B45="",$E45="",$F45="",$G45="",$I45="",$K45=""),"Faltam campos","OK"))</f>
        <v/>
      </c>
      <c r="P45" s="15">
        <f>IF(OR($B45="",$B45&lt;&gt;'Pauta 1a1'!$B$4,$N45&lt;&gt;'Pauta 1a1'!$B$5),"",COUNTIFS($B$5:$B45,'Pauta 1a1'!$B$4,$N$5:$N45,'Pauta 1a1'!$B$5))</f>
        <v/>
      </c>
    </row>
    <row r="46">
      <c r="A46" s="18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5">
        <f>IF($A46="","",YEAR($A46)&amp;"-Q"&amp;ROUNDUP(MONTH($A46)/3,0))</f>
        <v/>
      </c>
      <c r="O46" s="15">
        <f>IF($A46="","",IF(OR($B46="",$E46="",$F46="",$G46="",$I46="",$K46=""),"Faltam campos","OK"))</f>
        <v/>
      </c>
      <c r="P46" s="15">
        <f>IF(OR($B46="",$B46&lt;&gt;'Pauta 1a1'!$B$4,$N46&lt;&gt;'Pauta 1a1'!$B$5),"",COUNTIFS($B$5:$B46,'Pauta 1a1'!$B$4,$N$5:$N46,'Pauta 1a1'!$B$5))</f>
        <v/>
      </c>
    </row>
    <row r="47">
      <c r="A47" s="18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5">
        <f>IF($A47="","",YEAR($A47)&amp;"-Q"&amp;ROUNDUP(MONTH($A47)/3,0))</f>
        <v/>
      </c>
      <c r="O47" s="15">
        <f>IF($A47="","",IF(OR($B47="",$E47="",$F47="",$G47="",$I47="",$K47=""),"Faltam campos","OK"))</f>
        <v/>
      </c>
      <c r="P47" s="15">
        <f>IF(OR($B47="",$B47&lt;&gt;'Pauta 1a1'!$B$4,$N47&lt;&gt;'Pauta 1a1'!$B$5),"",COUNTIFS($B$5:$B47,'Pauta 1a1'!$B$4,$N$5:$N47,'Pauta 1a1'!$B$5))</f>
        <v/>
      </c>
    </row>
    <row r="48">
      <c r="A48" s="18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5">
        <f>IF($A48="","",YEAR($A48)&amp;"-Q"&amp;ROUNDUP(MONTH($A48)/3,0))</f>
        <v/>
      </c>
      <c r="O48" s="15">
        <f>IF($A48="","",IF(OR($B48="",$E48="",$F48="",$G48="",$I48="",$K48=""),"Faltam campos","OK"))</f>
        <v/>
      </c>
      <c r="P48" s="15">
        <f>IF(OR($B48="",$B48&lt;&gt;'Pauta 1a1'!$B$4,$N48&lt;&gt;'Pauta 1a1'!$B$5),"",COUNTIFS($B$5:$B48,'Pauta 1a1'!$B$4,$N$5:$N48,'Pauta 1a1'!$B$5))</f>
        <v/>
      </c>
    </row>
    <row r="49">
      <c r="A49" s="18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5">
        <f>IF($A49="","",YEAR($A49)&amp;"-Q"&amp;ROUNDUP(MONTH($A49)/3,0))</f>
        <v/>
      </c>
      <c r="O49" s="15">
        <f>IF($A49="","",IF(OR($B49="",$E49="",$F49="",$G49="",$I49="",$K49=""),"Faltam campos","OK"))</f>
        <v/>
      </c>
      <c r="P49" s="15">
        <f>IF(OR($B49="",$B49&lt;&gt;'Pauta 1a1'!$B$4,$N49&lt;&gt;'Pauta 1a1'!$B$5),"",COUNTIFS($B$5:$B49,'Pauta 1a1'!$B$4,$N$5:$N49,'Pauta 1a1'!$B$5))</f>
        <v/>
      </c>
    </row>
    <row r="50">
      <c r="A50" s="18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5">
        <f>IF($A50="","",YEAR($A50)&amp;"-Q"&amp;ROUNDUP(MONTH($A50)/3,0))</f>
        <v/>
      </c>
      <c r="O50" s="15">
        <f>IF($A50="","",IF(OR($B50="",$E50="",$F50="",$G50="",$I50="",$K50=""),"Faltam campos","OK"))</f>
        <v/>
      </c>
      <c r="P50" s="15">
        <f>IF(OR($B50="",$B50&lt;&gt;'Pauta 1a1'!$B$4,$N50&lt;&gt;'Pauta 1a1'!$B$5),"",COUNTIFS($B$5:$B50,'Pauta 1a1'!$B$4,$N$5:$N50,'Pauta 1a1'!$B$5))</f>
        <v/>
      </c>
    </row>
    <row r="51">
      <c r="A51" s="18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5">
        <f>IF($A51="","",YEAR($A51)&amp;"-Q"&amp;ROUNDUP(MONTH($A51)/3,0))</f>
        <v/>
      </c>
      <c r="O51" s="15">
        <f>IF($A51="","",IF(OR($B51="",$E51="",$F51="",$G51="",$I51="",$K51=""),"Faltam campos","OK"))</f>
        <v/>
      </c>
      <c r="P51" s="15">
        <f>IF(OR($B51="",$B51&lt;&gt;'Pauta 1a1'!$B$4,$N51&lt;&gt;'Pauta 1a1'!$B$5),"",COUNTIFS($B$5:$B51,'Pauta 1a1'!$B$4,$N$5:$N51,'Pauta 1a1'!$B$5))</f>
        <v/>
      </c>
    </row>
    <row r="52">
      <c r="A52" s="18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5">
        <f>IF($A52="","",YEAR($A52)&amp;"-Q"&amp;ROUNDUP(MONTH($A52)/3,0))</f>
        <v/>
      </c>
      <c r="O52" s="15">
        <f>IF($A52="","",IF(OR($B52="",$E52="",$F52="",$G52="",$I52="",$K52=""),"Faltam campos","OK"))</f>
        <v/>
      </c>
      <c r="P52" s="15">
        <f>IF(OR($B52="",$B52&lt;&gt;'Pauta 1a1'!$B$4,$N52&lt;&gt;'Pauta 1a1'!$B$5),"",COUNTIFS($B$5:$B52,'Pauta 1a1'!$B$4,$N$5:$N52,'Pauta 1a1'!$B$5))</f>
        <v/>
      </c>
    </row>
    <row r="53">
      <c r="A53" s="18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5">
        <f>IF($A53="","",YEAR($A53)&amp;"-Q"&amp;ROUNDUP(MONTH($A53)/3,0))</f>
        <v/>
      </c>
      <c r="O53" s="15">
        <f>IF($A53="","",IF(OR($B53="",$E53="",$F53="",$G53="",$I53="",$K53=""),"Faltam campos","OK"))</f>
        <v/>
      </c>
      <c r="P53" s="15">
        <f>IF(OR($B53="",$B53&lt;&gt;'Pauta 1a1'!$B$4,$N53&lt;&gt;'Pauta 1a1'!$B$5),"",COUNTIFS($B$5:$B53,'Pauta 1a1'!$B$4,$N$5:$N53,'Pauta 1a1'!$B$5))</f>
        <v/>
      </c>
    </row>
    <row r="54">
      <c r="A54" s="18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5">
        <f>IF($A54="","",YEAR($A54)&amp;"-Q"&amp;ROUNDUP(MONTH($A54)/3,0))</f>
        <v/>
      </c>
      <c r="O54" s="15">
        <f>IF($A54="","",IF(OR($B54="",$E54="",$F54="",$G54="",$I54="",$K54=""),"Faltam campos","OK"))</f>
        <v/>
      </c>
      <c r="P54" s="15">
        <f>IF(OR($B54="",$B54&lt;&gt;'Pauta 1a1'!$B$4,$N54&lt;&gt;'Pauta 1a1'!$B$5),"",COUNTIFS($B$5:$B54,'Pauta 1a1'!$B$4,$N$5:$N54,'Pauta 1a1'!$B$5))</f>
        <v/>
      </c>
    </row>
    <row r="55">
      <c r="A55" s="18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5">
        <f>IF($A55="","",YEAR($A55)&amp;"-Q"&amp;ROUNDUP(MONTH($A55)/3,0))</f>
        <v/>
      </c>
      <c r="O55" s="15">
        <f>IF($A55="","",IF(OR($B55="",$E55="",$F55="",$G55="",$I55="",$K55=""),"Faltam campos","OK"))</f>
        <v/>
      </c>
      <c r="P55" s="15">
        <f>IF(OR($B55="",$B55&lt;&gt;'Pauta 1a1'!$B$4,$N55&lt;&gt;'Pauta 1a1'!$B$5),"",COUNTIFS($B$5:$B55,'Pauta 1a1'!$B$4,$N$5:$N55,'Pauta 1a1'!$B$5))</f>
        <v/>
      </c>
    </row>
    <row r="56">
      <c r="A56" s="18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5">
        <f>IF($A56="","",YEAR($A56)&amp;"-Q"&amp;ROUNDUP(MONTH($A56)/3,0))</f>
        <v/>
      </c>
      <c r="O56" s="15">
        <f>IF($A56="","",IF(OR($B56="",$E56="",$F56="",$G56="",$I56="",$K56=""),"Faltam campos","OK"))</f>
        <v/>
      </c>
      <c r="P56" s="15">
        <f>IF(OR($B56="",$B56&lt;&gt;'Pauta 1a1'!$B$4,$N56&lt;&gt;'Pauta 1a1'!$B$5),"",COUNTIFS($B$5:$B56,'Pauta 1a1'!$B$4,$N$5:$N56,'Pauta 1a1'!$B$5))</f>
        <v/>
      </c>
    </row>
    <row r="57">
      <c r="A57" s="18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5">
        <f>IF($A57="","",YEAR($A57)&amp;"-Q"&amp;ROUNDUP(MONTH($A57)/3,0))</f>
        <v/>
      </c>
      <c r="O57" s="15">
        <f>IF($A57="","",IF(OR($B57="",$E57="",$F57="",$G57="",$I57="",$K57=""),"Faltam campos","OK"))</f>
        <v/>
      </c>
      <c r="P57" s="15">
        <f>IF(OR($B57="",$B57&lt;&gt;'Pauta 1a1'!$B$4,$N57&lt;&gt;'Pauta 1a1'!$B$5),"",COUNTIFS($B$5:$B57,'Pauta 1a1'!$B$4,$N$5:$N57,'Pauta 1a1'!$B$5))</f>
        <v/>
      </c>
    </row>
    <row r="58">
      <c r="A58" s="18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5">
        <f>IF($A58="","",YEAR($A58)&amp;"-Q"&amp;ROUNDUP(MONTH($A58)/3,0))</f>
        <v/>
      </c>
      <c r="O58" s="15">
        <f>IF($A58="","",IF(OR($B58="",$E58="",$F58="",$G58="",$I58="",$K58=""),"Faltam campos","OK"))</f>
        <v/>
      </c>
      <c r="P58" s="15">
        <f>IF(OR($B58="",$B58&lt;&gt;'Pauta 1a1'!$B$4,$N58&lt;&gt;'Pauta 1a1'!$B$5),"",COUNTIFS($B$5:$B58,'Pauta 1a1'!$B$4,$N$5:$N58,'Pauta 1a1'!$B$5))</f>
        <v/>
      </c>
    </row>
    <row r="59">
      <c r="A59" s="18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5">
        <f>IF($A59="","",YEAR($A59)&amp;"-Q"&amp;ROUNDUP(MONTH($A59)/3,0))</f>
        <v/>
      </c>
      <c r="O59" s="15">
        <f>IF($A59="","",IF(OR($B59="",$E59="",$F59="",$G59="",$I59="",$K59=""),"Faltam campos","OK"))</f>
        <v/>
      </c>
      <c r="P59" s="15">
        <f>IF(OR($B59="",$B59&lt;&gt;'Pauta 1a1'!$B$4,$N59&lt;&gt;'Pauta 1a1'!$B$5),"",COUNTIFS($B$5:$B59,'Pauta 1a1'!$B$4,$N$5:$N59,'Pauta 1a1'!$B$5))</f>
        <v/>
      </c>
    </row>
    <row r="60">
      <c r="A60" s="18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5">
        <f>IF($A60="","",YEAR($A60)&amp;"-Q"&amp;ROUNDUP(MONTH($A60)/3,0))</f>
        <v/>
      </c>
      <c r="O60" s="15">
        <f>IF($A60="","",IF(OR($B60="",$E60="",$F60="",$G60="",$I60="",$K60=""),"Faltam campos","OK"))</f>
        <v/>
      </c>
      <c r="P60" s="15">
        <f>IF(OR($B60="",$B60&lt;&gt;'Pauta 1a1'!$B$4,$N60&lt;&gt;'Pauta 1a1'!$B$5),"",COUNTIFS($B$5:$B60,'Pauta 1a1'!$B$4,$N$5:$N60,'Pauta 1a1'!$B$5))</f>
        <v/>
      </c>
    </row>
    <row r="61">
      <c r="A61" s="18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5">
        <f>IF($A61="","",YEAR($A61)&amp;"-Q"&amp;ROUNDUP(MONTH($A61)/3,0))</f>
        <v/>
      </c>
      <c r="O61" s="15">
        <f>IF($A61="","",IF(OR($B61="",$E61="",$F61="",$G61="",$I61="",$K61=""),"Faltam campos","OK"))</f>
        <v/>
      </c>
      <c r="P61" s="15">
        <f>IF(OR($B61="",$B61&lt;&gt;'Pauta 1a1'!$B$4,$N61&lt;&gt;'Pauta 1a1'!$B$5),"",COUNTIFS($B$5:$B61,'Pauta 1a1'!$B$4,$N$5:$N61,'Pauta 1a1'!$B$5))</f>
        <v/>
      </c>
    </row>
    <row r="62">
      <c r="A62" s="18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5">
        <f>IF($A62="","",YEAR($A62)&amp;"-Q"&amp;ROUNDUP(MONTH($A62)/3,0))</f>
        <v/>
      </c>
      <c r="O62" s="15">
        <f>IF($A62="","",IF(OR($B62="",$E62="",$F62="",$G62="",$I62="",$K62=""),"Faltam campos","OK"))</f>
        <v/>
      </c>
      <c r="P62" s="15">
        <f>IF(OR($B62="",$B62&lt;&gt;'Pauta 1a1'!$B$4,$N62&lt;&gt;'Pauta 1a1'!$B$5),"",COUNTIFS($B$5:$B62,'Pauta 1a1'!$B$4,$N$5:$N62,'Pauta 1a1'!$B$5))</f>
        <v/>
      </c>
    </row>
    <row r="63">
      <c r="A63" s="18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5">
        <f>IF($A63="","",YEAR($A63)&amp;"-Q"&amp;ROUNDUP(MONTH($A63)/3,0))</f>
        <v/>
      </c>
      <c r="O63" s="15">
        <f>IF($A63="","",IF(OR($B63="",$E63="",$F63="",$G63="",$I63="",$K63=""),"Faltam campos","OK"))</f>
        <v/>
      </c>
      <c r="P63" s="15">
        <f>IF(OR($B63="",$B63&lt;&gt;'Pauta 1a1'!$B$4,$N63&lt;&gt;'Pauta 1a1'!$B$5),"",COUNTIFS($B$5:$B63,'Pauta 1a1'!$B$4,$N$5:$N63,'Pauta 1a1'!$B$5))</f>
        <v/>
      </c>
    </row>
    <row r="64">
      <c r="A64" s="18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5">
        <f>IF($A64="","",YEAR($A64)&amp;"-Q"&amp;ROUNDUP(MONTH($A64)/3,0))</f>
        <v/>
      </c>
      <c r="O64" s="15">
        <f>IF($A64="","",IF(OR($B64="",$E64="",$F64="",$G64="",$I64="",$K64=""),"Faltam campos","OK"))</f>
        <v/>
      </c>
      <c r="P64" s="15">
        <f>IF(OR($B64="",$B64&lt;&gt;'Pauta 1a1'!$B$4,$N64&lt;&gt;'Pauta 1a1'!$B$5),"",COUNTIFS($B$5:$B64,'Pauta 1a1'!$B$4,$N$5:$N64,'Pauta 1a1'!$B$5))</f>
        <v/>
      </c>
    </row>
    <row r="65">
      <c r="A65" s="18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5">
        <f>IF($A65="","",YEAR($A65)&amp;"-Q"&amp;ROUNDUP(MONTH($A65)/3,0))</f>
        <v/>
      </c>
      <c r="O65" s="15">
        <f>IF($A65="","",IF(OR($B65="",$E65="",$F65="",$G65="",$I65="",$K65=""),"Faltam campos","OK"))</f>
        <v/>
      </c>
      <c r="P65" s="15">
        <f>IF(OR($B65="",$B65&lt;&gt;'Pauta 1a1'!$B$4,$N65&lt;&gt;'Pauta 1a1'!$B$5),"",COUNTIFS($B$5:$B65,'Pauta 1a1'!$B$4,$N$5:$N65,'Pauta 1a1'!$B$5))</f>
        <v/>
      </c>
    </row>
    <row r="66">
      <c r="A66" s="18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5">
        <f>IF($A66="","",YEAR($A66)&amp;"-Q"&amp;ROUNDUP(MONTH($A66)/3,0))</f>
        <v/>
      </c>
      <c r="O66" s="15">
        <f>IF($A66="","",IF(OR($B66="",$E66="",$F66="",$G66="",$I66="",$K66=""),"Faltam campos","OK"))</f>
        <v/>
      </c>
      <c r="P66" s="15">
        <f>IF(OR($B66="",$B66&lt;&gt;'Pauta 1a1'!$B$4,$N66&lt;&gt;'Pauta 1a1'!$B$5),"",COUNTIFS($B$5:$B66,'Pauta 1a1'!$B$4,$N$5:$N66,'Pauta 1a1'!$B$5))</f>
        <v/>
      </c>
    </row>
    <row r="67">
      <c r="A67" s="18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5">
        <f>IF($A67="","",YEAR($A67)&amp;"-Q"&amp;ROUNDUP(MONTH($A67)/3,0))</f>
        <v/>
      </c>
      <c r="O67" s="15">
        <f>IF($A67="","",IF(OR($B67="",$E67="",$F67="",$G67="",$I67="",$K67=""),"Faltam campos","OK"))</f>
        <v/>
      </c>
      <c r="P67" s="15">
        <f>IF(OR($B67="",$B67&lt;&gt;'Pauta 1a1'!$B$4,$N67&lt;&gt;'Pauta 1a1'!$B$5),"",COUNTIFS($B$5:$B67,'Pauta 1a1'!$B$4,$N$5:$N67,'Pauta 1a1'!$B$5))</f>
        <v/>
      </c>
    </row>
    <row r="68">
      <c r="A68" s="18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5">
        <f>IF($A68="","",YEAR($A68)&amp;"-Q"&amp;ROUNDUP(MONTH($A68)/3,0))</f>
        <v/>
      </c>
      <c r="O68" s="15">
        <f>IF($A68="","",IF(OR($B68="",$E68="",$F68="",$G68="",$I68="",$K68=""),"Faltam campos","OK"))</f>
        <v/>
      </c>
      <c r="P68" s="15">
        <f>IF(OR($B68="",$B68&lt;&gt;'Pauta 1a1'!$B$4,$N68&lt;&gt;'Pauta 1a1'!$B$5),"",COUNTIFS($B$5:$B68,'Pauta 1a1'!$B$4,$N$5:$N68,'Pauta 1a1'!$B$5))</f>
        <v/>
      </c>
    </row>
    <row r="69">
      <c r="A69" s="18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5">
        <f>IF($A69="","",YEAR($A69)&amp;"-Q"&amp;ROUNDUP(MONTH($A69)/3,0))</f>
        <v/>
      </c>
      <c r="O69" s="15">
        <f>IF($A69="","",IF(OR($B69="",$E69="",$F69="",$G69="",$I69="",$K69=""),"Faltam campos","OK"))</f>
        <v/>
      </c>
      <c r="P69" s="15">
        <f>IF(OR($B69="",$B69&lt;&gt;'Pauta 1a1'!$B$4,$N69&lt;&gt;'Pauta 1a1'!$B$5),"",COUNTIFS($B$5:$B69,'Pauta 1a1'!$B$4,$N$5:$N69,'Pauta 1a1'!$B$5))</f>
        <v/>
      </c>
    </row>
    <row r="70">
      <c r="A70" s="18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5">
        <f>IF($A70="","",YEAR($A70)&amp;"-Q"&amp;ROUNDUP(MONTH($A70)/3,0))</f>
        <v/>
      </c>
      <c r="O70" s="15">
        <f>IF($A70="","",IF(OR($B70="",$E70="",$F70="",$G70="",$I70="",$K70=""),"Faltam campos","OK"))</f>
        <v/>
      </c>
      <c r="P70" s="15">
        <f>IF(OR($B70="",$B70&lt;&gt;'Pauta 1a1'!$B$4,$N70&lt;&gt;'Pauta 1a1'!$B$5),"",COUNTIFS($B$5:$B70,'Pauta 1a1'!$B$4,$N$5:$N70,'Pauta 1a1'!$B$5))</f>
        <v/>
      </c>
    </row>
    <row r="71">
      <c r="A71" s="18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5">
        <f>IF($A71="","",YEAR($A71)&amp;"-Q"&amp;ROUNDUP(MONTH($A71)/3,0))</f>
        <v/>
      </c>
      <c r="O71" s="15">
        <f>IF($A71="","",IF(OR($B71="",$E71="",$F71="",$G71="",$I71="",$K71=""),"Faltam campos","OK"))</f>
        <v/>
      </c>
      <c r="P71" s="15">
        <f>IF(OR($B71="",$B71&lt;&gt;'Pauta 1a1'!$B$4,$N71&lt;&gt;'Pauta 1a1'!$B$5),"",COUNTIFS($B$5:$B71,'Pauta 1a1'!$B$4,$N$5:$N71,'Pauta 1a1'!$B$5))</f>
        <v/>
      </c>
    </row>
    <row r="72">
      <c r="A72" s="18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5">
        <f>IF($A72="","",YEAR($A72)&amp;"-Q"&amp;ROUNDUP(MONTH($A72)/3,0))</f>
        <v/>
      </c>
      <c r="O72" s="15">
        <f>IF($A72="","",IF(OR($B72="",$E72="",$F72="",$G72="",$I72="",$K72=""),"Faltam campos","OK"))</f>
        <v/>
      </c>
      <c r="P72" s="15">
        <f>IF(OR($B72="",$B72&lt;&gt;'Pauta 1a1'!$B$4,$N72&lt;&gt;'Pauta 1a1'!$B$5),"",COUNTIFS($B$5:$B72,'Pauta 1a1'!$B$4,$N$5:$N72,'Pauta 1a1'!$B$5))</f>
        <v/>
      </c>
    </row>
    <row r="73">
      <c r="A73" s="18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5">
        <f>IF($A73="","",YEAR($A73)&amp;"-Q"&amp;ROUNDUP(MONTH($A73)/3,0))</f>
        <v/>
      </c>
      <c r="O73" s="15">
        <f>IF($A73="","",IF(OR($B73="",$E73="",$F73="",$G73="",$I73="",$K73=""),"Faltam campos","OK"))</f>
        <v/>
      </c>
      <c r="P73" s="15">
        <f>IF(OR($B73="",$B73&lt;&gt;'Pauta 1a1'!$B$4,$N73&lt;&gt;'Pauta 1a1'!$B$5),"",COUNTIFS($B$5:$B73,'Pauta 1a1'!$B$4,$N$5:$N73,'Pauta 1a1'!$B$5))</f>
        <v/>
      </c>
    </row>
    <row r="74">
      <c r="A74" s="18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5">
        <f>IF($A74="","",YEAR($A74)&amp;"-Q"&amp;ROUNDUP(MONTH($A74)/3,0))</f>
        <v/>
      </c>
      <c r="O74" s="15">
        <f>IF($A74="","",IF(OR($B74="",$E74="",$F74="",$G74="",$I74="",$K74=""),"Faltam campos","OK"))</f>
        <v/>
      </c>
      <c r="P74" s="15">
        <f>IF(OR($B74="",$B74&lt;&gt;'Pauta 1a1'!$B$4,$N74&lt;&gt;'Pauta 1a1'!$B$5),"",COUNTIFS($B$5:$B74,'Pauta 1a1'!$B$4,$N$5:$N74,'Pauta 1a1'!$B$5))</f>
        <v/>
      </c>
    </row>
    <row r="75">
      <c r="A75" s="18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5">
        <f>IF($A75="","",YEAR($A75)&amp;"-Q"&amp;ROUNDUP(MONTH($A75)/3,0))</f>
        <v/>
      </c>
      <c r="O75" s="15">
        <f>IF($A75="","",IF(OR($B75="",$E75="",$F75="",$G75="",$I75="",$K75=""),"Faltam campos","OK"))</f>
        <v/>
      </c>
      <c r="P75" s="15">
        <f>IF(OR($B75="",$B75&lt;&gt;'Pauta 1a1'!$B$4,$N75&lt;&gt;'Pauta 1a1'!$B$5),"",COUNTIFS($B$5:$B75,'Pauta 1a1'!$B$4,$N$5:$N75,'Pauta 1a1'!$B$5))</f>
        <v/>
      </c>
    </row>
    <row r="76">
      <c r="A76" s="18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5">
        <f>IF($A76="","",YEAR($A76)&amp;"-Q"&amp;ROUNDUP(MONTH($A76)/3,0))</f>
        <v/>
      </c>
      <c r="O76" s="15">
        <f>IF($A76="","",IF(OR($B76="",$E76="",$F76="",$G76="",$I76="",$K76=""),"Faltam campos","OK"))</f>
        <v/>
      </c>
      <c r="P76" s="15">
        <f>IF(OR($B76="",$B76&lt;&gt;'Pauta 1a1'!$B$4,$N76&lt;&gt;'Pauta 1a1'!$B$5),"",COUNTIFS($B$5:$B76,'Pauta 1a1'!$B$4,$N$5:$N76,'Pauta 1a1'!$B$5))</f>
        <v/>
      </c>
    </row>
    <row r="77">
      <c r="A77" s="18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5">
        <f>IF($A77="","",YEAR($A77)&amp;"-Q"&amp;ROUNDUP(MONTH($A77)/3,0))</f>
        <v/>
      </c>
      <c r="O77" s="15">
        <f>IF($A77="","",IF(OR($B77="",$E77="",$F77="",$G77="",$I77="",$K77=""),"Faltam campos","OK"))</f>
        <v/>
      </c>
      <c r="P77" s="15">
        <f>IF(OR($B77="",$B77&lt;&gt;'Pauta 1a1'!$B$4,$N77&lt;&gt;'Pauta 1a1'!$B$5),"",COUNTIFS($B$5:$B77,'Pauta 1a1'!$B$4,$N$5:$N77,'Pauta 1a1'!$B$5))</f>
        <v/>
      </c>
    </row>
    <row r="78">
      <c r="A78" s="18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5">
        <f>IF($A78="","",YEAR($A78)&amp;"-Q"&amp;ROUNDUP(MONTH($A78)/3,0))</f>
        <v/>
      </c>
      <c r="O78" s="15">
        <f>IF($A78="","",IF(OR($B78="",$E78="",$F78="",$G78="",$I78="",$K78=""),"Faltam campos","OK"))</f>
        <v/>
      </c>
      <c r="P78" s="15">
        <f>IF(OR($B78="",$B78&lt;&gt;'Pauta 1a1'!$B$4,$N78&lt;&gt;'Pauta 1a1'!$B$5),"",COUNTIFS($B$5:$B78,'Pauta 1a1'!$B$4,$N$5:$N78,'Pauta 1a1'!$B$5))</f>
        <v/>
      </c>
    </row>
    <row r="79">
      <c r="A79" s="18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5">
        <f>IF($A79="","",YEAR($A79)&amp;"-Q"&amp;ROUNDUP(MONTH($A79)/3,0))</f>
        <v/>
      </c>
      <c r="O79" s="15">
        <f>IF($A79="","",IF(OR($B79="",$E79="",$F79="",$G79="",$I79="",$K79=""),"Faltam campos","OK"))</f>
        <v/>
      </c>
      <c r="P79" s="15">
        <f>IF(OR($B79="",$B79&lt;&gt;'Pauta 1a1'!$B$4,$N79&lt;&gt;'Pauta 1a1'!$B$5),"",COUNTIFS($B$5:$B79,'Pauta 1a1'!$B$4,$N$5:$N79,'Pauta 1a1'!$B$5))</f>
        <v/>
      </c>
    </row>
    <row r="80">
      <c r="A80" s="18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5">
        <f>IF($A80="","",YEAR($A80)&amp;"-Q"&amp;ROUNDUP(MONTH($A80)/3,0))</f>
        <v/>
      </c>
      <c r="O80" s="15">
        <f>IF($A80="","",IF(OR($B80="",$E80="",$F80="",$G80="",$I80="",$K80=""),"Faltam campos","OK"))</f>
        <v/>
      </c>
      <c r="P80" s="15">
        <f>IF(OR($B80="",$B80&lt;&gt;'Pauta 1a1'!$B$4,$N80&lt;&gt;'Pauta 1a1'!$B$5),"",COUNTIFS($B$5:$B80,'Pauta 1a1'!$B$4,$N$5:$N80,'Pauta 1a1'!$B$5))</f>
        <v/>
      </c>
    </row>
    <row r="81">
      <c r="A81" s="18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5">
        <f>IF($A81="","",YEAR($A81)&amp;"-Q"&amp;ROUNDUP(MONTH($A81)/3,0))</f>
        <v/>
      </c>
      <c r="O81" s="15">
        <f>IF($A81="","",IF(OR($B81="",$E81="",$F81="",$G81="",$I81="",$K81=""),"Faltam campos","OK"))</f>
        <v/>
      </c>
      <c r="P81" s="15">
        <f>IF(OR($B81="",$B81&lt;&gt;'Pauta 1a1'!$B$4,$N81&lt;&gt;'Pauta 1a1'!$B$5),"",COUNTIFS($B$5:$B81,'Pauta 1a1'!$B$4,$N$5:$N81,'Pauta 1a1'!$B$5))</f>
        <v/>
      </c>
    </row>
    <row r="82">
      <c r="A82" s="18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5">
        <f>IF($A82="","",YEAR($A82)&amp;"-Q"&amp;ROUNDUP(MONTH($A82)/3,0))</f>
        <v/>
      </c>
      <c r="O82" s="15">
        <f>IF($A82="","",IF(OR($B82="",$E82="",$F82="",$G82="",$I82="",$K82=""),"Faltam campos","OK"))</f>
        <v/>
      </c>
      <c r="P82" s="15">
        <f>IF(OR($B82="",$B82&lt;&gt;'Pauta 1a1'!$B$4,$N82&lt;&gt;'Pauta 1a1'!$B$5),"",COUNTIFS($B$5:$B82,'Pauta 1a1'!$B$4,$N$5:$N82,'Pauta 1a1'!$B$5))</f>
        <v/>
      </c>
    </row>
    <row r="83">
      <c r="A83" s="18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5">
        <f>IF($A83="","",YEAR($A83)&amp;"-Q"&amp;ROUNDUP(MONTH($A83)/3,0))</f>
        <v/>
      </c>
      <c r="O83" s="15">
        <f>IF($A83="","",IF(OR($B83="",$E83="",$F83="",$G83="",$I83="",$K83=""),"Faltam campos","OK"))</f>
        <v/>
      </c>
      <c r="P83" s="15">
        <f>IF(OR($B83="",$B83&lt;&gt;'Pauta 1a1'!$B$4,$N83&lt;&gt;'Pauta 1a1'!$B$5),"",COUNTIFS($B$5:$B83,'Pauta 1a1'!$B$4,$N$5:$N83,'Pauta 1a1'!$B$5))</f>
        <v/>
      </c>
    </row>
    <row r="84">
      <c r="A84" s="18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5">
        <f>IF($A84="","",YEAR($A84)&amp;"-Q"&amp;ROUNDUP(MONTH($A84)/3,0))</f>
        <v/>
      </c>
      <c r="O84" s="15">
        <f>IF($A84="","",IF(OR($B84="",$E84="",$F84="",$G84="",$I84="",$K84=""),"Faltam campos","OK"))</f>
        <v/>
      </c>
      <c r="P84" s="15">
        <f>IF(OR($B84="",$B84&lt;&gt;'Pauta 1a1'!$B$4,$N84&lt;&gt;'Pauta 1a1'!$B$5),"",COUNTIFS($B$5:$B84,'Pauta 1a1'!$B$4,$N$5:$N84,'Pauta 1a1'!$B$5))</f>
        <v/>
      </c>
    </row>
    <row r="85">
      <c r="A85" s="18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5">
        <f>IF($A85="","",YEAR($A85)&amp;"-Q"&amp;ROUNDUP(MONTH($A85)/3,0))</f>
        <v/>
      </c>
      <c r="O85" s="15">
        <f>IF($A85="","",IF(OR($B85="",$E85="",$F85="",$G85="",$I85="",$K85=""),"Faltam campos","OK"))</f>
        <v/>
      </c>
      <c r="P85" s="15">
        <f>IF(OR($B85="",$B85&lt;&gt;'Pauta 1a1'!$B$4,$N85&lt;&gt;'Pauta 1a1'!$B$5),"",COUNTIFS($B$5:$B85,'Pauta 1a1'!$B$4,$N$5:$N85,'Pauta 1a1'!$B$5))</f>
        <v/>
      </c>
    </row>
    <row r="86">
      <c r="A86" s="18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5">
        <f>IF($A86="","",YEAR($A86)&amp;"-Q"&amp;ROUNDUP(MONTH($A86)/3,0))</f>
        <v/>
      </c>
      <c r="O86" s="15">
        <f>IF($A86="","",IF(OR($B86="",$E86="",$F86="",$G86="",$I86="",$K86=""),"Faltam campos","OK"))</f>
        <v/>
      </c>
      <c r="P86" s="15">
        <f>IF(OR($B86="",$B86&lt;&gt;'Pauta 1a1'!$B$4,$N86&lt;&gt;'Pauta 1a1'!$B$5),"",COUNTIFS($B$5:$B86,'Pauta 1a1'!$B$4,$N$5:$N86,'Pauta 1a1'!$B$5))</f>
        <v/>
      </c>
    </row>
    <row r="87">
      <c r="A87" s="18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5">
        <f>IF($A87="","",YEAR($A87)&amp;"-Q"&amp;ROUNDUP(MONTH($A87)/3,0))</f>
        <v/>
      </c>
      <c r="O87" s="15">
        <f>IF($A87="","",IF(OR($B87="",$E87="",$F87="",$G87="",$I87="",$K87=""),"Faltam campos","OK"))</f>
        <v/>
      </c>
      <c r="P87" s="15">
        <f>IF(OR($B87="",$B87&lt;&gt;'Pauta 1a1'!$B$4,$N87&lt;&gt;'Pauta 1a1'!$B$5),"",COUNTIFS($B$5:$B87,'Pauta 1a1'!$B$4,$N$5:$N87,'Pauta 1a1'!$B$5))</f>
        <v/>
      </c>
    </row>
    <row r="88">
      <c r="A88" s="18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5">
        <f>IF($A88="","",YEAR($A88)&amp;"-Q"&amp;ROUNDUP(MONTH($A88)/3,0))</f>
        <v/>
      </c>
      <c r="O88" s="15">
        <f>IF($A88="","",IF(OR($B88="",$E88="",$F88="",$G88="",$I88="",$K88=""),"Faltam campos","OK"))</f>
        <v/>
      </c>
      <c r="P88" s="15">
        <f>IF(OR($B88="",$B88&lt;&gt;'Pauta 1a1'!$B$4,$N88&lt;&gt;'Pauta 1a1'!$B$5),"",COUNTIFS($B$5:$B88,'Pauta 1a1'!$B$4,$N$5:$N88,'Pauta 1a1'!$B$5))</f>
        <v/>
      </c>
    </row>
    <row r="89">
      <c r="A89" s="18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5">
        <f>IF($A89="","",YEAR($A89)&amp;"-Q"&amp;ROUNDUP(MONTH($A89)/3,0))</f>
        <v/>
      </c>
      <c r="O89" s="15">
        <f>IF($A89="","",IF(OR($B89="",$E89="",$F89="",$G89="",$I89="",$K89=""),"Faltam campos","OK"))</f>
        <v/>
      </c>
      <c r="P89" s="15">
        <f>IF(OR($B89="",$B89&lt;&gt;'Pauta 1a1'!$B$4,$N89&lt;&gt;'Pauta 1a1'!$B$5),"",COUNTIFS($B$5:$B89,'Pauta 1a1'!$B$4,$N$5:$N89,'Pauta 1a1'!$B$5))</f>
        <v/>
      </c>
    </row>
    <row r="90">
      <c r="A90" s="18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5">
        <f>IF($A90="","",YEAR($A90)&amp;"-Q"&amp;ROUNDUP(MONTH($A90)/3,0))</f>
        <v/>
      </c>
      <c r="O90" s="15">
        <f>IF($A90="","",IF(OR($B90="",$E90="",$F90="",$G90="",$I90="",$K90=""),"Faltam campos","OK"))</f>
        <v/>
      </c>
      <c r="P90" s="15">
        <f>IF(OR($B90="",$B90&lt;&gt;'Pauta 1a1'!$B$4,$N90&lt;&gt;'Pauta 1a1'!$B$5),"",COUNTIFS($B$5:$B90,'Pauta 1a1'!$B$4,$N$5:$N90,'Pauta 1a1'!$B$5))</f>
        <v/>
      </c>
    </row>
    <row r="91">
      <c r="A91" s="18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5">
        <f>IF($A91="","",YEAR($A91)&amp;"-Q"&amp;ROUNDUP(MONTH($A91)/3,0))</f>
        <v/>
      </c>
      <c r="O91" s="15">
        <f>IF($A91="","",IF(OR($B91="",$E91="",$F91="",$G91="",$I91="",$K91=""),"Faltam campos","OK"))</f>
        <v/>
      </c>
      <c r="P91" s="15">
        <f>IF(OR($B91="",$B91&lt;&gt;'Pauta 1a1'!$B$4,$N91&lt;&gt;'Pauta 1a1'!$B$5),"",COUNTIFS($B$5:$B91,'Pauta 1a1'!$B$4,$N$5:$N91,'Pauta 1a1'!$B$5))</f>
        <v/>
      </c>
    </row>
    <row r="92">
      <c r="A92" s="18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5">
        <f>IF($A92="","",YEAR($A92)&amp;"-Q"&amp;ROUNDUP(MONTH($A92)/3,0))</f>
        <v/>
      </c>
      <c r="O92" s="15">
        <f>IF($A92="","",IF(OR($B92="",$E92="",$F92="",$G92="",$I92="",$K92=""),"Faltam campos","OK"))</f>
        <v/>
      </c>
      <c r="P92" s="15">
        <f>IF(OR($B92="",$B92&lt;&gt;'Pauta 1a1'!$B$4,$N92&lt;&gt;'Pauta 1a1'!$B$5),"",COUNTIFS($B$5:$B92,'Pauta 1a1'!$B$4,$N$5:$N92,'Pauta 1a1'!$B$5))</f>
        <v/>
      </c>
    </row>
    <row r="93">
      <c r="A93" s="18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5">
        <f>IF($A93="","",YEAR($A93)&amp;"-Q"&amp;ROUNDUP(MONTH($A93)/3,0))</f>
        <v/>
      </c>
      <c r="O93" s="15">
        <f>IF($A93="","",IF(OR($B93="",$E93="",$F93="",$G93="",$I93="",$K93=""),"Faltam campos","OK"))</f>
        <v/>
      </c>
      <c r="P93" s="15">
        <f>IF(OR($B93="",$B93&lt;&gt;'Pauta 1a1'!$B$4,$N93&lt;&gt;'Pauta 1a1'!$B$5),"",COUNTIFS($B$5:$B93,'Pauta 1a1'!$B$4,$N$5:$N93,'Pauta 1a1'!$B$5))</f>
        <v/>
      </c>
    </row>
    <row r="94">
      <c r="A94" s="18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5">
        <f>IF($A94="","",YEAR($A94)&amp;"-Q"&amp;ROUNDUP(MONTH($A94)/3,0))</f>
        <v/>
      </c>
      <c r="O94" s="15">
        <f>IF($A94="","",IF(OR($B94="",$E94="",$F94="",$G94="",$I94="",$K94=""),"Faltam campos","OK"))</f>
        <v/>
      </c>
      <c r="P94" s="15">
        <f>IF(OR($B94="",$B94&lt;&gt;'Pauta 1a1'!$B$4,$N94&lt;&gt;'Pauta 1a1'!$B$5),"",COUNTIFS($B$5:$B94,'Pauta 1a1'!$B$4,$N$5:$N94,'Pauta 1a1'!$B$5))</f>
        <v/>
      </c>
    </row>
    <row r="95">
      <c r="A95" s="18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5">
        <f>IF($A95="","",YEAR($A95)&amp;"-Q"&amp;ROUNDUP(MONTH($A95)/3,0))</f>
        <v/>
      </c>
      <c r="O95" s="15">
        <f>IF($A95="","",IF(OR($B95="",$E95="",$F95="",$G95="",$I95="",$K95=""),"Faltam campos","OK"))</f>
        <v/>
      </c>
      <c r="P95" s="15">
        <f>IF(OR($B95="",$B95&lt;&gt;'Pauta 1a1'!$B$4,$N95&lt;&gt;'Pauta 1a1'!$B$5),"",COUNTIFS($B$5:$B95,'Pauta 1a1'!$B$4,$N$5:$N95,'Pauta 1a1'!$B$5))</f>
        <v/>
      </c>
    </row>
    <row r="96">
      <c r="A96" s="18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5">
        <f>IF($A96="","",YEAR($A96)&amp;"-Q"&amp;ROUNDUP(MONTH($A96)/3,0))</f>
        <v/>
      </c>
      <c r="O96" s="15">
        <f>IF($A96="","",IF(OR($B96="",$E96="",$F96="",$G96="",$I96="",$K96=""),"Faltam campos","OK"))</f>
        <v/>
      </c>
      <c r="P96" s="15">
        <f>IF(OR($B96="",$B96&lt;&gt;'Pauta 1a1'!$B$4,$N96&lt;&gt;'Pauta 1a1'!$B$5),"",COUNTIFS($B$5:$B96,'Pauta 1a1'!$B$4,$N$5:$N96,'Pauta 1a1'!$B$5))</f>
        <v/>
      </c>
    </row>
    <row r="97">
      <c r="A97" s="18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5">
        <f>IF($A97="","",YEAR($A97)&amp;"-Q"&amp;ROUNDUP(MONTH($A97)/3,0))</f>
        <v/>
      </c>
      <c r="O97" s="15">
        <f>IF($A97="","",IF(OR($B97="",$E97="",$F97="",$G97="",$I97="",$K97=""),"Faltam campos","OK"))</f>
        <v/>
      </c>
      <c r="P97" s="15">
        <f>IF(OR($B97="",$B97&lt;&gt;'Pauta 1a1'!$B$4,$N97&lt;&gt;'Pauta 1a1'!$B$5),"",COUNTIFS($B$5:$B97,'Pauta 1a1'!$B$4,$N$5:$N97,'Pauta 1a1'!$B$5))</f>
        <v/>
      </c>
    </row>
    <row r="98">
      <c r="A98" s="18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5">
        <f>IF($A98="","",YEAR($A98)&amp;"-Q"&amp;ROUNDUP(MONTH($A98)/3,0))</f>
        <v/>
      </c>
      <c r="O98" s="15">
        <f>IF($A98="","",IF(OR($B98="",$E98="",$F98="",$G98="",$I98="",$K98=""),"Faltam campos","OK"))</f>
        <v/>
      </c>
      <c r="P98" s="15">
        <f>IF(OR($B98="",$B98&lt;&gt;'Pauta 1a1'!$B$4,$N98&lt;&gt;'Pauta 1a1'!$B$5),"",COUNTIFS($B$5:$B98,'Pauta 1a1'!$B$4,$N$5:$N98,'Pauta 1a1'!$B$5))</f>
        <v/>
      </c>
    </row>
    <row r="99">
      <c r="A99" s="18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5">
        <f>IF($A99="","",YEAR($A99)&amp;"-Q"&amp;ROUNDUP(MONTH($A99)/3,0))</f>
        <v/>
      </c>
      <c r="O99" s="15">
        <f>IF($A99="","",IF(OR($B99="",$E99="",$F99="",$G99="",$I99="",$K99=""),"Faltam campos","OK"))</f>
        <v/>
      </c>
      <c r="P99" s="15">
        <f>IF(OR($B99="",$B99&lt;&gt;'Pauta 1a1'!$B$4,$N99&lt;&gt;'Pauta 1a1'!$B$5),"",COUNTIFS($B$5:$B99,'Pauta 1a1'!$B$4,$N$5:$N99,'Pauta 1a1'!$B$5))</f>
        <v/>
      </c>
    </row>
    <row r="100">
      <c r="A100" s="18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5">
        <f>IF($A100="","",YEAR($A100)&amp;"-Q"&amp;ROUNDUP(MONTH($A100)/3,0))</f>
        <v/>
      </c>
      <c r="O100" s="15">
        <f>IF($A100="","",IF(OR($B100="",$E100="",$F100="",$G100="",$I100="",$K100=""),"Faltam campos","OK"))</f>
        <v/>
      </c>
      <c r="P100" s="15">
        <f>IF(OR($B100="",$B100&lt;&gt;'Pauta 1a1'!$B$4,$N100&lt;&gt;'Pauta 1a1'!$B$5),"",COUNTIFS($B$5:$B100,'Pauta 1a1'!$B$4,$N$5:$N100,'Pauta 1a1'!$B$5))</f>
        <v/>
      </c>
    </row>
    <row r="101">
      <c r="A101" s="18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5">
        <f>IF($A101="","",YEAR($A101)&amp;"-Q"&amp;ROUNDUP(MONTH($A101)/3,0))</f>
        <v/>
      </c>
      <c r="O101" s="15">
        <f>IF($A101="","",IF(OR($B101="",$E101="",$F101="",$G101="",$I101="",$K101=""),"Faltam campos","OK"))</f>
        <v/>
      </c>
      <c r="P101" s="15">
        <f>IF(OR($B101="",$B101&lt;&gt;'Pauta 1a1'!$B$4,$N101&lt;&gt;'Pauta 1a1'!$B$5),"",COUNTIFS($B$5:$B101,'Pauta 1a1'!$B$4,$N$5:$N101,'Pauta 1a1'!$B$5))</f>
        <v/>
      </c>
    </row>
    <row r="102">
      <c r="A102" s="18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5">
        <f>IF($A102="","",YEAR($A102)&amp;"-Q"&amp;ROUNDUP(MONTH($A102)/3,0))</f>
        <v/>
      </c>
      <c r="O102" s="15">
        <f>IF($A102="","",IF(OR($B102="",$E102="",$F102="",$G102="",$I102="",$K102=""),"Faltam campos","OK"))</f>
        <v/>
      </c>
      <c r="P102" s="15">
        <f>IF(OR($B102="",$B102&lt;&gt;'Pauta 1a1'!$B$4,$N102&lt;&gt;'Pauta 1a1'!$B$5),"",COUNTIFS($B$5:$B102,'Pauta 1a1'!$B$4,$N$5:$N102,'Pauta 1a1'!$B$5))</f>
        <v/>
      </c>
    </row>
    <row r="103">
      <c r="A103" s="18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5">
        <f>IF($A103="","",YEAR($A103)&amp;"-Q"&amp;ROUNDUP(MONTH($A103)/3,0))</f>
        <v/>
      </c>
      <c r="O103" s="15">
        <f>IF($A103="","",IF(OR($B103="",$E103="",$F103="",$G103="",$I103="",$K103=""),"Faltam campos","OK"))</f>
        <v/>
      </c>
      <c r="P103" s="15">
        <f>IF(OR($B103="",$B103&lt;&gt;'Pauta 1a1'!$B$4,$N103&lt;&gt;'Pauta 1a1'!$B$5),"",COUNTIFS($B$5:$B103,'Pauta 1a1'!$B$4,$N$5:$N103,'Pauta 1a1'!$B$5))</f>
        <v/>
      </c>
    </row>
    <row r="104">
      <c r="A104" s="18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5">
        <f>IF($A104="","",YEAR($A104)&amp;"-Q"&amp;ROUNDUP(MONTH($A104)/3,0))</f>
        <v/>
      </c>
      <c r="O104" s="15">
        <f>IF($A104="","",IF(OR($B104="",$E104="",$F104="",$G104="",$I104="",$K104=""),"Faltam campos","OK"))</f>
        <v/>
      </c>
      <c r="P104" s="15">
        <f>IF(OR($B104="",$B104&lt;&gt;'Pauta 1a1'!$B$4,$N104&lt;&gt;'Pauta 1a1'!$B$5),"",COUNTIFS($B$5:$B104,'Pauta 1a1'!$B$4,$N$5:$N104,'Pauta 1a1'!$B$5))</f>
        <v/>
      </c>
    </row>
    <row r="105">
      <c r="A105" s="18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5">
        <f>IF($A105="","",YEAR($A105)&amp;"-Q"&amp;ROUNDUP(MONTH($A105)/3,0))</f>
        <v/>
      </c>
      <c r="O105" s="15">
        <f>IF($A105="","",IF(OR($B105="",$E105="",$F105="",$G105="",$I105="",$K105=""),"Faltam campos","OK"))</f>
        <v/>
      </c>
      <c r="P105" s="15">
        <f>IF(OR($B105="",$B105&lt;&gt;'Pauta 1a1'!$B$4,$N105&lt;&gt;'Pauta 1a1'!$B$5),"",COUNTIFS($B$5:$B105,'Pauta 1a1'!$B$4,$N$5:$N105,'Pauta 1a1'!$B$5))</f>
        <v/>
      </c>
    </row>
    <row r="106">
      <c r="A106" s="18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5">
        <f>IF($A106="","",YEAR($A106)&amp;"-Q"&amp;ROUNDUP(MONTH($A106)/3,0))</f>
        <v/>
      </c>
      <c r="O106" s="15">
        <f>IF($A106="","",IF(OR($B106="",$E106="",$F106="",$G106="",$I106="",$K106=""),"Faltam campos","OK"))</f>
        <v/>
      </c>
      <c r="P106" s="15">
        <f>IF(OR($B106="",$B106&lt;&gt;'Pauta 1a1'!$B$4,$N106&lt;&gt;'Pauta 1a1'!$B$5),"",COUNTIFS($B$5:$B106,'Pauta 1a1'!$B$4,$N$5:$N106,'Pauta 1a1'!$B$5))</f>
        <v/>
      </c>
    </row>
    <row r="107">
      <c r="A107" s="18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5">
        <f>IF($A107="","",YEAR($A107)&amp;"-Q"&amp;ROUNDUP(MONTH($A107)/3,0))</f>
        <v/>
      </c>
      <c r="O107" s="15">
        <f>IF($A107="","",IF(OR($B107="",$E107="",$F107="",$G107="",$I107="",$K107=""),"Faltam campos","OK"))</f>
        <v/>
      </c>
      <c r="P107" s="15">
        <f>IF(OR($B107="",$B107&lt;&gt;'Pauta 1a1'!$B$4,$N107&lt;&gt;'Pauta 1a1'!$B$5),"",COUNTIFS($B$5:$B107,'Pauta 1a1'!$B$4,$N$5:$N107,'Pauta 1a1'!$B$5))</f>
        <v/>
      </c>
    </row>
    <row r="108">
      <c r="A108" s="18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5">
        <f>IF($A108="","",YEAR($A108)&amp;"-Q"&amp;ROUNDUP(MONTH($A108)/3,0))</f>
        <v/>
      </c>
      <c r="O108" s="15">
        <f>IF($A108="","",IF(OR($B108="",$E108="",$F108="",$G108="",$I108="",$K108=""),"Faltam campos","OK"))</f>
        <v/>
      </c>
      <c r="P108" s="15">
        <f>IF(OR($B108="",$B108&lt;&gt;'Pauta 1a1'!$B$4,$N108&lt;&gt;'Pauta 1a1'!$B$5),"",COUNTIFS($B$5:$B108,'Pauta 1a1'!$B$4,$N$5:$N108,'Pauta 1a1'!$B$5))</f>
        <v/>
      </c>
    </row>
    <row r="109">
      <c r="A109" s="18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5">
        <f>IF($A109="","",YEAR($A109)&amp;"-Q"&amp;ROUNDUP(MONTH($A109)/3,0))</f>
        <v/>
      </c>
      <c r="O109" s="15">
        <f>IF($A109="","",IF(OR($B109="",$E109="",$F109="",$G109="",$I109="",$K109=""),"Faltam campos","OK"))</f>
        <v/>
      </c>
      <c r="P109" s="15">
        <f>IF(OR($B109="",$B109&lt;&gt;'Pauta 1a1'!$B$4,$N109&lt;&gt;'Pauta 1a1'!$B$5),"",COUNTIFS($B$5:$B109,'Pauta 1a1'!$B$4,$N$5:$N109,'Pauta 1a1'!$B$5))</f>
        <v/>
      </c>
    </row>
    <row r="110">
      <c r="A110" s="18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5">
        <f>IF($A110="","",YEAR($A110)&amp;"-Q"&amp;ROUNDUP(MONTH($A110)/3,0))</f>
        <v/>
      </c>
      <c r="O110" s="15">
        <f>IF($A110="","",IF(OR($B110="",$E110="",$F110="",$G110="",$I110="",$K110=""),"Faltam campos","OK"))</f>
        <v/>
      </c>
      <c r="P110" s="15">
        <f>IF(OR($B110="",$B110&lt;&gt;'Pauta 1a1'!$B$4,$N110&lt;&gt;'Pauta 1a1'!$B$5),"",COUNTIFS($B$5:$B110,'Pauta 1a1'!$B$4,$N$5:$N110,'Pauta 1a1'!$B$5))</f>
        <v/>
      </c>
    </row>
    <row r="111">
      <c r="A111" s="18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5">
        <f>IF($A111="","",YEAR($A111)&amp;"-Q"&amp;ROUNDUP(MONTH($A111)/3,0))</f>
        <v/>
      </c>
      <c r="O111" s="15">
        <f>IF($A111="","",IF(OR($B111="",$E111="",$F111="",$G111="",$I111="",$K111=""),"Faltam campos","OK"))</f>
        <v/>
      </c>
      <c r="P111" s="15">
        <f>IF(OR($B111="",$B111&lt;&gt;'Pauta 1a1'!$B$4,$N111&lt;&gt;'Pauta 1a1'!$B$5),"",COUNTIFS($B$5:$B111,'Pauta 1a1'!$B$4,$N$5:$N111,'Pauta 1a1'!$B$5))</f>
        <v/>
      </c>
    </row>
    <row r="112">
      <c r="A112" s="18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5">
        <f>IF($A112="","",YEAR($A112)&amp;"-Q"&amp;ROUNDUP(MONTH($A112)/3,0))</f>
        <v/>
      </c>
      <c r="O112" s="15">
        <f>IF($A112="","",IF(OR($B112="",$E112="",$F112="",$G112="",$I112="",$K112=""),"Faltam campos","OK"))</f>
        <v/>
      </c>
      <c r="P112" s="15">
        <f>IF(OR($B112="",$B112&lt;&gt;'Pauta 1a1'!$B$4,$N112&lt;&gt;'Pauta 1a1'!$B$5),"",COUNTIFS($B$5:$B112,'Pauta 1a1'!$B$4,$N$5:$N112,'Pauta 1a1'!$B$5))</f>
        <v/>
      </c>
    </row>
    <row r="113">
      <c r="A113" s="18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5">
        <f>IF($A113="","",YEAR($A113)&amp;"-Q"&amp;ROUNDUP(MONTH($A113)/3,0))</f>
        <v/>
      </c>
      <c r="O113" s="15">
        <f>IF($A113="","",IF(OR($B113="",$E113="",$F113="",$G113="",$I113="",$K113=""),"Faltam campos","OK"))</f>
        <v/>
      </c>
      <c r="P113" s="15">
        <f>IF(OR($B113="",$B113&lt;&gt;'Pauta 1a1'!$B$4,$N113&lt;&gt;'Pauta 1a1'!$B$5),"",COUNTIFS($B$5:$B113,'Pauta 1a1'!$B$4,$N$5:$N113,'Pauta 1a1'!$B$5))</f>
        <v/>
      </c>
    </row>
    <row r="114">
      <c r="A114" s="18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5">
        <f>IF($A114="","",YEAR($A114)&amp;"-Q"&amp;ROUNDUP(MONTH($A114)/3,0))</f>
        <v/>
      </c>
      <c r="O114" s="15">
        <f>IF($A114="","",IF(OR($B114="",$E114="",$F114="",$G114="",$I114="",$K114=""),"Faltam campos","OK"))</f>
        <v/>
      </c>
      <c r="P114" s="15">
        <f>IF(OR($B114="",$B114&lt;&gt;'Pauta 1a1'!$B$4,$N114&lt;&gt;'Pauta 1a1'!$B$5),"",COUNTIFS($B$5:$B114,'Pauta 1a1'!$B$4,$N$5:$N114,'Pauta 1a1'!$B$5))</f>
        <v/>
      </c>
    </row>
    <row r="115">
      <c r="A115" s="18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5">
        <f>IF($A115="","",YEAR($A115)&amp;"-Q"&amp;ROUNDUP(MONTH($A115)/3,0))</f>
        <v/>
      </c>
      <c r="O115" s="15">
        <f>IF($A115="","",IF(OR($B115="",$E115="",$F115="",$G115="",$I115="",$K115=""),"Faltam campos","OK"))</f>
        <v/>
      </c>
      <c r="P115" s="15">
        <f>IF(OR($B115="",$B115&lt;&gt;'Pauta 1a1'!$B$4,$N115&lt;&gt;'Pauta 1a1'!$B$5),"",COUNTIFS($B$5:$B115,'Pauta 1a1'!$B$4,$N$5:$N115,'Pauta 1a1'!$B$5))</f>
        <v/>
      </c>
    </row>
    <row r="116">
      <c r="A116" s="18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5">
        <f>IF($A116="","",YEAR($A116)&amp;"-Q"&amp;ROUNDUP(MONTH($A116)/3,0))</f>
        <v/>
      </c>
      <c r="O116" s="15">
        <f>IF($A116="","",IF(OR($B116="",$E116="",$F116="",$G116="",$I116="",$K116=""),"Faltam campos","OK"))</f>
        <v/>
      </c>
      <c r="P116" s="15">
        <f>IF(OR($B116="",$B116&lt;&gt;'Pauta 1a1'!$B$4,$N116&lt;&gt;'Pauta 1a1'!$B$5),"",COUNTIFS($B$5:$B116,'Pauta 1a1'!$B$4,$N$5:$N116,'Pauta 1a1'!$B$5))</f>
        <v/>
      </c>
    </row>
    <row r="117">
      <c r="A117" s="18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5">
        <f>IF($A117="","",YEAR($A117)&amp;"-Q"&amp;ROUNDUP(MONTH($A117)/3,0))</f>
        <v/>
      </c>
      <c r="O117" s="15">
        <f>IF($A117="","",IF(OR($B117="",$E117="",$F117="",$G117="",$I117="",$K117=""),"Faltam campos","OK"))</f>
        <v/>
      </c>
      <c r="P117" s="15">
        <f>IF(OR($B117="",$B117&lt;&gt;'Pauta 1a1'!$B$4,$N117&lt;&gt;'Pauta 1a1'!$B$5),"",COUNTIFS($B$5:$B117,'Pauta 1a1'!$B$4,$N$5:$N117,'Pauta 1a1'!$B$5))</f>
        <v/>
      </c>
    </row>
    <row r="118">
      <c r="A118" s="18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5">
        <f>IF($A118="","",YEAR($A118)&amp;"-Q"&amp;ROUNDUP(MONTH($A118)/3,0))</f>
        <v/>
      </c>
      <c r="O118" s="15">
        <f>IF($A118="","",IF(OR($B118="",$E118="",$F118="",$G118="",$I118="",$K118=""),"Faltam campos","OK"))</f>
        <v/>
      </c>
      <c r="P118" s="15">
        <f>IF(OR($B118="",$B118&lt;&gt;'Pauta 1a1'!$B$4,$N118&lt;&gt;'Pauta 1a1'!$B$5),"",COUNTIFS($B$5:$B118,'Pauta 1a1'!$B$4,$N$5:$N118,'Pauta 1a1'!$B$5))</f>
        <v/>
      </c>
    </row>
    <row r="119">
      <c r="A119" s="18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5">
        <f>IF($A119="","",YEAR($A119)&amp;"-Q"&amp;ROUNDUP(MONTH($A119)/3,0))</f>
        <v/>
      </c>
      <c r="O119" s="15">
        <f>IF($A119="","",IF(OR($B119="",$E119="",$F119="",$G119="",$I119="",$K119=""),"Faltam campos","OK"))</f>
        <v/>
      </c>
      <c r="P119" s="15">
        <f>IF(OR($B119="",$B119&lt;&gt;'Pauta 1a1'!$B$4,$N119&lt;&gt;'Pauta 1a1'!$B$5),"",COUNTIFS($B$5:$B119,'Pauta 1a1'!$B$4,$N$5:$N119,'Pauta 1a1'!$B$5))</f>
        <v/>
      </c>
    </row>
    <row r="120">
      <c r="A120" s="18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5">
        <f>IF($A120="","",YEAR($A120)&amp;"-Q"&amp;ROUNDUP(MONTH($A120)/3,0))</f>
        <v/>
      </c>
      <c r="O120" s="15">
        <f>IF($A120="","",IF(OR($B120="",$E120="",$F120="",$G120="",$I120="",$K120=""),"Faltam campos","OK"))</f>
        <v/>
      </c>
      <c r="P120" s="15">
        <f>IF(OR($B120="",$B120&lt;&gt;'Pauta 1a1'!$B$4,$N120&lt;&gt;'Pauta 1a1'!$B$5),"",COUNTIFS($B$5:$B120,'Pauta 1a1'!$B$4,$N$5:$N120,'Pauta 1a1'!$B$5))</f>
        <v/>
      </c>
    </row>
    <row r="121">
      <c r="A121" s="18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5">
        <f>IF($A121="","",YEAR($A121)&amp;"-Q"&amp;ROUNDUP(MONTH($A121)/3,0))</f>
        <v/>
      </c>
      <c r="O121" s="15">
        <f>IF($A121="","",IF(OR($B121="",$E121="",$F121="",$G121="",$I121="",$K121=""),"Faltam campos","OK"))</f>
        <v/>
      </c>
      <c r="P121" s="15">
        <f>IF(OR($B121="",$B121&lt;&gt;'Pauta 1a1'!$B$4,$N121&lt;&gt;'Pauta 1a1'!$B$5),"",COUNTIFS($B$5:$B121,'Pauta 1a1'!$B$4,$N$5:$N121,'Pauta 1a1'!$B$5))</f>
        <v/>
      </c>
    </row>
    <row r="122">
      <c r="A122" s="18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5">
        <f>IF($A122="","",YEAR($A122)&amp;"-Q"&amp;ROUNDUP(MONTH($A122)/3,0))</f>
        <v/>
      </c>
      <c r="O122" s="15">
        <f>IF($A122="","",IF(OR($B122="",$E122="",$F122="",$G122="",$I122="",$K122=""),"Faltam campos","OK"))</f>
        <v/>
      </c>
      <c r="P122" s="15">
        <f>IF(OR($B122="",$B122&lt;&gt;'Pauta 1a1'!$B$4,$N122&lt;&gt;'Pauta 1a1'!$B$5),"",COUNTIFS($B$5:$B122,'Pauta 1a1'!$B$4,$N$5:$N122,'Pauta 1a1'!$B$5))</f>
        <v/>
      </c>
    </row>
    <row r="123">
      <c r="A123" s="18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5">
        <f>IF($A123="","",YEAR($A123)&amp;"-Q"&amp;ROUNDUP(MONTH($A123)/3,0))</f>
        <v/>
      </c>
      <c r="O123" s="15">
        <f>IF($A123="","",IF(OR($B123="",$E123="",$F123="",$G123="",$I123="",$K123=""),"Faltam campos","OK"))</f>
        <v/>
      </c>
      <c r="P123" s="15">
        <f>IF(OR($B123="",$B123&lt;&gt;'Pauta 1a1'!$B$4,$N123&lt;&gt;'Pauta 1a1'!$B$5),"",COUNTIFS($B$5:$B123,'Pauta 1a1'!$B$4,$N$5:$N123,'Pauta 1a1'!$B$5))</f>
        <v/>
      </c>
    </row>
    <row r="124">
      <c r="A124" s="18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5">
        <f>IF($A124="","",YEAR($A124)&amp;"-Q"&amp;ROUNDUP(MONTH($A124)/3,0))</f>
        <v/>
      </c>
      <c r="O124" s="15">
        <f>IF($A124="","",IF(OR($B124="",$E124="",$F124="",$G124="",$I124="",$K124=""),"Faltam campos","OK"))</f>
        <v/>
      </c>
      <c r="P124" s="15">
        <f>IF(OR($B124="",$B124&lt;&gt;'Pauta 1a1'!$B$4,$N124&lt;&gt;'Pauta 1a1'!$B$5),"",COUNTIFS($B$5:$B124,'Pauta 1a1'!$B$4,$N$5:$N124,'Pauta 1a1'!$B$5))</f>
        <v/>
      </c>
    </row>
    <row r="125">
      <c r="A125" s="18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5">
        <f>IF($A125="","",YEAR($A125)&amp;"-Q"&amp;ROUNDUP(MONTH($A125)/3,0))</f>
        <v/>
      </c>
      <c r="O125" s="15">
        <f>IF($A125="","",IF(OR($B125="",$E125="",$F125="",$G125="",$I125="",$K125=""),"Faltam campos","OK"))</f>
        <v/>
      </c>
      <c r="P125" s="15">
        <f>IF(OR($B125="",$B125&lt;&gt;'Pauta 1a1'!$B$4,$N125&lt;&gt;'Pauta 1a1'!$B$5),"",COUNTIFS($B$5:$B125,'Pauta 1a1'!$B$4,$N$5:$N125,'Pauta 1a1'!$B$5))</f>
        <v/>
      </c>
    </row>
    <row r="126">
      <c r="A126" s="18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5">
        <f>IF($A126="","",YEAR($A126)&amp;"-Q"&amp;ROUNDUP(MONTH($A126)/3,0))</f>
        <v/>
      </c>
      <c r="O126" s="15">
        <f>IF($A126="","",IF(OR($B126="",$E126="",$F126="",$G126="",$I126="",$K126=""),"Faltam campos","OK"))</f>
        <v/>
      </c>
      <c r="P126" s="15">
        <f>IF(OR($B126="",$B126&lt;&gt;'Pauta 1a1'!$B$4,$N126&lt;&gt;'Pauta 1a1'!$B$5),"",COUNTIFS($B$5:$B126,'Pauta 1a1'!$B$4,$N$5:$N126,'Pauta 1a1'!$B$5))</f>
        <v/>
      </c>
    </row>
    <row r="127">
      <c r="A127" s="18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5">
        <f>IF($A127="","",YEAR($A127)&amp;"-Q"&amp;ROUNDUP(MONTH($A127)/3,0))</f>
        <v/>
      </c>
      <c r="O127" s="15">
        <f>IF($A127="","",IF(OR($B127="",$E127="",$F127="",$G127="",$I127="",$K127=""),"Faltam campos","OK"))</f>
        <v/>
      </c>
      <c r="P127" s="15">
        <f>IF(OR($B127="",$B127&lt;&gt;'Pauta 1a1'!$B$4,$N127&lt;&gt;'Pauta 1a1'!$B$5),"",COUNTIFS($B$5:$B127,'Pauta 1a1'!$B$4,$N$5:$N127,'Pauta 1a1'!$B$5))</f>
        <v/>
      </c>
    </row>
    <row r="128">
      <c r="A128" s="18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5">
        <f>IF($A128="","",YEAR($A128)&amp;"-Q"&amp;ROUNDUP(MONTH($A128)/3,0))</f>
        <v/>
      </c>
      <c r="O128" s="15">
        <f>IF($A128="","",IF(OR($B128="",$E128="",$F128="",$G128="",$I128="",$K128=""),"Faltam campos","OK"))</f>
        <v/>
      </c>
      <c r="P128" s="15">
        <f>IF(OR($B128="",$B128&lt;&gt;'Pauta 1a1'!$B$4,$N128&lt;&gt;'Pauta 1a1'!$B$5),"",COUNTIFS($B$5:$B128,'Pauta 1a1'!$B$4,$N$5:$N128,'Pauta 1a1'!$B$5))</f>
        <v/>
      </c>
    </row>
    <row r="129">
      <c r="A129" s="18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5">
        <f>IF($A129="","",YEAR($A129)&amp;"-Q"&amp;ROUNDUP(MONTH($A129)/3,0))</f>
        <v/>
      </c>
      <c r="O129" s="15">
        <f>IF($A129="","",IF(OR($B129="",$E129="",$F129="",$G129="",$I129="",$K129=""),"Faltam campos","OK"))</f>
        <v/>
      </c>
      <c r="P129" s="15">
        <f>IF(OR($B129="",$B129&lt;&gt;'Pauta 1a1'!$B$4,$N129&lt;&gt;'Pauta 1a1'!$B$5),"",COUNTIFS($B$5:$B129,'Pauta 1a1'!$B$4,$N$5:$N129,'Pauta 1a1'!$B$5))</f>
        <v/>
      </c>
    </row>
    <row r="130">
      <c r="A130" s="18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5">
        <f>IF($A130="","",YEAR($A130)&amp;"-Q"&amp;ROUNDUP(MONTH($A130)/3,0))</f>
        <v/>
      </c>
      <c r="O130" s="15">
        <f>IF($A130="","",IF(OR($B130="",$E130="",$F130="",$G130="",$I130="",$K130=""),"Faltam campos","OK"))</f>
        <v/>
      </c>
      <c r="P130" s="15">
        <f>IF(OR($B130="",$B130&lt;&gt;'Pauta 1a1'!$B$4,$N130&lt;&gt;'Pauta 1a1'!$B$5),"",COUNTIFS($B$5:$B130,'Pauta 1a1'!$B$4,$N$5:$N130,'Pauta 1a1'!$B$5))</f>
        <v/>
      </c>
    </row>
    <row r="131">
      <c r="A131" s="18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5">
        <f>IF($A131="","",YEAR($A131)&amp;"-Q"&amp;ROUNDUP(MONTH($A131)/3,0))</f>
        <v/>
      </c>
      <c r="O131" s="15">
        <f>IF($A131="","",IF(OR($B131="",$E131="",$F131="",$G131="",$I131="",$K131=""),"Faltam campos","OK"))</f>
        <v/>
      </c>
      <c r="P131" s="15">
        <f>IF(OR($B131="",$B131&lt;&gt;'Pauta 1a1'!$B$4,$N131&lt;&gt;'Pauta 1a1'!$B$5),"",COUNTIFS($B$5:$B131,'Pauta 1a1'!$B$4,$N$5:$N131,'Pauta 1a1'!$B$5))</f>
        <v/>
      </c>
    </row>
    <row r="132">
      <c r="A132" s="18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5">
        <f>IF($A132="","",YEAR($A132)&amp;"-Q"&amp;ROUNDUP(MONTH($A132)/3,0))</f>
        <v/>
      </c>
      <c r="O132" s="15">
        <f>IF($A132="","",IF(OR($B132="",$E132="",$F132="",$G132="",$I132="",$K132=""),"Faltam campos","OK"))</f>
        <v/>
      </c>
      <c r="P132" s="15">
        <f>IF(OR($B132="",$B132&lt;&gt;'Pauta 1a1'!$B$4,$N132&lt;&gt;'Pauta 1a1'!$B$5),"",COUNTIFS($B$5:$B132,'Pauta 1a1'!$B$4,$N$5:$N132,'Pauta 1a1'!$B$5))</f>
        <v/>
      </c>
    </row>
    <row r="133">
      <c r="A133" s="18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5">
        <f>IF($A133="","",YEAR($A133)&amp;"-Q"&amp;ROUNDUP(MONTH($A133)/3,0))</f>
        <v/>
      </c>
      <c r="O133" s="15">
        <f>IF($A133="","",IF(OR($B133="",$E133="",$F133="",$G133="",$I133="",$K133=""),"Faltam campos","OK"))</f>
        <v/>
      </c>
      <c r="P133" s="15">
        <f>IF(OR($B133="",$B133&lt;&gt;'Pauta 1a1'!$B$4,$N133&lt;&gt;'Pauta 1a1'!$B$5),"",COUNTIFS($B$5:$B133,'Pauta 1a1'!$B$4,$N$5:$N133,'Pauta 1a1'!$B$5))</f>
        <v/>
      </c>
    </row>
    <row r="134">
      <c r="A134" s="18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5">
        <f>IF($A134="","",YEAR($A134)&amp;"-Q"&amp;ROUNDUP(MONTH($A134)/3,0))</f>
        <v/>
      </c>
      <c r="O134" s="15">
        <f>IF($A134="","",IF(OR($B134="",$E134="",$F134="",$G134="",$I134="",$K134=""),"Faltam campos","OK"))</f>
        <v/>
      </c>
      <c r="P134" s="15">
        <f>IF(OR($B134="",$B134&lt;&gt;'Pauta 1a1'!$B$4,$N134&lt;&gt;'Pauta 1a1'!$B$5),"",COUNTIFS($B$5:$B134,'Pauta 1a1'!$B$4,$N$5:$N134,'Pauta 1a1'!$B$5))</f>
        <v/>
      </c>
    </row>
    <row r="135">
      <c r="A135" s="18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5">
        <f>IF($A135="","",YEAR($A135)&amp;"-Q"&amp;ROUNDUP(MONTH($A135)/3,0))</f>
        <v/>
      </c>
      <c r="O135" s="15">
        <f>IF($A135="","",IF(OR($B135="",$E135="",$F135="",$G135="",$I135="",$K135=""),"Faltam campos","OK"))</f>
        <v/>
      </c>
      <c r="P135" s="15">
        <f>IF(OR($B135="",$B135&lt;&gt;'Pauta 1a1'!$B$4,$N135&lt;&gt;'Pauta 1a1'!$B$5),"",COUNTIFS($B$5:$B135,'Pauta 1a1'!$B$4,$N$5:$N135,'Pauta 1a1'!$B$5))</f>
        <v/>
      </c>
    </row>
    <row r="136">
      <c r="A136" s="18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5">
        <f>IF($A136="","",YEAR($A136)&amp;"-Q"&amp;ROUNDUP(MONTH($A136)/3,0))</f>
        <v/>
      </c>
      <c r="O136" s="15">
        <f>IF($A136="","",IF(OR($B136="",$E136="",$F136="",$G136="",$I136="",$K136=""),"Faltam campos","OK"))</f>
        <v/>
      </c>
      <c r="P136" s="15">
        <f>IF(OR($B136="",$B136&lt;&gt;'Pauta 1a1'!$B$4,$N136&lt;&gt;'Pauta 1a1'!$B$5),"",COUNTIFS($B$5:$B136,'Pauta 1a1'!$B$4,$N$5:$N136,'Pauta 1a1'!$B$5))</f>
        <v/>
      </c>
    </row>
    <row r="137">
      <c r="A137" s="18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5">
        <f>IF($A137="","",YEAR($A137)&amp;"-Q"&amp;ROUNDUP(MONTH($A137)/3,0))</f>
        <v/>
      </c>
      <c r="O137" s="15">
        <f>IF($A137="","",IF(OR($B137="",$E137="",$F137="",$G137="",$I137="",$K137=""),"Faltam campos","OK"))</f>
        <v/>
      </c>
      <c r="P137" s="15">
        <f>IF(OR($B137="",$B137&lt;&gt;'Pauta 1a1'!$B$4,$N137&lt;&gt;'Pauta 1a1'!$B$5),"",COUNTIFS($B$5:$B137,'Pauta 1a1'!$B$4,$N$5:$N137,'Pauta 1a1'!$B$5))</f>
        <v/>
      </c>
    </row>
    <row r="138">
      <c r="A138" s="18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5">
        <f>IF($A138="","",YEAR($A138)&amp;"-Q"&amp;ROUNDUP(MONTH($A138)/3,0))</f>
        <v/>
      </c>
      <c r="O138" s="15">
        <f>IF($A138="","",IF(OR($B138="",$E138="",$F138="",$G138="",$I138="",$K138=""),"Faltam campos","OK"))</f>
        <v/>
      </c>
      <c r="P138" s="15">
        <f>IF(OR($B138="",$B138&lt;&gt;'Pauta 1a1'!$B$4,$N138&lt;&gt;'Pauta 1a1'!$B$5),"",COUNTIFS($B$5:$B138,'Pauta 1a1'!$B$4,$N$5:$N138,'Pauta 1a1'!$B$5))</f>
        <v/>
      </c>
    </row>
    <row r="139">
      <c r="A139" s="18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5">
        <f>IF($A139="","",YEAR($A139)&amp;"-Q"&amp;ROUNDUP(MONTH($A139)/3,0))</f>
        <v/>
      </c>
      <c r="O139" s="15">
        <f>IF($A139="","",IF(OR($B139="",$E139="",$F139="",$G139="",$I139="",$K139=""),"Faltam campos","OK"))</f>
        <v/>
      </c>
      <c r="P139" s="15">
        <f>IF(OR($B139="",$B139&lt;&gt;'Pauta 1a1'!$B$4,$N139&lt;&gt;'Pauta 1a1'!$B$5),"",COUNTIFS($B$5:$B139,'Pauta 1a1'!$B$4,$N$5:$N139,'Pauta 1a1'!$B$5))</f>
        <v/>
      </c>
    </row>
    <row r="140">
      <c r="A140" s="18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5">
        <f>IF($A140="","",YEAR($A140)&amp;"-Q"&amp;ROUNDUP(MONTH($A140)/3,0))</f>
        <v/>
      </c>
      <c r="O140" s="15">
        <f>IF($A140="","",IF(OR($B140="",$E140="",$F140="",$G140="",$I140="",$K140=""),"Faltam campos","OK"))</f>
        <v/>
      </c>
      <c r="P140" s="15">
        <f>IF(OR($B140="",$B140&lt;&gt;'Pauta 1a1'!$B$4,$N140&lt;&gt;'Pauta 1a1'!$B$5),"",COUNTIFS($B$5:$B140,'Pauta 1a1'!$B$4,$N$5:$N140,'Pauta 1a1'!$B$5))</f>
        <v/>
      </c>
    </row>
    <row r="141">
      <c r="A141" s="18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5">
        <f>IF($A141="","",YEAR($A141)&amp;"-Q"&amp;ROUNDUP(MONTH($A141)/3,0))</f>
        <v/>
      </c>
      <c r="O141" s="15">
        <f>IF($A141="","",IF(OR($B141="",$E141="",$F141="",$G141="",$I141="",$K141=""),"Faltam campos","OK"))</f>
        <v/>
      </c>
      <c r="P141" s="15">
        <f>IF(OR($B141="",$B141&lt;&gt;'Pauta 1a1'!$B$4,$N141&lt;&gt;'Pauta 1a1'!$B$5),"",COUNTIFS($B$5:$B141,'Pauta 1a1'!$B$4,$N$5:$N141,'Pauta 1a1'!$B$5))</f>
        <v/>
      </c>
    </row>
    <row r="142">
      <c r="A142" s="18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5">
        <f>IF($A142="","",YEAR($A142)&amp;"-Q"&amp;ROUNDUP(MONTH($A142)/3,0))</f>
        <v/>
      </c>
      <c r="O142" s="15">
        <f>IF($A142="","",IF(OR($B142="",$E142="",$F142="",$G142="",$I142="",$K142=""),"Faltam campos","OK"))</f>
        <v/>
      </c>
      <c r="P142" s="15">
        <f>IF(OR($B142="",$B142&lt;&gt;'Pauta 1a1'!$B$4,$N142&lt;&gt;'Pauta 1a1'!$B$5),"",COUNTIFS($B$5:$B142,'Pauta 1a1'!$B$4,$N$5:$N142,'Pauta 1a1'!$B$5))</f>
        <v/>
      </c>
    </row>
    <row r="143">
      <c r="A143" s="18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5">
        <f>IF($A143="","",YEAR($A143)&amp;"-Q"&amp;ROUNDUP(MONTH($A143)/3,0))</f>
        <v/>
      </c>
      <c r="O143" s="15">
        <f>IF($A143="","",IF(OR($B143="",$E143="",$F143="",$G143="",$I143="",$K143=""),"Faltam campos","OK"))</f>
        <v/>
      </c>
      <c r="P143" s="15">
        <f>IF(OR($B143="",$B143&lt;&gt;'Pauta 1a1'!$B$4,$N143&lt;&gt;'Pauta 1a1'!$B$5),"",COUNTIFS($B$5:$B143,'Pauta 1a1'!$B$4,$N$5:$N143,'Pauta 1a1'!$B$5))</f>
        <v/>
      </c>
    </row>
    <row r="144">
      <c r="A144" s="18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5">
        <f>IF($A144="","",YEAR($A144)&amp;"-Q"&amp;ROUNDUP(MONTH($A144)/3,0))</f>
        <v/>
      </c>
      <c r="O144" s="15">
        <f>IF($A144="","",IF(OR($B144="",$E144="",$F144="",$G144="",$I144="",$K144=""),"Faltam campos","OK"))</f>
        <v/>
      </c>
      <c r="P144" s="15">
        <f>IF(OR($B144="",$B144&lt;&gt;'Pauta 1a1'!$B$4,$N144&lt;&gt;'Pauta 1a1'!$B$5),"",COUNTIFS($B$5:$B144,'Pauta 1a1'!$B$4,$N$5:$N144,'Pauta 1a1'!$B$5))</f>
        <v/>
      </c>
    </row>
    <row r="145">
      <c r="A145" s="18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5">
        <f>IF($A145="","",YEAR($A145)&amp;"-Q"&amp;ROUNDUP(MONTH($A145)/3,0))</f>
        <v/>
      </c>
      <c r="O145" s="15">
        <f>IF($A145="","",IF(OR($B145="",$E145="",$F145="",$G145="",$I145="",$K145=""),"Faltam campos","OK"))</f>
        <v/>
      </c>
      <c r="P145" s="15">
        <f>IF(OR($B145="",$B145&lt;&gt;'Pauta 1a1'!$B$4,$N145&lt;&gt;'Pauta 1a1'!$B$5),"",COUNTIFS($B$5:$B145,'Pauta 1a1'!$B$4,$N$5:$N145,'Pauta 1a1'!$B$5))</f>
        <v/>
      </c>
    </row>
    <row r="146">
      <c r="A146" s="18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5">
        <f>IF($A146="","",YEAR($A146)&amp;"-Q"&amp;ROUNDUP(MONTH($A146)/3,0))</f>
        <v/>
      </c>
      <c r="O146" s="15">
        <f>IF($A146="","",IF(OR($B146="",$E146="",$F146="",$G146="",$I146="",$K146=""),"Faltam campos","OK"))</f>
        <v/>
      </c>
      <c r="P146" s="15">
        <f>IF(OR($B146="",$B146&lt;&gt;'Pauta 1a1'!$B$4,$N146&lt;&gt;'Pauta 1a1'!$B$5),"",COUNTIFS($B$5:$B146,'Pauta 1a1'!$B$4,$N$5:$N146,'Pauta 1a1'!$B$5))</f>
        <v/>
      </c>
    </row>
    <row r="147">
      <c r="A147" s="18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5">
        <f>IF($A147="","",YEAR($A147)&amp;"-Q"&amp;ROUNDUP(MONTH($A147)/3,0))</f>
        <v/>
      </c>
      <c r="O147" s="15">
        <f>IF($A147="","",IF(OR($B147="",$E147="",$F147="",$G147="",$I147="",$K147=""),"Faltam campos","OK"))</f>
        <v/>
      </c>
      <c r="P147" s="15">
        <f>IF(OR($B147="",$B147&lt;&gt;'Pauta 1a1'!$B$4,$N147&lt;&gt;'Pauta 1a1'!$B$5),"",COUNTIFS($B$5:$B147,'Pauta 1a1'!$B$4,$N$5:$N147,'Pauta 1a1'!$B$5))</f>
        <v/>
      </c>
    </row>
    <row r="148">
      <c r="A148" s="18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5">
        <f>IF($A148="","",YEAR($A148)&amp;"-Q"&amp;ROUNDUP(MONTH($A148)/3,0))</f>
        <v/>
      </c>
      <c r="O148" s="15">
        <f>IF($A148="","",IF(OR($B148="",$E148="",$F148="",$G148="",$I148="",$K148=""),"Faltam campos","OK"))</f>
        <v/>
      </c>
      <c r="P148" s="15">
        <f>IF(OR($B148="",$B148&lt;&gt;'Pauta 1a1'!$B$4,$N148&lt;&gt;'Pauta 1a1'!$B$5),"",COUNTIFS($B$5:$B148,'Pauta 1a1'!$B$4,$N$5:$N148,'Pauta 1a1'!$B$5))</f>
        <v/>
      </c>
    </row>
    <row r="149">
      <c r="A149" s="18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5">
        <f>IF($A149="","",YEAR($A149)&amp;"-Q"&amp;ROUNDUP(MONTH($A149)/3,0))</f>
        <v/>
      </c>
      <c r="O149" s="15">
        <f>IF($A149="","",IF(OR($B149="",$E149="",$F149="",$G149="",$I149="",$K149=""),"Faltam campos","OK"))</f>
        <v/>
      </c>
      <c r="P149" s="15">
        <f>IF(OR($B149="",$B149&lt;&gt;'Pauta 1a1'!$B$4,$N149&lt;&gt;'Pauta 1a1'!$B$5),"",COUNTIFS($B$5:$B149,'Pauta 1a1'!$B$4,$N$5:$N149,'Pauta 1a1'!$B$5))</f>
        <v/>
      </c>
    </row>
    <row r="150">
      <c r="A150" s="18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5">
        <f>IF($A150="","",YEAR($A150)&amp;"-Q"&amp;ROUNDUP(MONTH($A150)/3,0))</f>
        <v/>
      </c>
      <c r="O150" s="15">
        <f>IF($A150="","",IF(OR($B150="",$E150="",$F150="",$G150="",$I150="",$K150=""),"Faltam campos","OK"))</f>
        <v/>
      </c>
      <c r="P150" s="15">
        <f>IF(OR($B150="",$B150&lt;&gt;'Pauta 1a1'!$B$4,$N150&lt;&gt;'Pauta 1a1'!$B$5),"",COUNTIFS($B$5:$B150,'Pauta 1a1'!$B$4,$N$5:$N150,'Pauta 1a1'!$B$5))</f>
        <v/>
      </c>
    </row>
    <row r="151">
      <c r="A151" s="18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5">
        <f>IF($A151="","",YEAR($A151)&amp;"-Q"&amp;ROUNDUP(MONTH($A151)/3,0))</f>
        <v/>
      </c>
      <c r="O151" s="15">
        <f>IF($A151="","",IF(OR($B151="",$E151="",$F151="",$G151="",$I151="",$K151=""),"Faltam campos","OK"))</f>
        <v/>
      </c>
      <c r="P151" s="15">
        <f>IF(OR($B151="",$B151&lt;&gt;'Pauta 1a1'!$B$4,$N151&lt;&gt;'Pauta 1a1'!$B$5),"",COUNTIFS($B$5:$B151,'Pauta 1a1'!$B$4,$N$5:$N151,'Pauta 1a1'!$B$5))</f>
        <v/>
      </c>
    </row>
    <row r="152">
      <c r="A152" s="18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5">
        <f>IF($A152="","",YEAR($A152)&amp;"-Q"&amp;ROUNDUP(MONTH($A152)/3,0))</f>
        <v/>
      </c>
      <c r="O152" s="15">
        <f>IF($A152="","",IF(OR($B152="",$E152="",$F152="",$G152="",$I152="",$K152=""),"Faltam campos","OK"))</f>
        <v/>
      </c>
      <c r="P152" s="15">
        <f>IF(OR($B152="",$B152&lt;&gt;'Pauta 1a1'!$B$4,$N152&lt;&gt;'Pauta 1a1'!$B$5),"",COUNTIFS($B$5:$B152,'Pauta 1a1'!$B$4,$N$5:$N152,'Pauta 1a1'!$B$5))</f>
        <v/>
      </c>
    </row>
    <row r="153">
      <c r="A153" s="18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5">
        <f>IF($A153="","",YEAR($A153)&amp;"-Q"&amp;ROUNDUP(MONTH($A153)/3,0))</f>
        <v/>
      </c>
      <c r="O153" s="15">
        <f>IF($A153="","",IF(OR($B153="",$E153="",$F153="",$G153="",$I153="",$K153=""),"Faltam campos","OK"))</f>
        <v/>
      </c>
      <c r="P153" s="15">
        <f>IF(OR($B153="",$B153&lt;&gt;'Pauta 1a1'!$B$4,$N153&lt;&gt;'Pauta 1a1'!$B$5),"",COUNTIFS($B$5:$B153,'Pauta 1a1'!$B$4,$N$5:$N153,'Pauta 1a1'!$B$5))</f>
        <v/>
      </c>
    </row>
    <row r="154">
      <c r="A154" s="18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5">
        <f>IF($A154="","",YEAR($A154)&amp;"-Q"&amp;ROUNDUP(MONTH($A154)/3,0))</f>
        <v/>
      </c>
      <c r="O154" s="15">
        <f>IF($A154="","",IF(OR($B154="",$E154="",$F154="",$G154="",$I154="",$K154=""),"Faltam campos","OK"))</f>
        <v/>
      </c>
      <c r="P154" s="15">
        <f>IF(OR($B154="",$B154&lt;&gt;'Pauta 1a1'!$B$4,$N154&lt;&gt;'Pauta 1a1'!$B$5),"",COUNTIFS($B$5:$B154,'Pauta 1a1'!$B$4,$N$5:$N154,'Pauta 1a1'!$B$5))</f>
        <v/>
      </c>
    </row>
    <row r="155">
      <c r="A155" s="18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5">
        <f>IF($A155="","",YEAR($A155)&amp;"-Q"&amp;ROUNDUP(MONTH($A155)/3,0))</f>
        <v/>
      </c>
      <c r="O155" s="15">
        <f>IF($A155="","",IF(OR($B155="",$E155="",$F155="",$G155="",$I155="",$K155=""),"Faltam campos","OK"))</f>
        <v/>
      </c>
      <c r="P155" s="15">
        <f>IF(OR($B155="",$B155&lt;&gt;'Pauta 1a1'!$B$4,$N155&lt;&gt;'Pauta 1a1'!$B$5),"",COUNTIFS($B$5:$B155,'Pauta 1a1'!$B$4,$N$5:$N155,'Pauta 1a1'!$B$5))</f>
        <v/>
      </c>
    </row>
    <row r="156">
      <c r="A156" s="18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5">
        <f>IF($A156="","",YEAR($A156)&amp;"-Q"&amp;ROUNDUP(MONTH($A156)/3,0))</f>
        <v/>
      </c>
      <c r="O156" s="15">
        <f>IF($A156="","",IF(OR($B156="",$E156="",$F156="",$G156="",$I156="",$K156=""),"Faltam campos","OK"))</f>
        <v/>
      </c>
      <c r="P156" s="15">
        <f>IF(OR($B156="",$B156&lt;&gt;'Pauta 1a1'!$B$4,$N156&lt;&gt;'Pauta 1a1'!$B$5),"",COUNTIFS($B$5:$B156,'Pauta 1a1'!$B$4,$N$5:$N156,'Pauta 1a1'!$B$5))</f>
        <v/>
      </c>
    </row>
    <row r="157">
      <c r="A157" s="18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5">
        <f>IF($A157="","",YEAR($A157)&amp;"-Q"&amp;ROUNDUP(MONTH($A157)/3,0))</f>
        <v/>
      </c>
      <c r="O157" s="15">
        <f>IF($A157="","",IF(OR($B157="",$E157="",$F157="",$G157="",$I157="",$K157=""),"Faltam campos","OK"))</f>
        <v/>
      </c>
      <c r="P157" s="15">
        <f>IF(OR($B157="",$B157&lt;&gt;'Pauta 1a1'!$B$4,$N157&lt;&gt;'Pauta 1a1'!$B$5),"",COUNTIFS($B$5:$B157,'Pauta 1a1'!$B$4,$N$5:$N157,'Pauta 1a1'!$B$5))</f>
        <v/>
      </c>
    </row>
    <row r="158">
      <c r="A158" s="18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5">
        <f>IF($A158="","",YEAR($A158)&amp;"-Q"&amp;ROUNDUP(MONTH($A158)/3,0))</f>
        <v/>
      </c>
      <c r="O158" s="15">
        <f>IF($A158="","",IF(OR($B158="",$E158="",$F158="",$G158="",$I158="",$K158=""),"Faltam campos","OK"))</f>
        <v/>
      </c>
      <c r="P158" s="15">
        <f>IF(OR($B158="",$B158&lt;&gt;'Pauta 1a1'!$B$4,$N158&lt;&gt;'Pauta 1a1'!$B$5),"",COUNTIFS($B$5:$B158,'Pauta 1a1'!$B$4,$N$5:$N158,'Pauta 1a1'!$B$5))</f>
        <v/>
      </c>
    </row>
    <row r="159">
      <c r="A159" s="18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5">
        <f>IF($A159="","",YEAR($A159)&amp;"-Q"&amp;ROUNDUP(MONTH($A159)/3,0))</f>
        <v/>
      </c>
      <c r="O159" s="15">
        <f>IF($A159="","",IF(OR($B159="",$E159="",$F159="",$G159="",$I159="",$K159=""),"Faltam campos","OK"))</f>
        <v/>
      </c>
      <c r="P159" s="15">
        <f>IF(OR($B159="",$B159&lt;&gt;'Pauta 1a1'!$B$4,$N159&lt;&gt;'Pauta 1a1'!$B$5),"",COUNTIFS($B$5:$B159,'Pauta 1a1'!$B$4,$N$5:$N159,'Pauta 1a1'!$B$5))</f>
        <v/>
      </c>
    </row>
    <row r="160">
      <c r="A160" s="18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5">
        <f>IF($A160="","",YEAR($A160)&amp;"-Q"&amp;ROUNDUP(MONTH($A160)/3,0))</f>
        <v/>
      </c>
      <c r="O160" s="15">
        <f>IF($A160="","",IF(OR($B160="",$E160="",$F160="",$G160="",$I160="",$K160=""),"Faltam campos","OK"))</f>
        <v/>
      </c>
      <c r="P160" s="15">
        <f>IF(OR($B160="",$B160&lt;&gt;'Pauta 1a1'!$B$4,$N160&lt;&gt;'Pauta 1a1'!$B$5),"",COUNTIFS($B$5:$B160,'Pauta 1a1'!$B$4,$N$5:$N160,'Pauta 1a1'!$B$5))</f>
        <v/>
      </c>
    </row>
    <row r="161">
      <c r="A161" s="18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5">
        <f>IF($A161="","",YEAR($A161)&amp;"-Q"&amp;ROUNDUP(MONTH($A161)/3,0))</f>
        <v/>
      </c>
      <c r="O161" s="15">
        <f>IF($A161="","",IF(OR($B161="",$E161="",$F161="",$G161="",$I161="",$K161=""),"Faltam campos","OK"))</f>
        <v/>
      </c>
      <c r="P161" s="15">
        <f>IF(OR($B161="",$B161&lt;&gt;'Pauta 1a1'!$B$4,$N161&lt;&gt;'Pauta 1a1'!$B$5),"",COUNTIFS($B$5:$B161,'Pauta 1a1'!$B$4,$N$5:$N161,'Pauta 1a1'!$B$5))</f>
        <v/>
      </c>
    </row>
    <row r="162">
      <c r="A162" s="18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5">
        <f>IF($A162="","",YEAR($A162)&amp;"-Q"&amp;ROUNDUP(MONTH($A162)/3,0))</f>
        <v/>
      </c>
      <c r="O162" s="15">
        <f>IF($A162="","",IF(OR($B162="",$E162="",$F162="",$G162="",$I162="",$K162=""),"Faltam campos","OK"))</f>
        <v/>
      </c>
      <c r="P162" s="15">
        <f>IF(OR($B162="",$B162&lt;&gt;'Pauta 1a1'!$B$4,$N162&lt;&gt;'Pauta 1a1'!$B$5),"",COUNTIFS($B$5:$B162,'Pauta 1a1'!$B$4,$N$5:$N162,'Pauta 1a1'!$B$5))</f>
        <v/>
      </c>
    </row>
    <row r="163">
      <c r="A163" s="18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5">
        <f>IF($A163="","",YEAR($A163)&amp;"-Q"&amp;ROUNDUP(MONTH($A163)/3,0))</f>
        <v/>
      </c>
      <c r="O163" s="15">
        <f>IF($A163="","",IF(OR($B163="",$E163="",$F163="",$G163="",$I163="",$K163=""),"Faltam campos","OK"))</f>
        <v/>
      </c>
      <c r="P163" s="15">
        <f>IF(OR($B163="",$B163&lt;&gt;'Pauta 1a1'!$B$4,$N163&lt;&gt;'Pauta 1a1'!$B$5),"",COUNTIFS($B$5:$B163,'Pauta 1a1'!$B$4,$N$5:$N163,'Pauta 1a1'!$B$5))</f>
        <v/>
      </c>
    </row>
    <row r="164">
      <c r="A164" s="18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5">
        <f>IF($A164="","",YEAR($A164)&amp;"-Q"&amp;ROUNDUP(MONTH($A164)/3,0))</f>
        <v/>
      </c>
      <c r="O164" s="15">
        <f>IF($A164="","",IF(OR($B164="",$E164="",$F164="",$G164="",$I164="",$K164=""),"Faltam campos","OK"))</f>
        <v/>
      </c>
      <c r="P164" s="15">
        <f>IF(OR($B164="",$B164&lt;&gt;'Pauta 1a1'!$B$4,$N164&lt;&gt;'Pauta 1a1'!$B$5),"",COUNTIFS($B$5:$B164,'Pauta 1a1'!$B$4,$N$5:$N164,'Pauta 1a1'!$B$5))</f>
        <v/>
      </c>
    </row>
    <row r="165">
      <c r="A165" s="18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5">
        <f>IF($A165="","",YEAR($A165)&amp;"-Q"&amp;ROUNDUP(MONTH($A165)/3,0))</f>
        <v/>
      </c>
      <c r="O165" s="15">
        <f>IF($A165="","",IF(OR($B165="",$E165="",$F165="",$G165="",$I165="",$K165=""),"Faltam campos","OK"))</f>
        <v/>
      </c>
      <c r="P165" s="15">
        <f>IF(OR($B165="",$B165&lt;&gt;'Pauta 1a1'!$B$4,$N165&lt;&gt;'Pauta 1a1'!$B$5),"",COUNTIFS($B$5:$B165,'Pauta 1a1'!$B$4,$N$5:$N165,'Pauta 1a1'!$B$5))</f>
        <v/>
      </c>
    </row>
    <row r="166">
      <c r="A166" s="18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5">
        <f>IF($A166="","",YEAR($A166)&amp;"-Q"&amp;ROUNDUP(MONTH($A166)/3,0))</f>
        <v/>
      </c>
      <c r="O166" s="15">
        <f>IF($A166="","",IF(OR($B166="",$E166="",$F166="",$G166="",$I166="",$K166=""),"Faltam campos","OK"))</f>
        <v/>
      </c>
      <c r="P166" s="15">
        <f>IF(OR($B166="",$B166&lt;&gt;'Pauta 1a1'!$B$4,$N166&lt;&gt;'Pauta 1a1'!$B$5),"",COUNTIFS($B$5:$B166,'Pauta 1a1'!$B$4,$N$5:$N166,'Pauta 1a1'!$B$5))</f>
        <v/>
      </c>
    </row>
    <row r="167">
      <c r="A167" s="18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5">
        <f>IF($A167="","",YEAR($A167)&amp;"-Q"&amp;ROUNDUP(MONTH($A167)/3,0))</f>
        <v/>
      </c>
      <c r="O167" s="15">
        <f>IF($A167="","",IF(OR($B167="",$E167="",$F167="",$G167="",$I167="",$K167=""),"Faltam campos","OK"))</f>
        <v/>
      </c>
      <c r="P167" s="15">
        <f>IF(OR($B167="",$B167&lt;&gt;'Pauta 1a1'!$B$4,$N167&lt;&gt;'Pauta 1a1'!$B$5),"",COUNTIFS($B$5:$B167,'Pauta 1a1'!$B$4,$N$5:$N167,'Pauta 1a1'!$B$5))</f>
        <v/>
      </c>
    </row>
    <row r="168">
      <c r="A168" s="18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5">
        <f>IF($A168="","",YEAR($A168)&amp;"-Q"&amp;ROUNDUP(MONTH($A168)/3,0))</f>
        <v/>
      </c>
      <c r="O168" s="15">
        <f>IF($A168="","",IF(OR($B168="",$E168="",$F168="",$G168="",$I168="",$K168=""),"Faltam campos","OK"))</f>
        <v/>
      </c>
      <c r="P168" s="15">
        <f>IF(OR($B168="",$B168&lt;&gt;'Pauta 1a1'!$B$4,$N168&lt;&gt;'Pauta 1a1'!$B$5),"",COUNTIFS($B$5:$B168,'Pauta 1a1'!$B$4,$N$5:$N168,'Pauta 1a1'!$B$5))</f>
        <v/>
      </c>
    </row>
    <row r="169">
      <c r="A169" s="18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5">
        <f>IF($A169="","",YEAR($A169)&amp;"-Q"&amp;ROUNDUP(MONTH($A169)/3,0))</f>
        <v/>
      </c>
      <c r="O169" s="15">
        <f>IF($A169="","",IF(OR($B169="",$E169="",$F169="",$G169="",$I169="",$K169=""),"Faltam campos","OK"))</f>
        <v/>
      </c>
      <c r="P169" s="15">
        <f>IF(OR($B169="",$B169&lt;&gt;'Pauta 1a1'!$B$4,$N169&lt;&gt;'Pauta 1a1'!$B$5),"",COUNTIFS($B$5:$B169,'Pauta 1a1'!$B$4,$N$5:$N169,'Pauta 1a1'!$B$5))</f>
        <v/>
      </c>
    </row>
    <row r="170">
      <c r="A170" s="18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5">
        <f>IF($A170="","",YEAR($A170)&amp;"-Q"&amp;ROUNDUP(MONTH($A170)/3,0))</f>
        <v/>
      </c>
      <c r="O170" s="15">
        <f>IF($A170="","",IF(OR($B170="",$E170="",$F170="",$G170="",$I170="",$K170=""),"Faltam campos","OK"))</f>
        <v/>
      </c>
      <c r="P170" s="15">
        <f>IF(OR($B170="",$B170&lt;&gt;'Pauta 1a1'!$B$4,$N170&lt;&gt;'Pauta 1a1'!$B$5),"",COUNTIFS($B$5:$B170,'Pauta 1a1'!$B$4,$N$5:$N170,'Pauta 1a1'!$B$5))</f>
        <v/>
      </c>
    </row>
    <row r="171">
      <c r="A171" s="18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5">
        <f>IF($A171="","",YEAR($A171)&amp;"-Q"&amp;ROUNDUP(MONTH($A171)/3,0))</f>
        <v/>
      </c>
      <c r="O171" s="15">
        <f>IF($A171="","",IF(OR($B171="",$E171="",$F171="",$G171="",$I171="",$K171=""),"Faltam campos","OK"))</f>
        <v/>
      </c>
      <c r="P171" s="15">
        <f>IF(OR($B171="",$B171&lt;&gt;'Pauta 1a1'!$B$4,$N171&lt;&gt;'Pauta 1a1'!$B$5),"",COUNTIFS($B$5:$B171,'Pauta 1a1'!$B$4,$N$5:$N171,'Pauta 1a1'!$B$5))</f>
        <v/>
      </c>
    </row>
    <row r="172">
      <c r="A172" s="18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5">
        <f>IF($A172="","",YEAR($A172)&amp;"-Q"&amp;ROUNDUP(MONTH($A172)/3,0))</f>
        <v/>
      </c>
      <c r="O172" s="15">
        <f>IF($A172="","",IF(OR($B172="",$E172="",$F172="",$G172="",$I172="",$K172=""),"Faltam campos","OK"))</f>
        <v/>
      </c>
      <c r="P172" s="15">
        <f>IF(OR($B172="",$B172&lt;&gt;'Pauta 1a1'!$B$4,$N172&lt;&gt;'Pauta 1a1'!$B$5),"",COUNTIFS($B$5:$B172,'Pauta 1a1'!$B$4,$N$5:$N172,'Pauta 1a1'!$B$5))</f>
        <v/>
      </c>
    </row>
    <row r="173">
      <c r="A173" s="18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5">
        <f>IF($A173="","",YEAR($A173)&amp;"-Q"&amp;ROUNDUP(MONTH($A173)/3,0))</f>
        <v/>
      </c>
      <c r="O173" s="15">
        <f>IF($A173="","",IF(OR($B173="",$E173="",$F173="",$G173="",$I173="",$K173=""),"Faltam campos","OK"))</f>
        <v/>
      </c>
      <c r="P173" s="15">
        <f>IF(OR($B173="",$B173&lt;&gt;'Pauta 1a1'!$B$4,$N173&lt;&gt;'Pauta 1a1'!$B$5),"",COUNTIFS($B$5:$B173,'Pauta 1a1'!$B$4,$N$5:$N173,'Pauta 1a1'!$B$5))</f>
        <v/>
      </c>
    </row>
    <row r="174">
      <c r="A174" s="18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5">
        <f>IF($A174="","",YEAR($A174)&amp;"-Q"&amp;ROUNDUP(MONTH($A174)/3,0))</f>
        <v/>
      </c>
      <c r="O174" s="15">
        <f>IF($A174="","",IF(OR($B174="",$E174="",$F174="",$G174="",$I174="",$K174=""),"Faltam campos","OK"))</f>
        <v/>
      </c>
      <c r="P174" s="15">
        <f>IF(OR($B174="",$B174&lt;&gt;'Pauta 1a1'!$B$4,$N174&lt;&gt;'Pauta 1a1'!$B$5),"",COUNTIFS($B$5:$B174,'Pauta 1a1'!$B$4,$N$5:$N174,'Pauta 1a1'!$B$5))</f>
        <v/>
      </c>
    </row>
    <row r="175">
      <c r="A175" s="18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5">
        <f>IF($A175="","",YEAR($A175)&amp;"-Q"&amp;ROUNDUP(MONTH($A175)/3,0))</f>
        <v/>
      </c>
      <c r="O175" s="15">
        <f>IF($A175="","",IF(OR($B175="",$E175="",$F175="",$G175="",$I175="",$K175=""),"Faltam campos","OK"))</f>
        <v/>
      </c>
      <c r="P175" s="15">
        <f>IF(OR($B175="",$B175&lt;&gt;'Pauta 1a1'!$B$4,$N175&lt;&gt;'Pauta 1a1'!$B$5),"",COUNTIFS($B$5:$B175,'Pauta 1a1'!$B$4,$N$5:$N175,'Pauta 1a1'!$B$5))</f>
        <v/>
      </c>
    </row>
    <row r="176">
      <c r="A176" s="18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5">
        <f>IF($A176="","",YEAR($A176)&amp;"-Q"&amp;ROUNDUP(MONTH($A176)/3,0))</f>
        <v/>
      </c>
      <c r="O176" s="15">
        <f>IF($A176="","",IF(OR($B176="",$E176="",$F176="",$G176="",$I176="",$K176=""),"Faltam campos","OK"))</f>
        <v/>
      </c>
      <c r="P176" s="15">
        <f>IF(OR($B176="",$B176&lt;&gt;'Pauta 1a1'!$B$4,$N176&lt;&gt;'Pauta 1a1'!$B$5),"",COUNTIFS($B$5:$B176,'Pauta 1a1'!$B$4,$N$5:$N176,'Pauta 1a1'!$B$5))</f>
        <v/>
      </c>
    </row>
    <row r="177">
      <c r="A177" s="18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5">
        <f>IF($A177="","",YEAR($A177)&amp;"-Q"&amp;ROUNDUP(MONTH($A177)/3,0))</f>
        <v/>
      </c>
      <c r="O177" s="15">
        <f>IF($A177="","",IF(OR($B177="",$E177="",$F177="",$G177="",$I177="",$K177=""),"Faltam campos","OK"))</f>
        <v/>
      </c>
      <c r="P177" s="15">
        <f>IF(OR($B177="",$B177&lt;&gt;'Pauta 1a1'!$B$4,$N177&lt;&gt;'Pauta 1a1'!$B$5),"",COUNTIFS($B$5:$B177,'Pauta 1a1'!$B$4,$N$5:$N177,'Pauta 1a1'!$B$5))</f>
        <v/>
      </c>
    </row>
    <row r="178">
      <c r="A178" s="18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5">
        <f>IF($A178="","",YEAR($A178)&amp;"-Q"&amp;ROUNDUP(MONTH($A178)/3,0))</f>
        <v/>
      </c>
      <c r="O178" s="15">
        <f>IF($A178="","",IF(OR($B178="",$E178="",$F178="",$G178="",$I178="",$K178=""),"Faltam campos","OK"))</f>
        <v/>
      </c>
      <c r="P178" s="15">
        <f>IF(OR($B178="",$B178&lt;&gt;'Pauta 1a1'!$B$4,$N178&lt;&gt;'Pauta 1a1'!$B$5),"",COUNTIFS($B$5:$B178,'Pauta 1a1'!$B$4,$N$5:$N178,'Pauta 1a1'!$B$5))</f>
        <v/>
      </c>
    </row>
    <row r="179">
      <c r="A179" s="18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5">
        <f>IF($A179="","",YEAR($A179)&amp;"-Q"&amp;ROUNDUP(MONTH($A179)/3,0))</f>
        <v/>
      </c>
      <c r="O179" s="15">
        <f>IF($A179="","",IF(OR($B179="",$E179="",$F179="",$G179="",$I179="",$K179=""),"Faltam campos","OK"))</f>
        <v/>
      </c>
      <c r="P179" s="15">
        <f>IF(OR($B179="",$B179&lt;&gt;'Pauta 1a1'!$B$4,$N179&lt;&gt;'Pauta 1a1'!$B$5),"",COUNTIFS($B$5:$B179,'Pauta 1a1'!$B$4,$N$5:$N179,'Pauta 1a1'!$B$5))</f>
        <v/>
      </c>
    </row>
    <row r="180">
      <c r="A180" s="18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5">
        <f>IF($A180="","",YEAR($A180)&amp;"-Q"&amp;ROUNDUP(MONTH($A180)/3,0))</f>
        <v/>
      </c>
      <c r="O180" s="15">
        <f>IF($A180="","",IF(OR($B180="",$E180="",$F180="",$G180="",$I180="",$K180=""),"Faltam campos","OK"))</f>
        <v/>
      </c>
      <c r="P180" s="15">
        <f>IF(OR($B180="",$B180&lt;&gt;'Pauta 1a1'!$B$4,$N180&lt;&gt;'Pauta 1a1'!$B$5),"",COUNTIFS($B$5:$B180,'Pauta 1a1'!$B$4,$N$5:$N180,'Pauta 1a1'!$B$5))</f>
        <v/>
      </c>
    </row>
    <row r="181">
      <c r="A181" s="18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5">
        <f>IF($A181="","",YEAR($A181)&amp;"-Q"&amp;ROUNDUP(MONTH($A181)/3,0))</f>
        <v/>
      </c>
      <c r="O181" s="15">
        <f>IF($A181="","",IF(OR($B181="",$E181="",$F181="",$G181="",$I181="",$K181=""),"Faltam campos","OK"))</f>
        <v/>
      </c>
      <c r="P181" s="15">
        <f>IF(OR($B181="",$B181&lt;&gt;'Pauta 1a1'!$B$4,$N181&lt;&gt;'Pauta 1a1'!$B$5),"",COUNTIFS($B$5:$B181,'Pauta 1a1'!$B$4,$N$5:$N181,'Pauta 1a1'!$B$5))</f>
        <v/>
      </c>
    </row>
    <row r="182">
      <c r="A182" s="18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5">
        <f>IF($A182="","",YEAR($A182)&amp;"-Q"&amp;ROUNDUP(MONTH($A182)/3,0))</f>
        <v/>
      </c>
      <c r="O182" s="15">
        <f>IF($A182="","",IF(OR($B182="",$E182="",$F182="",$G182="",$I182="",$K182=""),"Faltam campos","OK"))</f>
        <v/>
      </c>
      <c r="P182" s="15">
        <f>IF(OR($B182="",$B182&lt;&gt;'Pauta 1a1'!$B$4,$N182&lt;&gt;'Pauta 1a1'!$B$5),"",COUNTIFS($B$5:$B182,'Pauta 1a1'!$B$4,$N$5:$N182,'Pauta 1a1'!$B$5))</f>
        <v/>
      </c>
    </row>
    <row r="183">
      <c r="A183" s="18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5">
        <f>IF($A183="","",YEAR($A183)&amp;"-Q"&amp;ROUNDUP(MONTH($A183)/3,0))</f>
        <v/>
      </c>
      <c r="O183" s="15">
        <f>IF($A183="","",IF(OR($B183="",$E183="",$F183="",$G183="",$I183="",$K183=""),"Faltam campos","OK"))</f>
        <v/>
      </c>
      <c r="P183" s="15">
        <f>IF(OR($B183="",$B183&lt;&gt;'Pauta 1a1'!$B$4,$N183&lt;&gt;'Pauta 1a1'!$B$5),"",COUNTIFS($B$5:$B183,'Pauta 1a1'!$B$4,$N$5:$N183,'Pauta 1a1'!$B$5))</f>
        <v/>
      </c>
    </row>
    <row r="184">
      <c r="A184" s="18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5">
        <f>IF($A184="","",YEAR($A184)&amp;"-Q"&amp;ROUNDUP(MONTH($A184)/3,0))</f>
        <v/>
      </c>
      <c r="O184" s="15">
        <f>IF($A184="","",IF(OR($B184="",$E184="",$F184="",$G184="",$I184="",$K184=""),"Faltam campos","OK"))</f>
        <v/>
      </c>
      <c r="P184" s="15">
        <f>IF(OR($B184="",$B184&lt;&gt;'Pauta 1a1'!$B$4,$N184&lt;&gt;'Pauta 1a1'!$B$5),"",COUNTIFS($B$5:$B184,'Pauta 1a1'!$B$4,$N$5:$N184,'Pauta 1a1'!$B$5))</f>
        <v/>
      </c>
    </row>
    <row r="185">
      <c r="A185" s="18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5">
        <f>IF($A185="","",YEAR($A185)&amp;"-Q"&amp;ROUNDUP(MONTH($A185)/3,0))</f>
        <v/>
      </c>
      <c r="O185" s="15">
        <f>IF($A185="","",IF(OR($B185="",$E185="",$F185="",$G185="",$I185="",$K185=""),"Faltam campos","OK"))</f>
        <v/>
      </c>
      <c r="P185" s="15">
        <f>IF(OR($B185="",$B185&lt;&gt;'Pauta 1a1'!$B$4,$N185&lt;&gt;'Pauta 1a1'!$B$5),"",COUNTIFS($B$5:$B185,'Pauta 1a1'!$B$4,$N$5:$N185,'Pauta 1a1'!$B$5))</f>
        <v/>
      </c>
    </row>
    <row r="186">
      <c r="A186" s="18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5">
        <f>IF($A186="","",YEAR($A186)&amp;"-Q"&amp;ROUNDUP(MONTH($A186)/3,0))</f>
        <v/>
      </c>
      <c r="O186" s="15">
        <f>IF($A186="","",IF(OR($B186="",$E186="",$F186="",$G186="",$I186="",$K186=""),"Faltam campos","OK"))</f>
        <v/>
      </c>
      <c r="P186" s="15">
        <f>IF(OR($B186="",$B186&lt;&gt;'Pauta 1a1'!$B$4,$N186&lt;&gt;'Pauta 1a1'!$B$5),"",COUNTIFS($B$5:$B186,'Pauta 1a1'!$B$4,$N$5:$N186,'Pauta 1a1'!$B$5))</f>
        <v/>
      </c>
    </row>
    <row r="187">
      <c r="A187" s="18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5">
        <f>IF($A187="","",YEAR($A187)&amp;"-Q"&amp;ROUNDUP(MONTH($A187)/3,0))</f>
        <v/>
      </c>
      <c r="O187" s="15">
        <f>IF($A187="","",IF(OR($B187="",$E187="",$F187="",$G187="",$I187="",$K187=""),"Faltam campos","OK"))</f>
        <v/>
      </c>
      <c r="P187" s="15">
        <f>IF(OR($B187="",$B187&lt;&gt;'Pauta 1a1'!$B$4,$N187&lt;&gt;'Pauta 1a1'!$B$5),"",COUNTIFS($B$5:$B187,'Pauta 1a1'!$B$4,$N$5:$N187,'Pauta 1a1'!$B$5))</f>
        <v/>
      </c>
    </row>
    <row r="188">
      <c r="A188" s="18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5">
        <f>IF($A188="","",YEAR($A188)&amp;"-Q"&amp;ROUNDUP(MONTH($A188)/3,0))</f>
        <v/>
      </c>
      <c r="O188" s="15">
        <f>IF($A188="","",IF(OR($B188="",$E188="",$F188="",$G188="",$I188="",$K188=""),"Faltam campos","OK"))</f>
        <v/>
      </c>
      <c r="P188" s="15">
        <f>IF(OR($B188="",$B188&lt;&gt;'Pauta 1a1'!$B$4,$N188&lt;&gt;'Pauta 1a1'!$B$5),"",COUNTIFS($B$5:$B188,'Pauta 1a1'!$B$4,$N$5:$N188,'Pauta 1a1'!$B$5))</f>
        <v/>
      </c>
    </row>
    <row r="189">
      <c r="A189" s="18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5">
        <f>IF($A189="","",YEAR($A189)&amp;"-Q"&amp;ROUNDUP(MONTH($A189)/3,0))</f>
        <v/>
      </c>
      <c r="O189" s="15">
        <f>IF($A189="","",IF(OR($B189="",$E189="",$F189="",$G189="",$I189="",$K189=""),"Faltam campos","OK"))</f>
        <v/>
      </c>
      <c r="P189" s="15">
        <f>IF(OR($B189="",$B189&lt;&gt;'Pauta 1a1'!$B$4,$N189&lt;&gt;'Pauta 1a1'!$B$5),"",COUNTIFS($B$5:$B189,'Pauta 1a1'!$B$4,$N$5:$N189,'Pauta 1a1'!$B$5))</f>
        <v/>
      </c>
    </row>
    <row r="190">
      <c r="A190" s="18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5">
        <f>IF($A190="","",YEAR($A190)&amp;"-Q"&amp;ROUNDUP(MONTH($A190)/3,0))</f>
        <v/>
      </c>
      <c r="O190" s="15">
        <f>IF($A190="","",IF(OR($B190="",$E190="",$F190="",$G190="",$I190="",$K190=""),"Faltam campos","OK"))</f>
        <v/>
      </c>
      <c r="P190" s="15">
        <f>IF(OR($B190="",$B190&lt;&gt;'Pauta 1a1'!$B$4,$N190&lt;&gt;'Pauta 1a1'!$B$5),"",COUNTIFS($B$5:$B190,'Pauta 1a1'!$B$4,$N$5:$N190,'Pauta 1a1'!$B$5))</f>
        <v/>
      </c>
    </row>
    <row r="191">
      <c r="A191" s="18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5">
        <f>IF($A191="","",YEAR($A191)&amp;"-Q"&amp;ROUNDUP(MONTH($A191)/3,0))</f>
        <v/>
      </c>
      <c r="O191" s="15">
        <f>IF($A191="","",IF(OR($B191="",$E191="",$F191="",$G191="",$I191="",$K191=""),"Faltam campos","OK"))</f>
        <v/>
      </c>
      <c r="P191" s="15">
        <f>IF(OR($B191="",$B191&lt;&gt;'Pauta 1a1'!$B$4,$N191&lt;&gt;'Pauta 1a1'!$B$5),"",COUNTIFS($B$5:$B191,'Pauta 1a1'!$B$4,$N$5:$N191,'Pauta 1a1'!$B$5))</f>
        <v/>
      </c>
    </row>
    <row r="192">
      <c r="A192" s="18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5">
        <f>IF($A192="","",YEAR($A192)&amp;"-Q"&amp;ROUNDUP(MONTH($A192)/3,0))</f>
        <v/>
      </c>
      <c r="O192" s="15">
        <f>IF($A192="","",IF(OR($B192="",$E192="",$F192="",$G192="",$I192="",$K192=""),"Faltam campos","OK"))</f>
        <v/>
      </c>
      <c r="P192" s="15">
        <f>IF(OR($B192="",$B192&lt;&gt;'Pauta 1a1'!$B$4,$N192&lt;&gt;'Pauta 1a1'!$B$5),"",COUNTIFS($B$5:$B192,'Pauta 1a1'!$B$4,$N$5:$N192,'Pauta 1a1'!$B$5))</f>
        <v/>
      </c>
    </row>
    <row r="193">
      <c r="A193" s="18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5">
        <f>IF($A193="","",YEAR($A193)&amp;"-Q"&amp;ROUNDUP(MONTH($A193)/3,0))</f>
        <v/>
      </c>
      <c r="O193" s="15">
        <f>IF($A193="","",IF(OR($B193="",$E193="",$F193="",$G193="",$I193="",$K193=""),"Faltam campos","OK"))</f>
        <v/>
      </c>
      <c r="P193" s="15">
        <f>IF(OR($B193="",$B193&lt;&gt;'Pauta 1a1'!$B$4,$N193&lt;&gt;'Pauta 1a1'!$B$5),"",COUNTIFS($B$5:$B193,'Pauta 1a1'!$B$4,$N$5:$N193,'Pauta 1a1'!$B$5))</f>
        <v/>
      </c>
    </row>
    <row r="194">
      <c r="A194" s="18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5">
        <f>IF($A194="","",YEAR($A194)&amp;"-Q"&amp;ROUNDUP(MONTH($A194)/3,0))</f>
        <v/>
      </c>
      <c r="O194" s="15">
        <f>IF($A194="","",IF(OR($B194="",$E194="",$F194="",$G194="",$I194="",$K194=""),"Faltam campos","OK"))</f>
        <v/>
      </c>
      <c r="P194" s="15">
        <f>IF(OR($B194="",$B194&lt;&gt;'Pauta 1a1'!$B$4,$N194&lt;&gt;'Pauta 1a1'!$B$5),"",COUNTIFS($B$5:$B194,'Pauta 1a1'!$B$4,$N$5:$N194,'Pauta 1a1'!$B$5))</f>
        <v/>
      </c>
    </row>
    <row r="195">
      <c r="A195" s="18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5">
        <f>IF($A195="","",YEAR($A195)&amp;"-Q"&amp;ROUNDUP(MONTH($A195)/3,0))</f>
        <v/>
      </c>
      <c r="O195" s="15">
        <f>IF($A195="","",IF(OR($B195="",$E195="",$F195="",$G195="",$I195="",$K195=""),"Faltam campos","OK"))</f>
        <v/>
      </c>
      <c r="P195" s="15">
        <f>IF(OR($B195="",$B195&lt;&gt;'Pauta 1a1'!$B$4,$N195&lt;&gt;'Pauta 1a1'!$B$5),"",COUNTIFS($B$5:$B195,'Pauta 1a1'!$B$4,$N$5:$N195,'Pauta 1a1'!$B$5))</f>
        <v/>
      </c>
    </row>
    <row r="196">
      <c r="A196" s="18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5">
        <f>IF($A196="","",YEAR($A196)&amp;"-Q"&amp;ROUNDUP(MONTH($A196)/3,0))</f>
        <v/>
      </c>
      <c r="O196" s="15">
        <f>IF($A196="","",IF(OR($B196="",$E196="",$F196="",$G196="",$I196="",$K196=""),"Faltam campos","OK"))</f>
        <v/>
      </c>
      <c r="P196" s="15">
        <f>IF(OR($B196="",$B196&lt;&gt;'Pauta 1a1'!$B$4,$N196&lt;&gt;'Pauta 1a1'!$B$5),"",COUNTIFS($B$5:$B196,'Pauta 1a1'!$B$4,$N$5:$N196,'Pauta 1a1'!$B$5))</f>
        <v/>
      </c>
    </row>
    <row r="197">
      <c r="A197" s="18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5">
        <f>IF($A197="","",YEAR($A197)&amp;"-Q"&amp;ROUNDUP(MONTH($A197)/3,0))</f>
        <v/>
      </c>
      <c r="O197" s="15">
        <f>IF($A197="","",IF(OR($B197="",$E197="",$F197="",$G197="",$I197="",$K197=""),"Faltam campos","OK"))</f>
        <v/>
      </c>
      <c r="P197" s="15">
        <f>IF(OR($B197="",$B197&lt;&gt;'Pauta 1a1'!$B$4,$N197&lt;&gt;'Pauta 1a1'!$B$5),"",COUNTIFS($B$5:$B197,'Pauta 1a1'!$B$4,$N$5:$N197,'Pauta 1a1'!$B$5))</f>
        <v/>
      </c>
    </row>
    <row r="198">
      <c r="A198" s="18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5">
        <f>IF($A198="","",YEAR($A198)&amp;"-Q"&amp;ROUNDUP(MONTH($A198)/3,0))</f>
        <v/>
      </c>
      <c r="O198" s="15">
        <f>IF($A198="","",IF(OR($B198="",$E198="",$F198="",$G198="",$I198="",$K198=""),"Faltam campos","OK"))</f>
        <v/>
      </c>
      <c r="P198" s="15">
        <f>IF(OR($B198="",$B198&lt;&gt;'Pauta 1a1'!$B$4,$N198&lt;&gt;'Pauta 1a1'!$B$5),"",COUNTIFS($B$5:$B198,'Pauta 1a1'!$B$4,$N$5:$N198,'Pauta 1a1'!$B$5))</f>
        <v/>
      </c>
    </row>
    <row r="199">
      <c r="A199" s="18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5">
        <f>IF($A199="","",YEAR($A199)&amp;"-Q"&amp;ROUNDUP(MONTH($A199)/3,0))</f>
        <v/>
      </c>
      <c r="O199" s="15">
        <f>IF($A199="","",IF(OR($B199="",$E199="",$F199="",$G199="",$I199="",$K199=""),"Faltam campos","OK"))</f>
        <v/>
      </c>
      <c r="P199" s="15">
        <f>IF(OR($B199="",$B199&lt;&gt;'Pauta 1a1'!$B$4,$N199&lt;&gt;'Pauta 1a1'!$B$5),"",COUNTIFS($B$5:$B199,'Pauta 1a1'!$B$4,$N$5:$N199,'Pauta 1a1'!$B$5))</f>
        <v/>
      </c>
    </row>
    <row r="200">
      <c r="A200" s="18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5">
        <f>IF($A200="","",YEAR($A200)&amp;"-Q"&amp;ROUNDUP(MONTH($A200)/3,0))</f>
        <v/>
      </c>
      <c r="O200" s="15">
        <f>IF($A200="","",IF(OR($B200="",$E200="",$F200="",$G200="",$I200="",$K200=""),"Faltam campos","OK"))</f>
        <v/>
      </c>
      <c r="P200" s="15">
        <f>IF(OR($B200="",$B200&lt;&gt;'Pauta 1a1'!$B$4,$N200&lt;&gt;'Pauta 1a1'!$B$5),"",COUNTIFS($B$5:$B200,'Pauta 1a1'!$B$4,$N$5:$N200,'Pauta 1a1'!$B$5))</f>
        <v/>
      </c>
    </row>
    <row r="201">
      <c r="A201" s="18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5">
        <f>IF($A201="","",YEAR($A201)&amp;"-Q"&amp;ROUNDUP(MONTH($A201)/3,0))</f>
        <v/>
      </c>
      <c r="O201" s="15">
        <f>IF($A201="","",IF(OR($B201="",$E201="",$F201="",$G201="",$I201="",$K201=""),"Faltam campos","OK"))</f>
        <v/>
      </c>
      <c r="P201" s="15">
        <f>IF(OR($B201="",$B201&lt;&gt;'Pauta 1a1'!$B$4,$N201&lt;&gt;'Pauta 1a1'!$B$5),"",COUNTIFS($B$5:$B201,'Pauta 1a1'!$B$4,$N$5:$N201,'Pauta 1a1'!$B$5))</f>
        <v/>
      </c>
    </row>
    <row r="202">
      <c r="A202" s="18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5">
        <f>IF($A202="","",YEAR($A202)&amp;"-Q"&amp;ROUNDUP(MONTH($A202)/3,0))</f>
        <v/>
      </c>
      <c r="O202" s="15">
        <f>IF($A202="","",IF(OR($B202="",$E202="",$F202="",$G202="",$I202="",$K202=""),"Faltam campos","OK"))</f>
        <v/>
      </c>
      <c r="P202" s="15">
        <f>IF(OR($B202="",$B202&lt;&gt;'Pauta 1a1'!$B$4,$N202&lt;&gt;'Pauta 1a1'!$B$5),"",COUNTIFS($B$5:$B202,'Pauta 1a1'!$B$4,$N$5:$N202,'Pauta 1a1'!$B$5))</f>
        <v/>
      </c>
    </row>
    <row r="203">
      <c r="A203" s="18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5">
        <f>IF($A203="","",YEAR($A203)&amp;"-Q"&amp;ROUNDUP(MONTH($A203)/3,0))</f>
        <v/>
      </c>
      <c r="O203" s="15">
        <f>IF($A203="","",IF(OR($B203="",$E203="",$F203="",$G203="",$I203="",$K203=""),"Faltam campos","OK"))</f>
        <v/>
      </c>
      <c r="P203" s="15">
        <f>IF(OR($B203="",$B203&lt;&gt;'Pauta 1a1'!$B$4,$N203&lt;&gt;'Pauta 1a1'!$B$5),"",COUNTIFS($B$5:$B203,'Pauta 1a1'!$B$4,$N$5:$N203,'Pauta 1a1'!$B$5))</f>
        <v/>
      </c>
    </row>
    <row r="204">
      <c r="A204" s="18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5">
        <f>IF($A204="","",YEAR($A204)&amp;"-Q"&amp;ROUNDUP(MONTH($A204)/3,0))</f>
        <v/>
      </c>
      <c r="O204" s="15">
        <f>IF($A204="","",IF(OR($B204="",$E204="",$F204="",$G204="",$I204="",$K204=""),"Faltam campos","OK"))</f>
        <v/>
      </c>
      <c r="P204" s="15">
        <f>IF(OR($B204="",$B204&lt;&gt;'Pauta 1a1'!$B$4,$N204&lt;&gt;'Pauta 1a1'!$B$5),"",COUNTIFS($B$5:$B204,'Pauta 1a1'!$B$4,$N$5:$N204,'Pauta 1a1'!$B$5))</f>
        <v/>
      </c>
    </row>
    <row r="205">
      <c r="A205" s="18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5">
        <f>IF($A205="","",YEAR($A205)&amp;"-Q"&amp;ROUNDUP(MONTH($A205)/3,0))</f>
        <v/>
      </c>
      <c r="O205" s="15">
        <f>IF($A205="","",IF(OR($B205="",$E205="",$F205="",$G205="",$I205="",$K205=""),"Faltam campos","OK"))</f>
        <v/>
      </c>
      <c r="P205" s="15">
        <f>IF(OR($B205="",$B205&lt;&gt;'Pauta 1a1'!$B$4,$N205&lt;&gt;'Pauta 1a1'!$B$5),"",COUNTIFS($B$5:$B205,'Pauta 1a1'!$B$4,$N$5:$N205,'Pauta 1a1'!$B$5))</f>
        <v/>
      </c>
    </row>
    <row r="206">
      <c r="A206" s="18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5">
        <f>IF($A206="","",YEAR($A206)&amp;"-Q"&amp;ROUNDUP(MONTH($A206)/3,0))</f>
        <v/>
      </c>
      <c r="O206" s="15">
        <f>IF($A206="","",IF(OR($B206="",$E206="",$F206="",$G206="",$I206="",$K206=""),"Faltam campos","OK"))</f>
        <v/>
      </c>
      <c r="P206" s="15">
        <f>IF(OR($B206="",$B206&lt;&gt;'Pauta 1a1'!$B$4,$N206&lt;&gt;'Pauta 1a1'!$B$5),"",COUNTIFS($B$5:$B206,'Pauta 1a1'!$B$4,$N$5:$N206,'Pauta 1a1'!$B$5))</f>
        <v/>
      </c>
    </row>
    <row r="207">
      <c r="A207" s="18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5">
        <f>IF($A207="","",YEAR($A207)&amp;"-Q"&amp;ROUNDUP(MONTH($A207)/3,0))</f>
        <v/>
      </c>
      <c r="O207" s="15">
        <f>IF($A207="","",IF(OR($B207="",$E207="",$F207="",$G207="",$I207="",$K207=""),"Faltam campos","OK"))</f>
        <v/>
      </c>
      <c r="P207" s="15">
        <f>IF(OR($B207="",$B207&lt;&gt;'Pauta 1a1'!$B$4,$N207&lt;&gt;'Pauta 1a1'!$B$5),"",COUNTIFS($B$5:$B207,'Pauta 1a1'!$B$4,$N$5:$N207,'Pauta 1a1'!$B$5))</f>
        <v/>
      </c>
    </row>
    <row r="208">
      <c r="A208" s="18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5">
        <f>IF($A208="","",YEAR($A208)&amp;"-Q"&amp;ROUNDUP(MONTH($A208)/3,0))</f>
        <v/>
      </c>
      <c r="O208" s="15">
        <f>IF($A208="","",IF(OR($B208="",$E208="",$F208="",$G208="",$I208="",$K208=""),"Faltam campos","OK"))</f>
        <v/>
      </c>
      <c r="P208" s="15">
        <f>IF(OR($B208="",$B208&lt;&gt;'Pauta 1a1'!$B$4,$N208&lt;&gt;'Pauta 1a1'!$B$5),"",COUNTIFS($B$5:$B208,'Pauta 1a1'!$B$4,$N$5:$N208,'Pauta 1a1'!$B$5))</f>
        <v/>
      </c>
    </row>
    <row r="209">
      <c r="A209" s="18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5">
        <f>IF($A209="","",YEAR($A209)&amp;"-Q"&amp;ROUNDUP(MONTH($A209)/3,0))</f>
        <v/>
      </c>
      <c r="O209" s="15">
        <f>IF($A209="","",IF(OR($B209="",$E209="",$F209="",$G209="",$I209="",$K209=""),"Faltam campos","OK"))</f>
        <v/>
      </c>
      <c r="P209" s="15">
        <f>IF(OR($B209="",$B209&lt;&gt;'Pauta 1a1'!$B$4,$N209&lt;&gt;'Pauta 1a1'!$B$5),"",COUNTIFS($B$5:$B209,'Pauta 1a1'!$B$4,$N$5:$N209,'Pauta 1a1'!$B$5))</f>
        <v/>
      </c>
    </row>
    <row r="210">
      <c r="A210" s="18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5">
        <f>IF($A210="","",YEAR($A210)&amp;"-Q"&amp;ROUNDUP(MONTH($A210)/3,0))</f>
        <v/>
      </c>
      <c r="O210" s="15">
        <f>IF($A210="","",IF(OR($B210="",$E210="",$F210="",$G210="",$I210="",$K210=""),"Faltam campos","OK"))</f>
        <v/>
      </c>
      <c r="P210" s="15">
        <f>IF(OR($B210="",$B210&lt;&gt;'Pauta 1a1'!$B$4,$N210&lt;&gt;'Pauta 1a1'!$B$5),"",COUNTIFS($B$5:$B210,'Pauta 1a1'!$B$4,$N$5:$N210,'Pauta 1a1'!$B$5))</f>
        <v/>
      </c>
    </row>
    <row r="211">
      <c r="A211" s="18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5">
        <f>IF($A211="","",YEAR($A211)&amp;"-Q"&amp;ROUNDUP(MONTH($A211)/3,0))</f>
        <v/>
      </c>
      <c r="O211" s="15">
        <f>IF($A211="","",IF(OR($B211="",$E211="",$F211="",$G211="",$I211="",$K211=""),"Faltam campos","OK"))</f>
        <v/>
      </c>
      <c r="P211" s="15">
        <f>IF(OR($B211="",$B211&lt;&gt;'Pauta 1a1'!$B$4,$N211&lt;&gt;'Pauta 1a1'!$B$5),"",COUNTIFS($B$5:$B211,'Pauta 1a1'!$B$4,$N$5:$N211,'Pauta 1a1'!$B$5))</f>
        <v/>
      </c>
    </row>
    <row r="212">
      <c r="A212" s="18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5">
        <f>IF($A212="","",YEAR($A212)&amp;"-Q"&amp;ROUNDUP(MONTH($A212)/3,0))</f>
        <v/>
      </c>
      <c r="O212" s="15">
        <f>IF($A212="","",IF(OR($B212="",$E212="",$F212="",$G212="",$I212="",$K212=""),"Faltam campos","OK"))</f>
        <v/>
      </c>
      <c r="P212" s="15">
        <f>IF(OR($B212="",$B212&lt;&gt;'Pauta 1a1'!$B$4,$N212&lt;&gt;'Pauta 1a1'!$B$5),"",COUNTIFS($B$5:$B212,'Pauta 1a1'!$B$4,$N$5:$N212,'Pauta 1a1'!$B$5))</f>
        <v/>
      </c>
    </row>
    <row r="213">
      <c r="A213" s="18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5">
        <f>IF($A213="","",YEAR($A213)&amp;"-Q"&amp;ROUNDUP(MONTH($A213)/3,0))</f>
        <v/>
      </c>
      <c r="O213" s="15">
        <f>IF($A213="","",IF(OR($B213="",$E213="",$F213="",$G213="",$I213="",$K213=""),"Faltam campos","OK"))</f>
        <v/>
      </c>
      <c r="P213" s="15">
        <f>IF(OR($B213="",$B213&lt;&gt;'Pauta 1a1'!$B$4,$N213&lt;&gt;'Pauta 1a1'!$B$5),"",COUNTIFS($B$5:$B213,'Pauta 1a1'!$B$4,$N$5:$N213,'Pauta 1a1'!$B$5))</f>
        <v/>
      </c>
    </row>
    <row r="214">
      <c r="A214" s="18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5">
        <f>IF($A214="","",YEAR($A214)&amp;"-Q"&amp;ROUNDUP(MONTH($A214)/3,0))</f>
        <v/>
      </c>
      <c r="O214" s="15">
        <f>IF($A214="","",IF(OR($B214="",$E214="",$F214="",$G214="",$I214="",$K214=""),"Faltam campos","OK"))</f>
        <v/>
      </c>
      <c r="P214" s="15">
        <f>IF(OR($B214="",$B214&lt;&gt;'Pauta 1a1'!$B$4,$N214&lt;&gt;'Pauta 1a1'!$B$5),"",COUNTIFS($B$5:$B214,'Pauta 1a1'!$B$4,$N$5:$N214,'Pauta 1a1'!$B$5))</f>
        <v/>
      </c>
    </row>
    <row r="215">
      <c r="A215" s="18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5">
        <f>IF($A215="","",YEAR($A215)&amp;"-Q"&amp;ROUNDUP(MONTH($A215)/3,0))</f>
        <v/>
      </c>
      <c r="O215" s="15">
        <f>IF($A215="","",IF(OR($B215="",$E215="",$F215="",$G215="",$I215="",$K215=""),"Faltam campos","OK"))</f>
        <v/>
      </c>
      <c r="P215" s="15">
        <f>IF(OR($B215="",$B215&lt;&gt;'Pauta 1a1'!$B$4,$N215&lt;&gt;'Pauta 1a1'!$B$5),"",COUNTIFS($B$5:$B215,'Pauta 1a1'!$B$4,$N$5:$N215,'Pauta 1a1'!$B$5))</f>
        <v/>
      </c>
    </row>
    <row r="216">
      <c r="A216" s="18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5">
        <f>IF($A216="","",YEAR($A216)&amp;"-Q"&amp;ROUNDUP(MONTH($A216)/3,0))</f>
        <v/>
      </c>
      <c r="O216" s="15">
        <f>IF($A216="","",IF(OR($B216="",$E216="",$F216="",$G216="",$I216="",$K216=""),"Faltam campos","OK"))</f>
        <v/>
      </c>
      <c r="P216" s="15">
        <f>IF(OR($B216="",$B216&lt;&gt;'Pauta 1a1'!$B$4,$N216&lt;&gt;'Pauta 1a1'!$B$5),"",COUNTIFS($B$5:$B216,'Pauta 1a1'!$B$4,$N$5:$N216,'Pauta 1a1'!$B$5))</f>
        <v/>
      </c>
    </row>
    <row r="217">
      <c r="A217" s="18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5">
        <f>IF($A217="","",YEAR($A217)&amp;"-Q"&amp;ROUNDUP(MONTH($A217)/3,0))</f>
        <v/>
      </c>
      <c r="O217" s="15">
        <f>IF($A217="","",IF(OR($B217="",$E217="",$F217="",$G217="",$I217="",$K217=""),"Faltam campos","OK"))</f>
        <v/>
      </c>
      <c r="P217" s="15">
        <f>IF(OR($B217="",$B217&lt;&gt;'Pauta 1a1'!$B$4,$N217&lt;&gt;'Pauta 1a1'!$B$5),"",COUNTIFS($B$5:$B217,'Pauta 1a1'!$B$4,$N$5:$N217,'Pauta 1a1'!$B$5))</f>
        <v/>
      </c>
    </row>
    <row r="218">
      <c r="A218" s="18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5">
        <f>IF($A218="","",YEAR($A218)&amp;"-Q"&amp;ROUNDUP(MONTH($A218)/3,0))</f>
        <v/>
      </c>
      <c r="O218" s="15">
        <f>IF($A218="","",IF(OR($B218="",$E218="",$F218="",$G218="",$I218="",$K218=""),"Faltam campos","OK"))</f>
        <v/>
      </c>
      <c r="P218" s="15">
        <f>IF(OR($B218="",$B218&lt;&gt;'Pauta 1a1'!$B$4,$N218&lt;&gt;'Pauta 1a1'!$B$5),"",COUNTIFS($B$5:$B218,'Pauta 1a1'!$B$4,$N$5:$N218,'Pauta 1a1'!$B$5))</f>
        <v/>
      </c>
    </row>
    <row r="219">
      <c r="A219" s="18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5">
        <f>IF($A219="","",YEAR($A219)&amp;"-Q"&amp;ROUNDUP(MONTH($A219)/3,0))</f>
        <v/>
      </c>
      <c r="O219" s="15">
        <f>IF($A219="","",IF(OR($B219="",$E219="",$F219="",$G219="",$I219="",$K219=""),"Faltam campos","OK"))</f>
        <v/>
      </c>
      <c r="P219" s="15">
        <f>IF(OR($B219="",$B219&lt;&gt;'Pauta 1a1'!$B$4,$N219&lt;&gt;'Pauta 1a1'!$B$5),"",COUNTIFS($B$5:$B219,'Pauta 1a1'!$B$4,$N$5:$N219,'Pauta 1a1'!$B$5))</f>
        <v/>
      </c>
    </row>
    <row r="220">
      <c r="A220" s="18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5">
        <f>IF($A220="","",YEAR($A220)&amp;"-Q"&amp;ROUNDUP(MONTH($A220)/3,0))</f>
        <v/>
      </c>
      <c r="O220" s="15">
        <f>IF($A220="","",IF(OR($B220="",$E220="",$F220="",$G220="",$I220="",$K220=""),"Faltam campos","OK"))</f>
        <v/>
      </c>
      <c r="P220" s="15">
        <f>IF(OR($B220="",$B220&lt;&gt;'Pauta 1a1'!$B$4,$N220&lt;&gt;'Pauta 1a1'!$B$5),"",COUNTIFS($B$5:$B220,'Pauta 1a1'!$B$4,$N$5:$N220,'Pauta 1a1'!$B$5))</f>
        <v/>
      </c>
    </row>
    <row r="221">
      <c r="A221" s="18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5">
        <f>IF($A221="","",YEAR($A221)&amp;"-Q"&amp;ROUNDUP(MONTH($A221)/3,0))</f>
        <v/>
      </c>
      <c r="O221" s="15">
        <f>IF($A221="","",IF(OR($B221="",$E221="",$F221="",$G221="",$I221="",$K221=""),"Faltam campos","OK"))</f>
        <v/>
      </c>
      <c r="P221" s="15">
        <f>IF(OR($B221="",$B221&lt;&gt;'Pauta 1a1'!$B$4,$N221&lt;&gt;'Pauta 1a1'!$B$5),"",COUNTIFS($B$5:$B221,'Pauta 1a1'!$B$4,$N$5:$N221,'Pauta 1a1'!$B$5))</f>
        <v/>
      </c>
    </row>
    <row r="222">
      <c r="A222" s="18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5">
        <f>IF($A222="","",YEAR($A222)&amp;"-Q"&amp;ROUNDUP(MONTH($A222)/3,0))</f>
        <v/>
      </c>
      <c r="O222" s="15">
        <f>IF($A222="","",IF(OR($B222="",$E222="",$F222="",$G222="",$I222="",$K222=""),"Faltam campos","OK"))</f>
        <v/>
      </c>
      <c r="P222" s="15">
        <f>IF(OR($B222="",$B222&lt;&gt;'Pauta 1a1'!$B$4,$N222&lt;&gt;'Pauta 1a1'!$B$5),"",COUNTIFS($B$5:$B222,'Pauta 1a1'!$B$4,$N$5:$N222,'Pauta 1a1'!$B$5))</f>
        <v/>
      </c>
    </row>
    <row r="223">
      <c r="A223" s="18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5">
        <f>IF($A223="","",YEAR($A223)&amp;"-Q"&amp;ROUNDUP(MONTH($A223)/3,0))</f>
        <v/>
      </c>
      <c r="O223" s="15">
        <f>IF($A223="","",IF(OR($B223="",$E223="",$F223="",$G223="",$I223="",$K223=""),"Faltam campos","OK"))</f>
        <v/>
      </c>
      <c r="P223" s="15">
        <f>IF(OR($B223="",$B223&lt;&gt;'Pauta 1a1'!$B$4,$N223&lt;&gt;'Pauta 1a1'!$B$5),"",COUNTIFS($B$5:$B223,'Pauta 1a1'!$B$4,$N$5:$N223,'Pauta 1a1'!$B$5))</f>
        <v/>
      </c>
    </row>
    <row r="224">
      <c r="A224" s="18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5">
        <f>IF($A224="","",YEAR($A224)&amp;"-Q"&amp;ROUNDUP(MONTH($A224)/3,0))</f>
        <v/>
      </c>
      <c r="O224" s="15">
        <f>IF($A224="","",IF(OR($B224="",$E224="",$F224="",$G224="",$I224="",$K224=""),"Faltam campos","OK"))</f>
        <v/>
      </c>
      <c r="P224" s="15">
        <f>IF(OR($B224="",$B224&lt;&gt;'Pauta 1a1'!$B$4,$N224&lt;&gt;'Pauta 1a1'!$B$5),"",COUNTIFS($B$5:$B224,'Pauta 1a1'!$B$4,$N$5:$N224,'Pauta 1a1'!$B$5))</f>
        <v/>
      </c>
    </row>
    <row r="225">
      <c r="A225" s="18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5">
        <f>IF($A225="","",YEAR($A225)&amp;"-Q"&amp;ROUNDUP(MONTH($A225)/3,0))</f>
        <v/>
      </c>
      <c r="O225" s="15">
        <f>IF($A225="","",IF(OR($B225="",$E225="",$F225="",$G225="",$I225="",$K225=""),"Faltam campos","OK"))</f>
        <v/>
      </c>
      <c r="P225" s="15">
        <f>IF(OR($B225="",$B225&lt;&gt;'Pauta 1a1'!$B$4,$N225&lt;&gt;'Pauta 1a1'!$B$5),"",COUNTIFS($B$5:$B225,'Pauta 1a1'!$B$4,$N$5:$N225,'Pauta 1a1'!$B$5))</f>
        <v/>
      </c>
    </row>
    <row r="226">
      <c r="A226" s="18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5">
        <f>IF($A226="","",YEAR($A226)&amp;"-Q"&amp;ROUNDUP(MONTH($A226)/3,0))</f>
        <v/>
      </c>
      <c r="O226" s="15">
        <f>IF($A226="","",IF(OR($B226="",$E226="",$F226="",$G226="",$I226="",$K226=""),"Faltam campos","OK"))</f>
        <v/>
      </c>
      <c r="P226" s="15">
        <f>IF(OR($B226="",$B226&lt;&gt;'Pauta 1a1'!$B$4,$N226&lt;&gt;'Pauta 1a1'!$B$5),"",COUNTIFS($B$5:$B226,'Pauta 1a1'!$B$4,$N$5:$N226,'Pauta 1a1'!$B$5))</f>
        <v/>
      </c>
    </row>
    <row r="227">
      <c r="A227" s="18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5">
        <f>IF($A227="","",YEAR($A227)&amp;"-Q"&amp;ROUNDUP(MONTH($A227)/3,0))</f>
        <v/>
      </c>
      <c r="O227" s="15">
        <f>IF($A227="","",IF(OR($B227="",$E227="",$F227="",$G227="",$I227="",$K227=""),"Faltam campos","OK"))</f>
        <v/>
      </c>
      <c r="P227" s="15">
        <f>IF(OR($B227="",$B227&lt;&gt;'Pauta 1a1'!$B$4,$N227&lt;&gt;'Pauta 1a1'!$B$5),"",COUNTIFS($B$5:$B227,'Pauta 1a1'!$B$4,$N$5:$N227,'Pauta 1a1'!$B$5))</f>
        <v/>
      </c>
    </row>
    <row r="228">
      <c r="A228" s="18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5">
        <f>IF($A228="","",YEAR($A228)&amp;"-Q"&amp;ROUNDUP(MONTH($A228)/3,0))</f>
        <v/>
      </c>
      <c r="O228" s="15">
        <f>IF($A228="","",IF(OR($B228="",$E228="",$F228="",$G228="",$I228="",$K228=""),"Faltam campos","OK"))</f>
        <v/>
      </c>
      <c r="P228" s="15">
        <f>IF(OR($B228="",$B228&lt;&gt;'Pauta 1a1'!$B$4,$N228&lt;&gt;'Pauta 1a1'!$B$5),"",COUNTIFS($B$5:$B228,'Pauta 1a1'!$B$4,$N$5:$N228,'Pauta 1a1'!$B$5))</f>
        <v/>
      </c>
    </row>
    <row r="229">
      <c r="A229" s="18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5">
        <f>IF($A229="","",YEAR($A229)&amp;"-Q"&amp;ROUNDUP(MONTH($A229)/3,0))</f>
        <v/>
      </c>
      <c r="O229" s="15">
        <f>IF($A229="","",IF(OR($B229="",$E229="",$F229="",$G229="",$I229="",$K229=""),"Faltam campos","OK"))</f>
        <v/>
      </c>
      <c r="P229" s="15">
        <f>IF(OR($B229="",$B229&lt;&gt;'Pauta 1a1'!$B$4,$N229&lt;&gt;'Pauta 1a1'!$B$5),"",COUNTIFS($B$5:$B229,'Pauta 1a1'!$B$4,$N$5:$N229,'Pauta 1a1'!$B$5))</f>
        <v/>
      </c>
    </row>
    <row r="230">
      <c r="A230" s="18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5">
        <f>IF($A230="","",YEAR($A230)&amp;"-Q"&amp;ROUNDUP(MONTH($A230)/3,0))</f>
        <v/>
      </c>
      <c r="O230" s="15">
        <f>IF($A230="","",IF(OR($B230="",$E230="",$F230="",$G230="",$I230="",$K230=""),"Faltam campos","OK"))</f>
        <v/>
      </c>
      <c r="P230" s="15">
        <f>IF(OR($B230="",$B230&lt;&gt;'Pauta 1a1'!$B$4,$N230&lt;&gt;'Pauta 1a1'!$B$5),"",COUNTIFS($B$5:$B230,'Pauta 1a1'!$B$4,$N$5:$N230,'Pauta 1a1'!$B$5))</f>
        <v/>
      </c>
    </row>
    <row r="231">
      <c r="A231" s="18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5">
        <f>IF($A231="","",YEAR($A231)&amp;"-Q"&amp;ROUNDUP(MONTH($A231)/3,0))</f>
        <v/>
      </c>
      <c r="O231" s="15">
        <f>IF($A231="","",IF(OR($B231="",$E231="",$F231="",$G231="",$I231="",$K231=""),"Faltam campos","OK"))</f>
        <v/>
      </c>
      <c r="P231" s="15">
        <f>IF(OR($B231="",$B231&lt;&gt;'Pauta 1a1'!$B$4,$N231&lt;&gt;'Pauta 1a1'!$B$5),"",COUNTIFS($B$5:$B231,'Pauta 1a1'!$B$4,$N$5:$N231,'Pauta 1a1'!$B$5))</f>
        <v/>
      </c>
    </row>
    <row r="232">
      <c r="A232" s="18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5">
        <f>IF($A232="","",YEAR($A232)&amp;"-Q"&amp;ROUNDUP(MONTH($A232)/3,0))</f>
        <v/>
      </c>
      <c r="O232" s="15">
        <f>IF($A232="","",IF(OR($B232="",$E232="",$F232="",$G232="",$I232="",$K232=""),"Faltam campos","OK"))</f>
        <v/>
      </c>
      <c r="P232" s="15">
        <f>IF(OR($B232="",$B232&lt;&gt;'Pauta 1a1'!$B$4,$N232&lt;&gt;'Pauta 1a1'!$B$5),"",COUNTIFS($B$5:$B232,'Pauta 1a1'!$B$4,$N$5:$N232,'Pauta 1a1'!$B$5))</f>
        <v/>
      </c>
    </row>
    <row r="233">
      <c r="A233" s="18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5">
        <f>IF($A233="","",YEAR($A233)&amp;"-Q"&amp;ROUNDUP(MONTH($A233)/3,0))</f>
        <v/>
      </c>
      <c r="O233" s="15">
        <f>IF($A233="","",IF(OR($B233="",$E233="",$F233="",$G233="",$I233="",$K233=""),"Faltam campos","OK"))</f>
        <v/>
      </c>
      <c r="P233" s="15">
        <f>IF(OR($B233="",$B233&lt;&gt;'Pauta 1a1'!$B$4,$N233&lt;&gt;'Pauta 1a1'!$B$5),"",COUNTIFS($B$5:$B233,'Pauta 1a1'!$B$4,$N$5:$N233,'Pauta 1a1'!$B$5))</f>
        <v/>
      </c>
    </row>
    <row r="234">
      <c r="A234" s="18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5">
        <f>IF($A234="","",YEAR($A234)&amp;"-Q"&amp;ROUNDUP(MONTH($A234)/3,0))</f>
        <v/>
      </c>
      <c r="O234" s="15">
        <f>IF($A234="","",IF(OR($B234="",$E234="",$F234="",$G234="",$I234="",$K234=""),"Faltam campos","OK"))</f>
        <v/>
      </c>
      <c r="P234" s="15">
        <f>IF(OR($B234="",$B234&lt;&gt;'Pauta 1a1'!$B$4,$N234&lt;&gt;'Pauta 1a1'!$B$5),"",COUNTIFS($B$5:$B234,'Pauta 1a1'!$B$4,$N$5:$N234,'Pauta 1a1'!$B$5))</f>
        <v/>
      </c>
    </row>
    <row r="235">
      <c r="A235" s="18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5">
        <f>IF($A235="","",YEAR($A235)&amp;"-Q"&amp;ROUNDUP(MONTH($A235)/3,0))</f>
        <v/>
      </c>
      <c r="O235" s="15">
        <f>IF($A235="","",IF(OR($B235="",$E235="",$F235="",$G235="",$I235="",$K235=""),"Faltam campos","OK"))</f>
        <v/>
      </c>
      <c r="P235" s="15">
        <f>IF(OR($B235="",$B235&lt;&gt;'Pauta 1a1'!$B$4,$N235&lt;&gt;'Pauta 1a1'!$B$5),"",COUNTIFS($B$5:$B235,'Pauta 1a1'!$B$4,$N$5:$N235,'Pauta 1a1'!$B$5))</f>
        <v/>
      </c>
    </row>
    <row r="236">
      <c r="A236" s="18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5">
        <f>IF($A236="","",YEAR($A236)&amp;"-Q"&amp;ROUNDUP(MONTH($A236)/3,0))</f>
        <v/>
      </c>
      <c r="O236" s="15">
        <f>IF($A236="","",IF(OR($B236="",$E236="",$F236="",$G236="",$I236="",$K236=""),"Faltam campos","OK"))</f>
        <v/>
      </c>
      <c r="P236" s="15">
        <f>IF(OR($B236="",$B236&lt;&gt;'Pauta 1a1'!$B$4,$N236&lt;&gt;'Pauta 1a1'!$B$5),"",COUNTIFS($B$5:$B236,'Pauta 1a1'!$B$4,$N$5:$N236,'Pauta 1a1'!$B$5))</f>
        <v/>
      </c>
    </row>
    <row r="237">
      <c r="A237" s="18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5">
        <f>IF($A237="","",YEAR($A237)&amp;"-Q"&amp;ROUNDUP(MONTH($A237)/3,0))</f>
        <v/>
      </c>
      <c r="O237" s="15">
        <f>IF($A237="","",IF(OR($B237="",$E237="",$F237="",$G237="",$I237="",$K237=""),"Faltam campos","OK"))</f>
        <v/>
      </c>
      <c r="P237" s="15">
        <f>IF(OR($B237="",$B237&lt;&gt;'Pauta 1a1'!$B$4,$N237&lt;&gt;'Pauta 1a1'!$B$5),"",COUNTIFS($B$5:$B237,'Pauta 1a1'!$B$4,$N$5:$N237,'Pauta 1a1'!$B$5))</f>
        <v/>
      </c>
    </row>
    <row r="238">
      <c r="A238" s="18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5">
        <f>IF($A238="","",YEAR($A238)&amp;"-Q"&amp;ROUNDUP(MONTH($A238)/3,0))</f>
        <v/>
      </c>
      <c r="O238" s="15">
        <f>IF($A238="","",IF(OR($B238="",$E238="",$F238="",$G238="",$I238="",$K238=""),"Faltam campos","OK"))</f>
        <v/>
      </c>
      <c r="P238" s="15">
        <f>IF(OR($B238="",$B238&lt;&gt;'Pauta 1a1'!$B$4,$N238&lt;&gt;'Pauta 1a1'!$B$5),"",COUNTIFS($B$5:$B238,'Pauta 1a1'!$B$4,$N$5:$N238,'Pauta 1a1'!$B$5))</f>
        <v/>
      </c>
    </row>
    <row r="239">
      <c r="A239" s="18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5">
        <f>IF($A239="","",YEAR($A239)&amp;"-Q"&amp;ROUNDUP(MONTH($A239)/3,0))</f>
        <v/>
      </c>
      <c r="O239" s="15">
        <f>IF($A239="","",IF(OR($B239="",$E239="",$F239="",$G239="",$I239="",$K239=""),"Faltam campos","OK"))</f>
        <v/>
      </c>
      <c r="P239" s="15">
        <f>IF(OR($B239="",$B239&lt;&gt;'Pauta 1a1'!$B$4,$N239&lt;&gt;'Pauta 1a1'!$B$5),"",COUNTIFS($B$5:$B239,'Pauta 1a1'!$B$4,$N$5:$N239,'Pauta 1a1'!$B$5))</f>
        <v/>
      </c>
    </row>
    <row r="240">
      <c r="A240" s="18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5">
        <f>IF($A240="","",YEAR($A240)&amp;"-Q"&amp;ROUNDUP(MONTH($A240)/3,0))</f>
        <v/>
      </c>
      <c r="O240" s="15">
        <f>IF($A240="","",IF(OR($B240="",$E240="",$F240="",$G240="",$I240="",$K240=""),"Faltam campos","OK"))</f>
        <v/>
      </c>
      <c r="P240" s="15">
        <f>IF(OR($B240="",$B240&lt;&gt;'Pauta 1a1'!$B$4,$N240&lt;&gt;'Pauta 1a1'!$B$5),"",COUNTIFS($B$5:$B240,'Pauta 1a1'!$B$4,$N$5:$N240,'Pauta 1a1'!$B$5))</f>
        <v/>
      </c>
    </row>
    <row r="241">
      <c r="A241" s="18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5">
        <f>IF($A241="","",YEAR($A241)&amp;"-Q"&amp;ROUNDUP(MONTH($A241)/3,0))</f>
        <v/>
      </c>
      <c r="O241" s="15">
        <f>IF($A241="","",IF(OR($B241="",$E241="",$F241="",$G241="",$I241="",$K241=""),"Faltam campos","OK"))</f>
        <v/>
      </c>
      <c r="P241" s="15">
        <f>IF(OR($B241="",$B241&lt;&gt;'Pauta 1a1'!$B$4,$N241&lt;&gt;'Pauta 1a1'!$B$5),"",COUNTIFS($B$5:$B241,'Pauta 1a1'!$B$4,$N$5:$N241,'Pauta 1a1'!$B$5))</f>
        <v/>
      </c>
    </row>
    <row r="242">
      <c r="A242" s="18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5">
        <f>IF($A242="","",YEAR($A242)&amp;"-Q"&amp;ROUNDUP(MONTH($A242)/3,0))</f>
        <v/>
      </c>
      <c r="O242" s="15">
        <f>IF($A242="","",IF(OR($B242="",$E242="",$F242="",$G242="",$I242="",$K242=""),"Faltam campos","OK"))</f>
        <v/>
      </c>
      <c r="P242" s="15">
        <f>IF(OR($B242="",$B242&lt;&gt;'Pauta 1a1'!$B$4,$N242&lt;&gt;'Pauta 1a1'!$B$5),"",COUNTIFS($B$5:$B242,'Pauta 1a1'!$B$4,$N$5:$N242,'Pauta 1a1'!$B$5))</f>
        <v/>
      </c>
    </row>
    <row r="243">
      <c r="A243" s="18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5">
        <f>IF($A243="","",YEAR($A243)&amp;"-Q"&amp;ROUNDUP(MONTH($A243)/3,0))</f>
        <v/>
      </c>
      <c r="O243" s="15">
        <f>IF($A243="","",IF(OR($B243="",$E243="",$F243="",$G243="",$I243="",$K243=""),"Faltam campos","OK"))</f>
        <v/>
      </c>
      <c r="P243" s="15">
        <f>IF(OR($B243="",$B243&lt;&gt;'Pauta 1a1'!$B$4,$N243&lt;&gt;'Pauta 1a1'!$B$5),"",COUNTIFS($B$5:$B243,'Pauta 1a1'!$B$4,$N$5:$N243,'Pauta 1a1'!$B$5))</f>
        <v/>
      </c>
    </row>
    <row r="244">
      <c r="A244" s="18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5">
        <f>IF($A244="","",YEAR($A244)&amp;"-Q"&amp;ROUNDUP(MONTH($A244)/3,0))</f>
        <v/>
      </c>
      <c r="O244" s="15">
        <f>IF($A244="","",IF(OR($B244="",$E244="",$F244="",$G244="",$I244="",$K244=""),"Faltam campos","OK"))</f>
        <v/>
      </c>
      <c r="P244" s="15">
        <f>IF(OR($B244="",$B244&lt;&gt;'Pauta 1a1'!$B$4,$N244&lt;&gt;'Pauta 1a1'!$B$5),"",COUNTIFS($B$5:$B244,'Pauta 1a1'!$B$4,$N$5:$N244,'Pauta 1a1'!$B$5))</f>
        <v/>
      </c>
    </row>
    <row r="245">
      <c r="A245" s="18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5">
        <f>IF($A245="","",YEAR($A245)&amp;"-Q"&amp;ROUNDUP(MONTH($A245)/3,0))</f>
        <v/>
      </c>
      <c r="O245" s="15">
        <f>IF($A245="","",IF(OR($B245="",$E245="",$F245="",$G245="",$I245="",$K245=""),"Faltam campos","OK"))</f>
        <v/>
      </c>
      <c r="P245" s="15">
        <f>IF(OR($B245="",$B245&lt;&gt;'Pauta 1a1'!$B$4,$N245&lt;&gt;'Pauta 1a1'!$B$5),"",COUNTIFS($B$5:$B245,'Pauta 1a1'!$B$4,$N$5:$N245,'Pauta 1a1'!$B$5))</f>
        <v/>
      </c>
    </row>
    <row r="246">
      <c r="A246" s="18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5">
        <f>IF($A246="","",YEAR($A246)&amp;"-Q"&amp;ROUNDUP(MONTH($A246)/3,0))</f>
        <v/>
      </c>
      <c r="O246" s="15">
        <f>IF($A246="","",IF(OR($B246="",$E246="",$F246="",$G246="",$I246="",$K246=""),"Faltam campos","OK"))</f>
        <v/>
      </c>
      <c r="P246" s="15">
        <f>IF(OR($B246="",$B246&lt;&gt;'Pauta 1a1'!$B$4,$N246&lt;&gt;'Pauta 1a1'!$B$5),"",COUNTIFS($B$5:$B246,'Pauta 1a1'!$B$4,$N$5:$N246,'Pauta 1a1'!$B$5))</f>
        <v/>
      </c>
    </row>
    <row r="247">
      <c r="A247" s="18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5">
        <f>IF($A247="","",YEAR($A247)&amp;"-Q"&amp;ROUNDUP(MONTH($A247)/3,0))</f>
        <v/>
      </c>
      <c r="O247" s="15">
        <f>IF($A247="","",IF(OR($B247="",$E247="",$F247="",$G247="",$I247="",$K247=""),"Faltam campos","OK"))</f>
        <v/>
      </c>
      <c r="P247" s="15">
        <f>IF(OR($B247="",$B247&lt;&gt;'Pauta 1a1'!$B$4,$N247&lt;&gt;'Pauta 1a1'!$B$5),"",COUNTIFS($B$5:$B247,'Pauta 1a1'!$B$4,$N$5:$N247,'Pauta 1a1'!$B$5))</f>
        <v/>
      </c>
    </row>
    <row r="248">
      <c r="A248" s="18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5">
        <f>IF($A248="","",YEAR($A248)&amp;"-Q"&amp;ROUNDUP(MONTH($A248)/3,0))</f>
        <v/>
      </c>
      <c r="O248" s="15">
        <f>IF($A248="","",IF(OR($B248="",$E248="",$F248="",$G248="",$I248="",$K248=""),"Faltam campos","OK"))</f>
        <v/>
      </c>
      <c r="P248" s="15">
        <f>IF(OR($B248="",$B248&lt;&gt;'Pauta 1a1'!$B$4,$N248&lt;&gt;'Pauta 1a1'!$B$5),"",COUNTIFS($B$5:$B248,'Pauta 1a1'!$B$4,$N$5:$N248,'Pauta 1a1'!$B$5))</f>
        <v/>
      </c>
    </row>
    <row r="249">
      <c r="A249" s="18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5">
        <f>IF($A249="","",YEAR($A249)&amp;"-Q"&amp;ROUNDUP(MONTH($A249)/3,0))</f>
        <v/>
      </c>
      <c r="O249" s="15">
        <f>IF($A249="","",IF(OR($B249="",$E249="",$F249="",$G249="",$I249="",$K249=""),"Faltam campos","OK"))</f>
        <v/>
      </c>
      <c r="P249" s="15">
        <f>IF(OR($B249="",$B249&lt;&gt;'Pauta 1a1'!$B$4,$N249&lt;&gt;'Pauta 1a1'!$B$5),"",COUNTIFS($B$5:$B249,'Pauta 1a1'!$B$4,$N$5:$N249,'Pauta 1a1'!$B$5))</f>
        <v/>
      </c>
    </row>
    <row r="250">
      <c r="A250" s="18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5">
        <f>IF($A250="","",YEAR($A250)&amp;"-Q"&amp;ROUNDUP(MONTH($A250)/3,0))</f>
        <v/>
      </c>
      <c r="O250" s="15">
        <f>IF($A250="","",IF(OR($B250="",$E250="",$F250="",$G250="",$I250="",$K250=""),"Faltam campos","OK"))</f>
        <v/>
      </c>
      <c r="P250" s="15">
        <f>IF(OR($B250="",$B250&lt;&gt;'Pauta 1a1'!$B$4,$N250&lt;&gt;'Pauta 1a1'!$B$5),"",COUNTIFS($B$5:$B250,'Pauta 1a1'!$B$4,$N$5:$N250,'Pauta 1a1'!$B$5))</f>
        <v/>
      </c>
    </row>
    <row r="251">
      <c r="A251" s="18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5">
        <f>IF($A251="","",YEAR($A251)&amp;"-Q"&amp;ROUNDUP(MONTH($A251)/3,0))</f>
        <v/>
      </c>
      <c r="O251" s="15">
        <f>IF($A251="","",IF(OR($B251="",$E251="",$F251="",$G251="",$I251="",$K251=""),"Faltam campos","OK"))</f>
        <v/>
      </c>
      <c r="P251" s="15">
        <f>IF(OR($B251="",$B251&lt;&gt;'Pauta 1a1'!$B$4,$N251&lt;&gt;'Pauta 1a1'!$B$5),"",COUNTIFS($B$5:$B251,'Pauta 1a1'!$B$4,$N$5:$N251,'Pauta 1a1'!$B$5))</f>
        <v/>
      </c>
    </row>
    <row r="252">
      <c r="A252" s="18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5">
        <f>IF($A252="","",YEAR($A252)&amp;"-Q"&amp;ROUNDUP(MONTH($A252)/3,0))</f>
        <v/>
      </c>
      <c r="O252" s="15">
        <f>IF($A252="","",IF(OR($B252="",$E252="",$F252="",$G252="",$I252="",$K252=""),"Faltam campos","OK"))</f>
        <v/>
      </c>
      <c r="P252" s="15">
        <f>IF(OR($B252="",$B252&lt;&gt;'Pauta 1a1'!$B$4,$N252&lt;&gt;'Pauta 1a1'!$B$5),"",COUNTIFS($B$5:$B252,'Pauta 1a1'!$B$4,$N$5:$N252,'Pauta 1a1'!$B$5))</f>
        <v/>
      </c>
    </row>
    <row r="253">
      <c r="A253" s="18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5">
        <f>IF($A253="","",YEAR($A253)&amp;"-Q"&amp;ROUNDUP(MONTH($A253)/3,0))</f>
        <v/>
      </c>
      <c r="O253" s="15">
        <f>IF($A253="","",IF(OR($B253="",$E253="",$F253="",$G253="",$I253="",$K253=""),"Faltam campos","OK"))</f>
        <v/>
      </c>
      <c r="P253" s="15">
        <f>IF(OR($B253="",$B253&lt;&gt;'Pauta 1a1'!$B$4,$N253&lt;&gt;'Pauta 1a1'!$B$5),"",COUNTIFS($B$5:$B253,'Pauta 1a1'!$B$4,$N$5:$N253,'Pauta 1a1'!$B$5))</f>
        <v/>
      </c>
    </row>
    <row r="254">
      <c r="A254" s="18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5">
        <f>IF($A254="","",YEAR($A254)&amp;"-Q"&amp;ROUNDUP(MONTH($A254)/3,0))</f>
        <v/>
      </c>
      <c r="O254" s="15">
        <f>IF($A254="","",IF(OR($B254="",$E254="",$F254="",$G254="",$I254="",$K254=""),"Faltam campos","OK"))</f>
        <v/>
      </c>
      <c r="P254" s="15">
        <f>IF(OR($B254="",$B254&lt;&gt;'Pauta 1a1'!$B$4,$N254&lt;&gt;'Pauta 1a1'!$B$5),"",COUNTIFS($B$5:$B254,'Pauta 1a1'!$B$4,$N$5:$N254,'Pauta 1a1'!$B$5))</f>
        <v/>
      </c>
    </row>
    <row r="255">
      <c r="A255" s="18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5">
        <f>IF($A255="","",YEAR($A255)&amp;"-Q"&amp;ROUNDUP(MONTH($A255)/3,0))</f>
        <v/>
      </c>
      <c r="O255" s="15">
        <f>IF($A255="","",IF(OR($B255="",$E255="",$F255="",$G255="",$I255="",$K255=""),"Faltam campos","OK"))</f>
        <v/>
      </c>
      <c r="P255" s="15">
        <f>IF(OR($B255="",$B255&lt;&gt;'Pauta 1a1'!$B$4,$N255&lt;&gt;'Pauta 1a1'!$B$5),"",COUNTIFS($B$5:$B255,'Pauta 1a1'!$B$4,$N$5:$N255,'Pauta 1a1'!$B$5))</f>
        <v/>
      </c>
    </row>
    <row r="256">
      <c r="A256" s="18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5">
        <f>IF($A256="","",YEAR($A256)&amp;"-Q"&amp;ROUNDUP(MONTH($A256)/3,0))</f>
        <v/>
      </c>
      <c r="O256" s="15">
        <f>IF($A256="","",IF(OR($B256="",$E256="",$F256="",$G256="",$I256="",$K256=""),"Faltam campos","OK"))</f>
        <v/>
      </c>
      <c r="P256" s="15">
        <f>IF(OR($B256="",$B256&lt;&gt;'Pauta 1a1'!$B$4,$N256&lt;&gt;'Pauta 1a1'!$B$5),"",COUNTIFS($B$5:$B256,'Pauta 1a1'!$B$4,$N$5:$N256,'Pauta 1a1'!$B$5))</f>
        <v/>
      </c>
    </row>
    <row r="257">
      <c r="A257" s="18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5">
        <f>IF($A257="","",YEAR($A257)&amp;"-Q"&amp;ROUNDUP(MONTH($A257)/3,0))</f>
        <v/>
      </c>
      <c r="O257" s="15">
        <f>IF($A257="","",IF(OR($B257="",$E257="",$F257="",$G257="",$I257="",$K257=""),"Faltam campos","OK"))</f>
        <v/>
      </c>
      <c r="P257" s="15">
        <f>IF(OR($B257="",$B257&lt;&gt;'Pauta 1a1'!$B$4,$N257&lt;&gt;'Pauta 1a1'!$B$5),"",COUNTIFS($B$5:$B257,'Pauta 1a1'!$B$4,$N$5:$N257,'Pauta 1a1'!$B$5))</f>
        <v/>
      </c>
    </row>
    <row r="258">
      <c r="A258" s="18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5">
        <f>IF($A258="","",YEAR($A258)&amp;"-Q"&amp;ROUNDUP(MONTH($A258)/3,0))</f>
        <v/>
      </c>
      <c r="O258" s="15">
        <f>IF($A258="","",IF(OR($B258="",$E258="",$F258="",$G258="",$I258="",$K258=""),"Faltam campos","OK"))</f>
        <v/>
      </c>
      <c r="P258" s="15">
        <f>IF(OR($B258="",$B258&lt;&gt;'Pauta 1a1'!$B$4,$N258&lt;&gt;'Pauta 1a1'!$B$5),"",COUNTIFS($B$5:$B258,'Pauta 1a1'!$B$4,$N$5:$N258,'Pauta 1a1'!$B$5))</f>
        <v/>
      </c>
    </row>
    <row r="259">
      <c r="A259" s="18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5">
        <f>IF($A259="","",YEAR($A259)&amp;"-Q"&amp;ROUNDUP(MONTH($A259)/3,0))</f>
        <v/>
      </c>
      <c r="O259" s="15">
        <f>IF($A259="","",IF(OR($B259="",$E259="",$F259="",$G259="",$I259="",$K259=""),"Faltam campos","OK"))</f>
        <v/>
      </c>
      <c r="P259" s="15">
        <f>IF(OR($B259="",$B259&lt;&gt;'Pauta 1a1'!$B$4,$N259&lt;&gt;'Pauta 1a1'!$B$5),"",COUNTIFS($B$5:$B259,'Pauta 1a1'!$B$4,$N$5:$N259,'Pauta 1a1'!$B$5))</f>
        <v/>
      </c>
    </row>
    <row r="260">
      <c r="A260" s="18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5">
        <f>IF($A260="","",YEAR($A260)&amp;"-Q"&amp;ROUNDUP(MONTH($A260)/3,0))</f>
        <v/>
      </c>
      <c r="O260" s="15">
        <f>IF($A260="","",IF(OR($B260="",$E260="",$F260="",$G260="",$I260="",$K260=""),"Faltam campos","OK"))</f>
        <v/>
      </c>
      <c r="P260" s="15">
        <f>IF(OR($B260="",$B260&lt;&gt;'Pauta 1a1'!$B$4,$N260&lt;&gt;'Pauta 1a1'!$B$5),"",COUNTIFS($B$5:$B260,'Pauta 1a1'!$B$4,$N$5:$N260,'Pauta 1a1'!$B$5))</f>
        <v/>
      </c>
    </row>
    <row r="261">
      <c r="A261" s="18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5">
        <f>IF($A261="","",YEAR($A261)&amp;"-Q"&amp;ROUNDUP(MONTH($A261)/3,0))</f>
        <v/>
      </c>
      <c r="O261" s="15">
        <f>IF($A261="","",IF(OR($B261="",$E261="",$F261="",$G261="",$I261="",$K261=""),"Faltam campos","OK"))</f>
        <v/>
      </c>
      <c r="P261" s="15">
        <f>IF(OR($B261="",$B261&lt;&gt;'Pauta 1a1'!$B$4,$N261&lt;&gt;'Pauta 1a1'!$B$5),"",COUNTIFS($B$5:$B261,'Pauta 1a1'!$B$4,$N$5:$N261,'Pauta 1a1'!$B$5))</f>
        <v/>
      </c>
    </row>
    <row r="262">
      <c r="A262" s="18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5">
        <f>IF($A262="","",YEAR($A262)&amp;"-Q"&amp;ROUNDUP(MONTH($A262)/3,0))</f>
        <v/>
      </c>
      <c r="O262" s="15">
        <f>IF($A262="","",IF(OR($B262="",$E262="",$F262="",$G262="",$I262="",$K262=""),"Faltam campos","OK"))</f>
        <v/>
      </c>
      <c r="P262" s="15">
        <f>IF(OR($B262="",$B262&lt;&gt;'Pauta 1a1'!$B$4,$N262&lt;&gt;'Pauta 1a1'!$B$5),"",COUNTIFS($B$5:$B262,'Pauta 1a1'!$B$4,$N$5:$N262,'Pauta 1a1'!$B$5))</f>
        <v/>
      </c>
    </row>
    <row r="263">
      <c r="A263" s="18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5">
        <f>IF($A263="","",YEAR($A263)&amp;"-Q"&amp;ROUNDUP(MONTH($A263)/3,0))</f>
        <v/>
      </c>
      <c r="O263" s="15">
        <f>IF($A263="","",IF(OR($B263="",$E263="",$F263="",$G263="",$I263="",$K263=""),"Faltam campos","OK"))</f>
        <v/>
      </c>
      <c r="P263" s="15">
        <f>IF(OR($B263="",$B263&lt;&gt;'Pauta 1a1'!$B$4,$N263&lt;&gt;'Pauta 1a1'!$B$5),"",COUNTIFS($B$5:$B263,'Pauta 1a1'!$B$4,$N$5:$N263,'Pauta 1a1'!$B$5))</f>
        <v/>
      </c>
    </row>
    <row r="264">
      <c r="A264" s="18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5">
        <f>IF($A264="","",YEAR($A264)&amp;"-Q"&amp;ROUNDUP(MONTH($A264)/3,0))</f>
        <v/>
      </c>
      <c r="O264" s="15">
        <f>IF($A264="","",IF(OR($B264="",$E264="",$F264="",$G264="",$I264="",$K264=""),"Faltam campos","OK"))</f>
        <v/>
      </c>
      <c r="P264" s="15">
        <f>IF(OR($B264="",$B264&lt;&gt;'Pauta 1a1'!$B$4,$N264&lt;&gt;'Pauta 1a1'!$B$5),"",COUNTIFS($B$5:$B264,'Pauta 1a1'!$B$4,$N$5:$N264,'Pauta 1a1'!$B$5))</f>
        <v/>
      </c>
    </row>
    <row r="265">
      <c r="A265" s="18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5">
        <f>IF($A265="","",YEAR($A265)&amp;"-Q"&amp;ROUNDUP(MONTH($A265)/3,0))</f>
        <v/>
      </c>
      <c r="O265" s="15">
        <f>IF($A265="","",IF(OR($B265="",$E265="",$F265="",$G265="",$I265="",$K265=""),"Faltam campos","OK"))</f>
        <v/>
      </c>
      <c r="P265" s="15">
        <f>IF(OR($B265="",$B265&lt;&gt;'Pauta 1a1'!$B$4,$N265&lt;&gt;'Pauta 1a1'!$B$5),"",COUNTIFS($B$5:$B265,'Pauta 1a1'!$B$4,$N$5:$N265,'Pauta 1a1'!$B$5))</f>
        <v/>
      </c>
    </row>
    <row r="266">
      <c r="A266" s="18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5">
        <f>IF($A266="","",YEAR($A266)&amp;"-Q"&amp;ROUNDUP(MONTH($A266)/3,0))</f>
        <v/>
      </c>
      <c r="O266" s="15">
        <f>IF($A266="","",IF(OR($B266="",$E266="",$F266="",$G266="",$I266="",$K266=""),"Faltam campos","OK"))</f>
        <v/>
      </c>
      <c r="P266" s="15">
        <f>IF(OR($B266="",$B266&lt;&gt;'Pauta 1a1'!$B$4,$N266&lt;&gt;'Pauta 1a1'!$B$5),"",COUNTIFS($B$5:$B266,'Pauta 1a1'!$B$4,$N$5:$N266,'Pauta 1a1'!$B$5))</f>
        <v/>
      </c>
    </row>
    <row r="267">
      <c r="A267" s="18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5">
        <f>IF($A267="","",YEAR($A267)&amp;"-Q"&amp;ROUNDUP(MONTH($A267)/3,0))</f>
        <v/>
      </c>
      <c r="O267" s="15">
        <f>IF($A267="","",IF(OR($B267="",$E267="",$F267="",$G267="",$I267="",$K267=""),"Faltam campos","OK"))</f>
        <v/>
      </c>
      <c r="P267" s="15">
        <f>IF(OR($B267="",$B267&lt;&gt;'Pauta 1a1'!$B$4,$N267&lt;&gt;'Pauta 1a1'!$B$5),"",COUNTIFS($B$5:$B267,'Pauta 1a1'!$B$4,$N$5:$N267,'Pauta 1a1'!$B$5))</f>
        <v/>
      </c>
    </row>
    <row r="268">
      <c r="A268" s="18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5">
        <f>IF($A268="","",YEAR($A268)&amp;"-Q"&amp;ROUNDUP(MONTH($A268)/3,0))</f>
        <v/>
      </c>
      <c r="O268" s="15">
        <f>IF($A268="","",IF(OR($B268="",$E268="",$F268="",$G268="",$I268="",$K268=""),"Faltam campos","OK"))</f>
        <v/>
      </c>
      <c r="P268" s="15">
        <f>IF(OR($B268="",$B268&lt;&gt;'Pauta 1a1'!$B$4,$N268&lt;&gt;'Pauta 1a1'!$B$5),"",COUNTIFS($B$5:$B268,'Pauta 1a1'!$B$4,$N$5:$N268,'Pauta 1a1'!$B$5))</f>
        <v/>
      </c>
    </row>
    <row r="269">
      <c r="A269" s="18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5">
        <f>IF($A269="","",YEAR($A269)&amp;"-Q"&amp;ROUNDUP(MONTH($A269)/3,0))</f>
        <v/>
      </c>
      <c r="O269" s="15">
        <f>IF($A269="","",IF(OR($B269="",$E269="",$F269="",$G269="",$I269="",$K269=""),"Faltam campos","OK"))</f>
        <v/>
      </c>
      <c r="P269" s="15">
        <f>IF(OR($B269="",$B269&lt;&gt;'Pauta 1a1'!$B$4,$N269&lt;&gt;'Pauta 1a1'!$B$5),"",COUNTIFS($B$5:$B269,'Pauta 1a1'!$B$4,$N$5:$N269,'Pauta 1a1'!$B$5))</f>
        <v/>
      </c>
    </row>
    <row r="270">
      <c r="A270" s="18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5">
        <f>IF($A270="","",YEAR($A270)&amp;"-Q"&amp;ROUNDUP(MONTH($A270)/3,0))</f>
        <v/>
      </c>
      <c r="O270" s="15">
        <f>IF($A270="","",IF(OR($B270="",$E270="",$F270="",$G270="",$I270="",$K270=""),"Faltam campos","OK"))</f>
        <v/>
      </c>
      <c r="P270" s="15">
        <f>IF(OR($B270="",$B270&lt;&gt;'Pauta 1a1'!$B$4,$N270&lt;&gt;'Pauta 1a1'!$B$5),"",COUNTIFS($B$5:$B270,'Pauta 1a1'!$B$4,$N$5:$N270,'Pauta 1a1'!$B$5))</f>
        <v/>
      </c>
    </row>
    <row r="271">
      <c r="A271" s="18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5">
        <f>IF($A271="","",YEAR($A271)&amp;"-Q"&amp;ROUNDUP(MONTH($A271)/3,0))</f>
        <v/>
      </c>
      <c r="O271" s="15">
        <f>IF($A271="","",IF(OR($B271="",$E271="",$F271="",$G271="",$I271="",$K271=""),"Faltam campos","OK"))</f>
        <v/>
      </c>
      <c r="P271" s="15">
        <f>IF(OR($B271="",$B271&lt;&gt;'Pauta 1a1'!$B$4,$N271&lt;&gt;'Pauta 1a1'!$B$5),"",COUNTIFS($B$5:$B271,'Pauta 1a1'!$B$4,$N$5:$N271,'Pauta 1a1'!$B$5))</f>
        <v/>
      </c>
    </row>
    <row r="272">
      <c r="A272" s="18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5">
        <f>IF($A272="","",YEAR($A272)&amp;"-Q"&amp;ROUNDUP(MONTH($A272)/3,0))</f>
        <v/>
      </c>
      <c r="O272" s="15">
        <f>IF($A272="","",IF(OR($B272="",$E272="",$F272="",$G272="",$I272="",$K272=""),"Faltam campos","OK"))</f>
        <v/>
      </c>
      <c r="P272" s="15">
        <f>IF(OR($B272="",$B272&lt;&gt;'Pauta 1a1'!$B$4,$N272&lt;&gt;'Pauta 1a1'!$B$5),"",COUNTIFS($B$5:$B272,'Pauta 1a1'!$B$4,$N$5:$N272,'Pauta 1a1'!$B$5))</f>
        <v/>
      </c>
    </row>
    <row r="273">
      <c r="A273" s="18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5">
        <f>IF($A273="","",YEAR($A273)&amp;"-Q"&amp;ROUNDUP(MONTH($A273)/3,0))</f>
        <v/>
      </c>
      <c r="O273" s="15">
        <f>IF($A273="","",IF(OR($B273="",$E273="",$F273="",$G273="",$I273="",$K273=""),"Faltam campos","OK"))</f>
        <v/>
      </c>
      <c r="P273" s="15">
        <f>IF(OR($B273="",$B273&lt;&gt;'Pauta 1a1'!$B$4,$N273&lt;&gt;'Pauta 1a1'!$B$5),"",COUNTIFS($B$5:$B273,'Pauta 1a1'!$B$4,$N$5:$N273,'Pauta 1a1'!$B$5))</f>
        <v/>
      </c>
    </row>
    <row r="274">
      <c r="A274" s="18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5">
        <f>IF($A274="","",YEAR($A274)&amp;"-Q"&amp;ROUNDUP(MONTH($A274)/3,0))</f>
        <v/>
      </c>
      <c r="O274" s="15">
        <f>IF($A274="","",IF(OR($B274="",$E274="",$F274="",$G274="",$I274="",$K274=""),"Faltam campos","OK"))</f>
        <v/>
      </c>
      <c r="P274" s="15">
        <f>IF(OR($B274="",$B274&lt;&gt;'Pauta 1a1'!$B$4,$N274&lt;&gt;'Pauta 1a1'!$B$5),"",COUNTIFS($B$5:$B274,'Pauta 1a1'!$B$4,$N$5:$N274,'Pauta 1a1'!$B$5))</f>
        <v/>
      </c>
    </row>
    <row r="275">
      <c r="A275" s="18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5">
        <f>IF($A275="","",YEAR($A275)&amp;"-Q"&amp;ROUNDUP(MONTH($A275)/3,0))</f>
        <v/>
      </c>
      <c r="O275" s="15">
        <f>IF($A275="","",IF(OR($B275="",$E275="",$F275="",$G275="",$I275="",$K275=""),"Faltam campos","OK"))</f>
        <v/>
      </c>
      <c r="P275" s="15">
        <f>IF(OR($B275="",$B275&lt;&gt;'Pauta 1a1'!$B$4,$N275&lt;&gt;'Pauta 1a1'!$B$5),"",COUNTIFS($B$5:$B275,'Pauta 1a1'!$B$4,$N$5:$N275,'Pauta 1a1'!$B$5))</f>
        <v/>
      </c>
    </row>
    <row r="276">
      <c r="A276" s="18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5">
        <f>IF($A276="","",YEAR($A276)&amp;"-Q"&amp;ROUNDUP(MONTH($A276)/3,0))</f>
        <v/>
      </c>
      <c r="O276" s="15">
        <f>IF($A276="","",IF(OR($B276="",$E276="",$F276="",$G276="",$I276="",$K276=""),"Faltam campos","OK"))</f>
        <v/>
      </c>
      <c r="P276" s="15">
        <f>IF(OR($B276="",$B276&lt;&gt;'Pauta 1a1'!$B$4,$N276&lt;&gt;'Pauta 1a1'!$B$5),"",COUNTIFS($B$5:$B276,'Pauta 1a1'!$B$4,$N$5:$N276,'Pauta 1a1'!$B$5))</f>
        <v/>
      </c>
    </row>
    <row r="277">
      <c r="A277" s="18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5">
        <f>IF($A277="","",YEAR($A277)&amp;"-Q"&amp;ROUNDUP(MONTH($A277)/3,0))</f>
        <v/>
      </c>
      <c r="O277" s="15">
        <f>IF($A277="","",IF(OR($B277="",$E277="",$F277="",$G277="",$I277="",$K277=""),"Faltam campos","OK"))</f>
        <v/>
      </c>
      <c r="P277" s="15">
        <f>IF(OR($B277="",$B277&lt;&gt;'Pauta 1a1'!$B$4,$N277&lt;&gt;'Pauta 1a1'!$B$5),"",COUNTIFS($B$5:$B277,'Pauta 1a1'!$B$4,$N$5:$N277,'Pauta 1a1'!$B$5))</f>
        <v/>
      </c>
    </row>
    <row r="278">
      <c r="A278" s="18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5">
        <f>IF($A278="","",YEAR($A278)&amp;"-Q"&amp;ROUNDUP(MONTH($A278)/3,0))</f>
        <v/>
      </c>
      <c r="O278" s="15">
        <f>IF($A278="","",IF(OR($B278="",$E278="",$F278="",$G278="",$I278="",$K278=""),"Faltam campos","OK"))</f>
        <v/>
      </c>
      <c r="P278" s="15">
        <f>IF(OR($B278="",$B278&lt;&gt;'Pauta 1a1'!$B$4,$N278&lt;&gt;'Pauta 1a1'!$B$5),"",COUNTIFS($B$5:$B278,'Pauta 1a1'!$B$4,$N$5:$N278,'Pauta 1a1'!$B$5))</f>
        <v/>
      </c>
    </row>
    <row r="279">
      <c r="A279" s="18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5">
        <f>IF($A279="","",YEAR($A279)&amp;"-Q"&amp;ROUNDUP(MONTH($A279)/3,0))</f>
        <v/>
      </c>
      <c r="O279" s="15">
        <f>IF($A279="","",IF(OR($B279="",$E279="",$F279="",$G279="",$I279="",$K279=""),"Faltam campos","OK"))</f>
        <v/>
      </c>
      <c r="P279" s="15">
        <f>IF(OR($B279="",$B279&lt;&gt;'Pauta 1a1'!$B$4,$N279&lt;&gt;'Pauta 1a1'!$B$5),"",COUNTIFS($B$5:$B279,'Pauta 1a1'!$B$4,$N$5:$N279,'Pauta 1a1'!$B$5))</f>
        <v/>
      </c>
    </row>
    <row r="280">
      <c r="A280" s="18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5">
        <f>IF($A280="","",YEAR($A280)&amp;"-Q"&amp;ROUNDUP(MONTH($A280)/3,0))</f>
        <v/>
      </c>
      <c r="O280" s="15">
        <f>IF($A280="","",IF(OR($B280="",$E280="",$F280="",$G280="",$I280="",$K280=""),"Faltam campos","OK"))</f>
        <v/>
      </c>
      <c r="P280" s="15">
        <f>IF(OR($B280="",$B280&lt;&gt;'Pauta 1a1'!$B$4,$N280&lt;&gt;'Pauta 1a1'!$B$5),"",COUNTIFS($B$5:$B280,'Pauta 1a1'!$B$4,$N$5:$N280,'Pauta 1a1'!$B$5))</f>
        <v/>
      </c>
    </row>
    <row r="281">
      <c r="A281" s="18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5">
        <f>IF($A281="","",YEAR($A281)&amp;"-Q"&amp;ROUNDUP(MONTH($A281)/3,0))</f>
        <v/>
      </c>
      <c r="O281" s="15">
        <f>IF($A281="","",IF(OR($B281="",$E281="",$F281="",$G281="",$I281="",$K281=""),"Faltam campos","OK"))</f>
        <v/>
      </c>
      <c r="P281" s="15">
        <f>IF(OR($B281="",$B281&lt;&gt;'Pauta 1a1'!$B$4,$N281&lt;&gt;'Pauta 1a1'!$B$5),"",COUNTIFS($B$5:$B281,'Pauta 1a1'!$B$4,$N$5:$N281,'Pauta 1a1'!$B$5))</f>
        <v/>
      </c>
    </row>
    <row r="282">
      <c r="A282" s="18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5">
        <f>IF($A282="","",YEAR($A282)&amp;"-Q"&amp;ROUNDUP(MONTH($A282)/3,0))</f>
        <v/>
      </c>
      <c r="O282" s="15">
        <f>IF($A282="","",IF(OR($B282="",$E282="",$F282="",$G282="",$I282="",$K282=""),"Faltam campos","OK"))</f>
        <v/>
      </c>
      <c r="P282" s="15">
        <f>IF(OR($B282="",$B282&lt;&gt;'Pauta 1a1'!$B$4,$N282&lt;&gt;'Pauta 1a1'!$B$5),"",COUNTIFS($B$5:$B282,'Pauta 1a1'!$B$4,$N$5:$N282,'Pauta 1a1'!$B$5))</f>
        <v/>
      </c>
    </row>
    <row r="283">
      <c r="A283" s="18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5">
        <f>IF($A283="","",YEAR($A283)&amp;"-Q"&amp;ROUNDUP(MONTH($A283)/3,0))</f>
        <v/>
      </c>
      <c r="O283" s="15">
        <f>IF($A283="","",IF(OR($B283="",$E283="",$F283="",$G283="",$I283="",$K283=""),"Faltam campos","OK"))</f>
        <v/>
      </c>
      <c r="P283" s="15">
        <f>IF(OR($B283="",$B283&lt;&gt;'Pauta 1a1'!$B$4,$N283&lt;&gt;'Pauta 1a1'!$B$5),"",COUNTIFS($B$5:$B283,'Pauta 1a1'!$B$4,$N$5:$N283,'Pauta 1a1'!$B$5))</f>
        <v/>
      </c>
    </row>
    <row r="284">
      <c r="A284" s="18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5">
        <f>IF($A284="","",YEAR($A284)&amp;"-Q"&amp;ROUNDUP(MONTH($A284)/3,0))</f>
        <v/>
      </c>
      <c r="O284" s="15">
        <f>IF($A284="","",IF(OR($B284="",$E284="",$F284="",$G284="",$I284="",$K284=""),"Faltam campos","OK"))</f>
        <v/>
      </c>
      <c r="P284" s="15">
        <f>IF(OR($B284="",$B284&lt;&gt;'Pauta 1a1'!$B$4,$N284&lt;&gt;'Pauta 1a1'!$B$5),"",COUNTIFS($B$5:$B284,'Pauta 1a1'!$B$4,$N$5:$N284,'Pauta 1a1'!$B$5))</f>
        <v/>
      </c>
    </row>
    <row r="285">
      <c r="A285" s="18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5">
        <f>IF($A285="","",YEAR($A285)&amp;"-Q"&amp;ROUNDUP(MONTH($A285)/3,0))</f>
        <v/>
      </c>
      <c r="O285" s="15">
        <f>IF($A285="","",IF(OR($B285="",$E285="",$F285="",$G285="",$I285="",$K285=""),"Faltam campos","OK"))</f>
        <v/>
      </c>
      <c r="P285" s="15">
        <f>IF(OR($B285="",$B285&lt;&gt;'Pauta 1a1'!$B$4,$N285&lt;&gt;'Pauta 1a1'!$B$5),"",COUNTIFS($B$5:$B285,'Pauta 1a1'!$B$4,$N$5:$N285,'Pauta 1a1'!$B$5))</f>
        <v/>
      </c>
    </row>
    <row r="286">
      <c r="A286" s="18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5">
        <f>IF($A286="","",YEAR($A286)&amp;"-Q"&amp;ROUNDUP(MONTH($A286)/3,0))</f>
        <v/>
      </c>
      <c r="O286" s="15">
        <f>IF($A286="","",IF(OR($B286="",$E286="",$F286="",$G286="",$I286="",$K286=""),"Faltam campos","OK"))</f>
        <v/>
      </c>
      <c r="P286" s="15">
        <f>IF(OR($B286="",$B286&lt;&gt;'Pauta 1a1'!$B$4,$N286&lt;&gt;'Pauta 1a1'!$B$5),"",COUNTIFS($B$5:$B286,'Pauta 1a1'!$B$4,$N$5:$N286,'Pauta 1a1'!$B$5))</f>
        <v/>
      </c>
    </row>
    <row r="287">
      <c r="A287" s="18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5">
        <f>IF($A287="","",YEAR($A287)&amp;"-Q"&amp;ROUNDUP(MONTH($A287)/3,0))</f>
        <v/>
      </c>
      <c r="O287" s="15">
        <f>IF($A287="","",IF(OR($B287="",$E287="",$F287="",$G287="",$I287="",$K287=""),"Faltam campos","OK"))</f>
        <v/>
      </c>
      <c r="P287" s="15">
        <f>IF(OR($B287="",$B287&lt;&gt;'Pauta 1a1'!$B$4,$N287&lt;&gt;'Pauta 1a1'!$B$5),"",COUNTIFS($B$5:$B287,'Pauta 1a1'!$B$4,$N$5:$N287,'Pauta 1a1'!$B$5))</f>
        <v/>
      </c>
    </row>
    <row r="288">
      <c r="A288" s="18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5">
        <f>IF($A288="","",YEAR($A288)&amp;"-Q"&amp;ROUNDUP(MONTH($A288)/3,0))</f>
        <v/>
      </c>
      <c r="O288" s="15">
        <f>IF($A288="","",IF(OR($B288="",$E288="",$F288="",$G288="",$I288="",$K288=""),"Faltam campos","OK"))</f>
        <v/>
      </c>
      <c r="P288" s="15">
        <f>IF(OR($B288="",$B288&lt;&gt;'Pauta 1a1'!$B$4,$N288&lt;&gt;'Pauta 1a1'!$B$5),"",COUNTIFS($B$5:$B288,'Pauta 1a1'!$B$4,$N$5:$N288,'Pauta 1a1'!$B$5))</f>
        <v/>
      </c>
    </row>
    <row r="289">
      <c r="A289" s="18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5">
        <f>IF($A289="","",YEAR($A289)&amp;"-Q"&amp;ROUNDUP(MONTH($A289)/3,0))</f>
        <v/>
      </c>
      <c r="O289" s="15">
        <f>IF($A289="","",IF(OR($B289="",$E289="",$F289="",$G289="",$I289="",$K289=""),"Faltam campos","OK"))</f>
        <v/>
      </c>
      <c r="P289" s="15">
        <f>IF(OR($B289="",$B289&lt;&gt;'Pauta 1a1'!$B$4,$N289&lt;&gt;'Pauta 1a1'!$B$5),"",COUNTIFS($B$5:$B289,'Pauta 1a1'!$B$4,$N$5:$N289,'Pauta 1a1'!$B$5))</f>
        <v/>
      </c>
    </row>
    <row r="290">
      <c r="A290" s="18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5">
        <f>IF($A290="","",YEAR($A290)&amp;"-Q"&amp;ROUNDUP(MONTH($A290)/3,0))</f>
        <v/>
      </c>
      <c r="O290" s="15">
        <f>IF($A290="","",IF(OR($B290="",$E290="",$F290="",$G290="",$I290="",$K290=""),"Faltam campos","OK"))</f>
        <v/>
      </c>
      <c r="P290" s="15">
        <f>IF(OR($B290="",$B290&lt;&gt;'Pauta 1a1'!$B$4,$N290&lt;&gt;'Pauta 1a1'!$B$5),"",COUNTIFS($B$5:$B290,'Pauta 1a1'!$B$4,$N$5:$N290,'Pauta 1a1'!$B$5))</f>
        <v/>
      </c>
    </row>
    <row r="291">
      <c r="A291" s="18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5">
        <f>IF($A291="","",YEAR($A291)&amp;"-Q"&amp;ROUNDUP(MONTH($A291)/3,0))</f>
        <v/>
      </c>
      <c r="O291" s="15">
        <f>IF($A291="","",IF(OR($B291="",$E291="",$F291="",$G291="",$I291="",$K291=""),"Faltam campos","OK"))</f>
        <v/>
      </c>
      <c r="P291" s="15">
        <f>IF(OR($B291="",$B291&lt;&gt;'Pauta 1a1'!$B$4,$N291&lt;&gt;'Pauta 1a1'!$B$5),"",COUNTIFS($B$5:$B291,'Pauta 1a1'!$B$4,$N$5:$N291,'Pauta 1a1'!$B$5))</f>
        <v/>
      </c>
    </row>
    <row r="292">
      <c r="A292" s="18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5">
        <f>IF($A292="","",YEAR($A292)&amp;"-Q"&amp;ROUNDUP(MONTH($A292)/3,0))</f>
        <v/>
      </c>
      <c r="O292" s="15">
        <f>IF($A292="","",IF(OR($B292="",$E292="",$F292="",$G292="",$I292="",$K292=""),"Faltam campos","OK"))</f>
        <v/>
      </c>
      <c r="P292" s="15">
        <f>IF(OR($B292="",$B292&lt;&gt;'Pauta 1a1'!$B$4,$N292&lt;&gt;'Pauta 1a1'!$B$5),"",COUNTIFS($B$5:$B292,'Pauta 1a1'!$B$4,$N$5:$N292,'Pauta 1a1'!$B$5))</f>
        <v/>
      </c>
    </row>
    <row r="293">
      <c r="A293" s="18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5">
        <f>IF($A293="","",YEAR($A293)&amp;"-Q"&amp;ROUNDUP(MONTH($A293)/3,0))</f>
        <v/>
      </c>
      <c r="O293" s="15">
        <f>IF($A293="","",IF(OR($B293="",$E293="",$F293="",$G293="",$I293="",$K293=""),"Faltam campos","OK"))</f>
        <v/>
      </c>
      <c r="P293" s="15">
        <f>IF(OR($B293="",$B293&lt;&gt;'Pauta 1a1'!$B$4,$N293&lt;&gt;'Pauta 1a1'!$B$5),"",COUNTIFS($B$5:$B293,'Pauta 1a1'!$B$4,$N$5:$N293,'Pauta 1a1'!$B$5))</f>
        <v/>
      </c>
    </row>
    <row r="294">
      <c r="A294" s="18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5">
        <f>IF($A294="","",YEAR($A294)&amp;"-Q"&amp;ROUNDUP(MONTH($A294)/3,0))</f>
        <v/>
      </c>
      <c r="O294" s="15">
        <f>IF($A294="","",IF(OR($B294="",$E294="",$F294="",$G294="",$I294="",$K294=""),"Faltam campos","OK"))</f>
        <v/>
      </c>
      <c r="P294" s="15">
        <f>IF(OR($B294="",$B294&lt;&gt;'Pauta 1a1'!$B$4,$N294&lt;&gt;'Pauta 1a1'!$B$5),"",COUNTIFS($B$5:$B294,'Pauta 1a1'!$B$4,$N$5:$N294,'Pauta 1a1'!$B$5))</f>
        <v/>
      </c>
    </row>
    <row r="295">
      <c r="A295" s="18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5">
        <f>IF($A295="","",YEAR($A295)&amp;"-Q"&amp;ROUNDUP(MONTH($A295)/3,0))</f>
        <v/>
      </c>
      <c r="O295" s="15">
        <f>IF($A295="","",IF(OR($B295="",$E295="",$F295="",$G295="",$I295="",$K295=""),"Faltam campos","OK"))</f>
        <v/>
      </c>
      <c r="P295" s="15">
        <f>IF(OR($B295="",$B295&lt;&gt;'Pauta 1a1'!$B$4,$N295&lt;&gt;'Pauta 1a1'!$B$5),"",COUNTIFS($B$5:$B295,'Pauta 1a1'!$B$4,$N$5:$N295,'Pauta 1a1'!$B$5))</f>
        <v/>
      </c>
    </row>
    <row r="296">
      <c r="A296" s="18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5">
        <f>IF($A296="","",YEAR($A296)&amp;"-Q"&amp;ROUNDUP(MONTH($A296)/3,0))</f>
        <v/>
      </c>
      <c r="O296" s="15">
        <f>IF($A296="","",IF(OR($B296="",$E296="",$F296="",$G296="",$I296="",$K296=""),"Faltam campos","OK"))</f>
        <v/>
      </c>
      <c r="P296" s="15">
        <f>IF(OR($B296="",$B296&lt;&gt;'Pauta 1a1'!$B$4,$N296&lt;&gt;'Pauta 1a1'!$B$5),"",COUNTIFS($B$5:$B296,'Pauta 1a1'!$B$4,$N$5:$N296,'Pauta 1a1'!$B$5))</f>
        <v/>
      </c>
    </row>
    <row r="297">
      <c r="A297" s="18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5">
        <f>IF($A297="","",YEAR($A297)&amp;"-Q"&amp;ROUNDUP(MONTH($A297)/3,0))</f>
        <v/>
      </c>
      <c r="O297" s="15">
        <f>IF($A297="","",IF(OR($B297="",$E297="",$F297="",$G297="",$I297="",$K297=""),"Faltam campos","OK"))</f>
        <v/>
      </c>
      <c r="P297" s="15">
        <f>IF(OR($B297="",$B297&lt;&gt;'Pauta 1a1'!$B$4,$N297&lt;&gt;'Pauta 1a1'!$B$5),"",COUNTIFS($B$5:$B297,'Pauta 1a1'!$B$4,$N$5:$N297,'Pauta 1a1'!$B$5))</f>
        <v/>
      </c>
    </row>
    <row r="298">
      <c r="A298" s="18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5">
        <f>IF($A298="","",YEAR($A298)&amp;"-Q"&amp;ROUNDUP(MONTH($A298)/3,0))</f>
        <v/>
      </c>
      <c r="O298" s="15">
        <f>IF($A298="","",IF(OR($B298="",$E298="",$F298="",$G298="",$I298="",$K298=""),"Faltam campos","OK"))</f>
        <v/>
      </c>
      <c r="P298" s="15">
        <f>IF(OR($B298="",$B298&lt;&gt;'Pauta 1a1'!$B$4,$N298&lt;&gt;'Pauta 1a1'!$B$5),"",COUNTIFS($B$5:$B298,'Pauta 1a1'!$B$4,$N$5:$N298,'Pauta 1a1'!$B$5))</f>
        <v/>
      </c>
    </row>
    <row r="299">
      <c r="A299" s="18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5">
        <f>IF($A299="","",YEAR($A299)&amp;"-Q"&amp;ROUNDUP(MONTH($A299)/3,0))</f>
        <v/>
      </c>
      <c r="O299" s="15">
        <f>IF($A299="","",IF(OR($B299="",$E299="",$F299="",$G299="",$I299="",$K299=""),"Faltam campos","OK"))</f>
        <v/>
      </c>
      <c r="P299" s="15">
        <f>IF(OR($B299="",$B299&lt;&gt;'Pauta 1a1'!$B$4,$N299&lt;&gt;'Pauta 1a1'!$B$5),"",COUNTIFS($B$5:$B299,'Pauta 1a1'!$B$4,$N$5:$N299,'Pauta 1a1'!$B$5))</f>
        <v/>
      </c>
    </row>
    <row r="300">
      <c r="A300" s="18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5">
        <f>IF($A300="","",YEAR($A300)&amp;"-Q"&amp;ROUNDUP(MONTH($A300)/3,0))</f>
        <v/>
      </c>
      <c r="O300" s="15">
        <f>IF($A300="","",IF(OR($B300="",$E300="",$F300="",$G300="",$I300="",$K300=""),"Faltam campos","OK"))</f>
        <v/>
      </c>
      <c r="P300" s="15">
        <f>IF(OR($B300="",$B300&lt;&gt;'Pauta 1a1'!$B$4,$N300&lt;&gt;'Pauta 1a1'!$B$5),"",COUNTIFS($B$5:$B300,'Pauta 1a1'!$B$4,$N$5:$N300,'Pauta 1a1'!$B$5))</f>
        <v/>
      </c>
    </row>
    <row r="301">
      <c r="A301" s="18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5">
        <f>IF($A301="","",YEAR($A301)&amp;"-Q"&amp;ROUNDUP(MONTH($A301)/3,0))</f>
        <v/>
      </c>
      <c r="O301" s="15">
        <f>IF($A301="","",IF(OR($B301="",$E301="",$F301="",$G301="",$I301="",$K301=""),"Faltam campos","OK"))</f>
        <v/>
      </c>
      <c r="P301" s="15">
        <f>IF(OR($B301="",$B301&lt;&gt;'Pauta 1a1'!$B$4,$N301&lt;&gt;'Pauta 1a1'!$B$5),"",COUNTIFS($B$5:$B301,'Pauta 1a1'!$B$4,$N$5:$N301,'Pauta 1a1'!$B$5))</f>
        <v/>
      </c>
    </row>
    <row r="302">
      <c r="A302" s="18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5">
        <f>IF($A302="","",YEAR($A302)&amp;"-Q"&amp;ROUNDUP(MONTH($A302)/3,0))</f>
        <v/>
      </c>
      <c r="O302" s="15">
        <f>IF($A302="","",IF(OR($B302="",$E302="",$F302="",$G302="",$I302="",$K302=""),"Faltam campos","OK"))</f>
        <v/>
      </c>
      <c r="P302" s="15">
        <f>IF(OR($B302="",$B302&lt;&gt;'Pauta 1a1'!$B$4,$N302&lt;&gt;'Pauta 1a1'!$B$5),"",COUNTIFS($B$5:$B302,'Pauta 1a1'!$B$4,$N$5:$N302,'Pauta 1a1'!$B$5))</f>
        <v/>
      </c>
    </row>
    <row r="303">
      <c r="A303" s="18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5">
        <f>IF($A303="","",YEAR($A303)&amp;"-Q"&amp;ROUNDUP(MONTH($A303)/3,0))</f>
        <v/>
      </c>
      <c r="O303" s="15">
        <f>IF($A303="","",IF(OR($B303="",$E303="",$F303="",$G303="",$I303="",$K303=""),"Faltam campos","OK"))</f>
        <v/>
      </c>
      <c r="P303" s="15">
        <f>IF(OR($B303="",$B303&lt;&gt;'Pauta 1a1'!$B$4,$N303&lt;&gt;'Pauta 1a1'!$B$5),"",COUNTIFS($B$5:$B303,'Pauta 1a1'!$B$4,$N$5:$N303,'Pauta 1a1'!$B$5))</f>
        <v/>
      </c>
    </row>
    <row r="304">
      <c r="A304" s="18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5">
        <f>IF($A304="","",YEAR($A304)&amp;"-Q"&amp;ROUNDUP(MONTH($A304)/3,0))</f>
        <v/>
      </c>
      <c r="O304" s="15">
        <f>IF($A304="","",IF(OR($B304="",$E304="",$F304="",$G304="",$I304="",$K304=""),"Faltam campos","OK"))</f>
        <v/>
      </c>
      <c r="P304" s="15">
        <f>IF(OR($B304="",$B304&lt;&gt;'Pauta 1a1'!$B$4,$N304&lt;&gt;'Pauta 1a1'!$B$5),"",COUNTIFS($B$5:$B304,'Pauta 1a1'!$B$4,$N$5:$N304,'Pauta 1a1'!$B$5))</f>
        <v/>
      </c>
    </row>
    <row r="305">
      <c r="A305" s="18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5">
        <f>IF($A305="","",YEAR($A305)&amp;"-Q"&amp;ROUNDUP(MONTH($A305)/3,0))</f>
        <v/>
      </c>
      <c r="O305" s="15">
        <f>IF($A305="","",IF(OR($B305="",$E305="",$F305="",$G305="",$I305="",$K305=""),"Faltam campos","OK"))</f>
        <v/>
      </c>
      <c r="P305" s="15">
        <f>IF(OR($B305="",$B305&lt;&gt;'Pauta 1a1'!$B$4,$N305&lt;&gt;'Pauta 1a1'!$B$5),"",COUNTIFS($B$5:$B305,'Pauta 1a1'!$B$4,$N$5:$N305,'Pauta 1a1'!$B$5))</f>
        <v/>
      </c>
    </row>
    <row r="306">
      <c r="A306" s="18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5">
        <f>IF($A306="","",YEAR($A306)&amp;"-Q"&amp;ROUNDUP(MONTH($A306)/3,0))</f>
        <v/>
      </c>
      <c r="O306" s="15">
        <f>IF($A306="","",IF(OR($B306="",$E306="",$F306="",$G306="",$I306="",$K306=""),"Faltam campos","OK"))</f>
        <v/>
      </c>
      <c r="P306" s="15">
        <f>IF(OR($B306="",$B306&lt;&gt;'Pauta 1a1'!$B$4,$N306&lt;&gt;'Pauta 1a1'!$B$5),"",COUNTIFS($B$5:$B306,'Pauta 1a1'!$B$4,$N$5:$N306,'Pauta 1a1'!$B$5))</f>
        <v/>
      </c>
    </row>
    <row r="307">
      <c r="A307" s="18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5">
        <f>IF($A307="","",YEAR($A307)&amp;"-Q"&amp;ROUNDUP(MONTH($A307)/3,0))</f>
        <v/>
      </c>
      <c r="O307" s="15">
        <f>IF($A307="","",IF(OR($B307="",$E307="",$F307="",$G307="",$I307="",$K307=""),"Faltam campos","OK"))</f>
        <v/>
      </c>
      <c r="P307" s="15">
        <f>IF(OR($B307="",$B307&lt;&gt;'Pauta 1a1'!$B$4,$N307&lt;&gt;'Pauta 1a1'!$B$5),"",COUNTIFS($B$5:$B307,'Pauta 1a1'!$B$4,$N$5:$N307,'Pauta 1a1'!$B$5))</f>
        <v/>
      </c>
    </row>
    <row r="308">
      <c r="A308" s="18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5">
        <f>IF($A308="","",YEAR($A308)&amp;"-Q"&amp;ROUNDUP(MONTH($A308)/3,0))</f>
        <v/>
      </c>
      <c r="O308" s="15">
        <f>IF($A308="","",IF(OR($B308="",$E308="",$F308="",$G308="",$I308="",$K308=""),"Faltam campos","OK"))</f>
        <v/>
      </c>
      <c r="P308" s="15">
        <f>IF(OR($B308="",$B308&lt;&gt;'Pauta 1a1'!$B$4,$N308&lt;&gt;'Pauta 1a1'!$B$5),"",COUNTIFS($B$5:$B308,'Pauta 1a1'!$B$4,$N$5:$N308,'Pauta 1a1'!$B$5))</f>
        <v/>
      </c>
    </row>
    <row r="309">
      <c r="A309" s="18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5">
        <f>IF($A309="","",YEAR($A309)&amp;"-Q"&amp;ROUNDUP(MONTH($A309)/3,0))</f>
        <v/>
      </c>
      <c r="O309" s="15">
        <f>IF($A309="","",IF(OR($B309="",$E309="",$F309="",$G309="",$I309="",$K309=""),"Faltam campos","OK"))</f>
        <v/>
      </c>
      <c r="P309" s="15">
        <f>IF(OR($B309="",$B309&lt;&gt;'Pauta 1a1'!$B$4,$N309&lt;&gt;'Pauta 1a1'!$B$5),"",COUNTIFS($B$5:$B309,'Pauta 1a1'!$B$4,$N$5:$N309,'Pauta 1a1'!$B$5))</f>
        <v/>
      </c>
    </row>
    <row r="310">
      <c r="A310" s="18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5">
        <f>IF($A310="","",YEAR($A310)&amp;"-Q"&amp;ROUNDUP(MONTH($A310)/3,0))</f>
        <v/>
      </c>
      <c r="O310" s="15">
        <f>IF($A310="","",IF(OR($B310="",$E310="",$F310="",$G310="",$I310="",$K310=""),"Faltam campos","OK"))</f>
        <v/>
      </c>
      <c r="P310" s="15">
        <f>IF(OR($B310="",$B310&lt;&gt;'Pauta 1a1'!$B$4,$N310&lt;&gt;'Pauta 1a1'!$B$5),"",COUNTIFS($B$5:$B310,'Pauta 1a1'!$B$4,$N$5:$N310,'Pauta 1a1'!$B$5))</f>
        <v/>
      </c>
    </row>
    <row r="311">
      <c r="A311" s="18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5">
        <f>IF($A311="","",YEAR($A311)&amp;"-Q"&amp;ROUNDUP(MONTH($A311)/3,0))</f>
        <v/>
      </c>
      <c r="O311" s="15">
        <f>IF($A311="","",IF(OR($B311="",$E311="",$F311="",$G311="",$I311="",$K311=""),"Faltam campos","OK"))</f>
        <v/>
      </c>
      <c r="P311" s="15">
        <f>IF(OR($B311="",$B311&lt;&gt;'Pauta 1a1'!$B$4,$N311&lt;&gt;'Pauta 1a1'!$B$5),"",COUNTIFS($B$5:$B311,'Pauta 1a1'!$B$4,$N$5:$N311,'Pauta 1a1'!$B$5))</f>
        <v/>
      </c>
    </row>
    <row r="312">
      <c r="A312" s="18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5">
        <f>IF($A312="","",YEAR($A312)&amp;"-Q"&amp;ROUNDUP(MONTH($A312)/3,0))</f>
        <v/>
      </c>
      <c r="O312" s="15">
        <f>IF($A312="","",IF(OR($B312="",$E312="",$F312="",$G312="",$I312="",$K312=""),"Faltam campos","OK"))</f>
        <v/>
      </c>
      <c r="P312" s="15">
        <f>IF(OR($B312="",$B312&lt;&gt;'Pauta 1a1'!$B$4,$N312&lt;&gt;'Pauta 1a1'!$B$5),"",COUNTIFS($B$5:$B312,'Pauta 1a1'!$B$4,$N$5:$N312,'Pauta 1a1'!$B$5))</f>
        <v/>
      </c>
    </row>
    <row r="313">
      <c r="A313" s="18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5">
        <f>IF($A313="","",YEAR($A313)&amp;"-Q"&amp;ROUNDUP(MONTH($A313)/3,0))</f>
        <v/>
      </c>
      <c r="O313" s="15">
        <f>IF($A313="","",IF(OR($B313="",$E313="",$F313="",$G313="",$I313="",$K313=""),"Faltam campos","OK"))</f>
        <v/>
      </c>
      <c r="P313" s="15">
        <f>IF(OR($B313="",$B313&lt;&gt;'Pauta 1a1'!$B$4,$N313&lt;&gt;'Pauta 1a1'!$B$5),"",COUNTIFS($B$5:$B313,'Pauta 1a1'!$B$4,$N$5:$N313,'Pauta 1a1'!$B$5))</f>
        <v/>
      </c>
    </row>
    <row r="314">
      <c r="A314" s="18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5">
        <f>IF($A314="","",YEAR($A314)&amp;"-Q"&amp;ROUNDUP(MONTH($A314)/3,0))</f>
        <v/>
      </c>
      <c r="O314" s="15">
        <f>IF($A314="","",IF(OR($B314="",$E314="",$F314="",$G314="",$I314="",$K314=""),"Faltam campos","OK"))</f>
        <v/>
      </c>
      <c r="P314" s="15">
        <f>IF(OR($B314="",$B314&lt;&gt;'Pauta 1a1'!$B$4,$N314&lt;&gt;'Pauta 1a1'!$B$5),"",COUNTIFS($B$5:$B314,'Pauta 1a1'!$B$4,$N$5:$N314,'Pauta 1a1'!$B$5))</f>
        <v/>
      </c>
    </row>
    <row r="315">
      <c r="A315" s="18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5">
        <f>IF($A315="","",YEAR($A315)&amp;"-Q"&amp;ROUNDUP(MONTH($A315)/3,0))</f>
        <v/>
      </c>
      <c r="O315" s="15">
        <f>IF($A315="","",IF(OR($B315="",$E315="",$F315="",$G315="",$I315="",$K315=""),"Faltam campos","OK"))</f>
        <v/>
      </c>
      <c r="P315" s="15">
        <f>IF(OR($B315="",$B315&lt;&gt;'Pauta 1a1'!$B$4,$N315&lt;&gt;'Pauta 1a1'!$B$5),"",COUNTIFS($B$5:$B315,'Pauta 1a1'!$B$4,$N$5:$N315,'Pauta 1a1'!$B$5))</f>
        <v/>
      </c>
    </row>
    <row r="316">
      <c r="A316" s="18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5">
        <f>IF($A316="","",YEAR($A316)&amp;"-Q"&amp;ROUNDUP(MONTH($A316)/3,0))</f>
        <v/>
      </c>
      <c r="O316" s="15">
        <f>IF($A316="","",IF(OR($B316="",$E316="",$F316="",$G316="",$I316="",$K316=""),"Faltam campos","OK"))</f>
        <v/>
      </c>
      <c r="P316" s="15">
        <f>IF(OR($B316="",$B316&lt;&gt;'Pauta 1a1'!$B$4,$N316&lt;&gt;'Pauta 1a1'!$B$5),"",COUNTIFS($B$5:$B316,'Pauta 1a1'!$B$4,$N$5:$N316,'Pauta 1a1'!$B$5))</f>
        <v/>
      </c>
    </row>
    <row r="317">
      <c r="A317" s="18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5">
        <f>IF($A317="","",YEAR($A317)&amp;"-Q"&amp;ROUNDUP(MONTH($A317)/3,0))</f>
        <v/>
      </c>
      <c r="O317" s="15">
        <f>IF($A317="","",IF(OR($B317="",$E317="",$F317="",$G317="",$I317="",$K317=""),"Faltam campos","OK"))</f>
        <v/>
      </c>
      <c r="P317" s="15">
        <f>IF(OR($B317="",$B317&lt;&gt;'Pauta 1a1'!$B$4,$N317&lt;&gt;'Pauta 1a1'!$B$5),"",COUNTIFS($B$5:$B317,'Pauta 1a1'!$B$4,$N$5:$N317,'Pauta 1a1'!$B$5))</f>
        <v/>
      </c>
    </row>
    <row r="318">
      <c r="A318" s="18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5">
        <f>IF($A318="","",YEAR($A318)&amp;"-Q"&amp;ROUNDUP(MONTH($A318)/3,0))</f>
        <v/>
      </c>
      <c r="O318" s="15">
        <f>IF($A318="","",IF(OR($B318="",$E318="",$F318="",$G318="",$I318="",$K318=""),"Faltam campos","OK"))</f>
        <v/>
      </c>
      <c r="P318" s="15">
        <f>IF(OR($B318="",$B318&lt;&gt;'Pauta 1a1'!$B$4,$N318&lt;&gt;'Pauta 1a1'!$B$5),"",COUNTIFS($B$5:$B318,'Pauta 1a1'!$B$4,$N$5:$N318,'Pauta 1a1'!$B$5))</f>
        <v/>
      </c>
    </row>
    <row r="319">
      <c r="A319" s="18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5">
        <f>IF($A319="","",YEAR($A319)&amp;"-Q"&amp;ROUNDUP(MONTH($A319)/3,0))</f>
        <v/>
      </c>
      <c r="O319" s="15">
        <f>IF($A319="","",IF(OR($B319="",$E319="",$F319="",$G319="",$I319="",$K319=""),"Faltam campos","OK"))</f>
        <v/>
      </c>
      <c r="P319" s="15">
        <f>IF(OR($B319="",$B319&lt;&gt;'Pauta 1a1'!$B$4,$N319&lt;&gt;'Pauta 1a1'!$B$5),"",COUNTIFS($B$5:$B319,'Pauta 1a1'!$B$4,$N$5:$N319,'Pauta 1a1'!$B$5))</f>
        <v/>
      </c>
    </row>
    <row r="320">
      <c r="A320" s="18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5">
        <f>IF($A320="","",YEAR($A320)&amp;"-Q"&amp;ROUNDUP(MONTH($A320)/3,0))</f>
        <v/>
      </c>
      <c r="O320" s="15">
        <f>IF($A320="","",IF(OR($B320="",$E320="",$F320="",$G320="",$I320="",$K320=""),"Faltam campos","OK"))</f>
        <v/>
      </c>
      <c r="P320" s="15">
        <f>IF(OR($B320="",$B320&lt;&gt;'Pauta 1a1'!$B$4,$N320&lt;&gt;'Pauta 1a1'!$B$5),"",COUNTIFS($B$5:$B320,'Pauta 1a1'!$B$4,$N$5:$N320,'Pauta 1a1'!$B$5))</f>
        <v/>
      </c>
    </row>
    <row r="321">
      <c r="A321" s="18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5">
        <f>IF($A321="","",YEAR($A321)&amp;"-Q"&amp;ROUNDUP(MONTH($A321)/3,0))</f>
        <v/>
      </c>
      <c r="O321" s="15">
        <f>IF($A321="","",IF(OR($B321="",$E321="",$F321="",$G321="",$I321="",$K321=""),"Faltam campos","OK"))</f>
        <v/>
      </c>
      <c r="P321" s="15">
        <f>IF(OR($B321="",$B321&lt;&gt;'Pauta 1a1'!$B$4,$N321&lt;&gt;'Pauta 1a1'!$B$5),"",COUNTIFS($B$5:$B321,'Pauta 1a1'!$B$4,$N$5:$N321,'Pauta 1a1'!$B$5))</f>
        <v/>
      </c>
    </row>
    <row r="322">
      <c r="A322" s="18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5">
        <f>IF($A322="","",YEAR($A322)&amp;"-Q"&amp;ROUNDUP(MONTH($A322)/3,0))</f>
        <v/>
      </c>
      <c r="O322" s="15">
        <f>IF($A322="","",IF(OR($B322="",$E322="",$F322="",$G322="",$I322="",$K322=""),"Faltam campos","OK"))</f>
        <v/>
      </c>
      <c r="P322" s="15">
        <f>IF(OR($B322="",$B322&lt;&gt;'Pauta 1a1'!$B$4,$N322&lt;&gt;'Pauta 1a1'!$B$5),"",COUNTIFS($B$5:$B322,'Pauta 1a1'!$B$4,$N$5:$N322,'Pauta 1a1'!$B$5))</f>
        <v/>
      </c>
    </row>
    <row r="323">
      <c r="A323" s="18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5">
        <f>IF($A323="","",YEAR($A323)&amp;"-Q"&amp;ROUNDUP(MONTH($A323)/3,0))</f>
        <v/>
      </c>
      <c r="O323" s="15">
        <f>IF($A323="","",IF(OR($B323="",$E323="",$F323="",$G323="",$I323="",$K323=""),"Faltam campos","OK"))</f>
        <v/>
      </c>
      <c r="P323" s="15">
        <f>IF(OR($B323="",$B323&lt;&gt;'Pauta 1a1'!$B$4,$N323&lt;&gt;'Pauta 1a1'!$B$5),"",COUNTIFS($B$5:$B323,'Pauta 1a1'!$B$4,$N$5:$N323,'Pauta 1a1'!$B$5))</f>
        <v/>
      </c>
    </row>
    <row r="324">
      <c r="A324" s="18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5">
        <f>IF($A324="","",YEAR($A324)&amp;"-Q"&amp;ROUNDUP(MONTH($A324)/3,0))</f>
        <v/>
      </c>
      <c r="O324" s="15">
        <f>IF($A324="","",IF(OR($B324="",$E324="",$F324="",$G324="",$I324="",$K324=""),"Faltam campos","OK"))</f>
        <v/>
      </c>
      <c r="P324" s="15">
        <f>IF(OR($B324="",$B324&lt;&gt;'Pauta 1a1'!$B$4,$N324&lt;&gt;'Pauta 1a1'!$B$5),"",COUNTIFS($B$5:$B324,'Pauta 1a1'!$B$4,$N$5:$N324,'Pauta 1a1'!$B$5))</f>
        <v/>
      </c>
    </row>
    <row r="325">
      <c r="A325" s="18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5">
        <f>IF($A325="","",YEAR($A325)&amp;"-Q"&amp;ROUNDUP(MONTH($A325)/3,0))</f>
        <v/>
      </c>
      <c r="O325" s="15">
        <f>IF($A325="","",IF(OR($B325="",$E325="",$F325="",$G325="",$I325="",$K325=""),"Faltam campos","OK"))</f>
        <v/>
      </c>
      <c r="P325" s="15">
        <f>IF(OR($B325="",$B325&lt;&gt;'Pauta 1a1'!$B$4,$N325&lt;&gt;'Pauta 1a1'!$B$5),"",COUNTIFS($B$5:$B325,'Pauta 1a1'!$B$4,$N$5:$N325,'Pauta 1a1'!$B$5))</f>
        <v/>
      </c>
    </row>
    <row r="326">
      <c r="A326" s="18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5">
        <f>IF($A326="","",YEAR($A326)&amp;"-Q"&amp;ROUNDUP(MONTH($A326)/3,0))</f>
        <v/>
      </c>
      <c r="O326" s="15">
        <f>IF($A326="","",IF(OR($B326="",$E326="",$F326="",$G326="",$I326="",$K326=""),"Faltam campos","OK"))</f>
        <v/>
      </c>
      <c r="P326" s="15">
        <f>IF(OR($B326="",$B326&lt;&gt;'Pauta 1a1'!$B$4,$N326&lt;&gt;'Pauta 1a1'!$B$5),"",COUNTIFS($B$5:$B326,'Pauta 1a1'!$B$4,$N$5:$N326,'Pauta 1a1'!$B$5))</f>
        <v/>
      </c>
    </row>
    <row r="327">
      <c r="A327" s="18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5">
        <f>IF($A327="","",YEAR($A327)&amp;"-Q"&amp;ROUNDUP(MONTH($A327)/3,0))</f>
        <v/>
      </c>
      <c r="O327" s="15">
        <f>IF($A327="","",IF(OR($B327="",$E327="",$F327="",$G327="",$I327="",$K327=""),"Faltam campos","OK"))</f>
        <v/>
      </c>
      <c r="P327" s="15">
        <f>IF(OR($B327="",$B327&lt;&gt;'Pauta 1a1'!$B$4,$N327&lt;&gt;'Pauta 1a1'!$B$5),"",COUNTIFS($B$5:$B327,'Pauta 1a1'!$B$4,$N$5:$N327,'Pauta 1a1'!$B$5))</f>
        <v/>
      </c>
    </row>
    <row r="328">
      <c r="A328" s="18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5">
        <f>IF($A328="","",YEAR($A328)&amp;"-Q"&amp;ROUNDUP(MONTH($A328)/3,0))</f>
        <v/>
      </c>
      <c r="O328" s="15">
        <f>IF($A328="","",IF(OR($B328="",$E328="",$F328="",$G328="",$I328="",$K328=""),"Faltam campos","OK"))</f>
        <v/>
      </c>
      <c r="P328" s="15">
        <f>IF(OR($B328="",$B328&lt;&gt;'Pauta 1a1'!$B$4,$N328&lt;&gt;'Pauta 1a1'!$B$5),"",COUNTIFS($B$5:$B328,'Pauta 1a1'!$B$4,$N$5:$N328,'Pauta 1a1'!$B$5))</f>
        <v/>
      </c>
    </row>
    <row r="329">
      <c r="A329" s="18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5">
        <f>IF($A329="","",YEAR($A329)&amp;"-Q"&amp;ROUNDUP(MONTH($A329)/3,0))</f>
        <v/>
      </c>
      <c r="O329" s="15">
        <f>IF($A329="","",IF(OR($B329="",$E329="",$F329="",$G329="",$I329="",$K329=""),"Faltam campos","OK"))</f>
        <v/>
      </c>
      <c r="P329" s="15">
        <f>IF(OR($B329="",$B329&lt;&gt;'Pauta 1a1'!$B$4,$N329&lt;&gt;'Pauta 1a1'!$B$5),"",COUNTIFS($B$5:$B329,'Pauta 1a1'!$B$4,$N$5:$N329,'Pauta 1a1'!$B$5))</f>
        <v/>
      </c>
    </row>
    <row r="330">
      <c r="A330" s="18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5">
        <f>IF($A330="","",YEAR($A330)&amp;"-Q"&amp;ROUNDUP(MONTH($A330)/3,0))</f>
        <v/>
      </c>
      <c r="O330" s="15">
        <f>IF($A330="","",IF(OR($B330="",$E330="",$F330="",$G330="",$I330="",$K330=""),"Faltam campos","OK"))</f>
        <v/>
      </c>
      <c r="P330" s="15">
        <f>IF(OR($B330="",$B330&lt;&gt;'Pauta 1a1'!$B$4,$N330&lt;&gt;'Pauta 1a1'!$B$5),"",COUNTIFS($B$5:$B330,'Pauta 1a1'!$B$4,$N$5:$N330,'Pauta 1a1'!$B$5))</f>
        <v/>
      </c>
    </row>
    <row r="331">
      <c r="A331" s="18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5">
        <f>IF($A331="","",YEAR($A331)&amp;"-Q"&amp;ROUNDUP(MONTH($A331)/3,0))</f>
        <v/>
      </c>
      <c r="O331" s="15">
        <f>IF($A331="","",IF(OR($B331="",$E331="",$F331="",$G331="",$I331="",$K331=""),"Faltam campos","OK"))</f>
        <v/>
      </c>
      <c r="P331" s="15">
        <f>IF(OR($B331="",$B331&lt;&gt;'Pauta 1a1'!$B$4,$N331&lt;&gt;'Pauta 1a1'!$B$5),"",COUNTIFS($B$5:$B331,'Pauta 1a1'!$B$4,$N$5:$N331,'Pauta 1a1'!$B$5))</f>
        <v/>
      </c>
    </row>
    <row r="332">
      <c r="A332" s="18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5">
        <f>IF($A332="","",YEAR($A332)&amp;"-Q"&amp;ROUNDUP(MONTH($A332)/3,0))</f>
        <v/>
      </c>
      <c r="O332" s="15">
        <f>IF($A332="","",IF(OR($B332="",$E332="",$F332="",$G332="",$I332="",$K332=""),"Faltam campos","OK"))</f>
        <v/>
      </c>
      <c r="P332" s="15">
        <f>IF(OR($B332="",$B332&lt;&gt;'Pauta 1a1'!$B$4,$N332&lt;&gt;'Pauta 1a1'!$B$5),"",COUNTIFS($B$5:$B332,'Pauta 1a1'!$B$4,$N$5:$N332,'Pauta 1a1'!$B$5))</f>
        <v/>
      </c>
    </row>
    <row r="333">
      <c r="A333" s="18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5">
        <f>IF($A333="","",YEAR($A333)&amp;"-Q"&amp;ROUNDUP(MONTH($A333)/3,0))</f>
        <v/>
      </c>
      <c r="O333" s="15">
        <f>IF($A333="","",IF(OR($B333="",$E333="",$F333="",$G333="",$I333="",$K333=""),"Faltam campos","OK"))</f>
        <v/>
      </c>
      <c r="P333" s="15">
        <f>IF(OR($B333="",$B333&lt;&gt;'Pauta 1a1'!$B$4,$N333&lt;&gt;'Pauta 1a1'!$B$5),"",COUNTIFS($B$5:$B333,'Pauta 1a1'!$B$4,$N$5:$N333,'Pauta 1a1'!$B$5))</f>
        <v/>
      </c>
    </row>
    <row r="334">
      <c r="A334" s="18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5">
        <f>IF($A334="","",YEAR($A334)&amp;"-Q"&amp;ROUNDUP(MONTH($A334)/3,0))</f>
        <v/>
      </c>
      <c r="O334" s="15">
        <f>IF($A334="","",IF(OR($B334="",$E334="",$F334="",$G334="",$I334="",$K334=""),"Faltam campos","OK"))</f>
        <v/>
      </c>
      <c r="P334" s="15">
        <f>IF(OR($B334="",$B334&lt;&gt;'Pauta 1a1'!$B$4,$N334&lt;&gt;'Pauta 1a1'!$B$5),"",COUNTIFS($B$5:$B334,'Pauta 1a1'!$B$4,$N$5:$N334,'Pauta 1a1'!$B$5))</f>
        <v/>
      </c>
    </row>
    <row r="335">
      <c r="A335" s="18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5">
        <f>IF($A335="","",YEAR($A335)&amp;"-Q"&amp;ROUNDUP(MONTH($A335)/3,0))</f>
        <v/>
      </c>
      <c r="O335" s="15">
        <f>IF($A335="","",IF(OR($B335="",$E335="",$F335="",$G335="",$I335="",$K335=""),"Faltam campos","OK"))</f>
        <v/>
      </c>
      <c r="P335" s="15">
        <f>IF(OR($B335="",$B335&lt;&gt;'Pauta 1a1'!$B$4,$N335&lt;&gt;'Pauta 1a1'!$B$5),"",COUNTIFS($B$5:$B335,'Pauta 1a1'!$B$4,$N$5:$N335,'Pauta 1a1'!$B$5))</f>
        <v/>
      </c>
    </row>
    <row r="336">
      <c r="A336" s="18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5">
        <f>IF($A336="","",YEAR($A336)&amp;"-Q"&amp;ROUNDUP(MONTH($A336)/3,0))</f>
        <v/>
      </c>
      <c r="O336" s="15">
        <f>IF($A336="","",IF(OR($B336="",$E336="",$F336="",$G336="",$I336="",$K336=""),"Faltam campos","OK"))</f>
        <v/>
      </c>
      <c r="P336" s="15">
        <f>IF(OR($B336="",$B336&lt;&gt;'Pauta 1a1'!$B$4,$N336&lt;&gt;'Pauta 1a1'!$B$5),"",COUNTIFS($B$5:$B336,'Pauta 1a1'!$B$4,$N$5:$N336,'Pauta 1a1'!$B$5))</f>
        <v/>
      </c>
    </row>
    <row r="337">
      <c r="A337" s="18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5">
        <f>IF($A337="","",YEAR($A337)&amp;"-Q"&amp;ROUNDUP(MONTH($A337)/3,0))</f>
        <v/>
      </c>
      <c r="O337" s="15">
        <f>IF($A337="","",IF(OR($B337="",$E337="",$F337="",$G337="",$I337="",$K337=""),"Faltam campos","OK"))</f>
        <v/>
      </c>
      <c r="P337" s="15">
        <f>IF(OR($B337="",$B337&lt;&gt;'Pauta 1a1'!$B$4,$N337&lt;&gt;'Pauta 1a1'!$B$5),"",COUNTIFS($B$5:$B337,'Pauta 1a1'!$B$4,$N$5:$N337,'Pauta 1a1'!$B$5))</f>
        <v/>
      </c>
    </row>
    <row r="338">
      <c r="A338" s="18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5">
        <f>IF($A338="","",YEAR($A338)&amp;"-Q"&amp;ROUNDUP(MONTH($A338)/3,0))</f>
        <v/>
      </c>
      <c r="O338" s="15">
        <f>IF($A338="","",IF(OR($B338="",$E338="",$F338="",$G338="",$I338="",$K338=""),"Faltam campos","OK"))</f>
        <v/>
      </c>
      <c r="P338" s="15">
        <f>IF(OR($B338="",$B338&lt;&gt;'Pauta 1a1'!$B$4,$N338&lt;&gt;'Pauta 1a1'!$B$5),"",COUNTIFS($B$5:$B338,'Pauta 1a1'!$B$4,$N$5:$N338,'Pauta 1a1'!$B$5))</f>
        <v/>
      </c>
    </row>
    <row r="339">
      <c r="A339" s="18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5">
        <f>IF($A339="","",YEAR($A339)&amp;"-Q"&amp;ROUNDUP(MONTH($A339)/3,0))</f>
        <v/>
      </c>
      <c r="O339" s="15">
        <f>IF($A339="","",IF(OR($B339="",$E339="",$F339="",$G339="",$I339="",$K339=""),"Faltam campos","OK"))</f>
        <v/>
      </c>
      <c r="P339" s="15">
        <f>IF(OR($B339="",$B339&lt;&gt;'Pauta 1a1'!$B$4,$N339&lt;&gt;'Pauta 1a1'!$B$5),"",COUNTIFS($B$5:$B339,'Pauta 1a1'!$B$4,$N$5:$N339,'Pauta 1a1'!$B$5))</f>
        <v/>
      </c>
    </row>
    <row r="340">
      <c r="A340" s="18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5">
        <f>IF($A340="","",YEAR($A340)&amp;"-Q"&amp;ROUNDUP(MONTH($A340)/3,0))</f>
        <v/>
      </c>
      <c r="O340" s="15">
        <f>IF($A340="","",IF(OR($B340="",$E340="",$F340="",$G340="",$I340="",$K340=""),"Faltam campos","OK"))</f>
        <v/>
      </c>
      <c r="P340" s="15">
        <f>IF(OR($B340="",$B340&lt;&gt;'Pauta 1a1'!$B$4,$N340&lt;&gt;'Pauta 1a1'!$B$5),"",COUNTIFS($B$5:$B340,'Pauta 1a1'!$B$4,$N$5:$N340,'Pauta 1a1'!$B$5))</f>
        <v/>
      </c>
    </row>
    <row r="341">
      <c r="A341" s="18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5">
        <f>IF($A341="","",YEAR($A341)&amp;"-Q"&amp;ROUNDUP(MONTH($A341)/3,0))</f>
        <v/>
      </c>
      <c r="O341" s="15">
        <f>IF($A341="","",IF(OR($B341="",$E341="",$F341="",$G341="",$I341="",$K341=""),"Faltam campos","OK"))</f>
        <v/>
      </c>
      <c r="P341" s="15">
        <f>IF(OR($B341="",$B341&lt;&gt;'Pauta 1a1'!$B$4,$N341&lt;&gt;'Pauta 1a1'!$B$5),"",COUNTIFS($B$5:$B341,'Pauta 1a1'!$B$4,$N$5:$N341,'Pauta 1a1'!$B$5))</f>
        <v/>
      </c>
    </row>
    <row r="342">
      <c r="A342" s="18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5">
        <f>IF($A342="","",YEAR($A342)&amp;"-Q"&amp;ROUNDUP(MONTH($A342)/3,0))</f>
        <v/>
      </c>
      <c r="O342" s="15">
        <f>IF($A342="","",IF(OR($B342="",$E342="",$F342="",$G342="",$I342="",$K342=""),"Faltam campos","OK"))</f>
        <v/>
      </c>
      <c r="P342" s="15">
        <f>IF(OR($B342="",$B342&lt;&gt;'Pauta 1a1'!$B$4,$N342&lt;&gt;'Pauta 1a1'!$B$5),"",COUNTIFS($B$5:$B342,'Pauta 1a1'!$B$4,$N$5:$N342,'Pauta 1a1'!$B$5))</f>
        <v/>
      </c>
    </row>
    <row r="343">
      <c r="A343" s="18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5">
        <f>IF($A343="","",YEAR($A343)&amp;"-Q"&amp;ROUNDUP(MONTH($A343)/3,0))</f>
        <v/>
      </c>
      <c r="O343" s="15">
        <f>IF($A343="","",IF(OR($B343="",$E343="",$F343="",$G343="",$I343="",$K343=""),"Faltam campos","OK"))</f>
        <v/>
      </c>
      <c r="P343" s="15">
        <f>IF(OR($B343="",$B343&lt;&gt;'Pauta 1a1'!$B$4,$N343&lt;&gt;'Pauta 1a1'!$B$5),"",COUNTIFS($B$5:$B343,'Pauta 1a1'!$B$4,$N$5:$N343,'Pauta 1a1'!$B$5))</f>
        <v/>
      </c>
    </row>
    <row r="344">
      <c r="A344" s="18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5">
        <f>IF($A344="","",YEAR($A344)&amp;"-Q"&amp;ROUNDUP(MONTH($A344)/3,0))</f>
        <v/>
      </c>
      <c r="O344" s="15">
        <f>IF($A344="","",IF(OR($B344="",$E344="",$F344="",$G344="",$I344="",$K344=""),"Faltam campos","OK"))</f>
        <v/>
      </c>
      <c r="P344" s="15">
        <f>IF(OR($B344="",$B344&lt;&gt;'Pauta 1a1'!$B$4,$N344&lt;&gt;'Pauta 1a1'!$B$5),"",COUNTIFS($B$5:$B344,'Pauta 1a1'!$B$4,$N$5:$N344,'Pauta 1a1'!$B$5))</f>
        <v/>
      </c>
    </row>
    <row r="345">
      <c r="A345" s="18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5">
        <f>IF($A345="","",YEAR($A345)&amp;"-Q"&amp;ROUNDUP(MONTH($A345)/3,0))</f>
        <v/>
      </c>
      <c r="O345" s="15">
        <f>IF($A345="","",IF(OR($B345="",$E345="",$F345="",$G345="",$I345="",$K345=""),"Faltam campos","OK"))</f>
        <v/>
      </c>
      <c r="P345" s="15">
        <f>IF(OR($B345="",$B345&lt;&gt;'Pauta 1a1'!$B$4,$N345&lt;&gt;'Pauta 1a1'!$B$5),"",COUNTIFS($B$5:$B345,'Pauta 1a1'!$B$4,$N$5:$N345,'Pauta 1a1'!$B$5))</f>
        <v/>
      </c>
    </row>
    <row r="346">
      <c r="A346" s="18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5">
        <f>IF($A346="","",YEAR($A346)&amp;"-Q"&amp;ROUNDUP(MONTH($A346)/3,0))</f>
        <v/>
      </c>
      <c r="O346" s="15">
        <f>IF($A346="","",IF(OR($B346="",$E346="",$F346="",$G346="",$I346="",$K346=""),"Faltam campos","OK"))</f>
        <v/>
      </c>
      <c r="P346" s="15">
        <f>IF(OR($B346="",$B346&lt;&gt;'Pauta 1a1'!$B$4,$N346&lt;&gt;'Pauta 1a1'!$B$5),"",COUNTIFS($B$5:$B346,'Pauta 1a1'!$B$4,$N$5:$N346,'Pauta 1a1'!$B$5))</f>
        <v/>
      </c>
    </row>
    <row r="347">
      <c r="A347" s="18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5">
        <f>IF($A347="","",YEAR($A347)&amp;"-Q"&amp;ROUNDUP(MONTH($A347)/3,0))</f>
        <v/>
      </c>
      <c r="O347" s="15">
        <f>IF($A347="","",IF(OR($B347="",$E347="",$F347="",$G347="",$I347="",$K347=""),"Faltam campos","OK"))</f>
        <v/>
      </c>
      <c r="P347" s="15">
        <f>IF(OR($B347="",$B347&lt;&gt;'Pauta 1a1'!$B$4,$N347&lt;&gt;'Pauta 1a1'!$B$5),"",COUNTIFS($B$5:$B347,'Pauta 1a1'!$B$4,$N$5:$N347,'Pauta 1a1'!$B$5))</f>
        <v/>
      </c>
    </row>
    <row r="348">
      <c r="A348" s="18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5">
        <f>IF($A348="","",YEAR($A348)&amp;"-Q"&amp;ROUNDUP(MONTH($A348)/3,0))</f>
        <v/>
      </c>
      <c r="O348" s="15">
        <f>IF($A348="","",IF(OR($B348="",$E348="",$F348="",$G348="",$I348="",$K348=""),"Faltam campos","OK"))</f>
        <v/>
      </c>
      <c r="P348" s="15">
        <f>IF(OR($B348="",$B348&lt;&gt;'Pauta 1a1'!$B$4,$N348&lt;&gt;'Pauta 1a1'!$B$5),"",COUNTIFS($B$5:$B348,'Pauta 1a1'!$B$4,$N$5:$N348,'Pauta 1a1'!$B$5))</f>
        <v/>
      </c>
    </row>
    <row r="349">
      <c r="A349" s="18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5">
        <f>IF($A349="","",YEAR($A349)&amp;"-Q"&amp;ROUNDUP(MONTH($A349)/3,0))</f>
        <v/>
      </c>
      <c r="O349" s="15">
        <f>IF($A349="","",IF(OR($B349="",$E349="",$F349="",$G349="",$I349="",$K349=""),"Faltam campos","OK"))</f>
        <v/>
      </c>
      <c r="P349" s="15">
        <f>IF(OR($B349="",$B349&lt;&gt;'Pauta 1a1'!$B$4,$N349&lt;&gt;'Pauta 1a1'!$B$5),"",COUNTIFS($B$5:$B349,'Pauta 1a1'!$B$4,$N$5:$N349,'Pauta 1a1'!$B$5))</f>
        <v/>
      </c>
    </row>
    <row r="350">
      <c r="A350" s="18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5">
        <f>IF($A350="","",YEAR($A350)&amp;"-Q"&amp;ROUNDUP(MONTH($A350)/3,0))</f>
        <v/>
      </c>
      <c r="O350" s="15">
        <f>IF($A350="","",IF(OR($B350="",$E350="",$F350="",$G350="",$I350="",$K350=""),"Faltam campos","OK"))</f>
        <v/>
      </c>
      <c r="P350" s="15">
        <f>IF(OR($B350="",$B350&lt;&gt;'Pauta 1a1'!$B$4,$N350&lt;&gt;'Pauta 1a1'!$B$5),"",COUNTIFS($B$5:$B350,'Pauta 1a1'!$B$4,$N$5:$N350,'Pauta 1a1'!$B$5))</f>
        <v/>
      </c>
    </row>
    <row r="351">
      <c r="A351" s="18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5">
        <f>IF($A351="","",YEAR($A351)&amp;"-Q"&amp;ROUNDUP(MONTH($A351)/3,0))</f>
        <v/>
      </c>
      <c r="O351" s="15">
        <f>IF($A351="","",IF(OR($B351="",$E351="",$F351="",$G351="",$I351="",$K351=""),"Faltam campos","OK"))</f>
        <v/>
      </c>
      <c r="P351" s="15">
        <f>IF(OR($B351="",$B351&lt;&gt;'Pauta 1a1'!$B$4,$N351&lt;&gt;'Pauta 1a1'!$B$5),"",COUNTIFS($B$5:$B351,'Pauta 1a1'!$B$4,$N$5:$N351,'Pauta 1a1'!$B$5))</f>
        <v/>
      </c>
    </row>
    <row r="352">
      <c r="A352" s="18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5">
        <f>IF($A352="","",YEAR($A352)&amp;"-Q"&amp;ROUNDUP(MONTH($A352)/3,0))</f>
        <v/>
      </c>
      <c r="O352" s="15">
        <f>IF($A352="","",IF(OR($B352="",$E352="",$F352="",$G352="",$I352="",$K352=""),"Faltam campos","OK"))</f>
        <v/>
      </c>
      <c r="P352" s="15">
        <f>IF(OR($B352="",$B352&lt;&gt;'Pauta 1a1'!$B$4,$N352&lt;&gt;'Pauta 1a1'!$B$5),"",COUNTIFS($B$5:$B352,'Pauta 1a1'!$B$4,$N$5:$N352,'Pauta 1a1'!$B$5))</f>
        <v/>
      </c>
    </row>
    <row r="353">
      <c r="A353" s="18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5">
        <f>IF($A353="","",YEAR($A353)&amp;"-Q"&amp;ROUNDUP(MONTH($A353)/3,0))</f>
        <v/>
      </c>
      <c r="O353" s="15">
        <f>IF($A353="","",IF(OR($B353="",$E353="",$F353="",$G353="",$I353="",$K353=""),"Faltam campos","OK"))</f>
        <v/>
      </c>
      <c r="P353" s="15">
        <f>IF(OR($B353="",$B353&lt;&gt;'Pauta 1a1'!$B$4,$N353&lt;&gt;'Pauta 1a1'!$B$5),"",COUNTIFS($B$5:$B353,'Pauta 1a1'!$B$4,$N$5:$N353,'Pauta 1a1'!$B$5))</f>
        <v/>
      </c>
    </row>
    <row r="354">
      <c r="A354" s="18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5">
        <f>IF($A354="","",YEAR($A354)&amp;"-Q"&amp;ROUNDUP(MONTH($A354)/3,0))</f>
        <v/>
      </c>
      <c r="O354" s="15">
        <f>IF($A354="","",IF(OR($B354="",$E354="",$F354="",$G354="",$I354="",$K354=""),"Faltam campos","OK"))</f>
        <v/>
      </c>
      <c r="P354" s="15">
        <f>IF(OR($B354="",$B354&lt;&gt;'Pauta 1a1'!$B$4,$N354&lt;&gt;'Pauta 1a1'!$B$5),"",COUNTIFS($B$5:$B354,'Pauta 1a1'!$B$4,$N$5:$N354,'Pauta 1a1'!$B$5))</f>
        <v/>
      </c>
    </row>
    <row r="355">
      <c r="A355" s="18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5">
        <f>IF($A355="","",YEAR($A355)&amp;"-Q"&amp;ROUNDUP(MONTH($A355)/3,0))</f>
        <v/>
      </c>
      <c r="O355" s="15">
        <f>IF($A355="","",IF(OR($B355="",$E355="",$F355="",$G355="",$I355="",$K355=""),"Faltam campos","OK"))</f>
        <v/>
      </c>
      <c r="P355" s="15">
        <f>IF(OR($B355="",$B355&lt;&gt;'Pauta 1a1'!$B$4,$N355&lt;&gt;'Pauta 1a1'!$B$5),"",COUNTIFS($B$5:$B355,'Pauta 1a1'!$B$4,$N$5:$N355,'Pauta 1a1'!$B$5))</f>
        <v/>
      </c>
    </row>
    <row r="356">
      <c r="A356" s="18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5">
        <f>IF($A356="","",YEAR($A356)&amp;"-Q"&amp;ROUNDUP(MONTH($A356)/3,0))</f>
        <v/>
      </c>
      <c r="O356" s="15">
        <f>IF($A356="","",IF(OR($B356="",$E356="",$F356="",$G356="",$I356="",$K356=""),"Faltam campos","OK"))</f>
        <v/>
      </c>
      <c r="P356" s="15">
        <f>IF(OR($B356="",$B356&lt;&gt;'Pauta 1a1'!$B$4,$N356&lt;&gt;'Pauta 1a1'!$B$5),"",COUNTIFS($B$5:$B356,'Pauta 1a1'!$B$4,$N$5:$N356,'Pauta 1a1'!$B$5))</f>
        <v/>
      </c>
    </row>
    <row r="357">
      <c r="A357" s="18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5">
        <f>IF($A357="","",YEAR($A357)&amp;"-Q"&amp;ROUNDUP(MONTH($A357)/3,0))</f>
        <v/>
      </c>
      <c r="O357" s="15">
        <f>IF($A357="","",IF(OR($B357="",$E357="",$F357="",$G357="",$I357="",$K357=""),"Faltam campos","OK"))</f>
        <v/>
      </c>
      <c r="P357" s="15">
        <f>IF(OR($B357="",$B357&lt;&gt;'Pauta 1a1'!$B$4,$N357&lt;&gt;'Pauta 1a1'!$B$5),"",COUNTIFS($B$5:$B357,'Pauta 1a1'!$B$4,$N$5:$N357,'Pauta 1a1'!$B$5))</f>
        <v/>
      </c>
    </row>
    <row r="358">
      <c r="A358" s="18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5">
        <f>IF($A358="","",YEAR($A358)&amp;"-Q"&amp;ROUNDUP(MONTH($A358)/3,0))</f>
        <v/>
      </c>
      <c r="O358" s="15">
        <f>IF($A358="","",IF(OR($B358="",$E358="",$F358="",$G358="",$I358="",$K358=""),"Faltam campos","OK"))</f>
        <v/>
      </c>
      <c r="P358" s="15">
        <f>IF(OR($B358="",$B358&lt;&gt;'Pauta 1a1'!$B$4,$N358&lt;&gt;'Pauta 1a1'!$B$5),"",COUNTIFS($B$5:$B358,'Pauta 1a1'!$B$4,$N$5:$N358,'Pauta 1a1'!$B$5))</f>
        <v/>
      </c>
    </row>
    <row r="359">
      <c r="A359" s="18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5">
        <f>IF($A359="","",YEAR($A359)&amp;"-Q"&amp;ROUNDUP(MONTH($A359)/3,0))</f>
        <v/>
      </c>
      <c r="O359" s="15">
        <f>IF($A359="","",IF(OR($B359="",$E359="",$F359="",$G359="",$I359="",$K359=""),"Faltam campos","OK"))</f>
        <v/>
      </c>
      <c r="P359" s="15">
        <f>IF(OR($B359="",$B359&lt;&gt;'Pauta 1a1'!$B$4,$N359&lt;&gt;'Pauta 1a1'!$B$5),"",COUNTIFS($B$5:$B359,'Pauta 1a1'!$B$4,$N$5:$N359,'Pauta 1a1'!$B$5))</f>
        <v/>
      </c>
    </row>
    <row r="360">
      <c r="A360" s="18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5">
        <f>IF($A360="","",YEAR($A360)&amp;"-Q"&amp;ROUNDUP(MONTH($A360)/3,0))</f>
        <v/>
      </c>
      <c r="O360" s="15">
        <f>IF($A360="","",IF(OR($B360="",$E360="",$F360="",$G360="",$I360="",$K360=""),"Faltam campos","OK"))</f>
        <v/>
      </c>
      <c r="P360" s="15">
        <f>IF(OR($B360="",$B360&lt;&gt;'Pauta 1a1'!$B$4,$N360&lt;&gt;'Pauta 1a1'!$B$5),"",COUNTIFS($B$5:$B360,'Pauta 1a1'!$B$4,$N$5:$N360,'Pauta 1a1'!$B$5))</f>
        <v/>
      </c>
    </row>
    <row r="361">
      <c r="A361" s="18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5">
        <f>IF($A361="","",YEAR($A361)&amp;"-Q"&amp;ROUNDUP(MONTH($A361)/3,0))</f>
        <v/>
      </c>
      <c r="O361" s="15">
        <f>IF($A361="","",IF(OR($B361="",$E361="",$F361="",$G361="",$I361="",$K361=""),"Faltam campos","OK"))</f>
        <v/>
      </c>
      <c r="P361" s="15">
        <f>IF(OR($B361="",$B361&lt;&gt;'Pauta 1a1'!$B$4,$N361&lt;&gt;'Pauta 1a1'!$B$5),"",COUNTIFS($B$5:$B361,'Pauta 1a1'!$B$4,$N$5:$N361,'Pauta 1a1'!$B$5))</f>
        <v/>
      </c>
    </row>
    <row r="362">
      <c r="A362" s="18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5">
        <f>IF($A362="","",YEAR($A362)&amp;"-Q"&amp;ROUNDUP(MONTH($A362)/3,0))</f>
        <v/>
      </c>
      <c r="O362" s="15">
        <f>IF($A362="","",IF(OR($B362="",$E362="",$F362="",$G362="",$I362="",$K362=""),"Faltam campos","OK"))</f>
        <v/>
      </c>
      <c r="P362" s="15">
        <f>IF(OR($B362="",$B362&lt;&gt;'Pauta 1a1'!$B$4,$N362&lt;&gt;'Pauta 1a1'!$B$5),"",COUNTIFS($B$5:$B362,'Pauta 1a1'!$B$4,$N$5:$N362,'Pauta 1a1'!$B$5))</f>
        <v/>
      </c>
    </row>
    <row r="363">
      <c r="A363" s="18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5">
        <f>IF($A363="","",YEAR($A363)&amp;"-Q"&amp;ROUNDUP(MONTH($A363)/3,0))</f>
        <v/>
      </c>
      <c r="O363" s="15">
        <f>IF($A363="","",IF(OR($B363="",$E363="",$F363="",$G363="",$I363="",$K363=""),"Faltam campos","OK"))</f>
        <v/>
      </c>
      <c r="P363" s="15">
        <f>IF(OR($B363="",$B363&lt;&gt;'Pauta 1a1'!$B$4,$N363&lt;&gt;'Pauta 1a1'!$B$5),"",COUNTIFS($B$5:$B363,'Pauta 1a1'!$B$4,$N$5:$N363,'Pauta 1a1'!$B$5))</f>
        <v/>
      </c>
    </row>
    <row r="364">
      <c r="A364" s="18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5">
        <f>IF($A364="","",YEAR($A364)&amp;"-Q"&amp;ROUNDUP(MONTH($A364)/3,0))</f>
        <v/>
      </c>
      <c r="O364" s="15">
        <f>IF($A364="","",IF(OR($B364="",$E364="",$F364="",$G364="",$I364="",$K364=""),"Faltam campos","OK"))</f>
        <v/>
      </c>
      <c r="P364" s="15">
        <f>IF(OR($B364="",$B364&lt;&gt;'Pauta 1a1'!$B$4,$N364&lt;&gt;'Pauta 1a1'!$B$5),"",COUNTIFS($B$5:$B364,'Pauta 1a1'!$B$4,$N$5:$N364,'Pauta 1a1'!$B$5))</f>
        <v/>
      </c>
    </row>
    <row r="365">
      <c r="A365" s="18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5">
        <f>IF($A365="","",YEAR($A365)&amp;"-Q"&amp;ROUNDUP(MONTH($A365)/3,0))</f>
        <v/>
      </c>
      <c r="O365" s="15">
        <f>IF($A365="","",IF(OR($B365="",$E365="",$F365="",$G365="",$I365="",$K365=""),"Faltam campos","OK"))</f>
        <v/>
      </c>
      <c r="P365" s="15">
        <f>IF(OR($B365="",$B365&lt;&gt;'Pauta 1a1'!$B$4,$N365&lt;&gt;'Pauta 1a1'!$B$5),"",COUNTIFS($B$5:$B365,'Pauta 1a1'!$B$4,$N$5:$N365,'Pauta 1a1'!$B$5))</f>
        <v/>
      </c>
    </row>
    <row r="366">
      <c r="A366" s="18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5">
        <f>IF($A366="","",YEAR($A366)&amp;"-Q"&amp;ROUNDUP(MONTH($A366)/3,0))</f>
        <v/>
      </c>
      <c r="O366" s="15">
        <f>IF($A366="","",IF(OR($B366="",$E366="",$F366="",$G366="",$I366="",$K366=""),"Faltam campos","OK"))</f>
        <v/>
      </c>
      <c r="P366" s="15">
        <f>IF(OR($B366="",$B366&lt;&gt;'Pauta 1a1'!$B$4,$N366&lt;&gt;'Pauta 1a1'!$B$5),"",COUNTIFS($B$5:$B366,'Pauta 1a1'!$B$4,$N$5:$N366,'Pauta 1a1'!$B$5))</f>
        <v/>
      </c>
    </row>
    <row r="367">
      <c r="A367" s="18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5">
        <f>IF($A367="","",YEAR($A367)&amp;"-Q"&amp;ROUNDUP(MONTH($A367)/3,0))</f>
        <v/>
      </c>
      <c r="O367" s="15">
        <f>IF($A367="","",IF(OR($B367="",$E367="",$F367="",$G367="",$I367="",$K367=""),"Faltam campos","OK"))</f>
        <v/>
      </c>
      <c r="P367" s="15">
        <f>IF(OR($B367="",$B367&lt;&gt;'Pauta 1a1'!$B$4,$N367&lt;&gt;'Pauta 1a1'!$B$5),"",COUNTIFS($B$5:$B367,'Pauta 1a1'!$B$4,$N$5:$N367,'Pauta 1a1'!$B$5))</f>
        <v/>
      </c>
    </row>
    <row r="368">
      <c r="A368" s="18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5">
        <f>IF($A368="","",YEAR($A368)&amp;"-Q"&amp;ROUNDUP(MONTH($A368)/3,0))</f>
        <v/>
      </c>
      <c r="O368" s="15">
        <f>IF($A368="","",IF(OR($B368="",$E368="",$F368="",$G368="",$I368="",$K368=""),"Faltam campos","OK"))</f>
        <v/>
      </c>
      <c r="P368" s="15">
        <f>IF(OR($B368="",$B368&lt;&gt;'Pauta 1a1'!$B$4,$N368&lt;&gt;'Pauta 1a1'!$B$5),"",COUNTIFS($B$5:$B368,'Pauta 1a1'!$B$4,$N$5:$N368,'Pauta 1a1'!$B$5))</f>
        <v/>
      </c>
    </row>
    <row r="369">
      <c r="A369" s="18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5">
        <f>IF($A369="","",YEAR($A369)&amp;"-Q"&amp;ROUNDUP(MONTH($A369)/3,0))</f>
        <v/>
      </c>
      <c r="O369" s="15">
        <f>IF($A369="","",IF(OR($B369="",$E369="",$F369="",$G369="",$I369="",$K369=""),"Faltam campos","OK"))</f>
        <v/>
      </c>
      <c r="P369" s="15">
        <f>IF(OR($B369="",$B369&lt;&gt;'Pauta 1a1'!$B$4,$N369&lt;&gt;'Pauta 1a1'!$B$5),"",COUNTIFS($B$5:$B369,'Pauta 1a1'!$B$4,$N$5:$N369,'Pauta 1a1'!$B$5))</f>
        <v/>
      </c>
    </row>
    <row r="370">
      <c r="A370" s="18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5">
        <f>IF($A370="","",YEAR($A370)&amp;"-Q"&amp;ROUNDUP(MONTH($A370)/3,0))</f>
        <v/>
      </c>
      <c r="O370" s="15">
        <f>IF($A370="","",IF(OR($B370="",$E370="",$F370="",$G370="",$I370="",$K370=""),"Faltam campos","OK"))</f>
        <v/>
      </c>
      <c r="P370" s="15">
        <f>IF(OR($B370="",$B370&lt;&gt;'Pauta 1a1'!$B$4,$N370&lt;&gt;'Pauta 1a1'!$B$5),"",COUNTIFS($B$5:$B370,'Pauta 1a1'!$B$4,$N$5:$N370,'Pauta 1a1'!$B$5))</f>
        <v/>
      </c>
    </row>
    <row r="371">
      <c r="A371" s="18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5">
        <f>IF($A371="","",YEAR($A371)&amp;"-Q"&amp;ROUNDUP(MONTH($A371)/3,0))</f>
        <v/>
      </c>
      <c r="O371" s="15">
        <f>IF($A371="","",IF(OR($B371="",$E371="",$F371="",$G371="",$I371="",$K371=""),"Faltam campos","OK"))</f>
        <v/>
      </c>
      <c r="P371" s="15">
        <f>IF(OR($B371="",$B371&lt;&gt;'Pauta 1a1'!$B$4,$N371&lt;&gt;'Pauta 1a1'!$B$5),"",COUNTIFS($B$5:$B371,'Pauta 1a1'!$B$4,$N$5:$N371,'Pauta 1a1'!$B$5))</f>
        <v/>
      </c>
    </row>
    <row r="372">
      <c r="A372" s="18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5">
        <f>IF($A372="","",YEAR($A372)&amp;"-Q"&amp;ROUNDUP(MONTH($A372)/3,0))</f>
        <v/>
      </c>
      <c r="O372" s="15">
        <f>IF($A372="","",IF(OR($B372="",$E372="",$F372="",$G372="",$I372="",$K372=""),"Faltam campos","OK"))</f>
        <v/>
      </c>
      <c r="P372" s="15">
        <f>IF(OR($B372="",$B372&lt;&gt;'Pauta 1a1'!$B$4,$N372&lt;&gt;'Pauta 1a1'!$B$5),"",COUNTIFS($B$5:$B372,'Pauta 1a1'!$B$4,$N$5:$N372,'Pauta 1a1'!$B$5))</f>
        <v/>
      </c>
    </row>
    <row r="373">
      <c r="A373" s="18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5">
        <f>IF($A373="","",YEAR($A373)&amp;"-Q"&amp;ROUNDUP(MONTH($A373)/3,0))</f>
        <v/>
      </c>
      <c r="O373" s="15">
        <f>IF($A373="","",IF(OR($B373="",$E373="",$F373="",$G373="",$I373="",$K373=""),"Faltam campos","OK"))</f>
        <v/>
      </c>
      <c r="P373" s="15">
        <f>IF(OR($B373="",$B373&lt;&gt;'Pauta 1a1'!$B$4,$N373&lt;&gt;'Pauta 1a1'!$B$5),"",COUNTIFS($B$5:$B373,'Pauta 1a1'!$B$4,$N$5:$N373,'Pauta 1a1'!$B$5))</f>
        <v/>
      </c>
    </row>
    <row r="374">
      <c r="A374" s="18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5">
        <f>IF($A374="","",YEAR($A374)&amp;"-Q"&amp;ROUNDUP(MONTH($A374)/3,0))</f>
        <v/>
      </c>
      <c r="O374" s="15">
        <f>IF($A374="","",IF(OR($B374="",$E374="",$F374="",$G374="",$I374="",$K374=""),"Faltam campos","OK"))</f>
        <v/>
      </c>
      <c r="P374" s="15">
        <f>IF(OR($B374="",$B374&lt;&gt;'Pauta 1a1'!$B$4,$N374&lt;&gt;'Pauta 1a1'!$B$5),"",COUNTIFS($B$5:$B374,'Pauta 1a1'!$B$4,$N$5:$N374,'Pauta 1a1'!$B$5))</f>
        <v/>
      </c>
    </row>
    <row r="375">
      <c r="A375" s="18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5">
        <f>IF($A375="","",YEAR($A375)&amp;"-Q"&amp;ROUNDUP(MONTH($A375)/3,0))</f>
        <v/>
      </c>
      <c r="O375" s="15">
        <f>IF($A375="","",IF(OR($B375="",$E375="",$F375="",$G375="",$I375="",$K375=""),"Faltam campos","OK"))</f>
        <v/>
      </c>
      <c r="P375" s="15">
        <f>IF(OR($B375="",$B375&lt;&gt;'Pauta 1a1'!$B$4,$N375&lt;&gt;'Pauta 1a1'!$B$5),"",COUNTIFS($B$5:$B375,'Pauta 1a1'!$B$4,$N$5:$N375,'Pauta 1a1'!$B$5))</f>
        <v/>
      </c>
    </row>
    <row r="376">
      <c r="A376" s="18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5">
        <f>IF($A376="","",YEAR($A376)&amp;"-Q"&amp;ROUNDUP(MONTH($A376)/3,0))</f>
        <v/>
      </c>
      <c r="O376" s="15">
        <f>IF($A376="","",IF(OR($B376="",$E376="",$F376="",$G376="",$I376="",$K376=""),"Faltam campos","OK"))</f>
        <v/>
      </c>
      <c r="P376" s="15">
        <f>IF(OR($B376="",$B376&lt;&gt;'Pauta 1a1'!$B$4,$N376&lt;&gt;'Pauta 1a1'!$B$5),"",COUNTIFS($B$5:$B376,'Pauta 1a1'!$B$4,$N$5:$N376,'Pauta 1a1'!$B$5))</f>
        <v/>
      </c>
    </row>
    <row r="377">
      <c r="A377" s="18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5">
        <f>IF($A377="","",YEAR($A377)&amp;"-Q"&amp;ROUNDUP(MONTH($A377)/3,0))</f>
        <v/>
      </c>
      <c r="O377" s="15">
        <f>IF($A377="","",IF(OR($B377="",$E377="",$F377="",$G377="",$I377="",$K377=""),"Faltam campos","OK"))</f>
        <v/>
      </c>
      <c r="P377" s="15">
        <f>IF(OR($B377="",$B377&lt;&gt;'Pauta 1a1'!$B$4,$N377&lt;&gt;'Pauta 1a1'!$B$5),"",COUNTIFS($B$5:$B377,'Pauta 1a1'!$B$4,$N$5:$N377,'Pauta 1a1'!$B$5))</f>
        <v/>
      </c>
    </row>
    <row r="378">
      <c r="A378" s="18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5">
        <f>IF($A378="","",YEAR($A378)&amp;"-Q"&amp;ROUNDUP(MONTH($A378)/3,0))</f>
        <v/>
      </c>
      <c r="O378" s="15">
        <f>IF($A378="","",IF(OR($B378="",$E378="",$F378="",$G378="",$I378="",$K378=""),"Faltam campos","OK"))</f>
        <v/>
      </c>
      <c r="P378" s="15">
        <f>IF(OR($B378="",$B378&lt;&gt;'Pauta 1a1'!$B$4,$N378&lt;&gt;'Pauta 1a1'!$B$5),"",COUNTIFS($B$5:$B378,'Pauta 1a1'!$B$4,$N$5:$N378,'Pauta 1a1'!$B$5))</f>
        <v/>
      </c>
    </row>
    <row r="379">
      <c r="A379" s="18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5">
        <f>IF($A379="","",YEAR($A379)&amp;"-Q"&amp;ROUNDUP(MONTH($A379)/3,0))</f>
        <v/>
      </c>
      <c r="O379" s="15">
        <f>IF($A379="","",IF(OR($B379="",$E379="",$F379="",$G379="",$I379="",$K379=""),"Faltam campos","OK"))</f>
        <v/>
      </c>
      <c r="P379" s="15">
        <f>IF(OR($B379="",$B379&lt;&gt;'Pauta 1a1'!$B$4,$N379&lt;&gt;'Pauta 1a1'!$B$5),"",COUNTIFS($B$5:$B379,'Pauta 1a1'!$B$4,$N$5:$N379,'Pauta 1a1'!$B$5))</f>
        <v/>
      </c>
    </row>
    <row r="380">
      <c r="A380" s="18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5">
        <f>IF($A380="","",YEAR($A380)&amp;"-Q"&amp;ROUNDUP(MONTH($A380)/3,0))</f>
        <v/>
      </c>
      <c r="O380" s="15">
        <f>IF($A380="","",IF(OR($B380="",$E380="",$F380="",$G380="",$I380="",$K380=""),"Faltam campos","OK"))</f>
        <v/>
      </c>
      <c r="P380" s="15">
        <f>IF(OR($B380="",$B380&lt;&gt;'Pauta 1a1'!$B$4,$N380&lt;&gt;'Pauta 1a1'!$B$5),"",COUNTIFS($B$5:$B380,'Pauta 1a1'!$B$4,$N$5:$N380,'Pauta 1a1'!$B$5))</f>
        <v/>
      </c>
    </row>
    <row r="381">
      <c r="A381" s="18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5">
        <f>IF($A381="","",YEAR($A381)&amp;"-Q"&amp;ROUNDUP(MONTH($A381)/3,0))</f>
        <v/>
      </c>
      <c r="O381" s="15">
        <f>IF($A381="","",IF(OR($B381="",$E381="",$F381="",$G381="",$I381="",$K381=""),"Faltam campos","OK"))</f>
        <v/>
      </c>
      <c r="P381" s="15">
        <f>IF(OR($B381="",$B381&lt;&gt;'Pauta 1a1'!$B$4,$N381&lt;&gt;'Pauta 1a1'!$B$5),"",COUNTIFS($B$5:$B381,'Pauta 1a1'!$B$4,$N$5:$N381,'Pauta 1a1'!$B$5))</f>
        <v/>
      </c>
    </row>
    <row r="382">
      <c r="A382" s="18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5">
        <f>IF($A382="","",YEAR($A382)&amp;"-Q"&amp;ROUNDUP(MONTH($A382)/3,0))</f>
        <v/>
      </c>
      <c r="O382" s="15">
        <f>IF($A382="","",IF(OR($B382="",$E382="",$F382="",$G382="",$I382="",$K382=""),"Faltam campos","OK"))</f>
        <v/>
      </c>
      <c r="P382" s="15">
        <f>IF(OR($B382="",$B382&lt;&gt;'Pauta 1a1'!$B$4,$N382&lt;&gt;'Pauta 1a1'!$B$5),"",COUNTIFS($B$5:$B382,'Pauta 1a1'!$B$4,$N$5:$N382,'Pauta 1a1'!$B$5))</f>
        <v/>
      </c>
    </row>
    <row r="383">
      <c r="A383" s="18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5">
        <f>IF($A383="","",YEAR($A383)&amp;"-Q"&amp;ROUNDUP(MONTH($A383)/3,0))</f>
        <v/>
      </c>
      <c r="O383" s="15">
        <f>IF($A383="","",IF(OR($B383="",$E383="",$F383="",$G383="",$I383="",$K383=""),"Faltam campos","OK"))</f>
        <v/>
      </c>
      <c r="P383" s="15">
        <f>IF(OR($B383="",$B383&lt;&gt;'Pauta 1a1'!$B$4,$N383&lt;&gt;'Pauta 1a1'!$B$5),"",COUNTIFS($B$5:$B383,'Pauta 1a1'!$B$4,$N$5:$N383,'Pauta 1a1'!$B$5))</f>
        <v/>
      </c>
    </row>
    <row r="384">
      <c r="A384" s="18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5">
        <f>IF($A384="","",YEAR($A384)&amp;"-Q"&amp;ROUNDUP(MONTH($A384)/3,0))</f>
        <v/>
      </c>
      <c r="O384" s="15">
        <f>IF($A384="","",IF(OR($B384="",$E384="",$F384="",$G384="",$I384="",$K384=""),"Faltam campos","OK"))</f>
        <v/>
      </c>
      <c r="P384" s="15">
        <f>IF(OR($B384="",$B384&lt;&gt;'Pauta 1a1'!$B$4,$N384&lt;&gt;'Pauta 1a1'!$B$5),"",COUNTIFS($B$5:$B384,'Pauta 1a1'!$B$4,$N$5:$N384,'Pauta 1a1'!$B$5))</f>
        <v/>
      </c>
    </row>
    <row r="385">
      <c r="A385" s="18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5">
        <f>IF($A385="","",YEAR($A385)&amp;"-Q"&amp;ROUNDUP(MONTH($A385)/3,0))</f>
        <v/>
      </c>
      <c r="O385" s="15">
        <f>IF($A385="","",IF(OR($B385="",$E385="",$F385="",$G385="",$I385="",$K385=""),"Faltam campos","OK"))</f>
        <v/>
      </c>
      <c r="P385" s="15">
        <f>IF(OR($B385="",$B385&lt;&gt;'Pauta 1a1'!$B$4,$N385&lt;&gt;'Pauta 1a1'!$B$5),"",COUNTIFS($B$5:$B385,'Pauta 1a1'!$B$4,$N$5:$N385,'Pauta 1a1'!$B$5))</f>
        <v/>
      </c>
    </row>
    <row r="386">
      <c r="A386" s="18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5">
        <f>IF($A386="","",YEAR($A386)&amp;"-Q"&amp;ROUNDUP(MONTH($A386)/3,0))</f>
        <v/>
      </c>
      <c r="O386" s="15">
        <f>IF($A386="","",IF(OR($B386="",$E386="",$F386="",$G386="",$I386="",$K386=""),"Faltam campos","OK"))</f>
        <v/>
      </c>
      <c r="P386" s="15">
        <f>IF(OR($B386="",$B386&lt;&gt;'Pauta 1a1'!$B$4,$N386&lt;&gt;'Pauta 1a1'!$B$5),"",COUNTIFS($B$5:$B386,'Pauta 1a1'!$B$4,$N$5:$N386,'Pauta 1a1'!$B$5))</f>
        <v/>
      </c>
    </row>
    <row r="387">
      <c r="A387" s="18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5">
        <f>IF($A387="","",YEAR($A387)&amp;"-Q"&amp;ROUNDUP(MONTH($A387)/3,0))</f>
        <v/>
      </c>
      <c r="O387" s="15">
        <f>IF($A387="","",IF(OR($B387="",$E387="",$F387="",$G387="",$I387="",$K387=""),"Faltam campos","OK"))</f>
        <v/>
      </c>
      <c r="P387" s="15">
        <f>IF(OR($B387="",$B387&lt;&gt;'Pauta 1a1'!$B$4,$N387&lt;&gt;'Pauta 1a1'!$B$5),"",COUNTIFS($B$5:$B387,'Pauta 1a1'!$B$4,$N$5:$N387,'Pauta 1a1'!$B$5))</f>
        <v/>
      </c>
    </row>
    <row r="388">
      <c r="A388" s="18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5">
        <f>IF($A388="","",YEAR($A388)&amp;"-Q"&amp;ROUNDUP(MONTH($A388)/3,0))</f>
        <v/>
      </c>
      <c r="O388" s="15">
        <f>IF($A388="","",IF(OR($B388="",$E388="",$F388="",$G388="",$I388="",$K388=""),"Faltam campos","OK"))</f>
        <v/>
      </c>
      <c r="P388" s="15">
        <f>IF(OR($B388="",$B388&lt;&gt;'Pauta 1a1'!$B$4,$N388&lt;&gt;'Pauta 1a1'!$B$5),"",COUNTIFS($B$5:$B388,'Pauta 1a1'!$B$4,$N$5:$N388,'Pauta 1a1'!$B$5))</f>
        <v/>
      </c>
    </row>
    <row r="389">
      <c r="A389" s="18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5">
        <f>IF($A389="","",YEAR($A389)&amp;"-Q"&amp;ROUNDUP(MONTH($A389)/3,0))</f>
        <v/>
      </c>
      <c r="O389" s="15">
        <f>IF($A389="","",IF(OR($B389="",$E389="",$F389="",$G389="",$I389="",$K389=""),"Faltam campos","OK"))</f>
        <v/>
      </c>
      <c r="P389" s="15">
        <f>IF(OR($B389="",$B389&lt;&gt;'Pauta 1a1'!$B$4,$N389&lt;&gt;'Pauta 1a1'!$B$5),"",COUNTIFS($B$5:$B389,'Pauta 1a1'!$B$4,$N$5:$N389,'Pauta 1a1'!$B$5))</f>
        <v/>
      </c>
    </row>
    <row r="390">
      <c r="A390" s="18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5">
        <f>IF($A390="","",YEAR($A390)&amp;"-Q"&amp;ROUNDUP(MONTH($A390)/3,0))</f>
        <v/>
      </c>
      <c r="O390" s="15">
        <f>IF($A390="","",IF(OR($B390="",$E390="",$F390="",$G390="",$I390="",$K390=""),"Faltam campos","OK"))</f>
        <v/>
      </c>
      <c r="P390" s="15">
        <f>IF(OR($B390="",$B390&lt;&gt;'Pauta 1a1'!$B$4,$N390&lt;&gt;'Pauta 1a1'!$B$5),"",COUNTIFS($B$5:$B390,'Pauta 1a1'!$B$4,$N$5:$N390,'Pauta 1a1'!$B$5))</f>
        <v/>
      </c>
    </row>
    <row r="391">
      <c r="A391" s="18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5">
        <f>IF($A391="","",YEAR($A391)&amp;"-Q"&amp;ROUNDUP(MONTH($A391)/3,0))</f>
        <v/>
      </c>
      <c r="O391" s="15">
        <f>IF($A391="","",IF(OR($B391="",$E391="",$F391="",$G391="",$I391="",$K391=""),"Faltam campos","OK"))</f>
        <v/>
      </c>
      <c r="P391" s="15">
        <f>IF(OR($B391="",$B391&lt;&gt;'Pauta 1a1'!$B$4,$N391&lt;&gt;'Pauta 1a1'!$B$5),"",COUNTIFS($B$5:$B391,'Pauta 1a1'!$B$4,$N$5:$N391,'Pauta 1a1'!$B$5))</f>
        <v/>
      </c>
    </row>
    <row r="392">
      <c r="A392" s="18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5">
        <f>IF($A392="","",YEAR($A392)&amp;"-Q"&amp;ROUNDUP(MONTH($A392)/3,0))</f>
        <v/>
      </c>
      <c r="O392" s="15">
        <f>IF($A392="","",IF(OR($B392="",$E392="",$F392="",$G392="",$I392="",$K392=""),"Faltam campos","OK"))</f>
        <v/>
      </c>
      <c r="P392" s="15">
        <f>IF(OR($B392="",$B392&lt;&gt;'Pauta 1a1'!$B$4,$N392&lt;&gt;'Pauta 1a1'!$B$5),"",COUNTIFS($B$5:$B392,'Pauta 1a1'!$B$4,$N$5:$N392,'Pauta 1a1'!$B$5))</f>
        <v/>
      </c>
    </row>
    <row r="393">
      <c r="A393" s="18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5">
        <f>IF($A393="","",YEAR($A393)&amp;"-Q"&amp;ROUNDUP(MONTH($A393)/3,0))</f>
        <v/>
      </c>
      <c r="O393" s="15">
        <f>IF($A393="","",IF(OR($B393="",$E393="",$F393="",$G393="",$I393="",$K393=""),"Faltam campos","OK"))</f>
        <v/>
      </c>
      <c r="P393" s="15">
        <f>IF(OR($B393="",$B393&lt;&gt;'Pauta 1a1'!$B$4,$N393&lt;&gt;'Pauta 1a1'!$B$5),"",COUNTIFS($B$5:$B393,'Pauta 1a1'!$B$4,$N$5:$N393,'Pauta 1a1'!$B$5))</f>
        <v/>
      </c>
    </row>
    <row r="394">
      <c r="A394" s="18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5">
        <f>IF($A394="","",YEAR($A394)&amp;"-Q"&amp;ROUNDUP(MONTH($A394)/3,0))</f>
        <v/>
      </c>
      <c r="O394" s="15">
        <f>IF($A394="","",IF(OR($B394="",$E394="",$F394="",$G394="",$I394="",$K394=""),"Faltam campos","OK"))</f>
        <v/>
      </c>
      <c r="P394" s="15">
        <f>IF(OR($B394="",$B394&lt;&gt;'Pauta 1a1'!$B$4,$N394&lt;&gt;'Pauta 1a1'!$B$5),"",COUNTIFS($B$5:$B394,'Pauta 1a1'!$B$4,$N$5:$N394,'Pauta 1a1'!$B$5))</f>
        <v/>
      </c>
    </row>
    <row r="395">
      <c r="A395" s="18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5">
        <f>IF($A395="","",YEAR($A395)&amp;"-Q"&amp;ROUNDUP(MONTH($A395)/3,0))</f>
        <v/>
      </c>
      <c r="O395" s="15">
        <f>IF($A395="","",IF(OR($B395="",$E395="",$F395="",$G395="",$I395="",$K395=""),"Faltam campos","OK"))</f>
        <v/>
      </c>
      <c r="P395" s="15">
        <f>IF(OR($B395="",$B395&lt;&gt;'Pauta 1a1'!$B$4,$N395&lt;&gt;'Pauta 1a1'!$B$5),"",COUNTIFS($B$5:$B395,'Pauta 1a1'!$B$4,$N$5:$N395,'Pauta 1a1'!$B$5))</f>
        <v/>
      </c>
    </row>
    <row r="396">
      <c r="A396" s="18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5">
        <f>IF($A396="","",YEAR($A396)&amp;"-Q"&amp;ROUNDUP(MONTH($A396)/3,0))</f>
        <v/>
      </c>
      <c r="O396" s="15">
        <f>IF($A396="","",IF(OR($B396="",$E396="",$F396="",$G396="",$I396="",$K396=""),"Faltam campos","OK"))</f>
        <v/>
      </c>
      <c r="P396" s="15">
        <f>IF(OR($B396="",$B396&lt;&gt;'Pauta 1a1'!$B$4,$N396&lt;&gt;'Pauta 1a1'!$B$5),"",COUNTIFS($B$5:$B396,'Pauta 1a1'!$B$4,$N$5:$N396,'Pauta 1a1'!$B$5))</f>
        <v/>
      </c>
    </row>
    <row r="397">
      <c r="A397" s="18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5">
        <f>IF($A397="","",YEAR($A397)&amp;"-Q"&amp;ROUNDUP(MONTH($A397)/3,0))</f>
        <v/>
      </c>
      <c r="O397" s="15">
        <f>IF($A397="","",IF(OR($B397="",$E397="",$F397="",$G397="",$I397="",$K397=""),"Faltam campos","OK"))</f>
        <v/>
      </c>
      <c r="P397" s="15">
        <f>IF(OR($B397="",$B397&lt;&gt;'Pauta 1a1'!$B$4,$N397&lt;&gt;'Pauta 1a1'!$B$5),"",COUNTIFS($B$5:$B397,'Pauta 1a1'!$B$4,$N$5:$N397,'Pauta 1a1'!$B$5))</f>
        <v/>
      </c>
    </row>
    <row r="398">
      <c r="A398" s="18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5">
        <f>IF($A398="","",YEAR($A398)&amp;"-Q"&amp;ROUNDUP(MONTH($A398)/3,0))</f>
        <v/>
      </c>
      <c r="O398" s="15">
        <f>IF($A398="","",IF(OR($B398="",$E398="",$F398="",$G398="",$I398="",$K398=""),"Faltam campos","OK"))</f>
        <v/>
      </c>
      <c r="P398" s="15">
        <f>IF(OR($B398="",$B398&lt;&gt;'Pauta 1a1'!$B$4,$N398&lt;&gt;'Pauta 1a1'!$B$5),"",COUNTIFS($B$5:$B398,'Pauta 1a1'!$B$4,$N$5:$N398,'Pauta 1a1'!$B$5))</f>
        <v/>
      </c>
    </row>
    <row r="399">
      <c r="A399" s="18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5">
        <f>IF($A399="","",YEAR($A399)&amp;"-Q"&amp;ROUNDUP(MONTH($A399)/3,0))</f>
        <v/>
      </c>
      <c r="O399" s="15">
        <f>IF($A399="","",IF(OR($B399="",$E399="",$F399="",$G399="",$I399="",$K399=""),"Faltam campos","OK"))</f>
        <v/>
      </c>
      <c r="P399" s="15">
        <f>IF(OR($B399="",$B399&lt;&gt;'Pauta 1a1'!$B$4,$N399&lt;&gt;'Pauta 1a1'!$B$5),"",COUNTIFS($B$5:$B399,'Pauta 1a1'!$B$4,$N$5:$N399,'Pauta 1a1'!$B$5))</f>
        <v/>
      </c>
    </row>
    <row r="400">
      <c r="A400" s="18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5">
        <f>IF($A400="","",YEAR($A400)&amp;"-Q"&amp;ROUNDUP(MONTH($A400)/3,0))</f>
        <v/>
      </c>
      <c r="O400" s="15">
        <f>IF($A400="","",IF(OR($B400="",$E400="",$F400="",$G400="",$I400="",$K400=""),"Faltam campos","OK"))</f>
        <v/>
      </c>
      <c r="P400" s="15">
        <f>IF(OR($B400="",$B400&lt;&gt;'Pauta 1a1'!$B$4,$N400&lt;&gt;'Pauta 1a1'!$B$5),"",COUNTIFS($B$5:$B400,'Pauta 1a1'!$B$4,$N$5:$N400,'Pauta 1a1'!$B$5))</f>
        <v/>
      </c>
    </row>
    <row r="401">
      <c r="A401" s="18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5">
        <f>IF($A401="","",YEAR($A401)&amp;"-Q"&amp;ROUNDUP(MONTH($A401)/3,0))</f>
        <v/>
      </c>
      <c r="O401" s="15">
        <f>IF($A401="","",IF(OR($B401="",$E401="",$F401="",$G401="",$I401="",$K401=""),"Faltam campos","OK"))</f>
        <v/>
      </c>
      <c r="P401" s="15">
        <f>IF(OR($B401="",$B401&lt;&gt;'Pauta 1a1'!$B$4,$N401&lt;&gt;'Pauta 1a1'!$B$5),"",COUNTIFS($B$5:$B401,'Pauta 1a1'!$B$4,$N$5:$N401,'Pauta 1a1'!$B$5))</f>
        <v/>
      </c>
    </row>
    <row r="402">
      <c r="A402" s="18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5">
        <f>IF($A402="","",YEAR($A402)&amp;"-Q"&amp;ROUNDUP(MONTH($A402)/3,0))</f>
        <v/>
      </c>
      <c r="O402" s="15">
        <f>IF($A402="","",IF(OR($B402="",$E402="",$F402="",$G402="",$I402="",$K402=""),"Faltam campos","OK"))</f>
        <v/>
      </c>
      <c r="P402" s="15">
        <f>IF(OR($B402="",$B402&lt;&gt;'Pauta 1a1'!$B$4,$N402&lt;&gt;'Pauta 1a1'!$B$5),"",COUNTIFS($B$5:$B402,'Pauta 1a1'!$B$4,$N$5:$N402,'Pauta 1a1'!$B$5))</f>
        <v/>
      </c>
    </row>
    <row r="403">
      <c r="A403" s="18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5">
        <f>IF($A403="","",YEAR($A403)&amp;"-Q"&amp;ROUNDUP(MONTH($A403)/3,0))</f>
        <v/>
      </c>
      <c r="O403" s="15">
        <f>IF($A403="","",IF(OR($B403="",$E403="",$F403="",$G403="",$I403="",$K403=""),"Faltam campos","OK"))</f>
        <v/>
      </c>
      <c r="P403" s="15">
        <f>IF(OR($B403="",$B403&lt;&gt;'Pauta 1a1'!$B$4,$N403&lt;&gt;'Pauta 1a1'!$B$5),"",COUNTIFS($B$5:$B403,'Pauta 1a1'!$B$4,$N$5:$N403,'Pauta 1a1'!$B$5))</f>
        <v/>
      </c>
    </row>
    <row r="404">
      <c r="A404" s="18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5">
        <f>IF($A404="","",YEAR($A404)&amp;"-Q"&amp;ROUNDUP(MONTH($A404)/3,0))</f>
        <v/>
      </c>
      <c r="O404" s="15">
        <f>IF($A404="","",IF(OR($B404="",$E404="",$F404="",$G404="",$I404="",$K404=""),"Faltam campos","OK"))</f>
        <v/>
      </c>
      <c r="P404" s="15">
        <f>IF(OR($B404="",$B404&lt;&gt;'Pauta 1a1'!$B$4,$N404&lt;&gt;'Pauta 1a1'!$B$5),"",COUNTIFS($B$5:$B404,'Pauta 1a1'!$B$4,$N$5:$N404,'Pauta 1a1'!$B$5))</f>
        <v/>
      </c>
    </row>
  </sheetData>
  <conditionalFormatting sqref="A5:M404">
    <cfRule type="expression" priority="1" dxfId="0">
      <formula>$O5="Faltam campos"</formula>
    </cfRule>
  </conditionalFormatting>
  <conditionalFormatting sqref="K5:K404">
    <cfRule type="expression" priority="2" dxfId="1">
      <formula>AND($K5="Não",OR($E5="Ponto de atenção",$E5="Incidente"))</formula>
    </cfRule>
  </conditionalFormatting>
  <dataValidations count="8">
    <dataValidation sqref="B5:B404" showDropDown="0" showInputMessage="0" showErrorMessage="0" allowBlank="1" type="list">
      <formula1>=Colaboradores!$B$2:$B$61</formula1>
    </dataValidation>
    <dataValidation sqref="D5:D404" showDropDown="0" showInputMessage="0" showErrorMessage="0" allowBlank="1" type="list">
      <formula1>=Config!$O$8:$O$12</formula1>
    </dataValidation>
    <dataValidation sqref="E5:E404" showDropDown="0" showInputMessage="0" showErrorMessage="0" allowBlank="1" type="list">
      <formula1>=Config!$K$8:$K$20</formula1>
    </dataValidation>
    <dataValidation sqref="F5:F404" showDropDown="0" showInputMessage="0" showErrorMessage="0" allowBlank="1" type="list">
      <formula1>=Competências!$C$2:$C$12</formula1>
    </dataValidation>
    <dataValidation sqref="H5:H404" showDropDown="0" showInputMessage="0" showErrorMessage="0" allowBlank="1" type="list">
      <formula1>=Config!$L$8:$L$12</formula1>
    </dataValidation>
    <dataValidation sqref="K5:K404" showDropDown="0" showInputMessage="0" showErrorMessage="0" allowBlank="1" type="list">
      <formula1>=Config!$N$8:$N$12</formula1>
    </dataValidation>
    <dataValidation sqref="M5:M404" showDropDown="0" showInputMessage="0" showErrorMessage="0" allowBlank="1" type="list">
      <formula1>=Config!$M$8:$M$12</formula1>
    </dataValidation>
    <dataValidation sqref="A5:A404" showDropDown="0" showInputMessage="0" showErrorMessage="0" allowBlank="1" errorTitle="Data inválida" error="Data do fato não pode ser futura." type="date" operator="lessThanOrEqual">
      <formula1>TODAY()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3" customWidth="1" min="4" max="4"/>
    <col width="14" customWidth="1" min="5" max="5"/>
    <col width="24" customWidth="1" min="6" max="6"/>
    <col width="30" customWidth="1" min="7" max="7"/>
    <col width="16" customWidth="1" min="8" max="8"/>
    <col width="9" customWidth="1" min="9" max="9"/>
    <col width="9" customWidth="1" min="10" max="10"/>
    <col width="11" customWidth="1" min="11" max="11"/>
    <col width="12" customWidth="1" min="12" max="12"/>
    <col width="10" customWidth="1" min="13" max="13"/>
    <col width="12" customWidth="1" min="14" max="14"/>
    <col width="13" customWidth="1" min="15" max="15"/>
    <col width="52" customWidth="1" min="16" max="16"/>
    <col width="14" customWidth="1" min="17" max="17"/>
  </cols>
  <sheetData>
    <row r="1" ht="22" customHeight="1">
      <c r="A1" s="1" t="inlineStr">
        <is>
          <t>Avaliação e calibração — uma linha por colaborador × competência × ciclo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GP e Líder Técnico preenchem na MESMA aba. Duas planilhas separadas viram duas verdades e ninguém concilia.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2" t="inlineStr">
        <is>
          <t>Quem não tem evidência deixa em branco — em branco é resposta legítima e melhor que chute. Divergência de 2+ pontos é obrigatoriamente pauta de calibração, e cada lado traz uma ocorrência que sustenta a nota.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0" customHeight="1">
      <c r="A4" s="13" t="inlineStr">
        <is>
          <t>Ciclo</t>
        </is>
      </c>
      <c r="B4" s="13" t="inlineStr">
        <is>
          <t>ID</t>
        </is>
      </c>
      <c r="C4" s="13" t="inlineStr">
        <is>
          <t>Colaborador</t>
        </is>
      </c>
      <c r="D4" s="13" t="inlineStr">
        <is>
          <t>Senioridade</t>
        </is>
      </c>
      <c r="E4" s="13" t="inlineStr">
        <is>
          <t>Papel</t>
        </is>
      </c>
      <c r="F4" s="13" t="inlineStr">
        <is>
          <t>Competência</t>
        </is>
      </c>
      <c r="G4" s="13" t="inlineStr">
        <is>
          <t>Eixo</t>
        </is>
      </c>
      <c r="H4" s="13" t="inlineStr">
        <is>
          <t>Avaliador dono</t>
        </is>
      </c>
      <c r="I4" s="13" t="inlineStr">
        <is>
          <t>Nota GP</t>
        </is>
      </c>
      <c r="J4" s="13" t="inlineStr">
        <is>
          <t>Nota LT</t>
        </is>
      </c>
      <c r="K4" s="13" t="inlineStr">
        <is>
          <t>Divergência</t>
        </is>
      </c>
      <c r="L4" s="13" t="inlineStr">
        <is>
          <t>Sugestão</t>
        </is>
      </c>
      <c r="M4" s="13" t="inlineStr">
        <is>
          <t>Nota final</t>
        </is>
      </c>
      <c r="N4" s="13" t="inlineStr">
        <is>
          <t>Ocorr. vinculadas</t>
        </is>
      </c>
      <c r="O4" s="13" t="inlineStr">
        <is>
          <t>Lastro</t>
        </is>
      </c>
      <c r="P4" s="13" t="inlineStr">
        <is>
          <t>Justificativa da nota final (1 frase)</t>
        </is>
      </c>
      <c r="Q4" s="13" t="inlineStr">
        <is>
          <t>Data da calibração</t>
        </is>
      </c>
    </row>
    <row r="5">
      <c r="A5" s="19" t="inlineStr">
        <is>
          <t>2026-Q3</t>
        </is>
      </c>
      <c r="B5" s="19" t="n">
        <v>1</v>
      </c>
      <c r="C5" s="15">
        <f>IFERROR(INDEX(Colaboradores!$B:$B,MATCH($B5,Colaboradores!$A:$A,0)),"")</f>
        <v/>
      </c>
      <c r="D5" s="15">
        <f>IFERROR(INDEX(Colaboradores!$E:$E,MATCH($B5,Colaboradores!$A:$A,0)),"")</f>
        <v/>
      </c>
      <c r="E5" s="15">
        <f>IFERROR(INDEX(Colaboradores!$D:$D,MATCH($B5,Colaboradores!$A:$A,0)),"")</f>
        <v/>
      </c>
      <c r="F5" s="19" t="inlineStr">
        <is>
          <t>Previsibilidade</t>
        </is>
      </c>
      <c r="G5" s="15">
        <f>IFERROR(INDEX(Competências!$B:$B,MATCH($F5,Competências!$C:$C,0)),"")</f>
        <v/>
      </c>
      <c r="H5" s="15">
        <f>IFERROR(INDEX(Competências!$E:$E,MATCH($F5,Competências!$C:$C,0)),"")</f>
        <v/>
      </c>
      <c r="I5" s="20" t="n">
        <v>3</v>
      </c>
      <c r="J5" s="20" t="n"/>
      <c r="K5" s="21">
        <f>IF(AND(ISNUMBER($I5),ISNUMBER($J5)),ABS($I5-$J5),"")</f>
        <v/>
      </c>
      <c r="L5" s="21">
        <f>IF(AND(NOT(ISNUMBER($I5)),NOT(ISNUMBER($J5))),"",IF(NOT(ISNUMBER($J5)),$I5,IF(NOT(ISNUMBER($I5)),$J5,IF($K5=0,$I5,IF($K5=1,IF($H5="Líder Técnico",$J5,IF($H5="GP",$I5,"CALIBRAR")),"CALIBRAR")))))</f>
        <v/>
      </c>
      <c r="M5" s="20" t="n">
        <v>3</v>
      </c>
      <c r="N5" s="21">
        <f>IF($C5="","",COUNTIFS(Ocorrências!$B:$B,$C5,Ocorrências!$F:$F,$F5,Ocorrências!$N:$N,$A5))</f>
        <v/>
      </c>
      <c r="O5" s="15">
        <f>IF($M5="","",IF(OR($M5=1,$M5=2,$M5=5),IF($N5&gt;0,"OK","SEM LASTRO"),"OK"))</f>
        <v/>
      </c>
      <c r="P5" s="19" t="n"/>
      <c r="Q5" s="18" t="n"/>
    </row>
    <row r="6">
      <c r="A6" s="19" t="inlineStr">
        <is>
          <t>2026-Q3</t>
        </is>
      </c>
      <c r="B6" s="19" t="n">
        <v>1</v>
      </c>
      <c r="C6" s="15">
        <f>IFERROR(INDEX(Colaboradores!$B:$B,MATCH($B6,Colaboradores!$A:$A,0)),"")</f>
        <v/>
      </c>
      <c r="D6" s="15">
        <f>IFERROR(INDEX(Colaboradores!$E:$E,MATCH($B6,Colaboradores!$A:$A,0)),"")</f>
        <v/>
      </c>
      <c r="E6" s="15">
        <f>IFERROR(INDEX(Colaboradores!$D:$D,MATCH($B6,Colaboradores!$A:$A,0)),"")</f>
        <v/>
      </c>
      <c r="F6" s="19" t="inlineStr">
        <is>
          <t>Qualidade da entrega</t>
        </is>
      </c>
      <c r="G6" s="15">
        <f>IFERROR(INDEX(Competências!$B:$B,MATCH($F6,Competências!$C:$C,0)),"")</f>
        <v/>
      </c>
      <c r="H6" s="15">
        <f>IFERROR(INDEX(Competências!$E:$E,MATCH($F6,Competências!$C:$C,0)),"")</f>
        <v/>
      </c>
      <c r="I6" s="20" t="n"/>
      <c r="J6" s="20" t="n">
        <v>2</v>
      </c>
      <c r="K6" s="21">
        <f>IF(AND(ISNUMBER($I6),ISNUMBER($J6)),ABS($I6-$J6),"")</f>
        <v/>
      </c>
      <c r="L6" s="21">
        <f>IF(AND(NOT(ISNUMBER($I6)),NOT(ISNUMBER($J6))),"",IF(NOT(ISNUMBER($J6)),$I6,IF(NOT(ISNUMBER($I6)),$J6,IF($K6=0,$I6,IF($K6=1,IF($H6="Líder Técnico",$J6,IF($H6="GP",$I6,"CALIBRAR")),"CALIBRAR")))))</f>
        <v/>
      </c>
      <c r="M6" s="20" t="n">
        <v>2</v>
      </c>
      <c r="N6" s="21">
        <f>IF($C6="","",COUNTIFS(Ocorrências!$B:$B,$C6,Ocorrências!$F:$F,$F6,Ocorrências!$N:$N,$A6))</f>
        <v/>
      </c>
      <c r="O6" s="15">
        <f>IF($M6="","",IF(OR($M6=1,$M6=2,$M6=5),IF($N6&gt;0,"OK","SEM LASTRO"),"OK"))</f>
        <v/>
      </c>
      <c r="P6" s="19" t="inlineStr">
        <is>
          <t>PR #857 voltou 3 rodadas por teste de erro ausente; é o padrão do ciclo, não um caso isolado.</t>
        </is>
      </c>
      <c r="Q6" s="18" t="n">
        <v>46295</v>
      </c>
    </row>
    <row r="7">
      <c r="A7" s="19" t="inlineStr">
        <is>
          <t>2026-Q3</t>
        </is>
      </c>
      <c r="B7" s="19" t="n">
        <v>1</v>
      </c>
      <c r="C7" s="15">
        <f>IFERROR(INDEX(Colaboradores!$B:$B,MATCH($B7,Colaboradores!$A:$A,0)),"")</f>
        <v/>
      </c>
      <c r="D7" s="15">
        <f>IFERROR(INDEX(Colaboradores!$E:$E,MATCH($B7,Colaboradores!$A:$A,0)),"")</f>
        <v/>
      </c>
      <c r="E7" s="15">
        <f>IFERROR(INDEX(Colaboradores!$D:$D,MATCH($B7,Colaboradores!$A:$A,0)),"")</f>
        <v/>
      </c>
      <c r="F7" s="19" t="inlineStr">
        <is>
          <t>Foco em valor</t>
        </is>
      </c>
      <c r="G7" s="15">
        <f>IFERROR(INDEX(Competências!$B:$B,MATCH($F7,Competências!$C:$C,0)),"")</f>
        <v/>
      </c>
      <c r="H7" s="15">
        <f>IFERROR(INDEX(Competências!$E:$E,MATCH($F7,Competências!$C:$C,0)),"")</f>
        <v/>
      </c>
      <c r="I7" s="20" t="n">
        <v>3</v>
      </c>
      <c r="J7" s="20" t="n">
        <v>3</v>
      </c>
      <c r="K7" s="21">
        <f>IF(AND(ISNUMBER($I7),ISNUMBER($J7)),ABS($I7-$J7),"")</f>
        <v/>
      </c>
      <c r="L7" s="21">
        <f>IF(AND(NOT(ISNUMBER($I7)),NOT(ISNUMBER($J7))),"",IF(NOT(ISNUMBER($J7)),$I7,IF(NOT(ISNUMBER($I7)),$J7,IF($K7=0,$I7,IF($K7=1,IF($H7="Líder Técnico",$J7,IF($H7="GP",$I7,"CALIBRAR")),"CALIBRAR")))))</f>
        <v/>
      </c>
      <c r="M7" s="20" t="n">
        <v>3</v>
      </c>
      <c r="N7" s="21">
        <f>IF($C7="","",COUNTIFS(Ocorrências!$B:$B,$C7,Ocorrências!$F:$F,$F7,Ocorrências!$N:$N,$A7))</f>
        <v/>
      </c>
      <c r="O7" s="15">
        <f>IF($M7="","",IF(OR($M7=1,$M7=2,$M7=5),IF($N7&gt;0,"OK","SEM LASTRO"),"OK"))</f>
        <v/>
      </c>
      <c r="P7" s="19" t="n"/>
      <c r="Q7" s="18" t="n"/>
    </row>
    <row r="8">
      <c r="A8" s="19" t="inlineStr">
        <is>
          <t>2026-Q3</t>
        </is>
      </c>
      <c r="B8" s="19" t="n">
        <v>1</v>
      </c>
      <c r="C8" s="15">
        <f>IFERROR(INDEX(Colaboradores!$B:$B,MATCH($B8,Colaboradores!$A:$A,0)),"")</f>
        <v/>
      </c>
      <c r="D8" s="15">
        <f>IFERROR(INDEX(Colaboradores!$E:$E,MATCH($B8,Colaboradores!$A:$A,0)),"")</f>
        <v/>
      </c>
      <c r="E8" s="15">
        <f>IFERROR(INDEX(Colaboradores!$D:$D,MATCH($B8,Colaboradores!$A:$A,0)),"")</f>
        <v/>
      </c>
      <c r="F8" s="19" t="inlineStr">
        <is>
          <t>Domínio técnico</t>
        </is>
      </c>
      <c r="G8" s="15">
        <f>IFERROR(INDEX(Competências!$B:$B,MATCH($F8,Competências!$C:$C,0)),"")</f>
        <v/>
      </c>
      <c r="H8" s="15">
        <f>IFERROR(INDEX(Competências!$E:$E,MATCH($F8,Competências!$C:$C,0)),"")</f>
        <v/>
      </c>
      <c r="I8" s="20" t="n"/>
      <c r="J8" s="20" t="n">
        <v>3</v>
      </c>
      <c r="K8" s="21">
        <f>IF(AND(ISNUMBER($I8),ISNUMBER($J8)),ABS($I8-$J8),"")</f>
        <v/>
      </c>
      <c r="L8" s="21">
        <f>IF(AND(NOT(ISNUMBER($I8)),NOT(ISNUMBER($J8))),"",IF(NOT(ISNUMBER($J8)),$I8,IF(NOT(ISNUMBER($I8)),$J8,IF($K8=0,$I8,IF($K8=1,IF($H8="Líder Técnico",$J8,IF($H8="GP",$I8,"CALIBRAR")),"CALIBRAR")))))</f>
        <v/>
      </c>
      <c r="M8" s="20" t="n">
        <v>3</v>
      </c>
      <c r="N8" s="21">
        <f>IF($C8="","",COUNTIFS(Ocorrências!$B:$B,$C8,Ocorrências!$F:$F,$F8,Ocorrências!$N:$N,$A8))</f>
        <v/>
      </c>
      <c r="O8" s="15">
        <f>IF($M8="","",IF(OR($M8=1,$M8=2,$M8=5),IF($N8&gt;0,"OK","SEM LASTRO"),"OK"))</f>
        <v/>
      </c>
      <c r="P8" s="19" t="n"/>
      <c r="Q8" s="18" t="n"/>
    </row>
    <row r="9">
      <c r="A9" s="19" t="inlineStr">
        <is>
          <t>2026-Q3</t>
        </is>
      </c>
      <c r="B9" s="19" t="n">
        <v>1</v>
      </c>
      <c r="C9" s="15">
        <f>IFERROR(INDEX(Colaboradores!$B:$B,MATCH($B9,Colaboradores!$A:$A,0)),"")</f>
        <v/>
      </c>
      <c r="D9" s="15">
        <f>IFERROR(INDEX(Colaboradores!$E:$E,MATCH($B9,Colaboradores!$A:$A,0)),"")</f>
        <v/>
      </c>
      <c r="E9" s="15">
        <f>IFERROR(INDEX(Colaboradores!$D:$D,MATCH($B9,Colaboradores!$A:$A,0)),"")</f>
        <v/>
      </c>
      <c r="F9" s="19" t="inlineStr">
        <is>
          <t>Design de solução</t>
        </is>
      </c>
      <c r="G9" s="15">
        <f>IFERROR(INDEX(Competências!$B:$B,MATCH($F9,Competências!$C:$C,0)),"")</f>
        <v/>
      </c>
      <c r="H9" s="15">
        <f>IFERROR(INDEX(Competências!$E:$E,MATCH($F9,Competências!$C:$C,0)),"")</f>
        <v/>
      </c>
      <c r="I9" s="20" t="n"/>
      <c r="J9" s="20" t="n">
        <v>3</v>
      </c>
      <c r="K9" s="21">
        <f>IF(AND(ISNUMBER($I9),ISNUMBER($J9)),ABS($I9-$J9),"")</f>
        <v/>
      </c>
      <c r="L9" s="21">
        <f>IF(AND(NOT(ISNUMBER($I9)),NOT(ISNUMBER($J9))),"",IF(NOT(ISNUMBER($J9)),$I9,IF(NOT(ISNUMBER($I9)),$J9,IF($K9=0,$I9,IF($K9=1,IF($H9="Líder Técnico",$J9,IF($H9="GP",$I9,"CALIBRAR")),"CALIBRAR")))))</f>
        <v/>
      </c>
      <c r="M9" s="20" t="n">
        <v>3</v>
      </c>
      <c r="N9" s="21">
        <f>IF($C9="","",COUNTIFS(Ocorrências!$B:$B,$C9,Ocorrências!$F:$F,$F9,Ocorrências!$N:$N,$A9))</f>
        <v/>
      </c>
      <c r="O9" s="15">
        <f>IF($M9="","",IF(OR($M9=1,$M9=2,$M9=5),IF($N9&gt;0,"OK","SEM LASTRO"),"OK"))</f>
        <v/>
      </c>
      <c r="P9" s="19" t="n"/>
      <c r="Q9" s="18" t="n"/>
    </row>
    <row r="10">
      <c r="A10" s="19" t="inlineStr">
        <is>
          <t>2026-Q3</t>
        </is>
      </c>
      <c r="B10" s="19" t="n">
        <v>1</v>
      </c>
      <c r="C10" s="15">
        <f>IFERROR(INDEX(Colaboradores!$B:$B,MATCH($B10,Colaboradores!$A:$A,0)),"")</f>
        <v/>
      </c>
      <c r="D10" s="15">
        <f>IFERROR(INDEX(Colaboradores!$E:$E,MATCH($B10,Colaboradores!$A:$A,0)),"")</f>
        <v/>
      </c>
      <c r="E10" s="15">
        <f>IFERROR(INDEX(Colaboradores!$D:$D,MATCH($B10,Colaboradores!$A:$A,0)),"")</f>
        <v/>
      </c>
      <c r="F10" s="19" t="inlineStr">
        <is>
          <t>Rigor operacional</t>
        </is>
      </c>
      <c r="G10" s="15">
        <f>IFERROR(INDEX(Competências!$B:$B,MATCH($F10,Competências!$C:$C,0)),"")</f>
        <v/>
      </c>
      <c r="H10" s="15">
        <f>IFERROR(INDEX(Competências!$E:$E,MATCH($F10,Competências!$C:$C,0)),"")</f>
        <v/>
      </c>
      <c r="I10" s="20" t="n"/>
      <c r="J10" s="20" t="n">
        <v>3</v>
      </c>
      <c r="K10" s="21">
        <f>IF(AND(ISNUMBER($I10),ISNUMBER($J10)),ABS($I10-$J10),"")</f>
        <v/>
      </c>
      <c r="L10" s="21">
        <f>IF(AND(NOT(ISNUMBER($I10)),NOT(ISNUMBER($J10))),"",IF(NOT(ISNUMBER($J10)),$I10,IF(NOT(ISNUMBER($I10)),$J10,IF($K10=0,$I10,IF($K10=1,IF($H10="Líder Técnico",$J10,IF($H10="GP",$I10,"CALIBRAR")),"CALIBRAR")))))</f>
        <v/>
      </c>
      <c r="M10" s="20" t="n">
        <v>3</v>
      </c>
      <c r="N10" s="21">
        <f>IF($C10="","",COUNTIFS(Ocorrências!$B:$B,$C10,Ocorrências!$F:$F,$F10,Ocorrências!$N:$N,$A10))</f>
        <v/>
      </c>
      <c r="O10" s="15">
        <f>IF($M10="","",IF(OR($M10=1,$M10=2,$M10=5),IF($N10&gt;0,"OK","SEM LASTRO"),"OK"))</f>
        <v/>
      </c>
      <c r="P10" s="19" t="n"/>
      <c r="Q10" s="18" t="n"/>
    </row>
    <row r="11">
      <c r="A11" s="19" t="inlineStr">
        <is>
          <t>2026-Q3</t>
        </is>
      </c>
      <c r="B11" s="19" t="n">
        <v>1</v>
      </c>
      <c r="C11" s="15">
        <f>IFERROR(INDEX(Colaboradores!$B:$B,MATCH($B11,Colaboradores!$A:$A,0)),"")</f>
        <v/>
      </c>
      <c r="D11" s="15">
        <f>IFERROR(INDEX(Colaboradores!$E:$E,MATCH($B11,Colaboradores!$A:$A,0)),"")</f>
        <v/>
      </c>
      <c r="E11" s="15">
        <f>IFERROR(INDEX(Colaboradores!$D:$D,MATCH($B11,Colaboradores!$A:$A,0)),"")</f>
        <v/>
      </c>
      <c r="F11" s="19" t="inlineStr">
        <is>
          <t>Comunicação</t>
        </is>
      </c>
      <c r="G11" s="15">
        <f>IFERROR(INDEX(Competências!$B:$B,MATCH($F11,Competências!$C:$C,0)),"")</f>
        <v/>
      </c>
      <c r="H11" s="15">
        <f>IFERROR(INDEX(Competências!$E:$E,MATCH($F11,Competências!$C:$C,0)),"")</f>
        <v/>
      </c>
      <c r="I11" s="20" t="n">
        <v>4</v>
      </c>
      <c r="J11" s="20" t="n"/>
      <c r="K11" s="21">
        <f>IF(AND(ISNUMBER($I11),ISNUMBER($J11)),ABS($I11-$J11),"")</f>
        <v/>
      </c>
      <c r="L11" s="21">
        <f>IF(AND(NOT(ISNUMBER($I11)),NOT(ISNUMBER($J11))),"",IF(NOT(ISNUMBER($J11)),$I11,IF(NOT(ISNUMBER($I11)),$J11,IF($K11=0,$I11,IF($K11=1,IF($H11="Líder Técnico",$J11,IF($H11="GP",$I11,"CALIBRAR")),"CALIBRAR")))))</f>
        <v/>
      </c>
      <c r="M11" s="20" t="n">
        <v>4</v>
      </c>
      <c r="N11" s="21">
        <f>IF($C11="","",COUNTIFS(Ocorrências!$B:$B,$C11,Ocorrências!$F:$F,$F11,Ocorrências!$N:$N,$A11))</f>
        <v/>
      </c>
      <c r="O11" s="15">
        <f>IF($M11="","",IF(OR($M11=1,$M11=2,$M11=5),IF($N11&gt;0,"OK","SEM LASTRO"),"OK"))</f>
        <v/>
      </c>
      <c r="P11" s="19" t="n"/>
      <c r="Q11" s="18" t="n"/>
    </row>
    <row r="12">
      <c r="A12" s="19" t="inlineStr">
        <is>
          <t>2026-Q3</t>
        </is>
      </c>
      <c r="B12" s="19" t="n">
        <v>1</v>
      </c>
      <c r="C12" s="15">
        <f>IFERROR(INDEX(Colaboradores!$B:$B,MATCH($B12,Colaboradores!$A:$A,0)),"")</f>
        <v/>
      </c>
      <c r="D12" s="15">
        <f>IFERROR(INDEX(Colaboradores!$E:$E,MATCH($B12,Colaboradores!$A:$A,0)),"")</f>
        <v/>
      </c>
      <c r="E12" s="15">
        <f>IFERROR(INDEX(Colaboradores!$D:$D,MATCH($B12,Colaboradores!$A:$A,0)),"")</f>
        <v/>
      </c>
      <c r="F12" s="19" t="inlineStr">
        <is>
          <t>Colaboração e review</t>
        </is>
      </c>
      <c r="G12" s="15">
        <f>IFERROR(INDEX(Competências!$B:$B,MATCH($F12,Competências!$C:$C,0)),"")</f>
        <v/>
      </c>
      <c r="H12" s="15">
        <f>IFERROR(INDEX(Competências!$E:$E,MATCH($F12,Competências!$C:$C,0)),"")</f>
        <v/>
      </c>
      <c r="I12" s="20" t="n"/>
      <c r="J12" s="20" t="n">
        <v>5</v>
      </c>
      <c r="K12" s="21">
        <f>IF(AND(ISNUMBER($I12),ISNUMBER($J12)),ABS($I12-$J12),"")</f>
        <v/>
      </c>
      <c r="L12" s="21">
        <f>IF(AND(NOT(ISNUMBER($I12)),NOT(ISNUMBER($J12))),"",IF(NOT(ISNUMBER($J12)),$I12,IF(NOT(ISNUMBER($I12)),$J12,IF($K12=0,$I12,IF($K12=1,IF($H12="Líder Técnico",$J12,IF($H12="GP",$I12,"CALIBRAR")),"CALIBRAR")))))</f>
        <v/>
      </c>
      <c r="M12" s="20" t="n">
        <v>5</v>
      </c>
      <c r="N12" s="21">
        <f>IF($C12="","",COUNTIFS(Ocorrências!$B:$B,$C12,Ocorrências!$F:$F,$F12,Ocorrências!$N:$N,$A12))</f>
        <v/>
      </c>
      <c r="O12" s="15">
        <f>IF($M12="","",IF(OR($M12=1,$M12=2,$M12=5),IF($N12&gt;0,"OK","SEM LASTRO"),"OK"))</f>
        <v/>
      </c>
      <c r="P12" s="19" t="inlineStr">
        <is>
          <t>Review do PR #812 pegou condição de corrida antes do merge — review dela mudou a decisão técnica do time.</t>
        </is>
      </c>
      <c r="Q12" s="18" t="n">
        <v>46295</v>
      </c>
    </row>
    <row r="13">
      <c r="A13" s="19" t="inlineStr">
        <is>
          <t>2026-Q3</t>
        </is>
      </c>
      <c r="B13" s="19" t="n">
        <v>1</v>
      </c>
      <c r="C13" s="15">
        <f>IFERROR(INDEX(Colaboradores!$B:$B,MATCH($B13,Colaboradores!$A:$A,0)),"")</f>
        <v/>
      </c>
      <c r="D13" s="15">
        <f>IFERROR(INDEX(Colaboradores!$E:$E,MATCH($B13,Colaboradores!$A:$A,0)),"")</f>
        <v/>
      </c>
      <c r="E13" s="15">
        <f>IFERROR(INDEX(Colaboradores!$D:$D,MATCH($B13,Colaboradores!$A:$A,0)),"")</f>
        <v/>
      </c>
      <c r="F13" s="19" t="inlineStr">
        <is>
          <t>Confiabilidade e conduta</t>
        </is>
      </c>
      <c r="G13" s="15">
        <f>IFERROR(INDEX(Competências!$B:$B,MATCH($F13,Competências!$C:$C,0)),"")</f>
        <v/>
      </c>
      <c r="H13" s="15">
        <f>IFERROR(INDEX(Competências!$E:$E,MATCH($F13,Competências!$C:$C,0)),"")</f>
        <v/>
      </c>
      <c r="I13" s="20" t="n">
        <v>4</v>
      </c>
      <c r="J13" s="20" t="n"/>
      <c r="K13" s="21">
        <f>IF(AND(ISNUMBER($I13),ISNUMBER($J13)),ABS($I13-$J13),"")</f>
        <v/>
      </c>
      <c r="L13" s="21">
        <f>IF(AND(NOT(ISNUMBER($I13)),NOT(ISNUMBER($J13))),"",IF(NOT(ISNUMBER($J13)),$I13,IF(NOT(ISNUMBER($I13)),$J13,IF($K13=0,$I13,IF($K13=1,IF($H13="Líder Técnico",$J13,IF($H13="GP",$I13,"CALIBRAR")),"CALIBRAR")))))</f>
        <v/>
      </c>
      <c r="M13" s="20" t="n">
        <v>4</v>
      </c>
      <c r="N13" s="21">
        <f>IF($C13="","",COUNTIFS(Ocorrências!$B:$B,$C13,Ocorrências!$F:$F,$F13,Ocorrências!$N:$N,$A13))</f>
        <v/>
      </c>
      <c r="O13" s="15">
        <f>IF($M13="","",IF(OR($M13=1,$M13=2,$M13=5),IF($N13&gt;0,"OK","SEM LASTRO"),"OK"))</f>
        <v/>
      </c>
      <c r="P13" s="19" t="n"/>
      <c r="Q13" s="18" t="n"/>
    </row>
    <row r="14">
      <c r="A14" s="19" t="inlineStr">
        <is>
          <t>2026-Q3</t>
        </is>
      </c>
      <c r="B14" s="19" t="n">
        <v>1</v>
      </c>
      <c r="C14" s="15">
        <f>IFERROR(INDEX(Colaboradores!$B:$B,MATCH($B14,Colaboradores!$A:$A,0)),"")</f>
        <v/>
      </c>
      <c r="D14" s="15">
        <f>IFERROR(INDEX(Colaboradores!$E:$E,MATCH($B14,Colaboradores!$A:$A,0)),"")</f>
        <v/>
      </c>
      <c r="E14" s="15">
        <f>IFERROR(INDEX(Colaboradores!$D:$D,MATCH($B14,Colaboradores!$A:$A,0)),"")</f>
        <v/>
      </c>
      <c r="F14" s="19" t="inlineStr">
        <is>
          <t>Autonomia e ownership</t>
        </is>
      </c>
      <c r="G14" s="15">
        <f>IFERROR(INDEX(Competências!$B:$B,MATCH($F14,Competências!$C:$C,0)),"")</f>
        <v/>
      </c>
      <c r="H14" s="15">
        <f>IFERROR(INDEX(Competências!$E:$E,MATCH($F14,Competências!$C:$C,0)),"")</f>
        <v/>
      </c>
      <c r="I14" s="20" t="n">
        <v>3</v>
      </c>
      <c r="J14" s="20" t="n">
        <v>4</v>
      </c>
      <c r="K14" s="21">
        <f>IF(AND(ISNUMBER($I14),ISNUMBER($J14)),ABS($I14-$J14),"")</f>
        <v/>
      </c>
      <c r="L14" s="21">
        <f>IF(AND(NOT(ISNUMBER($I14)),NOT(ISNUMBER($J14))),"",IF(NOT(ISNUMBER($J14)),$I14,IF(NOT(ISNUMBER($I14)),$J14,IF($K14=0,$I14,IF($K14=1,IF($H14="Líder Técnico",$J14,IF($H14="GP",$I14,"CALIBRAR")),"CALIBRAR")))))</f>
        <v/>
      </c>
      <c r="M14" s="20" t="n">
        <v>4</v>
      </c>
      <c r="N14" s="21">
        <f>IF($C14="","",COUNTIFS(Ocorrências!$B:$B,$C14,Ocorrências!$F:$F,$F14,Ocorrências!$N:$N,$A14))</f>
        <v/>
      </c>
      <c r="O14" s="15">
        <f>IF($M14="","",IF(OR($M14=1,$M14=2,$M14=5),IF($N14&gt;0,"OK","SEM LASTRO"),"OK"))</f>
        <v/>
      </c>
      <c r="P14" s="19" t="inlineStr">
        <is>
          <t>GP viu 3, LT viu 4; a evidência do LT (assumiu o tema de resgate ponta a ponta) desempatou.</t>
        </is>
      </c>
      <c r="Q14" s="18" t="n">
        <v>46295</v>
      </c>
    </row>
    <row r="15">
      <c r="A15" s="19" t="inlineStr">
        <is>
          <t>2026-Q3</t>
        </is>
      </c>
      <c r="B15" s="19" t="n">
        <v>1</v>
      </c>
      <c r="C15" s="15">
        <f>IFERROR(INDEX(Colaboradores!$B:$B,MATCH($B15,Colaboradores!$A:$A,0)),"")</f>
        <v/>
      </c>
      <c r="D15" s="15">
        <f>IFERROR(INDEX(Colaboradores!$E:$E,MATCH($B15,Colaboradores!$A:$A,0)),"")</f>
        <v/>
      </c>
      <c r="E15" s="15">
        <f>IFERROR(INDEX(Colaboradores!$D:$D,MATCH($B15,Colaboradores!$A:$A,0)),"")</f>
        <v/>
      </c>
      <c r="F15" s="19" t="inlineStr">
        <is>
          <t>Desenvolvimento de outros</t>
        </is>
      </c>
      <c r="G15" s="15">
        <f>IFERROR(INDEX(Competências!$B:$B,MATCH($F15,Competências!$C:$C,0)),"")</f>
        <v/>
      </c>
      <c r="H15" s="15">
        <f>IFERROR(INDEX(Competências!$E:$E,MATCH($F15,Competências!$C:$C,0)),"")</f>
        <v/>
      </c>
      <c r="I15" s="20" t="n"/>
      <c r="J15" s="20" t="n">
        <v>3</v>
      </c>
      <c r="K15" s="21">
        <f>IF(AND(ISNUMBER($I15),ISNUMBER($J15)),ABS($I15-$J15),"")</f>
        <v/>
      </c>
      <c r="L15" s="21">
        <f>IF(AND(NOT(ISNUMBER($I15)),NOT(ISNUMBER($J15))),"",IF(NOT(ISNUMBER($J15)),$I15,IF(NOT(ISNUMBER($I15)),$J15,IF($K15=0,$I15,IF($K15=1,IF($H15="Líder Técnico",$J15,IF($H15="GP",$I15,"CALIBRAR")),"CALIBRAR")))))</f>
        <v/>
      </c>
      <c r="M15" s="20" t="n">
        <v>3</v>
      </c>
      <c r="N15" s="21">
        <f>IF($C15="","",COUNTIFS(Ocorrências!$B:$B,$C15,Ocorrências!$F:$F,$F15,Ocorrências!$N:$N,$A15))</f>
        <v/>
      </c>
      <c r="O15" s="15">
        <f>IF($M15="","",IF(OR($M15=1,$M15=2,$M15=5),IF($N15&gt;0,"OK","SEM LASTRO"),"OK"))</f>
        <v/>
      </c>
      <c r="P15" s="19" t="n"/>
      <c r="Q15" s="18" t="n"/>
    </row>
    <row r="16">
      <c r="A16" s="19" t="inlineStr">
        <is>
          <t>2026-Q3</t>
        </is>
      </c>
      <c r="B16" s="19" t="n">
        <v>2</v>
      </c>
      <c r="C16" s="15">
        <f>IFERROR(INDEX(Colaboradores!$B:$B,MATCH($B16,Colaboradores!$A:$A,0)),"")</f>
        <v/>
      </c>
      <c r="D16" s="15">
        <f>IFERROR(INDEX(Colaboradores!$E:$E,MATCH($B16,Colaboradores!$A:$A,0)),"")</f>
        <v/>
      </c>
      <c r="E16" s="15">
        <f>IFERROR(INDEX(Colaboradores!$D:$D,MATCH($B16,Colaboradores!$A:$A,0)),"")</f>
        <v/>
      </c>
      <c r="F16" s="19" t="inlineStr">
        <is>
          <t>Previsibilidade</t>
        </is>
      </c>
      <c r="G16" s="15">
        <f>IFERROR(INDEX(Competências!$B:$B,MATCH($F16,Competências!$C:$C,0)),"")</f>
        <v/>
      </c>
      <c r="H16" s="15">
        <f>IFERROR(INDEX(Competências!$E:$E,MATCH($F16,Competências!$C:$C,0)),"")</f>
        <v/>
      </c>
      <c r="I16" s="20" t="n"/>
      <c r="J16" s="20" t="n"/>
      <c r="K16" s="21">
        <f>IF(AND(ISNUMBER($I16),ISNUMBER($J16)),ABS($I16-$J16),"")</f>
        <v/>
      </c>
      <c r="L16" s="21">
        <f>IF(AND(NOT(ISNUMBER($I16)),NOT(ISNUMBER($J16))),"",IF(NOT(ISNUMBER($J16)),$I16,IF(NOT(ISNUMBER($I16)),$J16,IF($K16=0,$I16,IF($K16=1,IF($H16="Líder Técnico",$J16,IF($H16="GP",$I16,"CALIBRAR")),"CALIBRAR")))))</f>
        <v/>
      </c>
      <c r="M16" s="20" t="n"/>
      <c r="N16" s="21">
        <f>IF($C16="","",COUNTIFS(Ocorrências!$B:$B,$C16,Ocorrências!$F:$F,$F16,Ocorrências!$N:$N,$A16))</f>
        <v/>
      </c>
      <c r="O16" s="15">
        <f>IF($M16="","",IF(OR($M16=1,$M16=2,$M16=5),IF($N16&gt;0,"OK","SEM LASTRO"),"OK"))</f>
        <v/>
      </c>
      <c r="P16" s="19" t="n"/>
      <c r="Q16" s="18" t="n"/>
    </row>
    <row r="17">
      <c r="A17" s="19" t="inlineStr">
        <is>
          <t>2026-Q3</t>
        </is>
      </c>
      <c r="B17" s="19" t="n">
        <v>2</v>
      </c>
      <c r="C17" s="15">
        <f>IFERROR(INDEX(Colaboradores!$B:$B,MATCH($B17,Colaboradores!$A:$A,0)),"")</f>
        <v/>
      </c>
      <c r="D17" s="15">
        <f>IFERROR(INDEX(Colaboradores!$E:$E,MATCH($B17,Colaboradores!$A:$A,0)),"")</f>
        <v/>
      </c>
      <c r="E17" s="15">
        <f>IFERROR(INDEX(Colaboradores!$D:$D,MATCH($B17,Colaboradores!$A:$A,0)),"")</f>
        <v/>
      </c>
      <c r="F17" s="19" t="inlineStr">
        <is>
          <t>Qualidade da entrega</t>
        </is>
      </c>
      <c r="G17" s="15">
        <f>IFERROR(INDEX(Competências!$B:$B,MATCH($F17,Competências!$C:$C,0)),"")</f>
        <v/>
      </c>
      <c r="H17" s="15">
        <f>IFERROR(INDEX(Competências!$E:$E,MATCH($F17,Competências!$C:$C,0)),"")</f>
        <v/>
      </c>
      <c r="I17" s="20" t="n"/>
      <c r="J17" s="20" t="n"/>
      <c r="K17" s="21">
        <f>IF(AND(ISNUMBER($I17),ISNUMBER($J17)),ABS($I17-$J17),"")</f>
        <v/>
      </c>
      <c r="L17" s="21">
        <f>IF(AND(NOT(ISNUMBER($I17)),NOT(ISNUMBER($J17))),"",IF(NOT(ISNUMBER($J17)),$I17,IF(NOT(ISNUMBER($I17)),$J17,IF($K17=0,$I17,IF($K17=1,IF($H17="Líder Técnico",$J17,IF($H17="GP",$I17,"CALIBRAR")),"CALIBRAR")))))</f>
        <v/>
      </c>
      <c r="M17" s="20" t="n"/>
      <c r="N17" s="21">
        <f>IF($C17="","",COUNTIFS(Ocorrências!$B:$B,$C17,Ocorrências!$F:$F,$F17,Ocorrências!$N:$N,$A17))</f>
        <v/>
      </c>
      <c r="O17" s="15">
        <f>IF($M17="","",IF(OR($M17=1,$M17=2,$M17=5),IF($N17&gt;0,"OK","SEM LASTRO"),"OK"))</f>
        <v/>
      </c>
      <c r="P17" s="19" t="n"/>
      <c r="Q17" s="18" t="n"/>
    </row>
    <row r="18">
      <c r="A18" s="19" t="inlineStr">
        <is>
          <t>2026-Q3</t>
        </is>
      </c>
      <c r="B18" s="19" t="n">
        <v>2</v>
      </c>
      <c r="C18" s="15">
        <f>IFERROR(INDEX(Colaboradores!$B:$B,MATCH($B18,Colaboradores!$A:$A,0)),"")</f>
        <v/>
      </c>
      <c r="D18" s="15">
        <f>IFERROR(INDEX(Colaboradores!$E:$E,MATCH($B18,Colaboradores!$A:$A,0)),"")</f>
        <v/>
      </c>
      <c r="E18" s="15">
        <f>IFERROR(INDEX(Colaboradores!$D:$D,MATCH($B18,Colaboradores!$A:$A,0)),"")</f>
        <v/>
      </c>
      <c r="F18" s="19" t="inlineStr">
        <is>
          <t>Foco em valor</t>
        </is>
      </c>
      <c r="G18" s="15">
        <f>IFERROR(INDEX(Competências!$B:$B,MATCH($F18,Competências!$C:$C,0)),"")</f>
        <v/>
      </c>
      <c r="H18" s="15">
        <f>IFERROR(INDEX(Competências!$E:$E,MATCH($F18,Competências!$C:$C,0)),"")</f>
        <v/>
      </c>
      <c r="I18" s="20" t="n"/>
      <c r="J18" s="20" t="n"/>
      <c r="K18" s="21">
        <f>IF(AND(ISNUMBER($I18),ISNUMBER($J18)),ABS($I18-$J18),"")</f>
        <v/>
      </c>
      <c r="L18" s="21">
        <f>IF(AND(NOT(ISNUMBER($I18)),NOT(ISNUMBER($J18))),"",IF(NOT(ISNUMBER($J18)),$I18,IF(NOT(ISNUMBER($I18)),$J18,IF($K18=0,$I18,IF($K18=1,IF($H18="Líder Técnico",$J18,IF($H18="GP",$I18,"CALIBRAR")),"CALIBRAR")))))</f>
        <v/>
      </c>
      <c r="M18" s="20" t="n"/>
      <c r="N18" s="21">
        <f>IF($C18="","",COUNTIFS(Ocorrências!$B:$B,$C18,Ocorrências!$F:$F,$F18,Ocorrências!$N:$N,$A18))</f>
        <v/>
      </c>
      <c r="O18" s="15">
        <f>IF($M18="","",IF(OR($M18=1,$M18=2,$M18=5),IF($N18&gt;0,"OK","SEM LASTRO"),"OK"))</f>
        <v/>
      </c>
      <c r="P18" s="19" t="n"/>
      <c r="Q18" s="18" t="n"/>
    </row>
    <row r="19">
      <c r="A19" s="19" t="inlineStr">
        <is>
          <t>2026-Q3</t>
        </is>
      </c>
      <c r="B19" s="19" t="n">
        <v>2</v>
      </c>
      <c r="C19" s="15">
        <f>IFERROR(INDEX(Colaboradores!$B:$B,MATCH($B19,Colaboradores!$A:$A,0)),"")</f>
        <v/>
      </c>
      <c r="D19" s="15">
        <f>IFERROR(INDEX(Colaboradores!$E:$E,MATCH($B19,Colaboradores!$A:$A,0)),"")</f>
        <v/>
      </c>
      <c r="E19" s="15">
        <f>IFERROR(INDEX(Colaboradores!$D:$D,MATCH($B19,Colaboradores!$A:$A,0)),"")</f>
        <v/>
      </c>
      <c r="F19" s="19" t="inlineStr">
        <is>
          <t>Domínio técnico</t>
        </is>
      </c>
      <c r="G19" s="15">
        <f>IFERROR(INDEX(Competências!$B:$B,MATCH($F19,Competências!$C:$C,0)),"")</f>
        <v/>
      </c>
      <c r="H19" s="15">
        <f>IFERROR(INDEX(Competências!$E:$E,MATCH($F19,Competências!$C:$C,0)),"")</f>
        <v/>
      </c>
      <c r="I19" s="20" t="n"/>
      <c r="J19" s="20" t="n"/>
      <c r="K19" s="21">
        <f>IF(AND(ISNUMBER($I19),ISNUMBER($J19)),ABS($I19-$J19),"")</f>
        <v/>
      </c>
      <c r="L19" s="21">
        <f>IF(AND(NOT(ISNUMBER($I19)),NOT(ISNUMBER($J19))),"",IF(NOT(ISNUMBER($J19)),$I19,IF(NOT(ISNUMBER($I19)),$J19,IF($K19=0,$I19,IF($K19=1,IF($H19="Líder Técnico",$J19,IF($H19="GP",$I19,"CALIBRAR")),"CALIBRAR")))))</f>
        <v/>
      </c>
      <c r="M19" s="20" t="n"/>
      <c r="N19" s="21">
        <f>IF($C19="","",COUNTIFS(Ocorrências!$B:$B,$C19,Ocorrências!$F:$F,$F19,Ocorrências!$N:$N,$A19))</f>
        <v/>
      </c>
      <c r="O19" s="15">
        <f>IF($M19="","",IF(OR($M19=1,$M19=2,$M19=5),IF($N19&gt;0,"OK","SEM LASTRO"),"OK"))</f>
        <v/>
      </c>
      <c r="P19" s="19" t="n"/>
      <c r="Q19" s="18" t="n"/>
    </row>
    <row r="20">
      <c r="A20" s="19" t="inlineStr">
        <is>
          <t>2026-Q3</t>
        </is>
      </c>
      <c r="B20" s="19" t="n">
        <v>2</v>
      </c>
      <c r="C20" s="15">
        <f>IFERROR(INDEX(Colaboradores!$B:$B,MATCH($B20,Colaboradores!$A:$A,0)),"")</f>
        <v/>
      </c>
      <c r="D20" s="15">
        <f>IFERROR(INDEX(Colaboradores!$E:$E,MATCH($B20,Colaboradores!$A:$A,0)),"")</f>
        <v/>
      </c>
      <c r="E20" s="15">
        <f>IFERROR(INDEX(Colaboradores!$D:$D,MATCH($B20,Colaboradores!$A:$A,0)),"")</f>
        <v/>
      </c>
      <c r="F20" s="19" t="inlineStr">
        <is>
          <t>Design de solução</t>
        </is>
      </c>
      <c r="G20" s="15">
        <f>IFERROR(INDEX(Competências!$B:$B,MATCH($F20,Competências!$C:$C,0)),"")</f>
        <v/>
      </c>
      <c r="H20" s="15">
        <f>IFERROR(INDEX(Competências!$E:$E,MATCH($F20,Competências!$C:$C,0)),"")</f>
        <v/>
      </c>
      <c r="I20" s="20" t="n"/>
      <c r="J20" s="20" t="n"/>
      <c r="K20" s="21">
        <f>IF(AND(ISNUMBER($I20),ISNUMBER($J20)),ABS($I20-$J20),"")</f>
        <v/>
      </c>
      <c r="L20" s="21">
        <f>IF(AND(NOT(ISNUMBER($I20)),NOT(ISNUMBER($J20))),"",IF(NOT(ISNUMBER($J20)),$I20,IF(NOT(ISNUMBER($I20)),$J20,IF($K20=0,$I20,IF($K20=1,IF($H20="Líder Técnico",$J20,IF($H20="GP",$I20,"CALIBRAR")),"CALIBRAR")))))</f>
        <v/>
      </c>
      <c r="M20" s="20" t="n"/>
      <c r="N20" s="21">
        <f>IF($C20="","",COUNTIFS(Ocorrências!$B:$B,$C20,Ocorrências!$F:$F,$F20,Ocorrências!$N:$N,$A20))</f>
        <v/>
      </c>
      <c r="O20" s="15">
        <f>IF($M20="","",IF(OR($M20=1,$M20=2,$M20=5),IF($N20&gt;0,"OK","SEM LASTRO"),"OK"))</f>
        <v/>
      </c>
      <c r="P20" s="19" t="n"/>
      <c r="Q20" s="18" t="n"/>
    </row>
    <row r="21">
      <c r="A21" s="19" t="inlineStr">
        <is>
          <t>2026-Q3</t>
        </is>
      </c>
      <c r="B21" s="19" t="n">
        <v>2</v>
      </c>
      <c r="C21" s="15">
        <f>IFERROR(INDEX(Colaboradores!$B:$B,MATCH($B21,Colaboradores!$A:$A,0)),"")</f>
        <v/>
      </c>
      <c r="D21" s="15">
        <f>IFERROR(INDEX(Colaboradores!$E:$E,MATCH($B21,Colaboradores!$A:$A,0)),"")</f>
        <v/>
      </c>
      <c r="E21" s="15">
        <f>IFERROR(INDEX(Colaboradores!$D:$D,MATCH($B21,Colaboradores!$A:$A,0)),"")</f>
        <v/>
      </c>
      <c r="F21" s="19" t="inlineStr">
        <is>
          <t>Rigor operacional</t>
        </is>
      </c>
      <c r="G21" s="15">
        <f>IFERROR(INDEX(Competências!$B:$B,MATCH($F21,Competências!$C:$C,0)),"")</f>
        <v/>
      </c>
      <c r="H21" s="15">
        <f>IFERROR(INDEX(Competências!$E:$E,MATCH($F21,Competências!$C:$C,0)),"")</f>
        <v/>
      </c>
      <c r="I21" s="20" t="n"/>
      <c r="J21" s="20" t="n"/>
      <c r="K21" s="21">
        <f>IF(AND(ISNUMBER($I21),ISNUMBER($J21)),ABS($I21-$J21),"")</f>
        <v/>
      </c>
      <c r="L21" s="21">
        <f>IF(AND(NOT(ISNUMBER($I21)),NOT(ISNUMBER($J21))),"",IF(NOT(ISNUMBER($J21)),$I21,IF(NOT(ISNUMBER($I21)),$J21,IF($K21=0,$I21,IF($K21=1,IF($H21="Líder Técnico",$J21,IF($H21="GP",$I21,"CALIBRAR")),"CALIBRAR")))))</f>
        <v/>
      </c>
      <c r="M21" s="20" t="n"/>
      <c r="N21" s="21">
        <f>IF($C21="","",COUNTIFS(Ocorrências!$B:$B,$C21,Ocorrências!$F:$F,$F21,Ocorrências!$N:$N,$A21))</f>
        <v/>
      </c>
      <c r="O21" s="15">
        <f>IF($M21="","",IF(OR($M21=1,$M21=2,$M21=5),IF($N21&gt;0,"OK","SEM LASTRO"),"OK"))</f>
        <v/>
      </c>
      <c r="P21" s="19" t="n"/>
      <c r="Q21" s="18" t="n"/>
    </row>
    <row r="22">
      <c r="A22" s="19" t="inlineStr">
        <is>
          <t>2026-Q3</t>
        </is>
      </c>
      <c r="B22" s="19" t="n">
        <v>2</v>
      </c>
      <c r="C22" s="15">
        <f>IFERROR(INDEX(Colaboradores!$B:$B,MATCH($B22,Colaboradores!$A:$A,0)),"")</f>
        <v/>
      </c>
      <c r="D22" s="15">
        <f>IFERROR(INDEX(Colaboradores!$E:$E,MATCH($B22,Colaboradores!$A:$A,0)),"")</f>
        <v/>
      </c>
      <c r="E22" s="15">
        <f>IFERROR(INDEX(Colaboradores!$D:$D,MATCH($B22,Colaboradores!$A:$A,0)),"")</f>
        <v/>
      </c>
      <c r="F22" s="19" t="inlineStr">
        <is>
          <t>Comunicação</t>
        </is>
      </c>
      <c r="G22" s="15">
        <f>IFERROR(INDEX(Competências!$B:$B,MATCH($F22,Competências!$C:$C,0)),"")</f>
        <v/>
      </c>
      <c r="H22" s="15">
        <f>IFERROR(INDEX(Competências!$E:$E,MATCH($F22,Competências!$C:$C,0)),"")</f>
        <v/>
      </c>
      <c r="I22" s="20" t="n"/>
      <c r="J22" s="20" t="n"/>
      <c r="K22" s="21">
        <f>IF(AND(ISNUMBER($I22),ISNUMBER($J22)),ABS($I22-$J22),"")</f>
        <v/>
      </c>
      <c r="L22" s="21">
        <f>IF(AND(NOT(ISNUMBER($I22)),NOT(ISNUMBER($J22))),"",IF(NOT(ISNUMBER($J22)),$I22,IF(NOT(ISNUMBER($I22)),$J22,IF($K22=0,$I22,IF($K22=1,IF($H22="Líder Técnico",$J22,IF($H22="GP",$I22,"CALIBRAR")),"CALIBRAR")))))</f>
        <v/>
      </c>
      <c r="M22" s="20" t="n"/>
      <c r="N22" s="21">
        <f>IF($C22="","",COUNTIFS(Ocorrências!$B:$B,$C22,Ocorrências!$F:$F,$F22,Ocorrências!$N:$N,$A22))</f>
        <v/>
      </c>
      <c r="O22" s="15">
        <f>IF($M22="","",IF(OR($M22=1,$M22=2,$M22=5),IF($N22&gt;0,"OK","SEM LASTRO"),"OK"))</f>
        <v/>
      </c>
      <c r="P22" s="19" t="n"/>
      <c r="Q22" s="18" t="n"/>
    </row>
    <row r="23">
      <c r="A23" s="19" t="inlineStr">
        <is>
          <t>2026-Q3</t>
        </is>
      </c>
      <c r="B23" s="19" t="n">
        <v>2</v>
      </c>
      <c r="C23" s="15">
        <f>IFERROR(INDEX(Colaboradores!$B:$B,MATCH($B23,Colaboradores!$A:$A,0)),"")</f>
        <v/>
      </c>
      <c r="D23" s="15">
        <f>IFERROR(INDEX(Colaboradores!$E:$E,MATCH($B23,Colaboradores!$A:$A,0)),"")</f>
        <v/>
      </c>
      <c r="E23" s="15">
        <f>IFERROR(INDEX(Colaboradores!$D:$D,MATCH($B23,Colaboradores!$A:$A,0)),"")</f>
        <v/>
      </c>
      <c r="F23" s="19" t="inlineStr">
        <is>
          <t>Colaboração e review</t>
        </is>
      </c>
      <c r="G23" s="15">
        <f>IFERROR(INDEX(Competências!$B:$B,MATCH($F23,Competências!$C:$C,0)),"")</f>
        <v/>
      </c>
      <c r="H23" s="15">
        <f>IFERROR(INDEX(Competências!$E:$E,MATCH($F23,Competências!$C:$C,0)),"")</f>
        <v/>
      </c>
      <c r="I23" s="20" t="n"/>
      <c r="J23" s="20" t="n"/>
      <c r="K23" s="21">
        <f>IF(AND(ISNUMBER($I23),ISNUMBER($J23)),ABS($I23-$J23),"")</f>
        <v/>
      </c>
      <c r="L23" s="21">
        <f>IF(AND(NOT(ISNUMBER($I23)),NOT(ISNUMBER($J23))),"",IF(NOT(ISNUMBER($J23)),$I23,IF(NOT(ISNUMBER($I23)),$J23,IF($K23=0,$I23,IF($K23=1,IF($H23="Líder Técnico",$J23,IF($H23="GP",$I23,"CALIBRAR")),"CALIBRAR")))))</f>
        <v/>
      </c>
      <c r="M23" s="20" t="n"/>
      <c r="N23" s="21">
        <f>IF($C23="","",COUNTIFS(Ocorrências!$B:$B,$C23,Ocorrências!$F:$F,$F23,Ocorrências!$N:$N,$A23))</f>
        <v/>
      </c>
      <c r="O23" s="15">
        <f>IF($M23="","",IF(OR($M23=1,$M23=2,$M23=5),IF($N23&gt;0,"OK","SEM LASTRO"),"OK"))</f>
        <v/>
      </c>
      <c r="P23" s="19" t="n"/>
      <c r="Q23" s="18" t="n"/>
    </row>
    <row r="24">
      <c r="A24" s="19" t="inlineStr">
        <is>
          <t>2026-Q3</t>
        </is>
      </c>
      <c r="B24" s="19" t="n">
        <v>2</v>
      </c>
      <c r="C24" s="15">
        <f>IFERROR(INDEX(Colaboradores!$B:$B,MATCH($B24,Colaboradores!$A:$A,0)),"")</f>
        <v/>
      </c>
      <c r="D24" s="15">
        <f>IFERROR(INDEX(Colaboradores!$E:$E,MATCH($B24,Colaboradores!$A:$A,0)),"")</f>
        <v/>
      </c>
      <c r="E24" s="15">
        <f>IFERROR(INDEX(Colaboradores!$D:$D,MATCH($B24,Colaboradores!$A:$A,0)),"")</f>
        <v/>
      </c>
      <c r="F24" s="19" t="inlineStr">
        <is>
          <t>Confiabilidade e conduta</t>
        </is>
      </c>
      <c r="G24" s="15">
        <f>IFERROR(INDEX(Competências!$B:$B,MATCH($F24,Competências!$C:$C,0)),"")</f>
        <v/>
      </c>
      <c r="H24" s="15">
        <f>IFERROR(INDEX(Competências!$E:$E,MATCH($F24,Competências!$C:$C,0)),"")</f>
        <v/>
      </c>
      <c r="I24" s="20" t="n"/>
      <c r="J24" s="20" t="n"/>
      <c r="K24" s="21">
        <f>IF(AND(ISNUMBER($I24),ISNUMBER($J24)),ABS($I24-$J24),"")</f>
        <v/>
      </c>
      <c r="L24" s="21">
        <f>IF(AND(NOT(ISNUMBER($I24)),NOT(ISNUMBER($J24))),"",IF(NOT(ISNUMBER($J24)),$I24,IF(NOT(ISNUMBER($I24)),$J24,IF($K24=0,$I24,IF($K24=1,IF($H24="Líder Técnico",$J24,IF($H24="GP",$I24,"CALIBRAR")),"CALIBRAR")))))</f>
        <v/>
      </c>
      <c r="M24" s="20" t="n"/>
      <c r="N24" s="21">
        <f>IF($C24="","",COUNTIFS(Ocorrências!$B:$B,$C24,Ocorrências!$F:$F,$F24,Ocorrências!$N:$N,$A24))</f>
        <v/>
      </c>
      <c r="O24" s="15">
        <f>IF($M24="","",IF(OR($M24=1,$M24=2,$M24=5),IF($N24&gt;0,"OK","SEM LASTRO"),"OK"))</f>
        <v/>
      </c>
      <c r="P24" s="19" t="n"/>
      <c r="Q24" s="18" t="n"/>
    </row>
    <row r="25">
      <c r="A25" s="19" t="inlineStr">
        <is>
          <t>2026-Q3</t>
        </is>
      </c>
      <c r="B25" s="19" t="n">
        <v>2</v>
      </c>
      <c r="C25" s="15">
        <f>IFERROR(INDEX(Colaboradores!$B:$B,MATCH($B25,Colaboradores!$A:$A,0)),"")</f>
        <v/>
      </c>
      <c r="D25" s="15">
        <f>IFERROR(INDEX(Colaboradores!$E:$E,MATCH($B25,Colaboradores!$A:$A,0)),"")</f>
        <v/>
      </c>
      <c r="E25" s="15">
        <f>IFERROR(INDEX(Colaboradores!$D:$D,MATCH($B25,Colaboradores!$A:$A,0)),"")</f>
        <v/>
      </c>
      <c r="F25" s="19" t="inlineStr">
        <is>
          <t>Autonomia e ownership</t>
        </is>
      </c>
      <c r="G25" s="15">
        <f>IFERROR(INDEX(Competências!$B:$B,MATCH($F25,Competências!$C:$C,0)),"")</f>
        <v/>
      </c>
      <c r="H25" s="15">
        <f>IFERROR(INDEX(Competências!$E:$E,MATCH($F25,Competências!$C:$C,0)),"")</f>
        <v/>
      </c>
      <c r="I25" s="20" t="n"/>
      <c r="J25" s="20" t="n"/>
      <c r="K25" s="21">
        <f>IF(AND(ISNUMBER($I25),ISNUMBER($J25)),ABS($I25-$J25),"")</f>
        <v/>
      </c>
      <c r="L25" s="21">
        <f>IF(AND(NOT(ISNUMBER($I25)),NOT(ISNUMBER($J25))),"",IF(NOT(ISNUMBER($J25)),$I25,IF(NOT(ISNUMBER($I25)),$J25,IF($K25=0,$I25,IF($K25=1,IF($H25="Líder Técnico",$J25,IF($H25="GP",$I25,"CALIBRAR")),"CALIBRAR")))))</f>
        <v/>
      </c>
      <c r="M25" s="20" t="n"/>
      <c r="N25" s="21">
        <f>IF($C25="","",COUNTIFS(Ocorrências!$B:$B,$C25,Ocorrências!$F:$F,$F25,Ocorrências!$N:$N,$A25))</f>
        <v/>
      </c>
      <c r="O25" s="15">
        <f>IF($M25="","",IF(OR($M25=1,$M25=2,$M25=5),IF($N25&gt;0,"OK","SEM LASTRO"),"OK"))</f>
        <v/>
      </c>
      <c r="P25" s="19" t="n"/>
      <c r="Q25" s="18" t="n"/>
    </row>
    <row r="26">
      <c r="A26" s="19" t="inlineStr">
        <is>
          <t>2026-Q3</t>
        </is>
      </c>
      <c r="B26" s="19" t="n">
        <v>2</v>
      </c>
      <c r="C26" s="15">
        <f>IFERROR(INDEX(Colaboradores!$B:$B,MATCH($B26,Colaboradores!$A:$A,0)),"")</f>
        <v/>
      </c>
      <c r="D26" s="15">
        <f>IFERROR(INDEX(Colaboradores!$E:$E,MATCH($B26,Colaboradores!$A:$A,0)),"")</f>
        <v/>
      </c>
      <c r="E26" s="15">
        <f>IFERROR(INDEX(Colaboradores!$D:$D,MATCH($B26,Colaboradores!$A:$A,0)),"")</f>
        <v/>
      </c>
      <c r="F26" s="19" t="inlineStr">
        <is>
          <t>Desenvolvimento de outros</t>
        </is>
      </c>
      <c r="G26" s="15">
        <f>IFERROR(INDEX(Competências!$B:$B,MATCH($F26,Competências!$C:$C,0)),"")</f>
        <v/>
      </c>
      <c r="H26" s="15">
        <f>IFERROR(INDEX(Competências!$E:$E,MATCH($F26,Competências!$C:$C,0)),"")</f>
        <v/>
      </c>
      <c r="I26" s="20" t="n"/>
      <c r="J26" s="20" t="n"/>
      <c r="K26" s="21">
        <f>IF(AND(ISNUMBER($I26),ISNUMBER($J26)),ABS($I26-$J26),"")</f>
        <v/>
      </c>
      <c r="L26" s="21">
        <f>IF(AND(NOT(ISNUMBER($I26)),NOT(ISNUMBER($J26))),"",IF(NOT(ISNUMBER($J26)),$I26,IF(NOT(ISNUMBER($I26)),$J26,IF($K26=0,$I26,IF($K26=1,IF($H26="Líder Técnico",$J26,IF($H26="GP",$I26,"CALIBRAR")),"CALIBRAR")))))</f>
        <v/>
      </c>
      <c r="M26" s="20" t="n"/>
      <c r="N26" s="21">
        <f>IF($C26="","",COUNTIFS(Ocorrências!$B:$B,$C26,Ocorrências!$F:$F,$F26,Ocorrências!$N:$N,$A26))</f>
        <v/>
      </c>
      <c r="O26" s="15">
        <f>IF($M26="","",IF(OR($M26=1,$M26=2,$M26=5),IF($N26&gt;0,"OK","SEM LASTRO"),"OK"))</f>
        <v/>
      </c>
      <c r="P26" s="19" t="n"/>
      <c r="Q26" s="18" t="n"/>
    </row>
    <row r="27">
      <c r="A27" s="19" t="inlineStr">
        <is>
          <t>2026-Q3</t>
        </is>
      </c>
      <c r="B27" s="19" t="n">
        <v>3</v>
      </c>
      <c r="C27" s="15">
        <f>IFERROR(INDEX(Colaboradores!$B:$B,MATCH($B27,Colaboradores!$A:$A,0)),"")</f>
        <v/>
      </c>
      <c r="D27" s="15">
        <f>IFERROR(INDEX(Colaboradores!$E:$E,MATCH($B27,Colaboradores!$A:$A,0)),"")</f>
        <v/>
      </c>
      <c r="E27" s="15">
        <f>IFERROR(INDEX(Colaboradores!$D:$D,MATCH($B27,Colaboradores!$A:$A,0)),"")</f>
        <v/>
      </c>
      <c r="F27" s="19" t="inlineStr">
        <is>
          <t>Previsibilidade</t>
        </is>
      </c>
      <c r="G27" s="15">
        <f>IFERROR(INDEX(Competências!$B:$B,MATCH($F27,Competências!$C:$C,0)),"")</f>
        <v/>
      </c>
      <c r="H27" s="15">
        <f>IFERROR(INDEX(Competências!$E:$E,MATCH($F27,Competências!$C:$C,0)),"")</f>
        <v/>
      </c>
      <c r="I27" s="20" t="n"/>
      <c r="J27" s="20" t="n"/>
      <c r="K27" s="21">
        <f>IF(AND(ISNUMBER($I27),ISNUMBER($J27)),ABS($I27-$J27),"")</f>
        <v/>
      </c>
      <c r="L27" s="21">
        <f>IF(AND(NOT(ISNUMBER($I27)),NOT(ISNUMBER($J27))),"",IF(NOT(ISNUMBER($J27)),$I27,IF(NOT(ISNUMBER($I27)),$J27,IF($K27=0,$I27,IF($K27=1,IF($H27="Líder Técnico",$J27,IF($H27="GP",$I27,"CALIBRAR")),"CALIBRAR")))))</f>
        <v/>
      </c>
      <c r="M27" s="20" t="n"/>
      <c r="N27" s="21">
        <f>IF($C27="","",COUNTIFS(Ocorrências!$B:$B,$C27,Ocorrências!$F:$F,$F27,Ocorrências!$N:$N,$A27))</f>
        <v/>
      </c>
      <c r="O27" s="15">
        <f>IF($M27="","",IF(OR($M27=1,$M27=2,$M27=5),IF($N27&gt;0,"OK","SEM LASTRO"),"OK"))</f>
        <v/>
      </c>
      <c r="P27" s="19" t="n"/>
      <c r="Q27" s="18" t="n"/>
    </row>
    <row r="28">
      <c r="A28" s="19" t="inlineStr">
        <is>
          <t>2026-Q3</t>
        </is>
      </c>
      <c r="B28" s="19" t="n">
        <v>3</v>
      </c>
      <c r="C28" s="15">
        <f>IFERROR(INDEX(Colaboradores!$B:$B,MATCH($B28,Colaboradores!$A:$A,0)),"")</f>
        <v/>
      </c>
      <c r="D28" s="15">
        <f>IFERROR(INDEX(Colaboradores!$E:$E,MATCH($B28,Colaboradores!$A:$A,0)),"")</f>
        <v/>
      </c>
      <c r="E28" s="15">
        <f>IFERROR(INDEX(Colaboradores!$D:$D,MATCH($B28,Colaboradores!$A:$A,0)),"")</f>
        <v/>
      </c>
      <c r="F28" s="19" t="inlineStr">
        <is>
          <t>Qualidade da entrega</t>
        </is>
      </c>
      <c r="G28" s="15">
        <f>IFERROR(INDEX(Competências!$B:$B,MATCH($F28,Competências!$C:$C,0)),"")</f>
        <v/>
      </c>
      <c r="H28" s="15">
        <f>IFERROR(INDEX(Competências!$E:$E,MATCH($F28,Competências!$C:$C,0)),"")</f>
        <v/>
      </c>
      <c r="I28" s="20" t="n"/>
      <c r="J28" s="20" t="n"/>
      <c r="K28" s="21">
        <f>IF(AND(ISNUMBER($I28),ISNUMBER($J28)),ABS($I28-$J28),"")</f>
        <v/>
      </c>
      <c r="L28" s="21">
        <f>IF(AND(NOT(ISNUMBER($I28)),NOT(ISNUMBER($J28))),"",IF(NOT(ISNUMBER($J28)),$I28,IF(NOT(ISNUMBER($I28)),$J28,IF($K28=0,$I28,IF($K28=1,IF($H28="Líder Técnico",$J28,IF($H28="GP",$I28,"CALIBRAR")),"CALIBRAR")))))</f>
        <v/>
      </c>
      <c r="M28" s="20" t="n"/>
      <c r="N28" s="21">
        <f>IF($C28="","",COUNTIFS(Ocorrências!$B:$B,$C28,Ocorrências!$F:$F,$F28,Ocorrências!$N:$N,$A28))</f>
        <v/>
      </c>
      <c r="O28" s="15">
        <f>IF($M28="","",IF(OR($M28=1,$M28=2,$M28=5),IF($N28&gt;0,"OK","SEM LASTRO"),"OK"))</f>
        <v/>
      </c>
      <c r="P28" s="19" t="n"/>
      <c r="Q28" s="18" t="n"/>
    </row>
    <row r="29">
      <c r="A29" s="19" t="inlineStr">
        <is>
          <t>2026-Q3</t>
        </is>
      </c>
      <c r="B29" s="19" t="n">
        <v>3</v>
      </c>
      <c r="C29" s="15">
        <f>IFERROR(INDEX(Colaboradores!$B:$B,MATCH($B29,Colaboradores!$A:$A,0)),"")</f>
        <v/>
      </c>
      <c r="D29" s="15">
        <f>IFERROR(INDEX(Colaboradores!$E:$E,MATCH($B29,Colaboradores!$A:$A,0)),"")</f>
        <v/>
      </c>
      <c r="E29" s="15">
        <f>IFERROR(INDEX(Colaboradores!$D:$D,MATCH($B29,Colaboradores!$A:$A,0)),"")</f>
        <v/>
      </c>
      <c r="F29" s="19" t="inlineStr">
        <is>
          <t>Foco em valor</t>
        </is>
      </c>
      <c r="G29" s="15">
        <f>IFERROR(INDEX(Competências!$B:$B,MATCH($F29,Competências!$C:$C,0)),"")</f>
        <v/>
      </c>
      <c r="H29" s="15">
        <f>IFERROR(INDEX(Competências!$E:$E,MATCH($F29,Competências!$C:$C,0)),"")</f>
        <v/>
      </c>
      <c r="I29" s="20" t="n"/>
      <c r="J29" s="20" t="n"/>
      <c r="K29" s="21">
        <f>IF(AND(ISNUMBER($I29),ISNUMBER($J29)),ABS($I29-$J29),"")</f>
        <v/>
      </c>
      <c r="L29" s="21">
        <f>IF(AND(NOT(ISNUMBER($I29)),NOT(ISNUMBER($J29))),"",IF(NOT(ISNUMBER($J29)),$I29,IF(NOT(ISNUMBER($I29)),$J29,IF($K29=0,$I29,IF($K29=1,IF($H29="Líder Técnico",$J29,IF($H29="GP",$I29,"CALIBRAR")),"CALIBRAR")))))</f>
        <v/>
      </c>
      <c r="M29" s="20" t="n"/>
      <c r="N29" s="21">
        <f>IF($C29="","",COUNTIFS(Ocorrências!$B:$B,$C29,Ocorrências!$F:$F,$F29,Ocorrências!$N:$N,$A29))</f>
        <v/>
      </c>
      <c r="O29" s="15">
        <f>IF($M29="","",IF(OR($M29=1,$M29=2,$M29=5),IF($N29&gt;0,"OK","SEM LASTRO"),"OK"))</f>
        <v/>
      </c>
      <c r="P29" s="19" t="n"/>
      <c r="Q29" s="18" t="n"/>
    </row>
    <row r="30">
      <c r="A30" s="19" t="inlineStr">
        <is>
          <t>2026-Q3</t>
        </is>
      </c>
      <c r="B30" s="19" t="n">
        <v>3</v>
      </c>
      <c r="C30" s="15">
        <f>IFERROR(INDEX(Colaboradores!$B:$B,MATCH($B30,Colaboradores!$A:$A,0)),"")</f>
        <v/>
      </c>
      <c r="D30" s="15">
        <f>IFERROR(INDEX(Colaboradores!$E:$E,MATCH($B30,Colaboradores!$A:$A,0)),"")</f>
        <v/>
      </c>
      <c r="E30" s="15">
        <f>IFERROR(INDEX(Colaboradores!$D:$D,MATCH($B30,Colaboradores!$A:$A,0)),"")</f>
        <v/>
      </c>
      <c r="F30" s="19" t="inlineStr">
        <is>
          <t>Domínio técnico</t>
        </is>
      </c>
      <c r="G30" s="15">
        <f>IFERROR(INDEX(Competências!$B:$B,MATCH($F30,Competências!$C:$C,0)),"")</f>
        <v/>
      </c>
      <c r="H30" s="15">
        <f>IFERROR(INDEX(Competências!$E:$E,MATCH($F30,Competências!$C:$C,0)),"")</f>
        <v/>
      </c>
      <c r="I30" s="20" t="n"/>
      <c r="J30" s="20" t="n"/>
      <c r="K30" s="21">
        <f>IF(AND(ISNUMBER($I30),ISNUMBER($J30)),ABS($I30-$J30),"")</f>
        <v/>
      </c>
      <c r="L30" s="21">
        <f>IF(AND(NOT(ISNUMBER($I30)),NOT(ISNUMBER($J30))),"",IF(NOT(ISNUMBER($J30)),$I30,IF(NOT(ISNUMBER($I30)),$J30,IF($K30=0,$I30,IF($K30=1,IF($H30="Líder Técnico",$J30,IF($H30="GP",$I30,"CALIBRAR")),"CALIBRAR")))))</f>
        <v/>
      </c>
      <c r="M30" s="20" t="n"/>
      <c r="N30" s="21">
        <f>IF($C30="","",COUNTIFS(Ocorrências!$B:$B,$C30,Ocorrências!$F:$F,$F30,Ocorrências!$N:$N,$A30))</f>
        <v/>
      </c>
      <c r="O30" s="15">
        <f>IF($M30="","",IF(OR($M30=1,$M30=2,$M30=5),IF($N30&gt;0,"OK","SEM LASTRO"),"OK"))</f>
        <v/>
      </c>
      <c r="P30" s="19" t="n"/>
      <c r="Q30" s="18" t="n"/>
    </row>
    <row r="31">
      <c r="A31" s="19" t="inlineStr">
        <is>
          <t>2026-Q3</t>
        </is>
      </c>
      <c r="B31" s="19" t="n">
        <v>3</v>
      </c>
      <c r="C31" s="15">
        <f>IFERROR(INDEX(Colaboradores!$B:$B,MATCH($B31,Colaboradores!$A:$A,0)),"")</f>
        <v/>
      </c>
      <c r="D31" s="15">
        <f>IFERROR(INDEX(Colaboradores!$E:$E,MATCH($B31,Colaboradores!$A:$A,0)),"")</f>
        <v/>
      </c>
      <c r="E31" s="15">
        <f>IFERROR(INDEX(Colaboradores!$D:$D,MATCH($B31,Colaboradores!$A:$A,0)),"")</f>
        <v/>
      </c>
      <c r="F31" s="19" t="inlineStr">
        <is>
          <t>Design de solução</t>
        </is>
      </c>
      <c r="G31" s="15">
        <f>IFERROR(INDEX(Competências!$B:$B,MATCH($F31,Competências!$C:$C,0)),"")</f>
        <v/>
      </c>
      <c r="H31" s="15">
        <f>IFERROR(INDEX(Competências!$E:$E,MATCH($F31,Competências!$C:$C,0)),"")</f>
        <v/>
      </c>
      <c r="I31" s="20" t="n"/>
      <c r="J31" s="20" t="n"/>
      <c r="K31" s="21">
        <f>IF(AND(ISNUMBER($I31),ISNUMBER($J31)),ABS($I31-$J31),"")</f>
        <v/>
      </c>
      <c r="L31" s="21">
        <f>IF(AND(NOT(ISNUMBER($I31)),NOT(ISNUMBER($J31))),"",IF(NOT(ISNUMBER($J31)),$I31,IF(NOT(ISNUMBER($I31)),$J31,IF($K31=0,$I31,IF($K31=1,IF($H31="Líder Técnico",$J31,IF($H31="GP",$I31,"CALIBRAR")),"CALIBRAR")))))</f>
        <v/>
      </c>
      <c r="M31" s="20" t="n"/>
      <c r="N31" s="21">
        <f>IF($C31="","",COUNTIFS(Ocorrências!$B:$B,$C31,Ocorrências!$F:$F,$F31,Ocorrências!$N:$N,$A31))</f>
        <v/>
      </c>
      <c r="O31" s="15">
        <f>IF($M31="","",IF(OR($M31=1,$M31=2,$M31=5),IF($N31&gt;0,"OK","SEM LASTRO"),"OK"))</f>
        <v/>
      </c>
      <c r="P31" s="19" t="n"/>
      <c r="Q31" s="18" t="n"/>
    </row>
    <row r="32">
      <c r="A32" s="19" t="inlineStr">
        <is>
          <t>2026-Q3</t>
        </is>
      </c>
      <c r="B32" s="19" t="n">
        <v>3</v>
      </c>
      <c r="C32" s="15">
        <f>IFERROR(INDEX(Colaboradores!$B:$B,MATCH($B32,Colaboradores!$A:$A,0)),"")</f>
        <v/>
      </c>
      <c r="D32" s="15">
        <f>IFERROR(INDEX(Colaboradores!$E:$E,MATCH($B32,Colaboradores!$A:$A,0)),"")</f>
        <v/>
      </c>
      <c r="E32" s="15">
        <f>IFERROR(INDEX(Colaboradores!$D:$D,MATCH($B32,Colaboradores!$A:$A,0)),"")</f>
        <v/>
      </c>
      <c r="F32" s="19" t="inlineStr">
        <is>
          <t>Rigor operacional</t>
        </is>
      </c>
      <c r="G32" s="15">
        <f>IFERROR(INDEX(Competências!$B:$B,MATCH($F32,Competências!$C:$C,0)),"")</f>
        <v/>
      </c>
      <c r="H32" s="15">
        <f>IFERROR(INDEX(Competências!$E:$E,MATCH($F32,Competências!$C:$C,0)),"")</f>
        <v/>
      </c>
      <c r="I32" s="20" t="n"/>
      <c r="J32" s="20" t="n"/>
      <c r="K32" s="21">
        <f>IF(AND(ISNUMBER($I32),ISNUMBER($J32)),ABS($I32-$J32),"")</f>
        <v/>
      </c>
      <c r="L32" s="21">
        <f>IF(AND(NOT(ISNUMBER($I32)),NOT(ISNUMBER($J32))),"",IF(NOT(ISNUMBER($J32)),$I32,IF(NOT(ISNUMBER($I32)),$J32,IF($K32=0,$I32,IF($K32=1,IF($H32="Líder Técnico",$J32,IF($H32="GP",$I32,"CALIBRAR")),"CALIBRAR")))))</f>
        <v/>
      </c>
      <c r="M32" s="20" t="n"/>
      <c r="N32" s="21">
        <f>IF($C32="","",COUNTIFS(Ocorrências!$B:$B,$C32,Ocorrências!$F:$F,$F32,Ocorrências!$N:$N,$A32))</f>
        <v/>
      </c>
      <c r="O32" s="15">
        <f>IF($M32="","",IF(OR($M32=1,$M32=2,$M32=5),IF($N32&gt;0,"OK","SEM LASTRO"),"OK"))</f>
        <v/>
      </c>
      <c r="P32" s="19" t="n"/>
      <c r="Q32" s="18" t="n"/>
    </row>
    <row r="33">
      <c r="A33" s="19" t="inlineStr">
        <is>
          <t>2026-Q3</t>
        </is>
      </c>
      <c r="B33" s="19" t="n">
        <v>3</v>
      </c>
      <c r="C33" s="15">
        <f>IFERROR(INDEX(Colaboradores!$B:$B,MATCH($B33,Colaboradores!$A:$A,0)),"")</f>
        <v/>
      </c>
      <c r="D33" s="15">
        <f>IFERROR(INDEX(Colaboradores!$E:$E,MATCH($B33,Colaboradores!$A:$A,0)),"")</f>
        <v/>
      </c>
      <c r="E33" s="15">
        <f>IFERROR(INDEX(Colaboradores!$D:$D,MATCH($B33,Colaboradores!$A:$A,0)),"")</f>
        <v/>
      </c>
      <c r="F33" s="19" t="inlineStr">
        <is>
          <t>Comunicação</t>
        </is>
      </c>
      <c r="G33" s="15">
        <f>IFERROR(INDEX(Competências!$B:$B,MATCH($F33,Competências!$C:$C,0)),"")</f>
        <v/>
      </c>
      <c r="H33" s="15">
        <f>IFERROR(INDEX(Competências!$E:$E,MATCH($F33,Competências!$C:$C,0)),"")</f>
        <v/>
      </c>
      <c r="I33" s="20" t="n"/>
      <c r="J33" s="20" t="n"/>
      <c r="K33" s="21">
        <f>IF(AND(ISNUMBER($I33),ISNUMBER($J33)),ABS($I33-$J33),"")</f>
        <v/>
      </c>
      <c r="L33" s="21">
        <f>IF(AND(NOT(ISNUMBER($I33)),NOT(ISNUMBER($J33))),"",IF(NOT(ISNUMBER($J33)),$I33,IF(NOT(ISNUMBER($I33)),$J33,IF($K33=0,$I33,IF($K33=1,IF($H33="Líder Técnico",$J33,IF($H33="GP",$I33,"CALIBRAR")),"CALIBRAR")))))</f>
        <v/>
      </c>
      <c r="M33" s="20" t="n"/>
      <c r="N33" s="21">
        <f>IF($C33="","",COUNTIFS(Ocorrências!$B:$B,$C33,Ocorrências!$F:$F,$F33,Ocorrências!$N:$N,$A33))</f>
        <v/>
      </c>
      <c r="O33" s="15">
        <f>IF($M33="","",IF(OR($M33=1,$M33=2,$M33=5),IF($N33&gt;0,"OK","SEM LASTRO"),"OK"))</f>
        <v/>
      </c>
      <c r="P33" s="19" t="n"/>
      <c r="Q33" s="18" t="n"/>
    </row>
    <row r="34">
      <c r="A34" s="19" t="inlineStr">
        <is>
          <t>2026-Q3</t>
        </is>
      </c>
      <c r="B34" s="19" t="n">
        <v>3</v>
      </c>
      <c r="C34" s="15">
        <f>IFERROR(INDEX(Colaboradores!$B:$B,MATCH($B34,Colaboradores!$A:$A,0)),"")</f>
        <v/>
      </c>
      <c r="D34" s="15">
        <f>IFERROR(INDEX(Colaboradores!$E:$E,MATCH($B34,Colaboradores!$A:$A,0)),"")</f>
        <v/>
      </c>
      <c r="E34" s="15">
        <f>IFERROR(INDEX(Colaboradores!$D:$D,MATCH($B34,Colaboradores!$A:$A,0)),"")</f>
        <v/>
      </c>
      <c r="F34" s="19" t="inlineStr">
        <is>
          <t>Colaboração e review</t>
        </is>
      </c>
      <c r="G34" s="15">
        <f>IFERROR(INDEX(Competências!$B:$B,MATCH($F34,Competências!$C:$C,0)),"")</f>
        <v/>
      </c>
      <c r="H34" s="15">
        <f>IFERROR(INDEX(Competências!$E:$E,MATCH($F34,Competências!$C:$C,0)),"")</f>
        <v/>
      </c>
      <c r="I34" s="20" t="n"/>
      <c r="J34" s="20" t="n"/>
      <c r="K34" s="21">
        <f>IF(AND(ISNUMBER($I34),ISNUMBER($J34)),ABS($I34-$J34),"")</f>
        <v/>
      </c>
      <c r="L34" s="21">
        <f>IF(AND(NOT(ISNUMBER($I34)),NOT(ISNUMBER($J34))),"",IF(NOT(ISNUMBER($J34)),$I34,IF(NOT(ISNUMBER($I34)),$J34,IF($K34=0,$I34,IF($K34=1,IF($H34="Líder Técnico",$J34,IF($H34="GP",$I34,"CALIBRAR")),"CALIBRAR")))))</f>
        <v/>
      </c>
      <c r="M34" s="20" t="n"/>
      <c r="N34" s="21">
        <f>IF($C34="","",COUNTIFS(Ocorrências!$B:$B,$C34,Ocorrências!$F:$F,$F34,Ocorrências!$N:$N,$A34))</f>
        <v/>
      </c>
      <c r="O34" s="15">
        <f>IF($M34="","",IF(OR($M34=1,$M34=2,$M34=5),IF($N34&gt;0,"OK","SEM LASTRO"),"OK"))</f>
        <v/>
      </c>
      <c r="P34" s="19" t="n"/>
      <c r="Q34" s="18" t="n"/>
    </row>
    <row r="35">
      <c r="A35" s="19" t="inlineStr">
        <is>
          <t>2026-Q3</t>
        </is>
      </c>
      <c r="B35" s="19" t="n">
        <v>3</v>
      </c>
      <c r="C35" s="15">
        <f>IFERROR(INDEX(Colaboradores!$B:$B,MATCH($B35,Colaboradores!$A:$A,0)),"")</f>
        <v/>
      </c>
      <c r="D35" s="15">
        <f>IFERROR(INDEX(Colaboradores!$E:$E,MATCH($B35,Colaboradores!$A:$A,0)),"")</f>
        <v/>
      </c>
      <c r="E35" s="15">
        <f>IFERROR(INDEX(Colaboradores!$D:$D,MATCH($B35,Colaboradores!$A:$A,0)),"")</f>
        <v/>
      </c>
      <c r="F35" s="19" t="inlineStr">
        <is>
          <t>Confiabilidade e conduta</t>
        </is>
      </c>
      <c r="G35" s="15">
        <f>IFERROR(INDEX(Competências!$B:$B,MATCH($F35,Competências!$C:$C,0)),"")</f>
        <v/>
      </c>
      <c r="H35" s="15">
        <f>IFERROR(INDEX(Competências!$E:$E,MATCH($F35,Competências!$C:$C,0)),"")</f>
        <v/>
      </c>
      <c r="I35" s="20" t="n"/>
      <c r="J35" s="20" t="n"/>
      <c r="K35" s="21">
        <f>IF(AND(ISNUMBER($I35),ISNUMBER($J35)),ABS($I35-$J35),"")</f>
        <v/>
      </c>
      <c r="L35" s="21">
        <f>IF(AND(NOT(ISNUMBER($I35)),NOT(ISNUMBER($J35))),"",IF(NOT(ISNUMBER($J35)),$I35,IF(NOT(ISNUMBER($I35)),$J35,IF($K35=0,$I35,IF($K35=1,IF($H35="Líder Técnico",$J35,IF($H35="GP",$I35,"CALIBRAR")),"CALIBRAR")))))</f>
        <v/>
      </c>
      <c r="M35" s="20" t="n"/>
      <c r="N35" s="21">
        <f>IF($C35="","",COUNTIFS(Ocorrências!$B:$B,$C35,Ocorrências!$F:$F,$F35,Ocorrências!$N:$N,$A35))</f>
        <v/>
      </c>
      <c r="O35" s="15">
        <f>IF($M35="","",IF(OR($M35=1,$M35=2,$M35=5),IF($N35&gt;0,"OK","SEM LASTRO"),"OK"))</f>
        <v/>
      </c>
      <c r="P35" s="19" t="n"/>
      <c r="Q35" s="18" t="n"/>
    </row>
    <row r="36">
      <c r="A36" s="19" t="inlineStr">
        <is>
          <t>2026-Q3</t>
        </is>
      </c>
      <c r="B36" s="19" t="n">
        <v>3</v>
      </c>
      <c r="C36" s="15">
        <f>IFERROR(INDEX(Colaboradores!$B:$B,MATCH($B36,Colaboradores!$A:$A,0)),"")</f>
        <v/>
      </c>
      <c r="D36" s="15">
        <f>IFERROR(INDEX(Colaboradores!$E:$E,MATCH($B36,Colaboradores!$A:$A,0)),"")</f>
        <v/>
      </c>
      <c r="E36" s="15">
        <f>IFERROR(INDEX(Colaboradores!$D:$D,MATCH($B36,Colaboradores!$A:$A,0)),"")</f>
        <v/>
      </c>
      <c r="F36" s="19" t="inlineStr">
        <is>
          <t>Autonomia e ownership</t>
        </is>
      </c>
      <c r="G36" s="15">
        <f>IFERROR(INDEX(Competências!$B:$B,MATCH($F36,Competências!$C:$C,0)),"")</f>
        <v/>
      </c>
      <c r="H36" s="15">
        <f>IFERROR(INDEX(Competências!$E:$E,MATCH($F36,Competências!$C:$C,0)),"")</f>
        <v/>
      </c>
      <c r="I36" s="20" t="n"/>
      <c r="J36" s="20" t="n"/>
      <c r="K36" s="21">
        <f>IF(AND(ISNUMBER($I36),ISNUMBER($J36)),ABS($I36-$J36),"")</f>
        <v/>
      </c>
      <c r="L36" s="21">
        <f>IF(AND(NOT(ISNUMBER($I36)),NOT(ISNUMBER($J36))),"",IF(NOT(ISNUMBER($J36)),$I36,IF(NOT(ISNUMBER($I36)),$J36,IF($K36=0,$I36,IF($K36=1,IF($H36="Líder Técnico",$J36,IF($H36="GP",$I36,"CALIBRAR")),"CALIBRAR")))))</f>
        <v/>
      </c>
      <c r="M36" s="20" t="n"/>
      <c r="N36" s="21">
        <f>IF($C36="","",COUNTIFS(Ocorrências!$B:$B,$C36,Ocorrências!$F:$F,$F36,Ocorrências!$N:$N,$A36))</f>
        <v/>
      </c>
      <c r="O36" s="15">
        <f>IF($M36="","",IF(OR($M36=1,$M36=2,$M36=5),IF($N36&gt;0,"OK","SEM LASTRO"),"OK"))</f>
        <v/>
      </c>
      <c r="P36" s="19" t="n"/>
      <c r="Q36" s="18" t="n"/>
    </row>
    <row r="37">
      <c r="A37" s="19" t="inlineStr">
        <is>
          <t>2026-Q3</t>
        </is>
      </c>
      <c r="B37" s="19" t="n">
        <v>3</v>
      </c>
      <c r="C37" s="15">
        <f>IFERROR(INDEX(Colaboradores!$B:$B,MATCH($B37,Colaboradores!$A:$A,0)),"")</f>
        <v/>
      </c>
      <c r="D37" s="15">
        <f>IFERROR(INDEX(Colaboradores!$E:$E,MATCH($B37,Colaboradores!$A:$A,0)),"")</f>
        <v/>
      </c>
      <c r="E37" s="15">
        <f>IFERROR(INDEX(Colaboradores!$D:$D,MATCH($B37,Colaboradores!$A:$A,0)),"")</f>
        <v/>
      </c>
      <c r="F37" s="19" t="inlineStr">
        <is>
          <t>Desenvolvimento de outros</t>
        </is>
      </c>
      <c r="G37" s="15">
        <f>IFERROR(INDEX(Competências!$B:$B,MATCH($F37,Competências!$C:$C,0)),"")</f>
        <v/>
      </c>
      <c r="H37" s="15">
        <f>IFERROR(INDEX(Competências!$E:$E,MATCH($F37,Competências!$C:$C,0)),"")</f>
        <v/>
      </c>
      <c r="I37" s="20" t="n"/>
      <c r="J37" s="20" t="n"/>
      <c r="K37" s="21">
        <f>IF(AND(ISNUMBER($I37),ISNUMBER($J37)),ABS($I37-$J37),"")</f>
        <v/>
      </c>
      <c r="L37" s="21">
        <f>IF(AND(NOT(ISNUMBER($I37)),NOT(ISNUMBER($J37))),"",IF(NOT(ISNUMBER($J37)),$I37,IF(NOT(ISNUMBER($I37)),$J37,IF($K37=0,$I37,IF($K37=1,IF($H37="Líder Técnico",$J37,IF($H37="GP",$I37,"CALIBRAR")),"CALIBRAR")))))</f>
        <v/>
      </c>
      <c r="M37" s="20" t="n"/>
      <c r="N37" s="21">
        <f>IF($C37="","",COUNTIFS(Ocorrências!$B:$B,$C37,Ocorrências!$F:$F,$F37,Ocorrências!$N:$N,$A37))</f>
        <v/>
      </c>
      <c r="O37" s="15">
        <f>IF($M37="","",IF(OR($M37=1,$M37=2,$M37=5),IF($N37&gt;0,"OK","SEM LASTRO"),"OK"))</f>
        <v/>
      </c>
      <c r="P37" s="19" t="n"/>
      <c r="Q37" s="18" t="n"/>
    </row>
    <row r="38">
      <c r="A38" s="19" t="n"/>
      <c r="B38" s="19" t="n"/>
      <c r="C38" s="15">
        <f>IFERROR(INDEX(Colaboradores!$B:$B,MATCH($B38,Colaboradores!$A:$A,0)),"")</f>
        <v/>
      </c>
      <c r="D38" s="15">
        <f>IFERROR(INDEX(Colaboradores!$E:$E,MATCH($B38,Colaboradores!$A:$A,0)),"")</f>
        <v/>
      </c>
      <c r="E38" s="15">
        <f>IFERROR(INDEX(Colaboradores!$D:$D,MATCH($B38,Colaboradores!$A:$A,0)),"")</f>
        <v/>
      </c>
      <c r="F38" s="19" t="n"/>
      <c r="G38" s="15">
        <f>IFERROR(INDEX(Competências!$B:$B,MATCH($F38,Competências!$C:$C,0)),"")</f>
        <v/>
      </c>
      <c r="H38" s="15">
        <f>IFERROR(INDEX(Competências!$E:$E,MATCH($F38,Competências!$C:$C,0)),"")</f>
        <v/>
      </c>
      <c r="I38" s="20" t="n"/>
      <c r="J38" s="20" t="n"/>
      <c r="K38" s="21">
        <f>IF(AND(ISNUMBER($I38),ISNUMBER($J38)),ABS($I38-$J38),"")</f>
        <v/>
      </c>
      <c r="L38" s="21">
        <f>IF(AND(NOT(ISNUMBER($I38)),NOT(ISNUMBER($J38))),"",IF(NOT(ISNUMBER($J38)),$I38,IF(NOT(ISNUMBER($I38)),$J38,IF($K38=0,$I38,IF($K38=1,IF($H38="Líder Técnico",$J38,IF($H38="GP",$I38,"CALIBRAR")),"CALIBRAR")))))</f>
        <v/>
      </c>
      <c r="M38" s="20" t="n"/>
      <c r="N38" s="21">
        <f>IF($C38="","",COUNTIFS(Ocorrências!$B:$B,$C38,Ocorrências!$F:$F,$F38,Ocorrências!$N:$N,$A38))</f>
        <v/>
      </c>
      <c r="O38" s="15">
        <f>IF($M38="","",IF(OR($M38=1,$M38=2,$M38=5),IF($N38&gt;0,"OK","SEM LASTRO"),"OK"))</f>
        <v/>
      </c>
      <c r="P38" s="19" t="n"/>
      <c r="Q38" s="18" t="n"/>
    </row>
    <row r="39">
      <c r="A39" s="19" t="n"/>
      <c r="B39" s="19" t="n"/>
      <c r="C39" s="15">
        <f>IFERROR(INDEX(Colaboradores!$B:$B,MATCH($B39,Colaboradores!$A:$A,0)),"")</f>
        <v/>
      </c>
      <c r="D39" s="15">
        <f>IFERROR(INDEX(Colaboradores!$E:$E,MATCH($B39,Colaboradores!$A:$A,0)),"")</f>
        <v/>
      </c>
      <c r="E39" s="15">
        <f>IFERROR(INDEX(Colaboradores!$D:$D,MATCH($B39,Colaboradores!$A:$A,0)),"")</f>
        <v/>
      </c>
      <c r="F39" s="19" t="n"/>
      <c r="G39" s="15">
        <f>IFERROR(INDEX(Competências!$B:$B,MATCH($F39,Competências!$C:$C,0)),"")</f>
        <v/>
      </c>
      <c r="H39" s="15">
        <f>IFERROR(INDEX(Competências!$E:$E,MATCH($F39,Competências!$C:$C,0)),"")</f>
        <v/>
      </c>
      <c r="I39" s="20" t="n"/>
      <c r="J39" s="20" t="n"/>
      <c r="K39" s="21">
        <f>IF(AND(ISNUMBER($I39),ISNUMBER($J39)),ABS($I39-$J39),"")</f>
        <v/>
      </c>
      <c r="L39" s="21">
        <f>IF(AND(NOT(ISNUMBER($I39)),NOT(ISNUMBER($J39))),"",IF(NOT(ISNUMBER($J39)),$I39,IF(NOT(ISNUMBER($I39)),$J39,IF($K39=0,$I39,IF($K39=1,IF($H39="Líder Técnico",$J39,IF($H39="GP",$I39,"CALIBRAR")),"CALIBRAR")))))</f>
        <v/>
      </c>
      <c r="M39" s="20" t="n"/>
      <c r="N39" s="21">
        <f>IF($C39="","",COUNTIFS(Ocorrências!$B:$B,$C39,Ocorrências!$F:$F,$F39,Ocorrências!$N:$N,$A39))</f>
        <v/>
      </c>
      <c r="O39" s="15">
        <f>IF($M39="","",IF(OR($M39=1,$M39=2,$M39=5),IF($N39&gt;0,"OK","SEM LASTRO"),"OK"))</f>
        <v/>
      </c>
      <c r="P39" s="19" t="n"/>
      <c r="Q39" s="18" t="n"/>
    </row>
    <row r="40">
      <c r="A40" s="19" t="n"/>
      <c r="B40" s="19" t="n"/>
      <c r="C40" s="15">
        <f>IFERROR(INDEX(Colaboradores!$B:$B,MATCH($B40,Colaboradores!$A:$A,0)),"")</f>
        <v/>
      </c>
      <c r="D40" s="15">
        <f>IFERROR(INDEX(Colaboradores!$E:$E,MATCH($B40,Colaboradores!$A:$A,0)),"")</f>
        <v/>
      </c>
      <c r="E40" s="15">
        <f>IFERROR(INDEX(Colaboradores!$D:$D,MATCH($B40,Colaboradores!$A:$A,0)),"")</f>
        <v/>
      </c>
      <c r="F40" s="19" t="n"/>
      <c r="G40" s="15">
        <f>IFERROR(INDEX(Competências!$B:$B,MATCH($F40,Competências!$C:$C,0)),"")</f>
        <v/>
      </c>
      <c r="H40" s="15">
        <f>IFERROR(INDEX(Competências!$E:$E,MATCH($F40,Competências!$C:$C,0)),"")</f>
        <v/>
      </c>
      <c r="I40" s="20" t="n"/>
      <c r="J40" s="20" t="n"/>
      <c r="K40" s="21">
        <f>IF(AND(ISNUMBER($I40),ISNUMBER($J40)),ABS($I40-$J40),"")</f>
        <v/>
      </c>
      <c r="L40" s="21">
        <f>IF(AND(NOT(ISNUMBER($I40)),NOT(ISNUMBER($J40))),"",IF(NOT(ISNUMBER($J40)),$I40,IF(NOT(ISNUMBER($I40)),$J40,IF($K40=0,$I40,IF($K40=1,IF($H40="Líder Técnico",$J40,IF($H40="GP",$I40,"CALIBRAR")),"CALIBRAR")))))</f>
        <v/>
      </c>
      <c r="M40" s="20" t="n"/>
      <c r="N40" s="21">
        <f>IF($C40="","",COUNTIFS(Ocorrências!$B:$B,$C40,Ocorrências!$F:$F,$F40,Ocorrências!$N:$N,$A40))</f>
        <v/>
      </c>
      <c r="O40" s="15">
        <f>IF($M40="","",IF(OR($M40=1,$M40=2,$M40=5),IF($N40&gt;0,"OK","SEM LASTRO"),"OK"))</f>
        <v/>
      </c>
      <c r="P40" s="19" t="n"/>
      <c r="Q40" s="18" t="n"/>
    </row>
    <row r="41">
      <c r="A41" s="19" t="n"/>
      <c r="B41" s="19" t="n"/>
      <c r="C41" s="15">
        <f>IFERROR(INDEX(Colaboradores!$B:$B,MATCH($B41,Colaboradores!$A:$A,0)),"")</f>
        <v/>
      </c>
      <c r="D41" s="15">
        <f>IFERROR(INDEX(Colaboradores!$E:$E,MATCH($B41,Colaboradores!$A:$A,0)),"")</f>
        <v/>
      </c>
      <c r="E41" s="15">
        <f>IFERROR(INDEX(Colaboradores!$D:$D,MATCH($B41,Colaboradores!$A:$A,0)),"")</f>
        <v/>
      </c>
      <c r="F41" s="19" t="n"/>
      <c r="G41" s="15">
        <f>IFERROR(INDEX(Competências!$B:$B,MATCH($F41,Competências!$C:$C,0)),"")</f>
        <v/>
      </c>
      <c r="H41" s="15">
        <f>IFERROR(INDEX(Competências!$E:$E,MATCH($F41,Competências!$C:$C,0)),"")</f>
        <v/>
      </c>
      <c r="I41" s="20" t="n"/>
      <c r="J41" s="20" t="n"/>
      <c r="K41" s="21">
        <f>IF(AND(ISNUMBER($I41),ISNUMBER($J41)),ABS($I41-$J41),"")</f>
        <v/>
      </c>
      <c r="L41" s="21">
        <f>IF(AND(NOT(ISNUMBER($I41)),NOT(ISNUMBER($J41))),"",IF(NOT(ISNUMBER($J41)),$I41,IF(NOT(ISNUMBER($I41)),$J41,IF($K41=0,$I41,IF($K41=1,IF($H41="Líder Técnico",$J41,IF($H41="GP",$I41,"CALIBRAR")),"CALIBRAR")))))</f>
        <v/>
      </c>
      <c r="M41" s="20" t="n"/>
      <c r="N41" s="21">
        <f>IF($C41="","",COUNTIFS(Ocorrências!$B:$B,$C41,Ocorrências!$F:$F,$F41,Ocorrências!$N:$N,$A41))</f>
        <v/>
      </c>
      <c r="O41" s="15">
        <f>IF($M41="","",IF(OR($M41=1,$M41=2,$M41=5),IF($N41&gt;0,"OK","SEM LASTRO"),"OK"))</f>
        <v/>
      </c>
      <c r="P41" s="19" t="n"/>
      <c r="Q41" s="18" t="n"/>
    </row>
    <row r="42">
      <c r="A42" s="19" t="n"/>
      <c r="B42" s="19" t="n"/>
      <c r="C42" s="15">
        <f>IFERROR(INDEX(Colaboradores!$B:$B,MATCH($B42,Colaboradores!$A:$A,0)),"")</f>
        <v/>
      </c>
      <c r="D42" s="15">
        <f>IFERROR(INDEX(Colaboradores!$E:$E,MATCH($B42,Colaboradores!$A:$A,0)),"")</f>
        <v/>
      </c>
      <c r="E42" s="15">
        <f>IFERROR(INDEX(Colaboradores!$D:$D,MATCH($B42,Colaboradores!$A:$A,0)),"")</f>
        <v/>
      </c>
      <c r="F42" s="19" t="n"/>
      <c r="G42" s="15">
        <f>IFERROR(INDEX(Competências!$B:$B,MATCH($F42,Competências!$C:$C,0)),"")</f>
        <v/>
      </c>
      <c r="H42" s="15">
        <f>IFERROR(INDEX(Competências!$E:$E,MATCH($F42,Competências!$C:$C,0)),"")</f>
        <v/>
      </c>
      <c r="I42" s="20" t="n"/>
      <c r="J42" s="20" t="n"/>
      <c r="K42" s="21">
        <f>IF(AND(ISNUMBER($I42),ISNUMBER($J42)),ABS($I42-$J42),"")</f>
        <v/>
      </c>
      <c r="L42" s="21">
        <f>IF(AND(NOT(ISNUMBER($I42)),NOT(ISNUMBER($J42))),"",IF(NOT(ISNUMBER($J42)),$I42,IF(NOT(ISNUMBER($I42)),$J42,IF($K42=0,$I42,IF($K42=1,IF($H42="Líder Técnico",$J42,IF($H42="GP",$I42,"CALIBRAR")),"CALIBRAR")))))</f>
        <v/>
      </c>
      <c r="M42" s="20" t="n"/>
      <c r="N42" s="21">
        <f>IF($C42="","",COUNTIFS(Ocorrências!$B:$B,$C42,Ocorrências!$F:$F,$F42,Ocorrências!$N:$N,$A42))</f>
        <v/>
      </c>
      <c r="O42" s="15">
        <f>IF($M42="","",IF(OR($M42=1,$M42=2,$M42=5),IF($N42&gt;0,"OK","SEM LASTRO"),"OK"))</f>
        <v/>
      </c>
      <c r="P42" s="19" t="n"/>
      <c r="Q42" s="18" t="n"/>
    </row>
    <row r="43">
      <c r="A43" s="19" t="n"/>
      <c r="B43" s="19" t="n"/>
      <c r="C43" s="15">
        <f>IFERROR(INDEX(Colaboradores!$B:$B,MATCH($B43,Colaboradores!$A:$A,0)),"")</f>
        <v/>
      </c>
      <c r="D43" s="15">
        <f>IFERROR(INDEX(Colaboradores!$E:$E,MATCH($B43,Colaboradores!$A:$A,0)),"")</f>
        <v/>
      </c>
      <c r="E43" s="15">
        <f>IFERROR(INDEX(Colaboradores!$D:$D,MATCH($B43,Colaboradores!$A:$A,0)),"")</f>
        <v/>
      </c>
      <c r="F43" s="19" t="n"/>
      <c r="G43" s="15">
        <f>IFERROR(INDEX(Competências!$B:$B,MATCH($F43,Competências!$C:$C,0)),"")</f>
        <v/>
      </c>
      <c r="H43" s="15">
        <f>IFERROR(INDEX(Competências!$E:$E,MATCH($F43,Competências!$C:$C,0)),"")</f>
        <v/>
      </c>
      <c r="I43" s="20" t="n"/>
      <c r="J43" s="20" t="n"/>
      <c r="K43" s="21">
        <f>IF(AND(ISNUMBER($I43),ISNUMBER($J43)),ABS($I43-$J43),"")</f>
        <v/>
      </c>
      <c r="L43" s="21">
        <f>IF(AND(NOT(ISNUMBER($I43)),NOT(ISNUMBER($J43))),"",IF(NOT(ISNUMBER($J43)),$I43,IF(NOT(ISNUMBER($I43)),$J43,IF($K43=0,$I43,IF($K43=1,IF($H43="Líder Técnico",$J43,IF($H43="GP",$I43,"CALIBRAR")),"CALIBRAR")))))</f>
        <v/>
      </c>
      <c r="M43" s="20" t="n"/>
      <c r="N43" s="21">
        <f>IF($C43="","",COUNTIFS(Ocorrências!$B:$B,$C43,Ocorrências!$F:$F,$F43,Ocorrências!$N:$N,$A43))</f>
        <v/>
      </c>
      <c r="O43" s="15">
        <f>IF($M43="","",IF(OR($M43=1,$M43=2,$M43=5),IF($N43&gt;0,"OK","SEM LASTRO"),"OK"))</f>
        <v/>
      </c>
      <c r="P43" s="19" t="n"/>
      <c r="Q43" s="18" t="n"/>
    </row>
    <row r="44">
      <c r="A44" s="19" t="n"/>
      <c r="B44" s="19" t="n"/>
      <c r="C44" s="15">
        <f>IFERROR(INDEX(Colaboradores!$B:$B,MATCH($B44,Colaboradores!$A:$A,0)),"")</f>
        <v/>
      </c>
      <c r="D44" s="15">
        <f>IFERROR(INDEX(Colaboradores!$E:$E,MATCH($B44,Colaboradores!$A:$A,0)),"")</f>
        <v/>
      </c>
      <c r="E44" s="15">
        <f>IFERROR(INDEX(Colaboradores!$D:$D,MATCH($B44,Colaboradores!$A:$A,0)),"")</f>
        <v/>
      </c>
      <c r="F44" s="19" t="n"/>
      <c r="G44" s="15">
        <f>IFERROR(INDEX(Competências!$B:$B,MATCH($F44,Competências!$C:$C,0)),"")</f>
        <v/>
      </c>
      <c r="H44" s="15">
        <f>IFERROR(INDEX(Competências!$E:$E,MATCH($F44,Competências!$C:$C,0)),"")</f>
        <v/>
      </c>
      <c r="I44" s="20" t="n"/>
      <c r="J44" s="20" t="n"/>
      <c r="K44" s="21">
        <f>IF(AND(ISNUMBER($I44),ISNUMBER($J44)),ABS($I44-$J44),"")</f>
        <v/>
      </c>
      <c r="L44" s="21">
        <f>IF(AND(NOT(ISNUMBER($I44)),NOT(ISNUMBER($J44))),"",IF(NOT(ISNUMBER($J44)),$I44,IF(NOT(ISNUMBER($I44)),$J44,IF($K44=0,$I44,IF($K44=1,IF($H44="Líder Técnico",$J44,IF($H44="GP",$I44,"CALIBRAR")),"CALIBRAR")))))</f>
        <v/>
      </c>
      <c r="M44" s="20" t="n"/>
      <c r="N44" s="21">
        <f>IF($C44="","",COUNTIFS(Ocorrências!$B:$B,$C44,Ocorrências!$F:$F,$F44,Ocorrências!$N:$N,$A44))</f>
        <v/>
      </c>
      <c r="O44" s="15">
        <f>IF($M44="","",IF(OR($M44=1,$M44=2,$M44=5),IF($N44&gt;0,"OK","SEM LASTRO"),"OK"))</f>
        <v/>
      </c>
      <c r="P44" s="19" t="n"/>
      <c r="Q44" s="18" t="n"/>
    </row>
    <row r="45">
      <c r="A45" s="19" t="n"/>
      <c r="B45" s="19" t="n"/>
      <c r="C45" s="15">
        <f>IFERROR(INDEX(Colaboradores!$B:$B,MATCH($B45,Colaboradores!$A:$A,0)),"")</f>
        <v/>
      </c>
      <c r="D45" s="15">
        <f>IFERROR(INDEX(Colaboradores!$E:$E,MATCH($B45,Colaboradores!$A:$A,0)),"")</f>
        <v/>
      </c>
      <c r="E45" s="15">
        <f>IFERROR(INDEX(Colaboradores!$D:$D,MATCH($B45,Colaboradores!$A:$A,0)),"")</f>
        <v/>
      </c>
      <c r="F45" s="19" t="n"/>
      <c r="G45" s="15">
        <f>IFERROR(INDEX(Competências!$B:$B,MATCH($F45,Competências!$C:$C,0)),"")</f>
        <v/>
      </c>
      <c r="H45" s="15">
        <f>IFERROR(INDEX(Competências!$E:$E,MATCH($F45,Competências!$C:$C,0)),"")</f>
        <v/>
      </c>
      <c r="I45" s="20" t="n"/>
      <c r="J45" s="20" t="n"/>
      <c r="K45" s="21">
        <f>IF(AND(ISNUMBER($I45),ISNUMBER($J45)),ABS($I45-$J45),"")</f>
        <v/>
      </c>
      <c r="L45" s="21">
        <f>IF(AND(NOT(ISNUMBER($I45)),NOT(ISNUMBER($J45))),"",IF(NOT(ISNUMBER($J45)),$I45,IF(NOT(ISNUMBER($I45)),$J45,IF($K45=0,$I45,IF($K45=1,IF($H45="Líder Técnico",$J45,IF($H45="GP",$I45,"CALIBRAR")),"CALIBRAR")))))</f>
        <v/>
      </c>
      <c r="M45" s="20" t="n"/>
      <c r="N45" s="21">
        <f>IF($C45="","",COUNTIFS(Ocorrências!$B:$B,$C45,Ocorrências!$F:$F,$F45,Ocorrências!$N:$N,$A45))</f>
        <v/>
      </c>
      <c r="O45" s="15">
        <f>IF($M45="","",IF(OR($M45=1,$M45=2,$M45=5),IF($N45&gt;0,"OK","SEM LASTRO"),"OK"))</f>
        <v/>
      </c>
      <c r="P45" s="19" t="n"/>
      <c r="Q45" s="18" t="n"/>
    </row>
    <row r="46">
      <c r="A46" s="19" t="n"/>
      <c r="B46" s="19" t="n"/>
      <c r="C46" s="15">
        <f>IFERROR(INDEX(Colaboradores!$B:$B,MATCH($B46,Colaboradores!$A:$A,0)),"")</f>
        <v/>
      </c>
      <c r="D46" s="15">
        <f>IFERROR(INDEX(Colaboradores!$E:$E,MATCH($B46,Colaboradores!$A:$A,0)),"")</f>
        <v/>
      </c>
      <c r="E46" s="15">
        <f>IFERROR(INDEX(Colaboradores!$D:$D,MATCH($B46,Colaboradores!$A:$A,0)),"")</f>
        <v/>
      </c>
      <c r="F46" s="19" t="n"/>
      <c r="G46" s="15">
        <f>IFERROR(INDEX(Competências!$B:$B,MATCH($F46,Competências!$C:$C,0)),"")</f>
        <v/>
      </c>
      <c r="H46" s="15">
        <f>IFERROR(INDEX(Competências!$E:$E,MATCH($F46,Competências!$C:$C,0)),"")</f>
        <v/>
      </c>
      <c r="I46" s="20" t="n"/>
      <c r="J46" s="20" t="n"/>
      <c r="K46" s="21">
        <f>IF(AND(ISNUMBER($I46),ISNUMBER($J46)),ABS($I46-$J46),"")</f>
        <v/>
      </c>
      <c r="L46" s="21">
        <f>IF(AND(NOT(ISNUMBER($I46)),NOT(ISNUMBER($J46))),"",IF(NOT(ISNUMBER($J46)),$I46,IF(NOT(ISNUMBER($I46)),$J46,IF($K46=0,$I46,IF($K46=1,IF($H46="Líder Técnico",$J46,IF($H46="GP",$I46,"CALIBRAR")),"CALIBRAR")))))</f>
        <v/>
      </c>
      <c r="M46" s="20" t="n"/>
      <c r="N46" s="21">
        <f>IF($C46="","",COUNTIFS(Ocorrências!$B:$B,$C46,Ocorrências!$F:$F,$F46,Ocorrências!$N:$N,$A46))</f>
        <v/>
      </c>
      <c r="O46" s="15">
        <f>IF($M46="","",IF(OR($M46=1,$M46=2,$M46=5),IF($N46&gt;0,"OK","SEM LASTRO"),"OK"))</f>
        <v/>
      </c>
      <c r="P46" s="19" t="n"/>
      <c r="Q46" s="18" t="n"/>
    </row>
    <row r="47">
      <c r="A47" s="19" t="n"/>
      <c r="B47" s="19" t="n"/>
      <c r="C47" s="15">
        <f>IFERROR(INDEX(Colaboradores!$B:$B,MATCH($B47,Colaboradores!$A:$A,0)),"")</f>
        <v/>
      </c>
      <c r="D47" s="15">
        <f>IFERROR(INDEX(Colaboradores!$E:$E,MATCH($B47,Colaboradores!$A:$A,0)),"")</f>
        <v/>
      </c>
      <c r="E47" s="15">
        <f>IFERROR(INDEX(Colaboradores!$D:$D,MATCH($B47,Colaboradores!$A:$A,0)),"")</f>
        <v/>
      </c>
      <c r="F47" s="19" t="n"/>
      <c r="G47" s="15">
        <f>IFERROR(INDEX(Competências!$B:$B,MATCH($F47,Competências!$C:$C,0)),"")</f>
        <v/>
      </c>
      <c r="H47" s="15">
        <f>IFERROR(INDEX(Competências!$E:$E,MATCH($F47,Competências!$C:$C,0)),"")</f>
        <v/>
      </c>
      <c r="I47" s="20" t="n"/>
      <c r="J47" s="20" t="n"/>
      <c r="K47" s="21">
        <f>IF(AND(ISNUMBER($I47),ISNUMBER($J47)),ABS($I47-$J47),"")</f>
        <v/>
      </c>
      <c r="L47" s="21">
        <f>IF(AND(NOT(ISNUMBER($I47)),NOT(ISNUMBER($J47))),"",IF(NOT(ISNUMBER($J47)),$I47,IF(NOT(ISNUMBER($I47)),$J47,IF($K47=0,$I47,IF($K47=1,IF($H47="Líder Técnico",$J47,IF($H47="GP",$I47,"CALIBRAR")),"CALIBRAR")))))</f>
        <v/>
      </c>
      <c r="M47" s="20" t="n"/>
      <c r="N47" s="21">
        <f>IF($C47="","",COUNTIFS(Ocorrências!$B:$B,$C47,Ocorrências!$F:$F,$F47,Ocorrências!$N:$N,$A47))</f>
        <v/>
      </c>
      <c r="O47" s="15">
        <f>IF($M47="","",IF(OR($M47=1,$M47=2,$M47=5),IF($N47&gt;0,"OK","SEM LASTRO"),"OK"))</f>
        <v/>
      </c>
      <c r="P47" s="19" t="n"/>
      <c r="Q47" s="18" t="n"/>
    </row>
    <row r="48">
      <c r="A48" s="19" t="n"/>
      <c r="B48" s="19" t="n"/>
      <c r="C48" s="15">
        <f>IFERROR(INDEX(Colaboradores!$B:$B,MATCH($B48,Colaboradores!$A:$A,0)),"")</f>
        <v/>
      </c>
      <c r="D48" s="15">
        <f>IFERROR(INDEX(Colaboradores!$E:$E,MATCH($B48,Colaboradores!$A:$A,0)),"")</f>
        <v/>
      </c>
      <c r="E48" s="15">
        <f>IFERROR(INDEX(Colaboradores!$D:$D,MATCH($B48,Colaboradores!$A:$A,0)),"")</f>
        <v/>
      </c>
      <c r="F48" s="19" t="n"/>
      <c r="G48" s="15">
        <f>IFERROR(INDEX(Competências!$B:$B,MATCH($F48,Competências!$C:$C,0)),"")</f>
        <v/>
      </c>
      <c r="H48" s="15">
        <f>IFERROR(INDEX(Competências!$E:$E,MATCH($F48,Competências!$C:$C,0)),"")</f>
        <v/>
      </c>
      <c r="I48" s="20" t="n"/>
      <c r="J48" s="20" t="n"/>
      <c r="K48" s="21">
        <f>IF(AND(ISNUMBER($I48),ISNUMBER($J48)),ABS($I48-$J48),"")</f>
        <v/>
      </c>
      <c r="L48" s="21">
        <f>IF(AND(NOT(ISNUMBER($I48)),NOT(ISNUMBER($J48))),"",IF(NOT(ISNUMBER($J48)),$I48,IF(NOT(ISNUMBER($I48)),$J48,IF($K48=0,$I48,IF($K48=1,IF($H48="Líder Técnico",$J48,IF($H48="GP",$I48,"CALIBRAR")),"CALIBRAR")))))</f>
        <v/>
      </c>
      <c r="M48" s="20" t="n"/>
      <c r="N48" s="21">
        <f>IF($C48="","",COUNTIFS(Ocorrências!$B:$B,$C48,Ocorrências!$F:$F,$F48,Ocorrências!$N:$N,$A48))</f>
        <v/>
      </c>
      <c r="O48" s="15">
        <f>IF($M48="","",IF(OR($M48=1,$M48=2,$M48=5),IF($N48&gt;0,"OK","SEM LASTRO"),"OK"))</f>
        <v/>
      </c>
      <c r="P48" s="19" t="n"/>
      <c r="Q48" s="18" t="n"/>
    </row>
    <row r="49">
      <c r="A49" s="19" t="n"/>
      <c r="B49" s="19" t="n"/>
      <c r="C49" s="15">
        <f>IFERROR(INDEX(Colaboradores!$B:$B,MATCH($B49,Colaboradores!$A:$A,0)),"")</f>
        <v/>
      </c>
      <c r="D49" s="15">
        <f>IFERROR(INDEX(Colaboradores!$E:$E,MATCH($B49,Colaboradores!$A:$A,0)),"")</f>
        <v/>
      </c>
      <c r="E49" s="15">
        <f>IFERROR(INDEX(Colaboradores!$D:$D,MATCH($B49,Colaboradores!$A:$A,0)),"")</f>
        <v/>
      </c>
      <c r="F49" s="19" t="n"/>
      <c r="G49" s="15">
        <f>IFERROR(INDEX(Competências!$B:$B,MATCH($F49,Competências!$C:$C,0)),"")</f>
        <v/>
      </c>
      <c r="H49" s="15">
        <f>IFERROR(INDEX(Competências!$E:$E,MATCH($F49,Competências!$C:$C,0)),"")</f>
        <v/>
      </c>
      <c r="I49" s="20" t="n"/>
      <c r="J49" s="20" t="n"/>
      <c r="K49" s="21">
        <f>IF(AND(ISNUMBER($I49),ISNUMBER($J49)),ABS($I49-$J49),"")</f>
        <v/>
      </c>
      <c r="L49" s="21">
        <f>IF(AND(NOT(ISNUMBER($I49)),NOT(ISNUMBER($J49))),"",IF(NOT(ISNUMBER($J49)),$I49,IF(NOT(ISNUMBER($I49)),$J49,IF($K49=0,$I49,IF($K49=1,IF($H49="Líder Técnico",$J49,IF($H49="GP",$I49,"CALIBRAR")),"CALIBRAR")))))</f>
        <v/>
      </c>
      <c r="M49" s="20" t="n"/>
      <c r="N49" s="21">
        <f>IF($C49="","",COUNTIFS(Ocorrências!$B:$B,$C49,Ocorrências!$F:$F,$F49,Ocorrências!$N:$N,$A49))</f>
        <v/>
      </c>
      <c r="O49" s="15">
        <f>IF($M49="","",IF(OR($M49=1,$M49=2,$M49=5),IF($N49&gt;0,"OK","SEM LASTRO"),"OK"))</f>
        <v/>
      </c>
      <c r="P49" s="19" t="n"/>
      <c r="Q49" s="18" t="n"/>
    </row>
    <row r="50">
      <c r="A50" s="19" t="n"/>
      <c r="B50" s="19" t="n"/>
      <c r="C50" s="15">
        <f>IFERROR(INDEX(Colaboradores!$B:$B,MATCH($B50,Colaboradores!$A:$A,0)),"")</f>
        <v/>
      </c>
      <c r="D50" s="15">
        <f>IFERROR(INDEX(Colaboradores!$E:$E,MATCH($B50,Colaboradores!$A:$A,0)),"")</f>
        <v/>
      </c>
      <c r="E50" s="15">
        <f>IFERROR(INDEX(Colaboradores!$D:$D,MATCH($B50,Colaboradores!$A:$A,0)),"")</f>
        <v/>
      </c>
      <c r="F50" s="19" t="n"/>
      <c r="G50" s="15">
        <f>IFERROR(INDEX(Competências!$B:$B,MATCH($F50,Competências!$C:$C,0)),"")</f>
        <v/>
      </c>
      <c r="H50" s="15">
        <f>IFERROR(INDEX(Competências!$E:$E,MATCH($F50,Competências!$C:$C,0)),"")</f>
        <v/>
      </c>
      <c r="I50" s="20" t="n"/>
      <c r="J50" s="20" t="n"/>
      <c r="K50" s="21">
        <f>IF(AND(ISNUMBER($I50),ISNUMBER($J50)),ABS($I50-$J50),"")</f>
        <v/>
      </c>
      <c r="L50" s="21">
        <f>IF(AND(NOT(ISNUMBER($I50)),NOT(ISNUMBER($J50))),"",IF(NOT(ISNUMBER($J50)),$I50,IF(NOT(ISNUMBER($I50)),$J50,IF($K50=0,$I50,IF($K50=1,IF($H50="Líder Técnico",$J50,IF($H50="GP",$I50,"CALIBRAR")),"CALIBRAR")))))</f>
        <v/>
      </c>
      <c r="M50" s="20" t="n"/>
      <c r="N50" s="21">
        <f>IF($C50="","",COUNTIFS(Ocorrências!$B:$B,$C50,Ocorrências!$F:$F,$F50,Ocorrências!$N:$N,$A50))</f>
        <v/>
      </c>
      <c r="O50" s="15">
        <f>IF($M50="","",IF(OR($M50=1,$M50=2,$M50=5),IF($N50&gt;0,"OK","SEM LASTRO"),"OK"))</f>
        <v/>
      </c>
      <c r="P50" s="19" t="n"/>
      <c r="Q50" s="18" t="n"/>
    </row>
    <row r="51">
      <c r="A51" s="19" t="n"/>
      <c r="B51" s="19" t="n"/>
      <c r="C51" s="15">
        <f>IFERROR(INDEX(Colaboradores!$B:$B,MATCH($B51,Colaboradores!$A:$A,0)),"")</f>
        <v/>
      </c>
      <c r="D51" s="15">
        <f>IFERROR(INDEX(Colaboradores!$E:$E,MATCH($B51,Colaboradores!$A:$A,0)),"")</f>
        <v/>
      </c>
      <c r="E51" s="15">
        <f>IFERROR(INDEX(Colaboradores!$D:$D,MATCH($B51,Colaboradores!$A:$A,0)),"")</f>
        <v/>
      </c>
      <c r="F51" s="19" t="n"/>
      <c r="G51" s="15">
        <f>IFERROR(INDEX(Competências!$B:$B,MATCH($F51,Competências!$C:$C,0)),"")</f>
        <v/>
      </c>
      <c r="H51" s="15">
        <f>IFERROR(INDEX(Competências!$E:$E,MATCH($F51,Competências!$C:$C,0)),"")</f>
        <v/>
      </c>
      <c r="I51" s="20" t="n"/>
      <c r="J51" s="20" t="n"/>
      <c r="K51" s="21">
        <f>IF(AND(ISNUMBER($I51),ISNUMBER($J51)),ABS($I51-$J51),"")</f>
        <v/>
      </c>
      <c r="L51" s="21">
        <f>IF(AND(NOT(ISNUMBER($I51)),NOT(ISNUMBER($J51))),"",IF(NOT(ISNUMBER($J51)),$I51,IF(NOT(ISNUMBER($I51)),$J51,IF($K51=0,$I51,IF($K51=1,IF($H51="Líder Técnico",$J51,IF($H51="GP",$I51,"CALIBRAR")),"CALIBRAR")))))</f>
        <v/>
      </c>
      <c r="M51" s="20" t="n"/>
      <c r="N51" s="21">
        <f>IF($C51="","",COUNTIFS(Ocorrências!$B:$B,$C51,Ocorrências!$F:$F,$F51,Ocorrências!$N:$N,$A51))</f>
        <v/>
      </c>
      <c r="O51" s="15">
        <f>IF($M51="","",IF(OR($M51=1,$M51=2,$M51=5),IF($N51&gt;0,"OK","SEM LASTRO"),"OK"))</f>
        <v/>
      </c>
      <c r="P51" s="19" t="n"/>
      <c r="Q51" s="18" t="n"/>
    </row>
    <row r="52">
      <c r="A52" s="19" t="n"/>
      <c r="B52" s="19" t="n"/>
      <c r="C52" s="15">
        <f>IFERROR(INDEX(Colaboradores!$B:$B,MATCH($B52,Colaboradores!$A:$A,0)),"")</f>
        <v/>
      </c>
      <c r="D52" s="15">
        <f>IFERROR(INDEX(Colaboradores!$E:$E,MATCH($B52,Colaboradores!$A:$A,0)),"")</f>
        <v/>
      </c>
      <c r="E52" s="15">
        <f>IFERROR(INDEX(Colaboradores!$D:$D,MATCH($B52,Colaboradores!$A:$A,0)),"")</f>
        <v/>
      </c>
      <c r="F52" s="19" t="n"/>
      <c r="G52" s="15">
        <f>IFERROR(INDEX(Competências!$B:$B,MATCH($F52,Competências!$C:$C,0)),"")</f>
        <v/>
      </c>
      <c r="H52" s="15">
        <f>IFERROR(INDEX(Competências!$E:$E,MATCH($F52,Competências!$C:$C,0)),"")</f>
        <v/>
      </c>
      <c r="I52" s="20" t="n"/>
      <c r="J52" s="20" t="n"/>
      <c r="K52" s="21">
        <f>IF(AND(ISNUMBER($I52),ISNUMBER($J52)),ABS($I52-$J52),"")</f>
        <v/>
      </c>
      <c r="L52" s="21">
        <f>IF(AND(NOT(ISNUMBER($I52)),NOT(ISNUMBER($J52))),"",IF(NOT(ISNUMBER($J52)),$I52,IF(NOT(ISNUMBER($I52)),$J52,IF($K52=0,$I52,IF($K52=1,IF($H52="Líder Técnico",$J52,IF($H52="GP",$I52,"CALIBRAR")),"CALIBRAR")))))</f>
        <v/>
      </c>
      <c r="M52" s="20" t="n"/>
      <c r="N52" s="21">
        <f>IF($C52="","",COUNTIFS(Ocorrências!$B:$B,$C52,Ocorrências!$F:$F,$F52,Ocorrências!$N:$N,$A52))</f>
        <v/>
      </c>
      <c r="O52" s="15">
        <f>IF($M52="","",IF(OR($M52=1,$M52=2,$M52=5),IF($N52&gt;0,"OK","SEM LASTRO"),"OK"))</f>
        <v/>
      </c>
      <c r="P52" s="19" t="n"/>
      <c r="Q52" s="18" t="n"/>
    </row>
    <row r="53">
      <c r="A53" s="19" t="n"/>
      <c r="B53" s="19" t="n"/>
      <c r="C53" s="15">
        <f>IFERROR(INDEX(Colaboradores!$B:$B,MATCH($B53,Colaboradores!$A:$A,0)),"")</f>
        <v/>
      </c>
      <c r="D53" s="15">
        <f>IFERROR(INDEX(Colaboradores!$E:$E,MATCH($B53,Colaboradores!$A:$A,0)),"")</f>
        <v/>
      </c>
      <c r="E53" s="15">
        <f>IFERROR(INDEX(Colaboradores!$D:$D,MATCH($B53,Colaboradores!$A:$A,0)),"")</f>
        <v/>
      </c>
      <c r="F53" s="19" t="n"/>
      <c r="G53" s="15">
        <f>IFERROR(INDEX(Competências!$B:$B,MATCH($F53,Competências!$C:$C,0)),"")</f>
        <v/>
      </c>
      <c r="H53" s="15">
        <f>IFERROR(INDEX(Competências!$E:$E,MATCH($F53,Competências!$C:$C,0)),"")</f>
        <v/>
      </c>
      <c r="I53" s="20" t="n"/>
      <c r="J53" s="20" t="n"/>
      <c r="K53" s="21">
        <f>IF(AND(ISNUMBER($I53),ISNUMBER($J53)),ABS($I53-$J53),"")</f>
        <v/>
      </c>
      <c r="L53" s="21">
        <f>IF(AND(NOT(ISNUMBER($I53)),NOT(ISNUMBER($J53))),"",IF(NOT(ISNUMBER($J53)),$I53,IF(NOT(ISNUMBER($I53)),$J53,IF($K53=0,$I53,IF($K53=1,IF($H53="Líder Técnico",$J53,IF($H53="GP",$I53,"CALIBRAR")),"CALIBRAR")))))</f>
        <v/>
      </c>
      <c r="M53" s="20" t="n"/>
      <c r="N53" s="21">
        <f>IF($C53="","",COUNTIFS(Ocorrências!$B:$B,$C53,Ocorrências!$F:$F,$F53,Ocorrências!$N:$N,$A53))</f>
        <v/>
      </c>
      <c r="O53" s="15">
        <f>IF($M53="","",IF(OR($M53=1,$M53=2,$M53=5),IF($N53&gt;0,"OK","SEM LASTRO"),"OK"))</f>
        <v/>
      </c>
      <c r="P53" s="19" t="n"/>
      <c r="Q53" s="18" t="n"/>
    </row>
    <row r="54">
      <c r="A54" s="19" t="n"/>
      <c r="B54" s="19" t="n"/>
      <c r="C54" s="15">
        <f>IFERROR(INDEX(Colaboradores!$B:$B,MATCH($B54,Colaboradores!$A:$A,0)),"")</f>
        <v/>
      </c>
      <c r="D54" s="15">
        <f>IFERROR(INDEX(Colaboradores!$E:$E,MATCH($B54,Colaboradores!$A:$A,0)),"")</f>
        <v/>
      </c>
      <c r="E54" s="15">
        <f>IFERROR(INDEX(Colaboradores!$D:$D,MATCH($B54,Colaboradores!$A:$A,0)),"")</f>
        <v/>
      </c>
      <c r="F54" s="19" t="n"/>
      <c r="G54" s="15">
        <f>IFERROR(INDEX(Competências!$B:$B,MATCH($F54,Competências!$C:$C,0)),"")</f>
        <v/>
      </c>
      <c r="H54" s="15">
        <f>IFERROR(INDEX(Competências!$E:$E,MATCH($F54,Competências!$C:$C,0)),"")</f>
        <v/>
      </c>
      <c r="I54" s="20" t="n"/>
      <c r="J54" s="20" t="n"/>
      <c r="K54" s="21">
        <f>IF(AND(ISNUMBER($I54),ISNUMBER($J54)),ABS($I54-$J54),"")</f>
        <v/>
      </c>
      <c r="L54" s="21">
        <f>IF(AND(NOT(ISNUMBER($I54)),NOT(ISNUMBER($J54))),"",IF(NOT(ISNUMBER($J54)),$I54,IF(NOT(ISNUMBER($I54)),$J54,IF($K54=0,$I54,IF($K54=1,IF($H54="Líder Técnico",$J54,IF($H54="GP",$I54,"CALIBRAR")),"CALIBRAR")))))</f>
        <v/>
      </c>
      <c r="M54" s="20" t="n"/>
      <c r="N54" s="21">
        <f>IF($C54="","",COUNTIFS(Ocorrências!$B:$B,$C54,Ocorrências!$F:$F,$F54,Ocorrências!$N:$N,$A54))</f>
        <v/>
      </c>
      <c r="O54" s="15">
        <f>IF($M54="","",IF(OR($M54=1,$M54=2,$M54=5),IF($N54&gt;0,"OK","SEM LASTRO"),"OK"))</f>
        <v/>
      </c>
      <c r="P54" s="19" t="n"/>
      <c r="Q54" s="18" t="n"/>
    </row>
    <row r="55">
      <c r="A55" s="19" t="n"/>
      <c r="B55" s="19" t="n"/>
      <c r="C55" s="15">
        <f>IFERROR(INDEX(Colaboradores!$B:$B,MATCH($B55,Colaboradores!$A:$A,0)),"")</f>
        <v/>
      </c>
      <c r="D55" s="15">
        <f>IFERROR(INDEX(Colaboradores!$E:$E,MATCH($B55,Colaboradores!$A:$A,0)),"")</f>
        <v/>
      </c>
      <c r="E55" s="15">
        <f>IFERROR(INDEX(Colaboradores!$D:$D,MATCH($B55,Colaboradores!$A:$A,0)),"")</f>
        <v/>
      </c>
      <c r="F55" s="19" t="n"/>
      <c r="G55" s="15">
        <f>IFERROR(INDEX(Competências!$B:$B,MATCH($F55,Competências!$C:$C,0)),"")</f>
        <v/>
      </c>
      <c r="H55" s="15">
        <f>IFERROR(INDEX(Competências!$E:$E,MATCH($F55,Competências!$C:$C,0)),"")</f>
        <v/>
      </c>
      <c r="I55" s="20" t="n"/>
      <c r="J55" s="20" t="n"/>
      <c r="K55" s="21">
        <f>IF(AND(ISNUMBER($I55),ISNUMBER($J55)),ABS($I55-$J55),"")</f>
        <v/>
      </c>
      <c r="L55" s="21">
        <f>IF(AND(NOT(ISNUMBER($I55)),NOT(ISNUMBER($J55))),"",IF(NOT(ISNUMBER($J55)),$I55,IF(NOT(ISNUMBER($I55)),$J55,IF($K55=0,$I55,IF($K55=1,IF($H55="Líder Técnico",$J55,IF($H55="GP",$I55,"CALIBRAR")),"CALIBRAR")))))</f>
        <v/>
      </c>
      <c r="M55" s="20" t="n"/>
      <c r="N55" s="21">
        <f>IF($C55="","",COUNTIFS(Ocorrências!$B:$B,$C55,Ocorrências!$F:$F,$F55,Ocorrências!$N:$N,$A55))</f>
        <v/>
      </c>
      <c r="O55" s="15">
        <f>IF($M55="","",IF(OR($M55=1,$M55=2,$M55=5),IF($N55&gt;0,"OK","SEM LASTRO"),"OK"))</f>
        <v/>
      </c>
      <c r="P55" s="19" t="n"/>
      <c r="Q55" s="18" t="n"/>
    </row>
    <row r="56">
      <c r="A56" s="19" t="n"/>
      <c r="B56" s="19" t="n"/>
      <c r="C56" s="15">
        <f>IFERROR(INDEX(Colaboradores!$B:$B,MATCH($B56,Colaboradores!$A:$A,0)),"")</f>
        <v/>
      </c>
      <c r="D56" s="15">
        <f>IFERROR(INDEX(Colaboradores!$E:$E,MATCH($B56,Colaboradores!$A:$A,0)),"")</f>
        <v/>
      </c>
      <c r="E56" s="15">
        <f>IFERROR(INDEX(Colaboradores!$D:$D,MATCH($B56,Colaboradores!$A:$A,0)),"")</f>
        <v/>
      </c>
      <c r="F56" s="19" t="n"/>
      <c r="G56" s="15">
        <f>IFERROR(INDEX(Competências!$B:$B,MATCH($F56,Competências!$C:$C,0)),"")</f>
        <v/>
      </c>
      <c r="H56" s="15">
        <f>IFERROR(INDEX(Competências!$E:$E,MATCH($F56,Competências!$C:$C,0)),"")</f>
        <v/>
      </c>
      <c r="I56" s="20" t="n"/>
      <c r="J56" s="20" t="n"/>
      <c r="K56" s="21">
        <f>IF(AND(ISNUMBER($I56),ISNUMBER($J56)),ABS($I56-$J56),"")</f>
        <v/>
      </c>
      <c r="L56" s="21">
        <f>IF(AND(NOT(ISNUMBER($I56)),NOT(ISNUMBER($J56))),"",IF(NOT(ISNUMBER($J56)),$I56,IF(NOT(ISNUMBER($I56)),$J56,IF($K56=0,$I56,IF($K56=1,IF($H56="Líder Técnico",$J56,IF($H56="GP",$I56,"CALIBRAR")),"CALIBRAR")))))</f>
        <v/>
      </c>
      <c r="M56" s="20" t="n"/>
      <c r="N56" s="21">
        <f>IF($C56="","",COUNTIFS(Ocorrências!$B:$B,$C56,Ocorrências!$F:$F,$F56,Ocorrências!$N:$N,$A56))</f>
        <v/>
      </c>
      <c r="O56" s="15">
        <f>IF($M56="","",IF(OR($M56=1,$M56=2,$M56=5),IF($N56&gt;0,"OK","SEM LASTRO"),"OK"))</f>
        <v/>
      </c>
      <c r="P56" s="19" t="n"/>
      <c r="Q56" s="18" t="n"/>
    </row>
    <row r="57">
      <c r="A57" s="19" t="n"/>
      <c r="B57" s="19" t="n"/>
      <c r="C57" s="15">
        <f>IFERROR(INDEX(Colaboradores!$B:$B,MATCH($B57,Colaboradores!$A:$A,0)),"")</f>
        <v/>
      </c>
      <c r="D57" s="15">
        <f>IFERROR(INDEX(Colaboradores!$E:$E,MATCH($B57,Colaboradores!$A:$A,0)),"")</f>
        <v/>
      </c>
      <c r="E57" s="15">
        <f>IFERROR(INDEX(Colaboradores!$D:$D,MATCH($B57,Colaboradores!$A:$A,0)),"")</f>
        <v/>
      </c>
      <c r="F57" s="19" t="n"/>
      <c r="G57" s="15">
        <f>IFERROR(INDEX(Competências!$B:$B,MATCH($F57,Competências!$C:$C,0)),"")</f>
        <v/>
      </c>
      <c r="H57" s="15">
        <f>IFERROR(INDEX(Competências!$E:$E,MATCH($F57,Competências!$C:$C,0)),"")</f>
        <v/>
      </c>
      <c r="I57" s="20" t="n"/>
      <c r="J57" s="20" t="n"/>
      <c r="K57" s="21">
        <f>IF(AND(ISNUMBER($I57),ISNUMBER($J57)),ABS($I57-$J57),"")</f>
        <v/>
      </c>
      <c r="L57" s="21">
        <f>IF(AND(NOT(ISNUMBER($I57)),NOT(ISNUMBER($J57))),"",IF(NOT(ISNUMBER($J57)),$I57,IF(NOT(ISNUMBER($I57)),$J57,IF($K57=0,$I57,IF($K57=1,IF($H57="Líder Técnico",$J57,IF($H57="GP",$I57,"CALIBRAR")),"CALIBRAR")))))</f>
        <v/>
      </c>
      <c r="M57" s="20" t="n"/>
      <c r="N57" s="21">
        <f>IF($C57="","",COUNTIFS(Ocorrências!$B:$B,$C57,Ocorrências!$F:$F,$F57,Ocorrências!$N:$N,$A57))</f>
        <v/>
      </c>
      <c r="O57" s="15">
        <f>IF($M57="","",IF(OR($M57=1,$M57=2,$M57=5),IF($N57&gt;0,"OK","SEM LASTRO"),"OK"))</f>
        <v/>
      </c>
      <c r="P57" s="19" t="n"/>
      <c r="Q57" s="18" t="n"/>
    </row>
    <row r="58">
      <c r="A58" s="19" t="n"/>
      <c r="B58" s="19" t="n"/>
      <c r="C58" s="15">
        <f>IFERROR(INDEX(Colaboradores!$B:$B,MATCH($B58,Colaboradores!$A:$A,0)),"")</f>
        <v/>
      </c>
      <c r="D58" s="15">
        <f>IFERROR(INDEX(Colaboradores!$E:$E,MATCH($B58,Colaboradores!$A:$A,0)),"")</f>
        <v/>
      </c>
      <c r="E58" s="15">
        <f>IFERROR(INDEX(Colaboradores!$D:$D,MATCH($B58,Colaboradores!$A:$A,0)),"")</f>
        <v/>
      </c>
      <c r="F58" s="19" t="n"/>
      <c r="G58" s="15">
        <f>IFERROR(INDEX(Competências!$B:$B,MATCH($F58,Competências!$C:$C,0)),"")</f>
        <v/>
      </c>
      <c r="H58" s="15">
        <f>IFERROR(INDEX(Competências!$E:$E,MATCH($F58,Competências!$C:$C,0)),"")</f>
        <v/>
      </c>
      <c r="I58" s="20" t="n"/>
      <c r="J58" s="20" t="n"/>
      <c r="K58" s="21">
        <f>IF(AND(ISNUMBER($I58),ISNUMBER($J58)),ABS($I58-$J58),"")</f>
        <v/>
      </c>
      <c r="L58" s="21">
        <f>IF(AND(NOT(ISNUMBER($I58)),NOT(ISNUMBER($J58))),"",IF(NOT(ISNUMBER($J58)),$I58,IF(NOT(ISNUMBER($I58)),$J58,IF($K58=0,$I58,IF($K58=1,IF($H58="Líder Técnico",$J58,IF($H58="GP",$I58,"CALIBRAR")),"CALIBRAR")))))</f>
        <v/>
      </c>
      <c r="M58" s="20" t="n"/>
      <c r="N58" s="21">
        <f>IF($C58="","",COUNTIFS(Ocorrências!$B:$B,$C58,Ocorrências!$F:$F,$F58,Ocorrências!$N:$N,$A58))</f>
        <v/>
      </c>
      <c r="O58" s="15">
        <f>IF($M58="","",IF(OR($M58=1,$M58=2,$M58=5),IF($N58&gt;0,"OK","SEM LASTRO"),"OK"))</f>
        <v/>
      </c>
      <c r="P58" s="19" t="n"/>
      <c r="Q58" s="18" t="n"/>
    </row>
    <row r="59">
      <c r="A59" s="19" t="n"/>
      <c r="B59" s="19" t="n"/>
      <c r="C59" s="15">
        <f>IFERROR(INDEX(Colaboradores!$B:$B,MATCH($B59,Colaboradores!$A:$A,0)),"")</f>
        <v/>
      </c>
      <c r="D59" s="15">
        <f>IFERROR(INDEX(Colaboradores!$E:$E,MATCH($B59,Colaboradores!$A:$A,0)),"")</f>
        <v/>
      </c>
      <c r="E59" s="15">
        <f>IFERROR(INDEX(Colaboradores!$D:$D,MATCH($B59,Colaboradores!$A:$A,0)),"")</f>
        <v/>
      </c>
      <c r="F59" s="19" t="n"/>
      <c r="G59" s="15">
        <f>IFERROR(INDEX(Competências!$B:$B,MATCH($F59,Competências!$C:$C,0)),"")</f>
        <v/>
      </c>
      <c r="H59" s="15">
        <f>IFERROR(INDEX(Competências!$E:$E,MATCH($F59,Competências!$C:$C,0)),"")</f>
        <v/>
      </c>
      <c r="I59" s="20" t="n"/>
      <c r="J59" s="20" t="n"/>
      <c r="K59" s="21">
        <f>IF(AND(ISNUMBER($I59),ISNUMBER($J59)),ABS($I59-$J59),"")</f>
        <v/>
      </c>
      <c r="L59" s="21">
        <f>IF(AND(NOT(ISNUMBER($I59)),NOT(ISNUMBER($J59))),"",IF(NOT(ISNUMBER($J59)),$I59,IF(NOT(ISNUMBER($I59)),$J59,IF($K59=0,$I59,IF($K59=1,IF($H59="Líder Técnico",$J59,IF($H59="GP",$I59,"CALIBRAR")),"CALIBRAR")))))</f>
        <v/>
      </c>
      <c r="M59" s="20" t="n"/>
      <c r="N59" s="21">
        <f>IF($C59="","",COUNTIFS(Ocorrências!$B:$B,$C59,Ocorrências!$F:$F,$F59,Ocorrências!$N:$N,$A59))</f>
        <v/>
      </c>
      <c r="O59" s="15">
        <f>IF($M59="","",IF(OR($M59=1,$M59=2,$M59=5),IF($N59&gt;0,"OK","SEM LASTRO"),"OK"))</f>
        <v/>
      </c>
      <c r="P59" s="19" t="n"/>
      <c r="Q59" s="18" t="n"/>
    </row>
    <row r="60">
      <c r="A60" s="19" t="n"/>
      <c r="B60" s="19" t="n"/>
      <c r="C60" s="15">
        <f>IFERROR(INDEX(Colaboradores!$B:$B,MATCH($B60,Colaboradores!$A:$A,0)),"")</f>
        <v/>
      </c>
      <c r="D60" s="15">
        <f>IFERROR(INDEX(Colaboradores!$E:$E,MATCH($B60,Colaboradores!$A:$A,0)),"")</f>
        <v/>
      </c>
      <c r="E60" s="15">
        <f>IFERROR(INDEX(Colaboradores!$D:$D,MATCH($B60,Colaboradores!$A:$A,0)),"")</f>
        <v/>
      </c>
      <c r="F60" s="19" t="n"/>
      <c r="G60" s="15">
        <f>IFERROR(INDEX(Competências!$B:$B,MATCH($F60,Competências!$C:$C,0)),"")</f>
        <v/>
      </c>
      <c r="H60" s="15">
        <f>IFERROR(INDEX(Competências!$E:$E,MATCH($F60,Competências!$C:$C,0)),"")</f>
        <v/>
      </c>
      <c r="I60" s="20" t="n"/>
      <c r="J60" s="20" t="n"/>
      <c r="K60" s="21">
        <f>IF(AND(ISNUMBER($I60),ISNUMBER($J60)),ABS($I60-$J60),"")</f>
        <v/>
      </c>
      <c r="L60" s="21">
        <f>IF(AND(NOT(ISNUMBER($I60)),NOT(ISNUMBER($J60))),"",IF(NOT(ISNUMBER($J60)),$I60,IF(NOT(ISNUMBER($I60)),$J60,IF($K60=0,$I60,IF($K60=1,IF($H60="Líder Técnico",$J60,IF($H60="GP",$I60,"CALIBRAR")),"CALIBRAR")))))</f>
        <v/>
      </c>
      <c r="M60" s="20" t="n"/>
      <c r="N60" s="21">
        <f>IF($C60="","",COUNTIFS(Ocorrências!$B:$B,$C60,Ocorrências!$F:$F,$F60,Ocorrências!$N:$N,$A60))</f>
        <v/>
      </c>
      <c r="O60" s="15">
        <f>IF($M60="","",IF(OR($M60=1,$M60=2,$M60=5),IF($N60&gt;0,"OK","SEM LASTRO"),"OK"))</f>
        <v/>
      </c>
      <c r="P60" s="19" t="n"/>
      <c r="Q60" s="18" t="n"/>
    </row>
    <row r="61">
      <c r="A61" s="19" t="n"/>
      <c r="B61" s="19" t="n"/>
      <c r="C61" s="15">
        <f>IFERROR(INDEX(Colaboradores!$B:$B,MATCH($B61,Colaboradores!$A:$A,0)),"")</f>
        <v/>
      </c>
      <c r="D61" s="15">
        <f>IFERROR(INDEX(Colaboradores!$E:$E,MATCH($B61,Colaboradores!$A:$A,0)),"")</f>
        <v/>
      </c>
      <c r="E61" s="15">
        <f>IFERROR(INDEX(Colaboradores!$D:$D,MATCH($B61,Colaboradores!$A:$A,0)),"")</f>
        <v/>
      </c>
      <c r="F61" s="19" t="n"/>
      <c r="G61" s="15">
        <f>IFERROR(INDEX(Competências!$B:$B,MATCH($F61,Competências!$C:$C,0)),"")</f>
        <v/>
      </c>
      <c r="H61" s="15">
        <f>IFERROR(INDEX(Competências!$E:$E,MATCH($F61,Competências!$C:$C,0)),"")</f>
        <v/>
      </c>
      <c r="I61" s="20" t="n"/>
      <c r="J61" s="20" t="n"/>
      <c r="K61" s="21">
        <f>IF(AND(ISNUMBER($I61),ISNUMBER($J61)),ABS($I61-$J61),"")</f>
        <v/>
      </c>
      <c r="L61" s="21">
        <f>IF(AND(NOT(ISNUMBER($I61)),NOT(ISNUMBER($J61))),"",IF(NOT(ISNUMBER($J61)),$I61,IF(NOT(ISNUMBER($I61)),$J61,IF($K61=0,$I61,IF($K61=1,IF($H61="Líder Técnico",$J61,IF($H61="GP",$I61,"CALIBRAR")),"CALIBRAR")))))</f>
        <v/>
      </c>
      <c r="M61" s="20" t="n"/>
      <c r="N61" s="21">
        <f>IF($C61="","",COUNTIFS(Ocorrências!$B:$B,$C61,Ocorrências!$F:$F,$F61,Ocorrências!$N:$N,$A61))</f>
        <v/>
      </c>
      <c r="O61" s="15">
        <f>IF($M61="","",IF(OR($M61=1,$M61=2,$M61=5),IF($N61&gt;0,"OK","SEM LASTRO"),"OK"))</f>
        <v/>
      </c>
      <c r="P61" s="19" t="n"/>
      <c r="Q61" s="18" t="n"/>
    </row>
    <row r="62">
      <c r="A62" s="19" t="n"/>
      <c r="B62" s="19" t="n"/>
      <c r="C62" s="15">
        <f>IFERROR(INDEX(Colaboradores!$B:$B,MATCH($B62,Colaboradores!$A:$A,0)),"")</f>
        <v/>
      </c>
      <c r="D62" s="15">
        <f>IFERROR(INDEX(Colaboradores!$E:$E,MATCH($B62,Colaboradores!$A:$A,0)),"")</f>
        <v/>
      </c>
      <c r="E62" s="15">
        <f>IFERROR(INDEX(Colaboradores!$D:$D,MATCH($B62,Colaboradores!$A:$A,0)),"")</f>
        <v/>
      </c>
      <c r="F62" s="19" t="n"/>
      <c r="G62" s="15">
        <f>IFERROR(INDEX(Competências!$B:$B,MATCH($F62,Competências!$C:$C,0)),"")</f>
        <v/>
      </c>
      <c r="H62" s="15">
        <f>IFERROR(INDEX(Competências!$E:$E,MATCH($F62,Competências!$C:$C,0)),"")</f>
        <v/>
      </c>
      <c r="I62" s="20" t="n"/>
      <c r="J62" s="20" t="n"/>
      <c r="K62" s="21">
        <f>IF(AND(ISNUMBER($I62),ISNUMBER($J62)),ABS($I62-$J62),"")</f>
        <v/>
      </c>
      <c r="L62" s="21">
        <f>IF(AND(NOT(ISNUMBER($I62)),NOT(ISNUMBER($J62))),"",IF(NOT(ISNUMBER($J62)),$I62,IF(NOT(ISNUMBER($I62)),$J62,IF($K62=0,$I62,IF($K62=1,IF($H62="Líder Técnico",$J62,IF($H62="GP",$I62,"CALIBRAR")),"CALIBRAR")))))</f>
        <v/>
      </c>
      <c r="M62" s="20" t="n"/>
      <c r="N62" s="21">
        <f>IF($C62="","",COUNTIFS(Ocorrências!$B:$B,$C62,Ocorrências!$F:$F,$F62,Ocorrências!$N:$N,$A62))</f>
        <v/>
      </c>
      <c r="O62" s="15">
        <f>IF($M62="","",IF(OR($M62=1,$M62=2,$M62=5),IF($N62&gt;0,"OK","SEM LASTRO"),"OK"))</f>
        <v/>
      </c>
      <c r="P62" s="19" t="n"/>
      <c r="Q62" s="18" t="n"/>
    </row>
    <row r="63">
      <c r="A63" s="19" t="n"/>
      <c r="B63" s="19" t="n"/>
      <c r="C63" s="15">
        <f>IFERROR(INDEX(Colaboradores!$B:$B,MATCH($B63,Colaboradores!$A:$A,0)),"")</f>
        <v/>
      </c>
      <c r="D63" s="15">
        <f>IFERROR(INDEX(Colaboradores!$E:$E,MATCH($B63,Colaboradores!$A:$A,0)),"")</f>
        <v/>
      </c>
      <c r="E63" s="15">
        <f>IFERROR(INDEX(Colaboradores!$D:$D,MATCH($B63,Colaboradores!$A:$A,0)),"")</f>
        <v/>
      </c>
      <c r="F63" s="19" t="n"/>
      <c r="G63" s="15">
        <f>IFERROR(INDEX(Competências!$B:$B,MATCH($F63,Competências!$C:$C,0)),"")</f>
        <v/>
      </c>
      <c r="H63" s="15">
        <f>IFERROR(INDEX(Competências!$E:$E,MATCH($F63,Competências!$C:$C,0)),"")</f>
        <v/>
      </c>
      <c r="I63" s="20" t="n"/>
      <c r="J63" s="20" t="n"/>
      <c r="K63" s="21">
        <f>IF(AND(ISNUMBER($I63),ISNUMBER($J63)),ABS($I63-$J63),"")</f>
        <v/>
      </c>
      <c r="L63" s="21">
        <f>IF(AND(NOT(ISNUMBER($I63)),NOT(ISNUMBER($J63))),"",IF(NOT(ISNUMBER($J63)),$I63,IF(NOT(ISNUMBER($I63)),$J63,IF($K63=0,$I63,IF($K63=1,IF($H63="Líder Técnico",$J63,IF($H63="GP",$I63,"CALIBRAR")),"CALIBRAR")))))</f>
        <v/>
      </c>
      <c r="M63" s="20" t="n"/>
      <c r="N63" s="21">
        <f>IF($C63="","",COUNTIFS(Ocorrências!$B:$B,$C63,Ocorrências!$F:$F,$F63,Ocorrências!$N:$N,$A63))</f>
        <v/>
      </c>
      <c r="O63" s="15">
        <f>IF($M63="","",IF(OR($M63=1,$M63=2,$M63=5),IF($N63&gt;0,"OK","SEM LASTRO"),"OK"))</f>
        <v/>
      </c>
      <c r="P63" s="19" t="n"/>
      <c r="Q63" s="18" t="n"/>
    </row>
    <row r="64">
      <c r="A64" s="19" t="n"/>
      <c r="B64" s="19" t="n"/>
      <c r="C64" s="15">
        <f>IFERROR(INDEX(Colaboradores!$B:$B,MATCH($B64,Colaboradores!$A:$A,0)),"")</f>
        <v/>
      </c>
      <c r="D64" s="15">
        <f>IFERROR(INDEX(Colaboradores!$E:$E,MATCH($B64,Colaboradores!$A:$A,0)),"")</f>
        <v/>
      </c>
      <c r="E64" s="15">
        <f>IFERROR(INDEX(Colaboradores!$D:$D,MATCH($B64,Colaboradores!$A:$A,0)),"")</f>
        <v/>
      </c>
      <c r="F64" s="19" t="n"/>
      <c r="G64" s="15">
        <f>IFERROR(INDEX(Competências!$B:$B,MATCH($F64,Competências!$C:$C,0)),"")</f>
        <v/>
      </c>
      <c r="H64" s="15">
        <f>IFERROR(INDEX(Competências!$E:$E,MATCH($F64,Competências!$C:$C,0)),"")</f>
        <v/>
      </c>
      <c r="I64" s="20" t="n"/>
      <c r="J64" s="20" t="n"/>
      <c r="K64" s="21">
        <f>IF(AND(ISNUMBER($I64),ISNUMBER($J64)),ABS($I64-$J64),"")</f>
        <v/>
      </c>
      <c r="L64" s="21">
        <f>IF(AND(NOT(ISNUMBER($I64)),NOT(ISNUMBER($J64))),"",IF(NOT(ISNUMBER($J64)),$I64,IF(NOT(ISNUMBER($I64)),$J64,IF($K64=0,$I64,IF($K64=1,IF($H64="Líder Técnico",$J64,IF($H64="GP",$I64,"CALIBRAR")),"CALIBRAR")))))</f>
        <v/>
      </c>
      <c r="M64" s="20" t="n"/>
      <c r="N64" s="21">
        <f>IF($C64="","",COUNTIFS(Ocorrências!$B:$B,$C64,Ocorrências!$F:$F,$F64,Ocorrências!$N:$N,$A64))</f>
        <v/>
      </c>
      <c r="O64" s="15">
        <f>IF($M64="","",IF(OR($M64=1,$M64=2,$M64=5),IF($N64&gt;0,"OK","SEM LASTRO"),"OK"))</f>
        <v/>
      </c>
      <c r="P64" s="19" t="n"/>
      <c r="Q64" s="18" t="n"/>
    </row>
    <row r="65">
      <c r="A65" s="19" t="n"/>
      <c r="B65" s="19" t="n"/>
      <c r="C65" s="15">
        <f>IFERROR(INDEX(Colaboradores!$B:$B,MATCH($B65,Colaboradores!$A:$A,0)),"")</f>
        <v/>
      </c>
      <c r="D65" s="15">
        <f>IFERROR(INDEX(Colaboradores!$E:$E,MATCH($B65,Colaboradores!$A:$A,0)),"")</f>
        <v/>
      </c>
      <c r="E65" s="15">
        <f>IFERROR(INDEX(Colaboradores!$D:$D,MATCH($B65,Colaboradores!$A:$A,0)),"")</f>
        <v/>
      </c>
      <c r="F65" s="19" t="n"/>
      <c r="G65" s="15">
        <f>IFERROR(INDEX(Competências!$B:$B,MATCH($F65,Competências!$C:$C,0)),"")</f>
        <v/>
      </c>
      <c r="H65" s="15">
        <f>IFERROR(INDEX(Competências!$E:$E,MATCH($F65,Competências!$C:$C,0)),"")</f>
        <v/>
      </c>
      <c r="I65" s="20" t="n"/>
      <c r="J65" s="20" t="n"/>
      <c r="K65" s="21">
        <f>IF(AND(ISNUMBER($I65),ISNUMBER($J65)),ABS($I65-$J65),"")</f>
        <v/>
      </c>
      <c r="L65" s="21">
        <f>IF(AND(NOT(ISNUMBER($I65)),NOT(ISNUMBER($J65))),"",IF(NOT(ISNUMBER($J65)),$I65,IF(NOT(ISNUMBER($I65)),$J65,IF($K65=0,$I65,IF($K65=1,IF($H65="Líder Técnico",$J65,IF($H65="GP",$I65,"CALIBRAR")),"CALIBRAR")))))</f>
        <v/>
      </c>
      <c r="M65" s="20" t="n"/>
      <c r="N65" s="21">
        <f>IF($C65="","",COUNTIFS(Ocorrências!$B:$B,$C65,Ocorrências!$F:$F,$F65,Ocorrências!$N:$N,$A65))</f>
        <v/>
      </c>
      <c r="O65" s="15">
        <f>IF($M65="","",IF(OR($M65=1,$M65=2,$M65=5),IF($N65&gt;0,"OK","SEM LASTRO"),"OK"))</f>
        <v/>
      </c>
      <c r="P65" s="19" t="n"/>
      <c r="Q65" s="18" t="n"/>
    </row>
    <row r="66">
      <c r="A66" s="19" t="n"/>
      <c r="B66" s="19" t="n"/>
      <c r="C66" s="15">
        <f>IFERROR(INDEX(Colaboradores!$B:$B,MATCH($B66,Colaboradores!$A:$A,0)),"")</f>
        <v/>
      </c>
      <c r="D66" s="15">
        <f>IFERROR(INDEX(Colaboradores!$E:$E,MATCH($B66,Colaboradores!$A:$A,0)),"")</f>
        <v/>
      </c>
      <c r="E66" s="15">
        <f>IFERROR(INDEX(Colaboradores!$D:$D,MATCH($B66,Colaboradores!$A:$A,0)),"")</f>
        <v/>
      </c>
      <c r="F66" s="19" t="n"/>
      <c r="G66" s="15">
        <f>IFERROR(INDEX(Competências!$B:$B,MATCH($F66,Competências!$C:$C,0)),"")</f>
        <v/>
      </c>
      <c r="H66" s="15">
        <f>IFERROR(INDEX(Competências!$E:$E,MATCH($F66,Competências!$C:$C,0)),"")</f>
        <v/>
      </c>
      <c r="I66" s="20" t="n"/>
      <c r="J66" s="20" t="n"/>
      <c r="K66" s="21">
        <f>IF(AND(ISNUMBER($I66),ISNUMBER($J66)),ABS($I66-$J66),"")</f>
        <v/>
      </c>
      <c r="L66" s="21">
        <f>IF(AND(NOT(ISNUMBER($I66)),NOT(ISNUMBER($J66))),"",IF(NOT(ISNUMBER($J66)),$I66,IF(NOT(ISNUMBER($I66)),$J66,IF($K66=0,$I66,IF($K66=1,IF($H66="Líder Técnico",$J66,IF($H66="GP",$I66,"CALIBRAR")),"CALIBRAR")))))</f>
        <v/>
      </c>
      <c r="M66" s="20" t="n"/>
      <c r="N66" s="21">
        <f>IF($C66="","",COUNTIFS(Ocorrências!$B:$B,$C66,Ocorrências!$F:$F,$F66,Ocorrências!$N:$N,$A66))</f>
        <v/>
      </c>
      <c r="O66" s="15">
        <f>IF($M66="","",IF(OR($M66=1,$M66=2,$M66=5),IF($N66&gt;0,"OK","SEM LASTRO"),"OK"))</f>
        <v/>
      </c>
      <c r="P66" s="19" t="n"/>
      <c r="Q66" s="18" t="n"/>
    </row>
    <row r="67">
      <c r="A67" s="19" t="n"/>
      <c r="B67" s="19" t="n"/>
      <c r="C67" s="15">
        <f>IFERROR(INDEX(Colaboradores!$B:$B,MATCH($B67,Colaboradores!$A:$A,0)),"")</f>
        <v/>
      </c>
      <c r="D67" s="15">
        <f>IFERROR(INDEX(Colaboradores!$E:$E,MATCH($B67,Colaboradores!$A:$A,0)),"")</f>
        <v/>
      </c>
      <c r="E67" s="15">
        <f>IFERROR(INDEX(Colaboradores!$D:$D,MATCH($B67,Colaboradores!$A:$A,0)),"")</f>
        <v/>
      </c>
      <c r="F67" s="19" t="n"/>
      <c r="G67" s="15">
        <f>IFERROR(INDEX(Competências!$B:$B,MATCH($F67,Competências!$C:$C,0)),"")</f>
        <v/>
      </c>
      <c r="H67" s="15">
        <f>IFERROR(INDEX(Competências!$E:$E,MATCH($F67,Competências!$C:$C,0)),"")</f>
        <v/>
      </c>
      <c r="I67" s="20" t="n"/>
      <c r="J67" s="20" t="n"/>
      <c r="K67" s="21">
        <f>IF(AND(ISNUMBER($I67),ISNUMBER($J67)),ABS($I67-$J67),"")</f>
        <v/>
      </c>
      <c r="L67" s="21">
        <f>IF(AND(NOT(ISNUMBER($I67)),NOT(ISNUMBER($J67))),"",IF(NOT(ISNUMBER($J67)),$I67,IF(NOT(ISNUMBER($I67)),$J67,IF($K67=0,$I67,IF($K67=1,IF($H67="Líder Técnico",$J67,IF($H67="GP",$I67,"CALIBRAR")),"CALIBRAR")))))</f>
        <v/>
      </c>
      <c r="M67" s="20" t="n"/>
      <c r="N67" s="21">
        <f>IF($C67="","",COUNTIFS(Ocorrências!$B:$B,$C67,Ocorrências!$F:$F,$F67,Ocorrências!$N:$N,$A67))</f>
        <v/>
      </c>
      <c r="O67" s="15">
        <f>IF($M67="","",IF(OR($M67=1,$M67=2,$M67=5),IF($N67&gt;0,"OK","SEM LASTRO"),"OK"))</f>
        <v/>
      </c>
      <c r="P67" s="19" t="n"/>
      <c r="Q67" s="18" t="n"/>
    </row>
    <row r="68">
      <c r="A68" s="19" t="n"/>
      <c r="B68" s="19" t="n"/>
      <c r="C68" s="15">
        <f>IFERROR(INDEX(Colaboradores!$B:$B,MATCH($B68,Colaboradores!$A:$A,0)),"")</f>
        <v/>
      </c>
      <c r="D68" s="15">
        <f>IFERROR(INDEX(Colaboradores!$E:$E,MATCH($B68,Colaboradores!$A:$A,0)),"")</f>
        <v/>
      </c>
      <c r="E68" s="15">
        <f>IFERROR(INDEX(Colaboradores!$D:$D,MATCH($B68,Colaboradores!$A:$A,0)),"")</f>
        <v/>
      </c>
      <c r="F68" s="19" t="n"/>
      <c r="G68" s="15">
        <f>IFERROR(INDEX(Competências!$B:$B,MATCH($F68,Competências!$C:$C,0)),"")</f>
        <v/>
      </c>
      <c r="H68" s="15">
        <f>IFERROR(INDEX(Competências!$E:$E,MATCH($F68,Competências!$C:$C,0)),"")</f>
        <v/>
      </c>
      <c r="I68" s="20" t="n"/>
      <c r="J68" s="20" t="n"/>
      <c r="K68" s="21">
        <f>IF(AND(ISNUMBER($I68),ISNUMBER($J68)),ABS($I68-$J68),"")</f>
        <v/>
      </c>
      <c r="L68" s="21">
        <f>IF(AND(NOT(ISNUMBER($I68)),NOT(ISNUMBER($J68))),"",IF(NOT(ISNUMBER($J68)),$I68,IF(NOT(ISNUMBER($I68)),$J68,IF($K68=0,$I68,IF($K68=1,IF($H68="Líder Técnico",$J68,IF($H68="GP",$I68,"CALIBRAR")),"CALIBRAR")))))</f>
        <v/>
      </c>
      <c r="M68" s="20" t="n"/>
      <c r="N68" s="21">
        <f>IF($C68="","",COUNTIFS(Ocorrências!$B:$B,$C68,Ocorrências!$F:$F,$F68,Ocorrências!$N:$N,$A68))</f>
        <v/>
      </c>
      <c r="O68" s="15">
        <f>IF($M68="","",IF(OR($M68=1,$M68=2,$M68=5),IF($N68&gt;0,"OK","SEM LASTRO"),"OK"))</f>
        <v/>
      </c>
      <c r="P68" s="19" t="n"/>
      <c r="Q68" s="18" t="n"/>
    </row>
    <row r="69">
      <c r="A69" s="19" t="n"/>
      <c r="B69" s="19" t="n"/>
      <c r="C69" s="15">
        <f>IFERROR(INDEX(Colaboradores!$B:$B,MATCH($B69,Colaboradores!$A:$A,0)),"")</f>
        <v/>
      </c>
      <c r="D69" s="15">
        <f>IFERROR(INDEX(Colaboradores!$E:$E,MATCH($B69,Colaboradores!$A:$A,0)),"")</f>
        <v/>
      </c>
      <c r="E69" s="15">
        <f>IFERROR(INDEX(Colaboradores!$D:$D,MATCH($B69,Colaboradores!$A:$A,0)),"")</f>
        <v/>
      </c>
      <c r="F69" s="19" t="n"/>
      <c r="G69" s="15">
        <f>IFERROR(INDEX(Competências!$B:$B,MATCH($F69,Competências!$C:$C,0)),"")</f>
        <v/>
      </c>
      <c r="H69" s="15">
        <f>IFERROR(INDEX(Competências!$E:$E,MATCH($F69,Competências!$C:$C,0)),"")</f>
        <v/>
      </c>
      <c r="I69" s="20" t="n"/>
      <c r="J69" s="20" t="n"/>
      <c r="K69" s="21">
        <f>IF(AND(ISNUMBER($I69),ISNUMBER($J69)),ABS($I69-$J69),"")</f>
        <v/>
      </c>
      <c r="L69" s="21">
        <f>IF(AND(NOT(ISNUMBER($I69)),NOT(ISNUMBER($J69))),"",IF(NOT(ISNUMBER($J69)),$I69,IF(NOT(ISNUMBER($I69)),$J69,IF($K69=0,$I69,IF($K69=1,IF($H69="Líder Técnico",$J69,IF($H69="GP",$I69,"CALIBRAR")),"CALIBRAR")))))</f>
        <v/>
      </c>
      <c r="M69" s="20" t="n"/>
      <c r="N69" s="21">
        <f>IF($C69="","",COUNTIFS(Ocorrências!$B:$B,$C69,Ocorrências!$F:$F,$F69,Ocorrências!$N:$N,$A69))</f>
        <v/>
      </c>
      <c r="O69" s="15">
        <f>IF($M69="","",IF(OR($M69=1,$M69=2,$M69=5),IF($N69&gt;0,"OK","SEM LASTRO"),"OK"))</f>
        <v/>
      </c>
      <c r="P69" s="19" t="n"/>
      <c r="Q69" s="18" t="n"/>
    </row>
    <row r="70">
      <c r="A70" s="19" t="n"/>
      <c r="B70" s="19" t="n"/>
      <c r="C70" s="15">
        <f>IFERROR(INDEX(Colaboradores!$B:$B,MATCH($B70,Colaboradores!$A:$A,0)),"")</f>
        <v/>
      </c>
      <c r="D70" s="15">
        <f>IFERROR(INDEX(Colaboradores!$E:$E,MATCH($B70,Colaboradores!$A:$A,0)),"")</f>
        <v/>
      </c>
      <c r="E70" s="15">
        <f>IFERROR(INDEX(Colaboradores!$D:$D,MATCH($B70,Colaboradores!$A:$A,0)),"")</f>
        <v/>
      </c>
      <c r="F70" s="19" t="n"/>
      <c r="G70" s="15">
        <f>IFERROR(INDEX(Competências!$B:$B,MATCH($F70,Competências!$C:$C,0)),"")</f>
        <v/>
      </c>
      <c r="H70" s="15">
        <f>IFERROR(INDEX(Competências!$E:$E,MATCH($F70,Competências!$C:$C,0)),"")</f>
        <v/>
      </c>
      <c r="I70" s="20" t="n"/>
      <c r="J70" s="20" t="n"/>
      <c r="K70" s="21">
        <f>IF(AND(ISNUMBER($I70),ISNUMBER($J70)),ABS($I70-$J70),"")</f>
        <v/>
      </c>
      <c r="L70" s="21">
        <f>IF(AND(NOT(ISNUMBER($I70)),NOT(ISNUMBER($J70))),"",IF(NOT(ISNUMBER($J70)),$I70,IF(NOT(ISNUMBER($I70)),$J70,IF($K70=0,$I70,IF($K70=1,IF($H70="Líder Técnico",$J70,IF($H70="GP",$I70,"CALIBRAR")),"CALIBRAR")))))</f>
        <v/>
      </c>
      <c r="M70" s="20" t="n"/>
      <c r="N70" s="21">
        <f>IF($C70="","",COUNTIFS(Ocorrências!$B:$B,$C70,Ocorrências!$F:$F,$F70,Ocorrências!$N:$N,$A70))</f>
        <v/>
      </c>
      <c r="O70" s="15">
        <f>IF($M70="","",IF(OR($M70=1,$M70=2,$M70=5),IF($N70&gt;0,"OK","SEM LASTRO"),"OK"))</f>
        <v/>
      </c>
      <c r="P70" s="19" t="n"/>
      <c r="Q70" s="18" t="n"/>
    </row>
    <row r="71">
      <c r="A71" s="19" t="n"/>
      <c r="B71" s="19" t="n"/>
      <c r="C71" s="15">
        <f>IFERROR(INDEX(Colaboradores!$B:$B,MATCH($B71,Colaboradores!$A:$A,0)),"")</f>
        <v/>
      </c>
      <c r="D71" s="15">
        <f>IFERROR(INDEX(Colaboradores!$E:$E,MATCH($B71,Colaboradores!$A:$A,0)),"")</f>
        <v/>
      </c>
      <c r="E71" s="15">
        <f>IFERROR(INDEX(Colaboradores!$D:$D,MATCH($B71,Colaboradores!$A:$A,0)),"")</f>
        <v/>
      </c>
      <c r="F71" s="19" t="n"/>
      <c r="G71" s="15">
        <f>IFERROR(INDEX(Competências!$B:$B,MATCH($F71,Competências!$C:$C,0)),"")</f>
        <v/>
      </c>
      <c r="H71" s="15">
        <f>IFERROR(INDEX(Competências!$E:$E,MATCH($F71,Competências!$C:$C,0)),"")</f>
        <v/>
      </c>
      <c r="I71" s="20" t="n"/>
      <c r="J71" s="20" t="n"/>
      <c r="K71" s="21">
        <f>IF(AND(ISNUMBER($I71),ISNUMBER($J71)),ABS($I71-$J71),"")</f>
        <v/>
      </c>
      <c r="L71" s="21">
        <f>IF(AND(NOT(ISNUMBER($I71)),NOT(ISNUMBER($J71))),"",IF(NOT(ISNUMBER($J71)),$I71,IF(NOT(ISNUMBER($I71)),$J71,IF($K71=0,$I71,IF($K71=1,IF($H71="Líder Técnico",$J71,IF($H71="GP",$I71,"CALIBRAR")),"CALIBRAR")))))</f>
        <v/>
      </c>
      <c r="M71" s="20" t="n"/>
      <c r="N71" s="21">
        <f>IF($C71="","",COUNTIFS(Ocorrências!$B:$B,$C71,Ocorrências!$F:$F,$F71,Ocorrências!$N:$N,$A71))</f>
        <v/>
      </c>
      <c r="O71" s="15">
        <f>IF($M71="","",IF(OR($M71=1,$M71=2,$M71=5),IF($N71&gt;0,"OK","SEM LASTRO"),"OK"))</f>
        <v/>
      </c>
      <c r="P71" s="19" t="n"/>
      <c r="Q71" s="18" t="n"/>
    </row>
    <row r="72">
      <c r="A72" s="19" t="n"/>
      <c r="B72" s="19" t="n"/>
      <c r="C72" s="15">
        <f>IFERROR(INDEX(Colaboradores!$B:$B,MATCH($B72,Colaboradores!$A:$A,0)),"")</f>
        <v/>
      </c>
      <c r="D72" s="15">
        <f>IFERROR(INDEX(Colaboradores!$E:$E,MATCH($B72,Colaboradores!$A:$A,0)),"")</f>
        <v/>
      </c>
      <c r="E72" s="15">
        <f>IFERROR(INDEX(Colaboradores!$D:$D,MATCH($B72,Colaboradores!$A:$A,0)),"")</f>
        <v/>
      </c>
      <c r="F72" s="19" t="n"/>
      <c r="G72" s="15">
        <f>IFERROR(INDEX(Competências!$B:$B,MATCH($F72,Competências!$C:$C,0)),"")</f>
        <v/>
      </c>
      <c r="H72" s="15">
        <f>IFERROR(INDEX(Competências!$E:$E,MATCH($F72,Competências!$C:$C,0)),"")</f>
        <v/>
      </c>
      <c r="I72" s="20" t="n"/>
      <c r="J72" s="20" t="n"/>
      <c r="K72" s="21">
        <f>IF(AND(ISNUMBER($I72),ISNUMBER($J72)),ABS($I72-$J72),"")</f>
        <v/>
      </c>
      <c r="L72" s="21">
        <f>IF(AND(NOT(ISNUMBER($I72)),NOT(ISNUMBER($J72))),"",IF(NOT(ISNUMBER($J72)),$I72,IF(NOT(ISNUMBER($I72)),$J72,IF($K72=0,$I72,IF($K72=1,IF($H72="Líder Técnico",$J72,IF($H72="GP",$I72,"CALIBRAR")),"CALIBRAR")))))</f>
        <v/>
      </c>
      <c r="M72" s="20" t="n"/>
      <c r="N72" s="21">
        <f>IF($C72="","",COUNTIFS(Ocorrências!$B:$B,$C72,Ocorrências!$F:$F,$F72,Ocorrências!$N:$N,$A72))</f>
        <v/>
      </c>
      <c r="O72" s="15">
        <f>IF($M72="","",IF(OR($M72=1,$M72=2,$M72=5),IF($N72&gt;0,"OK","SEM LASTRO"),"OK"))</f>
        <v/>
      </c>
      <c r="P72" s="19" t="n"/>
      <c r="Q72" s="18" t="n"/>
    </row>
    <row r="73">
      <c r="A73" s="19" t="n"/>
      <c r="B73" s="19" t="n"/>
      <c r="C73" s="15">
        <f>IFERROR(INDEX(Colaboradores!$B:$B,MATCH($B73,Colaboradores!$A:$A,0)),"")</f>
        <v/>
      </c>
      <c r="D73" s="15">
        <f>IFERROR(INDEX(Colaboradores!$E:$E,MATCH($B73,Colaboradores!$A:$A,0)),"")</f>
        <v/>
      </c>
      <c r="E73" s="15">
        <f>IFERROR(INDEX(Colaboradores!$D:$D,MATCH($B73,Colaboradores!$A:$A,0)),"")</f>
        <v/>
      </c>
      <c r="F73" s="19" t="n"/>
      <c r="G73" s="15">
        <f>IFERROR(INDEX(Competências!$B:$B,MATCH($F73,Competências!$C:$C,0)),"")</f>
        <v/>
      </c>
      <c r="H73" s="15">
        <f>IFERROR(INDEX(Competências!$E:$E,MATCH($F73,Competências!$C:$C,0)),"")</f>
        <v/>
      </c>
      <c r="I73" s="20" t="n"/>
      <c r="J73" s="20" t="n"/>
      <c r="K73" s="21">
        <f>IF(AND(ISNUMBER($I73),ISNUMBER($J73)),ABS($I73-$J73),"")</f>
        <v/>
      </c>
      <c r="L73" s="21">
        <f>IF(AND(NOT(ISNUMBER($I73)),NOT(ISNUMBER($J73))),"",IF(NOT(ISNUMBER($J73)),$I73,IF(NOT(ISNUMBER($I73)),$J73,IF($K73=0,$I73,IF($K73=1,IF($H73="Líder Técnico",$J73,IF($H73="GP",$I73,"CALIBRAR")),"CALIBRAR")))))</f>
        <v/>
      </c>
      <c r="M73" s="20" t="n"/>
      <c r="N73" s="21">
        <f>IF($C73="","",COUNTIFS(Ocorrências!$B:$B,$C73,Ocorrências!$F:$F,$F73,Ocorrências!$N:$N,$A73))</f>
        <v/>
      </c>
      <c r="O73" s="15">
        <f>IF($M73="","",IF(OR($M73=1,$M73=2,$M73=5),IF($N73&gt;0,"OK","SEM LASTRO"),"OK"))</f>
        <v/>
      </c>
      <c r="P73" s="19" t="n"/>
      <c r="Q73" s="18" t="n"/>
    </row>
    <row r="74">
      <c r="A74" s="19" t="n"/>
      <c r="B74" s="19" t="n"/>
      <c r="C74" s="15">
        <f>IFERROR(INDEX(Colaboradores!$B:$B,MATCH($B74,Colaboradores!$A:$A,0)),"")</f>
        <v/>
      </c>
      <c r="D74" s="15">
        <f>IFERROR(INDEX(Colaboradores!$E:$E,MATCH($B74,Colaboradores!$A:$A,0)),"")</f>
        <v/>
      </c>
      <c r="E74" s="15">
        <f>IFERROR(INDEX(Colaboradores!$D:$D,MATCH($B74,Colaboradores!$A:$A,0)),"")</f>
        <v/>
      </c>
      <c r="F74" s="19" t="n"/>
      <c r="G74" s="15">
        <f>IFERROR(INDEX(Competências!$B:$B,MATCH($F74,Competências!$C:$C,0)),"")</f>
        <v/>
      </c>
      <c r="H74" s="15">
        <f>IFERROR(INDEX(Competências!$E:$E,MATCH($F74,Competências!$C:$C,0)),"")</f>
        <v/>
      </c>
      <c r="I74" s="20" t="n"/>
      <c r="J74" s="20" t="n"/>
      <c r="K74" s="21">
        <f>IF(AND(ISNUMBER($I74),ISNUMBER($J74)),ABS($I74-$J74),"")</f>
        <v/>
      </c>
      <c r="L74" s="21">
        <f>IF(AND(NOT(ISNUMBER($I74)),NOT(ISNUMBER($J74))),"",IF(NOT(ISNUMBER($J74)),$I74,IF(NOT(ISNUMBER($I74)),$J74,IF($K74=0,$I74,IF($K74=1,IF($H74="Líder Técnico",$J74,IF($H74="GP",$I74,"CALIBRAR")),"CALIBRAR")))))</f>
        <v/>
      </c>
      <c r="M74" s="20" t="n"/>
      <c r="N74" s="21">
        <f>IF($C74="","",COUNTIFS(Ocorrências!$B:$B,$C74,Ocorrências!$F:$F,$F74,Ocorrências!$N:$N,$A74))</f>
        <v/>
      </c>
      <c r="O74" s="15">
        <f>IF($M74="","",IF(OR($M74=1,$M74=2,$M74=5),IF($N74&gt;0,"OK","SEM LASTRO"),"OK"))</f>
        <v/>
      </c>
      <c r="P74" s="19" t="n"/>
      <c r="Q74" s="18" t="n"/>
    </row>
    <row r="75">
      <c r="A75" s="19" t="n"/>
      <c r="B75" s="19" t="n"/>
      <c r="C75" s="15">
        <f>IFERROR(INDEX(Colaboradores!$B:$B,MATCH($B75,Colaboradores!$A:$A,0)),"")</f>
        <v/>
      </c>
      <c r="D75" s="15">
        <f>IFERROR(INDEX(Colaboradores!$E:$E,MATCH($B75,Colaboradores!$A:$A,0)),"")</f>
        <v/>
      </c>
      <c r="E75" s="15">
        <f>IFERROR(INDEX(Colaboradores!$D:$D,MATCH($B75,Colaboradores!$A:$A,0)),"")</f>
        <v/>
      </c>
      <c r="F75" s="19" t="n"/>
      <c r="G75" s="15">
        <f>IFERROR(INDEX(Competências!$B:$B,MATCH($F75,Competências!$C:$C,0)),"")</f>
        <v/>
      </c>
      <c r="H75" s="15">
        <f>IFERROR(INDEX(Competências!$E:$E,MATCH($F75,Competências!$C:$C,0)),"")</f>
        <v/>
      </c>
      <c r="I75" s="20" t="n"/>
      <c r="J75" s="20" t="n"/>
      <c r="K75" s="21">
        <f>IF(AND(ISNUMBER($I75),ISNUMBER($J75)),ABS($I75-$J75),"")</f>
        <v/>
      </c>
      <c r="L75" s="21">
        <f>IF(AND(NOT(ISNUMBER($I75)),NOT(ISNUMBER($J75))),"",IF(NOT(ISNUMBER($J75)),$I75,IF(NOT(ISNUMBER($I75)),$J75,IF($K75=0,$I75,IF($K75=1,IF($H75="Líder Técnico",$J75,IF($H75="GP",$I75,"CALIBRAR")),"CALIBRAR")))))</f>
        <v/>
      </c>
      <c r="M75" s="20" t="n"/>
      <c r="N75" s="21">
        <f>IF($C75="","",COUNTIFS(Ocorrências!$B:$B,$C75,Ocorrências!$F:$F,$F75,Ocorrências!$N:$N,$A75))</f>
        <v/>
      </c>
      <c r="O75" s="15">
        <f>IF($M75="","",IF(OR($M75=1,$M75=2,$M75=5),IF($N75&gt;0,"OK","SEM LASTRO"),"OK"))</f>
        <v/>
      </c>
      <c r="P75" s="19" t="n"/>
      <c r="Q75" s="18" t="n"/>
    </row>
    <row r="76">
      <c r="A76" s="19" t="n"/>
      <c r="B76" s="19" t="n"/>
      <c r="C76" s="15">
        <f>IFERROR(INDEX(Colaboradores!$B:$B,MATCH($B76,Colaboradores!$A:$A,0)),"")</f>
        <v/>
      </c>
      <c r="D76" s="15">
        <f>IFERROR(INDEX(Colaboradores!$E:$E,MATCH($B76,Colaboradores!$A:$A,0)),"")</f>
        <v/>
      </c>
      <c r="E76" s="15">
        <f>IFERROR(INDEX(Colaboradores!$D:$D,MATCH($B76,Colaboradores!$A:$A,0)),"")</f>
        <v/>
      </c>
      <c r="F76" s="19" t="n"/>
      <c r="G76" s="15">
        <f>IFERROR(INDEX(Competências!$B:$B,MATCH($F76,Competências!$C:$C,0)),"")</f>
        <v/>
      </c>
      <c r="H76" s="15">
        <f>IFERROR(INDEX(Competências!$E:$E,MATCH($F76,Competências!$C:$C,0)),"")</f>
        <v/>
      </c>
      <c r="I76" s="20" t="n"/>
      <c r="J76" s="20" t="n"/>
      <c r="K76" s="21">
        <f>IF(AND(ISNUMBER($I76),ISNUMBER($J76)),ABS($I76-$J76),"")</f>
        <v/>
      </c>
      <c r="L76" s="21">
        <f>IF(AND(NOT(ISNUMBER($I76)),NOT(ISNUMBER($J76))),"",IF(NOT(ISNUMBER($J76)),$I76,IF(NOT(ISNUMBER($I76)),$J76,IF($K76=0,$I76,IF($K76=1,IF($H76="Líder Técnico",$J76,IF($H76="GP",$I76,"CALIBRAR")),"CALIBRAR")))))</f>
        <v/>
      </c>
      <c r="M76" s="20" t="n"/>
      <c r="N76" s="21">
        <f>IF($C76="","",COUNTIFS(Ocorrências!$B:$B,$C76,Ocorrências!$F:$F,$F76,Ocorrências!$N:$N,$A76))</f>
        <v/>
      </c>
      <c r="O76" s="15">
        <f>IF($M76="","",IF(OR($M76=1,$M76=2,$M76=5),IF($N76&gt;0,"OK","SEM LASTRO"),"OK"))</f>
        <v/>
      </c>
      <c r="P76" s="19" t="n"/>
      <c r="Q76" s="18" t="n"/>
    </row>
    <row r="77">
      <c r="A77" s="19" t="n"/>
      <c r="B77" s="19" t="n"/>
      <c r="C77" s="15">
        <f>IFERROR(INDEX(Colaboradores!$B:$B,MATCH($B77,Colaboradores!$A:$A,0)),"")</f>
        <v/>
      </c>
      <c r="D77" s="15">
        <f>IFERROR(INDEX(Colaboradores!$E:$E,MATCH($B77,Colaboradores!$A:$A,0)),"")</f>
        <v/>
      </c>
      <c r="E77" s="15">
        <f>IFERROR(INDEX(Colaboradores!$D:$D,MATCH($B77,Colaboradores!$A:$A,0)),"")</f>
        <v/>
      </c>
      <c r="F77" s="19" t="n"/>
      <c r="G77" s="15">
        <f>IFERROR(INDEX(Competências!$B:$B,MATCH($F77,Competências!$C:$C,0)),"")</f>
        <v/>
      </c>
      <c r="H77" s="15">
        <f>IFERROR(INDEX(Competências!$E:$E,MATCH($F77,Competências!$C:$C,0)),"")</f>
        <v/>
      </c>
      <c r="I77" s="20" t="n"/>
      <c r="J77" s="20" t="n"/>
      <c r="K77" s="21">
        <f>IF(AND(ISNUMBER($I77),ISNUMBER($J77)),ABS($I77-$J77),"")</f>
        <v/>
      </c>
      <c r="L77" s="21">
        <f>IF(AND(NOT(ISNUMBER($I77)),NOT(ISNUMBER($J77))),"",IF(NOT(ISNUMBER($J77)),$I77,IF(NOT(ISNUMBER($I77)),$J77,IF($K77=0,$I77,IF($K77=1,IF($H77="Líder Técnico",$J77,IF($H77="GP",$I77,"CALIBRAR")),"CALIBRAR")))))</f>
        <v/>
      </c>
      <c r="M77" s="20" t="n"/>
      <c r="N77" s="21">
        <f>IF($C77="","",COUNTIFS(Ocorrências!$B:$B,$C77,Ocorrências!$F:$F,$F77,Ocorrências!$N:$N,$A77))</f>
        <v/>
      </c>
      <c r="O77" s="15">
        <f>IF($M77="","",IF(OR($M77=1,$M77=2,$M77=5),IF($N77&gt;0,"OK","SEM LASTRO"),"OK"))</f>
        <v/>
      </c>
      <c r="P77" s="19" t="n"/>
      <c r="Q77" s="18" t="n"/>
    </row>
    <row r="78">
      <c r="A78" s="19" t="n"/>
      <c r="B78" s="19" t="n"/>
      <c r="C78" s="15">
        <f>IFERROR(INDEX(Colaboradores!$B:$B,MATCH($B78,Colaboradores!$A:$A,0)),"")</f>
        <v/>
      </c>
      <c r="D78" s="15">
        <f>IFERROR(INDEX(Colaboradores!$E:$E,MATCH($B78,Colaboradores!$A:$A,0)),"")</f>
        <v/>
      </c>
      <c r="E78" s="15">
        <f>IFERROR(INDEX(Colaboradores!$D:$D,MATCH($B78,Colaboradores!$A:$A,0)),"")</f>
        <v/>
      </c>
      <c r="F78" s="19" t="n"/>
      <c r="G78" s="15">
        <f>IFERROR(INDEX(Competências!$B:$B,MATCH($F78,Competências!$C:$C,0)),"")</f>
        <v/>
      </c>
      <c r="H78" s="15">
        <f>IFERROR(INDEX(Competências!$E:$E,MATCH($F78,Competências!$C:$C,0)),"")</f>
        <v/>
      </c>
      <c r="I78" s="20" t="n"/>
      <c r="J78" s="20" t="n"/>
      <c r="K78" s="21">
        <f>IF(AND(ISNUMBER($I78),ISNUMBER($J78)),ABS($I78-$J78),"")</f>
        <v/>
      </c>
      <c r="L78" s="21">
        <f>IF(AND(NOT(ISNUMBER($I78)),NOT(ISNUMBER($J78))),"",IF(NOT(ISNUMBER($J78)),$I78,IF(NOT(ISNUMBER($I78)),$J78,IF($K78=0,$I78,IF($K78=1,IF($H78="Líder Técnico",$J78,IF($H78="GP",$I78,"CALIBRAR")),"CALIBRAR")))))</f>
        <v/>
      </c>
      <c r="M78" s="20" t="n"/>
      <c r="N78" s="21">
        <f>IF($C78="","",COUNTIFS(Ocorrências!$B:$B,$C78,Ocorrências!$F:$F,$F78,Ocorrências!$N:$N,$A78))</f>
        <v/>
      </c>
      <c r="O78" s="15">
        <f>IF($M78="","",IF(OR($M78=1,$M78=2,$M78=5),IF($N78&gt;0,"OK","SEM LASTRO"),"OK"))</f>
        <v/>
      </c>
      <c r="P78" s="19" t="n"/>
      <c r="Q78" s="18" t="n"/>
    </row>
    <row r="79">
      <c r="A79" s="19" t="n"/>
      <c r="B79" s="19" t="n"/>
      <c r="C79" s="15">
        <f>IFERROR(INDEX(Colaboradores!$B:$B,MATCH($B79,Colaboradores!$A:$A,0)),"")</f>
        <v/>
      </c>
      <c r="D79" s="15">
        <f>IFERROR(INDEX(Colaboradores!$E:$E,MATCH($B79,Colaboradores!$A:$A,0)),"")</f>
        <v/>
      </c>
      <c r="E79" s="15">
        <f>IFERROR(INDEX(Colaboradores!$D:$D,MATCH($B79,Colaboradores!$A:$A,0)),"")</f>
        <v/>
      </c>
      <c r="F79" s="19" t="n"/>
      <c r="G79" s="15">
        <f>IFERROR(INDEX(Competências!$B:$B,MATCH($F79,Competências!$C:$C,0)),"")</f>
        <v/>
      </c>
      <c r="H79" s="15">
        <f>IFERROR(INDEX(Competências!$E:$E,MATCH($F79,Competências!$C:$C,0)),"")</f>
        <v/>
      </c>
      <c r="I79" s="20" t="n"/>
      <c r="J79" s="20" t="n"/>
      <c r="K79" s="21">
        <f>IF(AND(ISNUMBER($I79),ISNUMBER($J79)),ABS($I79-$J79),"")</f>
        <v/>
      </c>
      <c r="L79" s="21">
        <f>IF(AND(NOT(ISNUMBER($I79)),NOT(ISNUMBER($J79))),"",IF(NOT(ISNUMBER($J79)),$I79,IF(NOT(ISNUMBER($I79)),$J79,IF($K79=0,$I79,IF($K79=1,IF($H79="Líder Técnico",$J79,IF($H79="GP",$I79,"CALIBRAR")),"CALIBRAR")))))</f>
        <v/>
      </c>
      <c r="M79" s="20" t="n"/>
      <c r="N79" s="21">
        <f>IF($C79="","",COUNTIFS(Ocorrências!$B:$B,$C79,Ocorrências!$F:$F,$F79,Ocorrências!$N:$N,$A79))</f>
        <v/>
      </c>
      <c r="O79" s="15">
        <f>IF($M79="","",IF(OR($M79=1,$M79=2,$M79=5),IF($N79&gt;0,"OK","SEM LASTRO"),"OK"))</f>
        <v/>
      </c>
      <c r="P79" s="19" t="n"/>
      <c r="Q79" s="18" t="n"/>
    </row>
    <row r="80">
      <c r="A80" s="19" t="n"/>
      <c r="B80" s="19" t="n"/>
      <c r="C80" s="15">
        <f>IFERROR(INDEX(Colaboradores!$B:$B,MATCH($B80,Colaboradores!$A:$A,0)),"")</f>
        <v/>
      </c>
      <c r="D80" s="15">
        <f>IFERROR(INDEX(Colaboradores!$E:$E,MATCH($B80,Colaboradores!$A:$A,0)),"")</f>
        <v/>
      </c>
      <c r="E80" s="15">
        <f>IFERROR(INDEX(Colaboradores!$D:$D,MATCH($B80,Colaboradores!$A:$A,0)),"")</f>
        <v/>
      </c>
      <c r="F80" s="19" t="n"/>
      <c r="G80" s="15">
        <f>IFERROR(INDEX(Competências!$B:$B,MATCH($F80,Competências!$C:$C,0)),"")</f>
        <v/>
      </c>
      <c r="H80" s="15">
        <f>IFERROR(INDEX(Competências!$E:$E,MATCH($F80,Competências!$C:$C,0)),"")</f>
        <v/>
      </c>
      <c r="I80" s="20" t="n"/>
      <c r="J80" s="20" t="n"/>
      <c r="K80" s="21">
        <f>IF(AND(ISNUMBER($I80),ISNUMBER($J80)),ABS($I80-$J80),"")</f>
        <v/>
      </c>
      <c r="L80" s="21">
        <f>IF(AND(NOT(ISNUMBER($I80)),NOT(ISNUMBER($J80))),"",IF(NOT(ISNUMBER($J80)),$I80,IF(NOT(ISNUMBER($I80)),$J80,IF($K80=0,$I80,IF($K80=1,IF($H80="Líder Técnico",$J80,IF($H80="GP",$I80,"CALIBRAR")),"CALIBRAR")))))</f>
        <v/>
      </c>
      <c r="M80" s="20" t="n"/>
      <c r="N80" s="21">
        <f>IF($C80="","",COUNTIFS(Ocorrências!$B:$B,$C80,Ocorrências!$F:$F,$F80,Ocorrências!$N:$N,$A80))</f>
        <v/>
      </c>
      <c r="O80" s="15">
        <f>IF($M80="","",IF(OR($M80=1,$M80=2,$M80=5),IF($N80&gt;0,"OK","SEM LASTRO"),"OK"))</f>
        <v/>
      </c>
      <c r="P80" s="19" t="n"/>
      <c r="Q80" s="18" t="n"/>
    </row>
    <row r="81">
      <c r="A81" s="19" t="n"/>
      <c r="B81" s="19" t="n"/>
      <c r="C81" s="15">
        <f>IFERROR(INDEX(Colaboradores!$B:$B,MATCH($B81,Colaboradores!$A:$A,0)),"")</f>
        <v/>
      </c>
      <c r="D81" s="15">
        <f>IFERROR(INDEX(Colaboradores!$E:$E,MATCH($B81,Colaboradores!$A:$A,0)),"")</f>
        <v/>
      </c>
      <c r="E81" s="15">
        <f>IFERROR(INDEX(Colaboradores!$D:$D,MATCH($B81,Colaboradores!$A:$A,0)),"")</f>
        <v/>
      </c>
      <c r="F81" s="19" t="n"/>
      <c r="G81" s="15">
        <f>IFERROR(INDEX(Competências!$B:$B,MATCH($F81,Competências!$C:$C,0)),"")</f>
        <v/>
      </c>
      <c r="H81" s="15">
        <f>IFERROR(INDEX(Competências!$E:$E,MATCH($F81,Competências!$C:$C,0)),"")</f>
        <v/>
      </c>
      <c r="I81" s="20" t="n"/>
      <c r="J81" s="20" t="n"/>
      <c r="K81" s="21">
        <f>IF(AND(ISNUMBER($I81),ISNUMBER($J81)),ABS($I81-$J81),"")</f>
        <v/>
      </c>
      <c r="L81" s="21">
        <f>IF(AND(NOT(ISNUMBER($I81)),NOT(ISNUMBER($J81))),"",IF(NOT(ISNUMBER($J81)),$I81,IF(NOT(ISNUMBER($I81)),$J81,IF($K81=0,$I81,IF($K81=1,IF($H81="Líder Técnico",$J81,IF($H81="GP",$I81,"CALIBRAR")),"CALIBRAR")))))</f>
        <v/>
      </c>
      <c r="M81" s="20" t="n"/>
      <c r="N81" s="21">
        <f>IF($C81="","",COUNTIFS(Ocorrências!$B:$B,$C81,Ocorrências!$F:$F,$F81,Ocorrências!$N:$N,$A81))</f>
        <v/>
      </c>
      <c r="O81" s="15">
        <f>IF($M81="","",IF(OR($M81=1,$M81=2,$M81=5),IF($N81&gt;0,"OK","SEM LASTRO"),"OK"))</f>
        <v/>
      </c>
      <c r="P81" s="19" t="n"/>
      <c r="Q81" s="18" t="n"/>
    </row>
    <row r="82">
      <c r="A82" s="19" t="n"/>
      <c r="B82" s="19" t="n"/>
      <c r="C82" s="15">
        <f>IFERROR(INDEX(Colaboradores!$B:$B,MATCH($B82,Colaboradores!$A:$A,0)),"")</f>
        <v/>
      </c>
      <c r="D82" s="15">
        <f>IFERROR(INDEX(Colaboradores!$E:$E,MATCH($B82,Colaboradores!$A:$A,0)),"")</f>
        <v/>
      </c>
      <c r="E82" s="15">
        <f>IFERROR(INDEX(Colaboradores!$D:$D,MATCH($B82,Colaboradores!$A:$A,0)),"")</f>
        <v/>
      </c>
      <c r="F82" s="19" t="n"/>
      <c r="G82" s="15">
        <f>IFERROR(INDEX(Competências!$B:$B,MATCH($F82,Competências!$C:$C,0)),"")</f>
        <v/>
      </c>
      <c r="H82" s="15">
        <f>IFERROR(INDEX(Competências!$E:$E,MATCH($F82,Competências!$C:$C,0)),"")</f>
        <v/>
      </c>
      <c r="I82" s="20" t="n"/>
      <c r="J82" s="20" t="n"/>
      <c r="K82" s="21">
        <f>IF(AND(ISNUMBER($I82),ISNUMBER($J82)),ABS($I82-$J82),"")</f>
        <v/>
      </c>
      <c r="L82" s="21">
        <f>IF(AND(NOT(ISNUMBER($I82)),NOT(ISNUMBER($J82))),"",IF(NOT(ISNUMBER($J82)),$I82,IF(NOT(ISNUMBER($I82)),$J82,IF($K82=0,$I82,IF($K82=1,IF($H82="Líder Técnico",$J82,IF($H82="GP",$I82,"CALIBRAR")),"CALIBRAR")))))</f>
        <v/>
      </c>
      <c r="M82" s="20" t="n"/>
      <c r="N82" s="21">
        <f>IF($C82="","",COUNTIFS(Ocorrências!$B:$B,$C82,Ocorrências!$F:$F,$F82,Ocorrências!$N:$N,$A82))</f>
        <v/>
      </c>
      <c r="O82" s="15">
        <f>IF($M82="","",IF(OR($M82=1,$M82=2,$M82=5),IF($N82&gt;0,"OK","SEM LASTRO"),"OK"))</f>
        <v/>
      </c>
      <c r="P82" s="19" t="n"/>
      <c r="Q82" s="18" t="n"/>
    </row>
    <row r="83">
      <c r="A83" s="19" t="n"/>
      <c r="B83" s="19" t="n"/>
      <c r="C83" s="15">
        <f>IFERROR(INDEX(Colaboradores!$B:$B,MATCH($B83,Colaboradores!$A:$A,0)),"")</f>
        <v/>
      </c>
      <c r="D83" s="15">
        <f>IFERROR(INDEX(Colaboradores!$E:$E,MATCH($B83,Colaboradores!$A:$A,0)),"")</f>
        <v/>
      </c>
      <c r="E83" s="15">
        <f>IFERROR(INDEX(Colaboradores!$D:$D,MATCH($B83,Colaboradores!$A:$A,0)),"")</f>
        <v/>
      </c>
      <c r="F83" s="19" t="n"/>
      <c r="G83" s="15">
        <f>IFERROR(INDEX(Competências!$B:$B,MATCH($F83,Competências!$C:$C,0)),"")</f>
        <v/>
      </c>
      <c r="H83" s="15">
        <f>IFERROR(INDEX(Competências!$E:$E,MATCH($F83,Competências!$C:$C,0)),"")</f>
        <v/>
      </c>
      <c r="I83" s="20" t="n"/>
      <c r="J83" s="20" t="n"/>
      <c r="K83" s="21">
        <f>IF(AND(ISNUMBER($I83),ISNUMBER($J83)),ABS($I83-$J83),"")</f>
        <v/>
      </c>
      <c r="L83" s="21">
        <f>IF(AND(NOT(ISNUMBER($I83)),NOT(ISNUMBER($J83))),"",IF(NOT(ISNUMBER($J83)),$I83,IF(NOT(ISNUMBER($I83)),$J83,IF($K83=0,$I83,IF($K83=1,IF($H83="Líder Técnico",$J83,IF($H83="GP",$I83,"CALIBRAR")),"CALIBRAR")))))</f>
        <v/>
      </c>
      <c r="M83" s="20" t="n"/>
      <c r="N83" s="21">
        <f>IF($C83="","",COUNTIFS(Ocorrências!$B:$B,$C83,Ocorrências!$F:$F,$F83,Ocorrências!$N:$N,$A83))</f>
        <v/>
      </c>
      <c r="O83" s="15">
        <f>IF($M83="","",IF(OR($M83=1,$M83=2,$M83=5),IF($N83&gt;0,"OK","SEM LASTRO"),"OK"))</f>
        <v/>
      </c>
      <c r="P83" s="19" t="n"/>
      <c r="Q83" s="18" t="n"/>
    </row>
    <row r="84">
      <c r="A84" s="19" t="n"/>
      <c r="B84" s="19" t="n"/>
      <c r="C84" s="15">
        <f>IFERROR(INDEX(Colaboradores!$B:$B,MATCH($B84,Colaboradores!$A:$A,0)),"")</f>
        <v/>
      </c>
      <c r="D84" s="15">
        <f>IFERROR(INDEX(Colaboradores!$E:$E,MATCH($B84,Colaboradores!$A:$A,0)),"")</f>
        <v/>
      </c>
      <c r="E84" s="15">
        <f>IFERROR(INDEX(Colaboradores!$D:$D,MATCH($B84,Colaboradores!$A:$A,0)),"")</f>
        <v/>
      </c>
      <c r="F84" s="19" t="n"/>
      <c r="G84" s="15">
        <f>IFERROR(INDEX(Competências!$B:$B,MATCH($F84,Competências!$C:$C,0)),"")</f>
        <v/>
      </c>
      <c r="H84" s="15">
        <f>IFERROR(INDEX(Competências!$E:$E,MATCH($F84,Competências!$C:$C,0)),"")</f>
        <v/>
      </c>
      <c r="I84" s="20" t="n"/>
      <c r="J84" s="20" t="n"/>
      <c r="K84" s="21">
        <f>IF(AND(ISNUMBER($I84),ISNUMBER($J84)),ABS($I84-$J84),"")</f>
        <v/>
      </c>
      <c r="L84" s="21">
        <f>IF(AND(NOT(ISNUMBER($I84)),NOT(ISNUMBER($J84))),"",IF(NOT(ISNUMBER($J84)),$I84,IF(NOT(ISNUMBER($I84)),$J84,IF($K84=0,$I84,IF($K84=1,IF($H84="Líder Técnico",$J84,IF($H84="GP",$I84,"CALIBRAR")),"CALIBRAR")))))</f>
        <v/>
      </c>
      <c r="M84" s="20" t="n"/>
      <c r="N84" s="21">
        <f>IF($C84="","",COUNTIFS(Ocorrências!$B:$B,$C84,Ocorrências!$F:$F,$F84,Ocorrências!$N:$N,$A84))</f>
        <v/>
      </c>
      <c r="O84" s="15">
        <f>IF($M84="","",IF(OR($M84=1,$M84=2,$M84=5),IF($N84&gt;0,"OK","SEM LASTRO"),"OK"))</f>
        <v/>
      </c>
      <c r="P84" s="19" t="n"/>
      <c r="Q84" s="18" t="n"/>
    </row>
    <row r="85">
      <c r="A85" s="19" t="n"/>
      <c r="B85" s="19" t="n"/>
      <c r="C85" s="15">
        <f>IFERROR(INDEX(Colaboradores!$B:$B,MATCH($B85,Colaboradores!$A:$A,0)),"")</f>
        <v/>
      </c>
      <c r="D85" s="15">
        <f>IFERROR(INDEX(Colaboradores!$E:$E,MATCH($B85,Colaboradores!$A:$A,0)),"")</f>
        <v/>
      </c>
      <c r="E85" s="15">
        <f>IFERROR(INDEX(Colaboradores!$D:$D,MATCH($B85,Colaboradores!$A:$A,0)),"")</f>
        <v/>
      </c>
      <c r="F85" s="19" t="n"/>
      <c r="G85" s="15">
        <f>IFERROR(INDEX(Competências!$B:$B,MATCH($F85,Competências!$C:$C,0)),"")</f>
        <v/>
      </c>
      <c r="H85" s="15">
        <f>IFERROR(INDEX(Competências!$E:$E,MATCH($F85,Competências!$C:$C,0)),"")</f>
        <v/>
      </c>
      <c r="I85" s="20" t="n"/>
      <c r="J85" s="20" t="n"/>
      <c r="K85" s="21">
        <f>IF(AND(ISNUMBER($I85),ISNUMBER($J85)),ABS($I85-$J85),"")</f>
        <v/>
      </c>
      <c r="L85" s="21">
        <f>IF(AND(NOT(ISNUMBER($I85)),NOT(ISNUMBER($J85))),"",IF(NOT(ISNUMBER($J85)),$I85,IF(NOT(ISNUMBER($I85)),$J85,IF($K85=0,$I85,IF($K85=1,IF($H85="Líder Técnico",$J85,IF($H85="GP",$I85,"CALIBRAR")),"CALIBRAR")))))</f>
        <v/>
      </c>
      <c r="M85" s="20" t="n"/>
      <c r="N85" s="21">
        <f>IF($C85="","",COUNTIFS(Ocorrências!$B:$B,$C85,Ocorrências!$F:$F,$F85,Ocorrências!$N:$N,$A85))</f>
        <v/>
      </c>
      <c r="O85" s="15">
        <f>IF($M85="","",IF(OR($M85=1,$M85=2,$M85=5),IF($N85&gt;0,"OK","SEM LASTRO"),"OK"))</f>
        <v/>
      </c>
      <c r="P85" s="19" t="n"/>
      <c r="Q85" s="18" t="n"/>
    </row>
    <row r="86">
      <c r="A86" s="19" t="n"/>
      <c r="B86" s="19" t="n"/>
      <c r="C86" s="15">
        <f>IFERROR(INDEX(Colaboradores!$B:$B,MATCH($B86,Colaboradores!$A:$A,0)),"")</f>
        <v/>
      </c>
      <c r="D86" s="15">
        <f>IFERROR(INDEX(Colaboradores!$E:$E,MATCH($B86,Colaboradores!$A:$A,0)),"")</f>
        <v/>
      </c>
      <c r="E86" s="15">
        <f>IFERROR(INDEX(Colaboradores!$D:$D,MATCH($B86,Colaboradores!$A:$A,0)),"")</f>
        <v/>
      </c>
      <c r="F86" s="19" t="n"/>
      <c r="G86" s="15">
        <f>IFERROR(INDEX(Competências!$B:$B,MATCH($F86,Competências!$C:$C,0)),"")</f>
        <v/>
      </c>
      <c r="H86" s="15">
        <f>IFERROR(INDEX(Competências!$E:$E,MATCH($F86,Competências!$C:$C,0)),"")</f>
        <v/>
      </c>
      <c r="I86" s="20" t="n"/>
      <c r="J86" s="20" t="n"/>
      <c r="K86" s="21">
        <f>IF(AND(ISNUMBER($I86),ISNUMBER($J86)),ABS($I86-$J86),"")</f>
        <v/>
      </c>
      <c r="L86" s="21">
        <f>IF(AND(NOT(ISNUMBER($I86)),NOT(ISNUMBER($J86))),"",IF(NOT(ISNUMBER($J86)),$I86,IF(NOT(ISNUMBER($I86)),$J86,IF($K86=0,$I86,IF($K86=1,IF($H86="Líder Técnico",$J86,IF($H86="GP",$I86,"CALIBRAR")),"CALIBRAR")))))</f>
        <v/>
      </c>
      <c r="M86" s="20" t="n"/>
      <c r="N86" s="21">
        <f>IF($C86="","",COUNTIFS(Ocorrências!$B:$B,$C86,Ocorrências!$F:$F,$F86,Ocorrências!$N:$N,$A86))</f>
        <v/>
      </c>
      <c r="O86" s="15">
        <f>IF($M86="","",IF(OR($M86=1,$M86=2,$M86=5),IF($N86&gt;0,"OK","SEM LASTRO"),"OK"))</f>
        <v/>
      </c>
      <c r="P86" s="19" t="n"/>
      <c r="Q86" s="18" t="n"/>
    </row>
    <row r="87">
      <c r="A87" s="19" t="n"/>
      <c r="B87" s="19" t="n"/>
      <c r="C87" s="15">
        <f>IFERROR(INDEX(Colaboradores!$B:$B,MATCH($B87,Colaboradores!$A:$A,0)),"")</f>
        <v/>
      </c>
      <c r="D87" s="15">
        <f>IFERROR(INDEX(Colaboradores!$E:$E,MATCH($B87,Colaboradores!$A:$A,0)),"")</f>
        <v/>
      </c>
      <c r="E87" s="15">
        <f>IFERROR(INDEX(Colaboradores!$D:$D,MATCH($B87,Colaboradores!$A:$A,0)),"")</f>
        <v/>
      </c>
      <c r="F87" s="19" t="n"/>
      <c r="G87" s="15">
        <f>IFERROR(INDEX(Competências!$B:$B,MATCH($F87,Competências!$C:$C,0)),"")</f>
        <v/>
      </c>
      <c r="H87" s="15">
        <f>IFERROR(INDEX(Competências!$E:$E,MATCH($F87,Competências!$C:$C,0)),"")</f>
        <v/>
      </c>
      <c r="I87" s="20" t="n"/>
      <c r="J87" s="20" t="n"/>
      <c r="K87" s="21">
        <f>IF(AND(ISNUMBER($I87),ISNUMBER($J87)),ABS($I87-$J87),"")</f>
        <v/>
      </c>
      <c r="L87" s="21">
        <f>IF(AND(NOT(ISNUMBER($I87)),NOT(ISNUMBER($J87))),"",IF(NOT(ISNUMBER($J87)),$I87,IF(NOT(ISNUMBER($I87)),$J87,IF($K87=0,$I87,IF($K87=1,IF($H87="Líder Técnico",$J87,IF($H87="GP",$I87,"CALIBRAR")),"CALIBRAR")))))</f>
        <v/>
      </c>
      <c r="M87" s="20" t="n"/>
      <c r="N87" s="21">
        <f>IF($C87="","",COUNTIFS(Ocorrências!$B:$B,$C87,Ocorrências!$F:$F,$F87,Ocorrências!$N:$N,$A87))</f>
        <v/>
      </c>
      <c r="O87" s="15">
        <f>IF($M87="","",IF(OR($M87=1,$M87=2,$M87=5),IF($N87&gt;0,"OK","SEM LASTRO"),"OK"))</f>
        <v/>
      </c>
      <c r="P87" s="19" t="n"/>
      <c r="Q87" s="18" t="n"/>
    </row>
    <row r="88">
      <c r="A88" s="19" t="n"/>
      <c r="B88" s="19" t="n"/>
      <c r="C88" s="15">
        <f>IFERROR(INDEX(Colaboradores!$B:$B,MATCH($B88,Colaboradores!$A:$A,0)),"")</f>
        <v/>
      </c>
      <c r="D88" s="15">
        <f>IFERROR(INDEX(Colaboradores!$E:$E,MATCH($B88,Colaboradores!$A:$A,0)),"")</f>
        <v/>
      </c>
      <c r="E88" s="15">
        <f>IFERROR(INDEX(Colaboradores!$D:$D,MATCH($B88,Colaboradores!$A:$A,0)),"")</f>
        <v/>
      </c>
      <c r="F88" s="19" t="n"/>
      <c r="G88" s="15">
        <f>IFERROR(INDEX(Competências!$B:$B,MATCH($F88,Competências!$C:$C,0)),"")</f>
        <v/>
      </c>
      <c r="H88" s="15">
        <f>IFERROR(INDEX(Competências!$E:$E,MATCH($F88,Competências!$C:$C,0)),"")</f>
        <v/>
      </c>
      <c r="I88" s="20" t="n"/>
      <c r="J88" s="20" t="n"/>
      <c r="K88" s="21">
        <f>IF(AND(ISNUMBER($I88),ISNUMBER($J88)),ABS($I88-$J88),"")</f>
        <v/>
      </c>
      <c r="L88" s="21">
        <f>IF(AND(NOT(ISNUMBER($I88)),NOT(ISNUMBER($J88))),"",IF(NOT(ISNUMBER($J88)),$I88,IF(NOT(ISNUMBER($I88)),$J88,IF($K88=0,$I88,IF($K88=1,IF($H88="Líder Técnico",$J88,IF($H88="GP",$I88,"CALIBRAR")),"CALIBRAR")))))</f>
        <v/>
      </c>
      <c r="M88" s="20" t="n"/>
      <c r="N88" s="21">
        <f>IF($C88="","",COUNTIFS(Ocorrências!$B:$B,$C88,Ocorrências!$F:$F,$F88,Ocorrências!$N:$N,$A88))</f>
        <v/>
      </c>
      <c r="O88" s="15">
        <f>IF($M88="","",IF(OR($M88=1,$M88=2,$M88=5),IF($N88&gt;0,"OK","SEM LASTRO"),"OK"))</f>
        <v/>
      </c>
      <c r="P88" s="19" t="n"/>
      <c r="Q88" s="18" t="n"/>
    </row>
    <row r="89">
      <c r="A89" s="19" t="n"/>
      <c r="B89" s="19" t="n"/>
      <c r="C89" s="15">
        <f>IFERROR(INDEX(Colaboradores!$B:$B,MATCH($B89,Colaboradores!$A:$A,0)),"")</f>
        <v/>
      </c>
      <c r="D89" s="15">
        <f>IFERROR(INDEX(Colaboradores!$E:$E,MATCH($B89,Colaboradores!$A:$A,0)),"")</f>
        <v/>
      </c>
      <c r="E89" s="15">
        <f>IFERROR(INDEX(Colaboradores!$D:$D,MATCH($B89,Colaboradores!$A:$A,0)),"")</f>
        <v/>
      </c>
      <c r="F89" s="19" t="n"/>
      <c r="G89" s="15">
        <f>IFERROR(INDEX(Competências!$B:$B,MATCH($F89,Competências!$C:$C,0)),"")</f>
        <v/>
      </c>
      <c r="H89" s="15">
        <f>IFERROR(INDEX(Competências!$E:$E,MATCH($F89,Competências!$C:$C,0)),"")</f>
        <v/>
      </c>
      <c r="I89" s="20" t="n"/>
      <c r="J89" s="20" t="n"/>
      <c r="K89" s="21">
        <f>IF(AND(ISNUMBER($I89),ISNUMBER($J89)),ABS($I89-$J89),"")</f>
        <v/>
      </c>
      <c r="L89" s="21">
        <f>IF(AND(NOT(ISNUMBER($I89)),NOT(ISNUMBER($J89))),"",IF(NOT(ISNUMBER($J89)),$I89,IF(NOT(ISNUMBER($I89)),$J89,IF($K89=0,$I89,IF($K89=1,IF($H89="Líder Técnico",$J89,IF($H89="GP",$I89,"CALIBRAR")),"CALIBRAR")))))</f>
        <v/>
      </c>
      <c r="M89" s="20" t="n"/>
      <c r="N89" s="21">
        <f>IF($C89="","",COUNTIFS(Ocorrências!$B:$B,$C89,Ocorrências!$F:$F,$F89,Ocorrências!$N:$N,$A89))</f>
        <v/>
      </c>
      <c r="O89" s="15">
        <f>IF($M89="","",IF(OR($M89=1,$M89=2,$M89=5),IF($N89&gt;0,"OK","SEM LASTRO"),"OK"))</f>
        <v/>
      </c>
      <c r="P89" s="19" t="n"/>
      <c r="Q89" s="18" t="n"/>
    </row>
    <row r="90">
      <c r="A90" s="19" t="n"/>
      <c r="B90" s="19" t="n"/>
      <c r="C90" s="15">
        <f>IFERROR(INDEX(Colaboradores!$B:$B,MATCH($B90,Colaboradores!$A:$A,0)),"")</f>
        <v/>
      </c>
      <c r="D90" s="15">
        <f>IFERROR(INDEX(Colaboradores!$E:$E,MATCH($B90,Colaboradores!$A:$A,0)),"")</f>
        <v/>
      </c>
      <c r="E90" s="15">
        <f>IFERROR(INDEX(Colaboradores!$D:$D,MATCH($B90,Colaboradores!$A:$A,0)),"")</f>
        <v/>
      </c>
      <c r="F90" s="19" t="n"/>
      <c r="G90" s="15">
        <f>IFERROR(INDEX(Competências!$B:$B,MATCH($F90,Competências!$C:$C,0)),"")</f>
        <v/>
      </c>
      <c r="H90" s="15">
        <f>IFERROR(INDEX(Competências!$E:$E,MATCH($F90,Competências!$C:$C,0)),"")</f>
        <v/>
      </c>
      <c r="I90" s="20" t="n"/>
      <c r="J90" s="20" t="n"/>
      <c r="K90" s="21">
        <f>IF(AND(ISNUMBER($I90),ISNUMBER($J90)),ABS($I90-$J90),"")</f>
        <v/>
      </c>
      <c r="L90" s="21">
        <f>IF(AND(NOT(ISNUMBER($I90)),NOT(ISNUMBER($J90))),"",IF(NOT(ISNUMBER($J90)),$I90,IF(NOT(ISNUMBER($I90)),$J90,IF($K90=0,$I90,IF($K90=1,IF($H90="Líder Técnico",$J90,IF($H90="GP",$I90,"CALIBRAR")),"CALIBRAR")))))</f>
        <v/>
      </c>
      <c r="M90" s="20" t="n"/>
      <c r="N90" s="21">
        <f>IF($C90="","",COUNTIFS(Ocorrências!$B:$B,$C90,Ocorrências!$F:$F,$F90,Ocorrências!$N:$N,$A90))</f>
        <v/>
      </c>
      <c r="O90" s="15">
        <f>IF($M90="","",IF(OR($M90=1,$M90=2,$M90=5),IF($N90&gt;0,"OK","SEM LASTRO"),"OK"))</f>
        <v/>
      </c>
      <c r="P90" s="19" t="n"/>
      <c r="Q90" s="18" t="n"/>
    </row>
    <row r="91">
      <c r="A91" s="19" t="n"/>
      <c r="B91" s="19" t="n"/>
      <c r="C91" s="15">
        <f>IFERROR(INDEX(Colaboradores!$B:$B,MATCH($B91,Colaboradores!$A:$A,0)),"")</f>
        <v/>
      </c>
      <c r="D91" s="15">
        <f>IFERROR(INDEX(Colaboradores!$E:$E,MATCH($B91,Colaboradores!$A:$A,0)),"")</f>
        <v/>
      </c>
      <c r="E91" s="15">
        <f>IFERROR(INDEX(Colaboradores!$D:$D,MATCH($B91,Colaboradores!$A:$A,0)),"")</f>
        <v/>
      </c>
      <c r="F91" s="19" t="n"/>
      <c r="G91" s="15">
        <f>IFERROR(INDEX(Competências!$B:$B,MATCH($F91,Competências!$C:$C,0)),"")</f>
        <v/>
      </c>
      <c r="H91" s="15">
        <f>IFERROR(INDEX(Competências!$E:$E,MATCH($F91,Competências!$C:$C,0)),"")</f>
        <v/>
      </c>
      <c r="I91" s="20" t="n"/>
      <c r="J91" s="20" t="n"/>
      <c r="K91" s="21">
        <f>IF(AND(ISNUMBER($I91),ISNUMBER($J91)),ABS($I91-$J91),"")</f>
        <v/>
      </c>
      <c r="L91" s="21">
        <f>IF(AND(NOT(ISNUMBER($I91)),NOT(ISNUMBER($J91))),"",IF(NOT(ISNUMBER($J91)),$I91,IF(NOT(ISNUMBER($I91)),$J91,IF($K91=0,$I91,IF($K91=1,IF($H91="Líder Técnico",$J91,IF($H91="GP",$I91,"CALIBRAR")),"CALIBRAR")))))</f>
        <v/>
      </c>
      <c r="M91" s="20" t="n"/>
      <c r="N91" s="21">
        <f>IF($C91="","",COUNTIFS(Ocorrências!$B:$B,$C91,Ocorrências!$F:$F,$F91,Ocorrências!$N:$N,$A91))</f>
        <v/>
      </c>
      <c r="O91" s="15">
        <f>IF($M91="","",IF(OR($M91=1,$M91=2,$M91=5),IF($N91&gt;0,"OK","SEM LASTRO"),"OK"))</f>
        <v/>
      </c>
      <c r="P91" s="19" t="n"/>
      <c r="Q91" s="18" t="n"/>
    </row>
    <row r="92">
      <c r="A92" s="19" t="n"/>
      <c r="B92" s="19" t="n"/>
      <c r="C92" s="15">
        <f>IFERROR(INDEX(Colaboradores!$B:$B,MATCH($B92,Colaboradores!$A:$A,0)),"")</f>
        <v/>
      </c>
      <c r="D92" s="15">
        <f>IFERROR(INDEX(Colaboradores!$E:$E,MATCH($B92,Colaboradores!$A:$A,0)),"")</f>
        <v/>
      </c>
      <c r="E92" s="15">
        <f>IFERROR(INDEX(Colaboradores!$D:$D,MATCH($B92,Colaboradores!$A:$A,0)),"")</f>
        <v/>
      </c>
      <c r="F92" s="19" t="n"/>
      <c r="G92" s="15">
        <f>IFERROR(INDEX(Competências!$B:$B,MATCH($F92,Competências!$C:$C,0)),"")</f>
        <v/>
      </c>
      <c r="H92" s="15">
        <f>IFERROR(INDEX(Competências!$E:$E,MATCH($F92,Competências!$C:$C,0)),"")</f>
        <v/>
      </c>
      <c r="I92" s="20" t="n"/>
      <c r="J92" s="20" t="n"/>
      <c r="K92" s="21">
        <f>IF(AND(ISNUMBER($I92),ISNUMBER($J92)),ABS($I92-$J92),"")</f>
        <v/>
      </c>
      <c r="L92" s="21">
        <f>IF(AND(NOT(ISNUMBER($I92)),NOT(ISNUMBER($J92))),"",IF(NOT(ISNUMBER($J92)),$I92,IF(NOT(ISNUMBER($I92)),$J92,IF($K92=0,$I92,IF($K92=1,IF($H92="Líder Técnico",$J92,IF($H92="GP",$I92,"CALIBRAR")),"CALIBRAR")))))</f>
        <v/>
      </c>
      <c r="M92" s="20" t="n"/>
      <c r="N92" s="21">
        <f>IF($C92="","",COUNTIFS(Ocorrências!$B:$B,$C92,Ocorrências!$F:$F,$F92,Ocorrências!$N:$N,$A92))</f>
        <v/>
      </c>
      <c r="O92" s="15">
        <f>IF($M92="","",IF(OR($M92=1,$M92=2,$M92=5),IF($N92&gt;0,"OK","SEM LASTRO"),"OK"))</f>
        <v/>
      </c>
      <c r="P92" s="19" t="n"/>
      <c r="Q92" s="18" t="n"/>
    </row>
    <row r="93">
      <c r="A93" s="19" t="n"/>
      <c r="B93" s="19" t="n"/>
      <c r="C93" s="15">
        <f>IFERROR(INDEX(Colaboradores!$B:$B,MATCH($B93,Colaboradores!$A:$A,0)),"")</f>
        <v/>
      </c>
      <c r="D93" s="15">
        <f>IFERROR(INDEX(Colaboradores!$E:$E,MATCH($B93,Colaboradores!$A:$A,0)),"")</f>
        <v/>
      </c>
      <c r="E93" s="15">
        <f>IFERROR(INDEX(Colaboradores!$D:$D,MATCH($B93,Colaboradores!$A:$A,0)),"")</f>
        <v/>
      </c>
      <c r="F93" s="19" t="n"/>
      <c r="G93" s="15">
        <f>IFERROR(INDEX(Competências!$B:$B,MATCH($F93,Competências!$C:$C,0)),"")</f>
        <v/>
      </c>
      <c r="H93" s="15">
        <f>IFERROR(INDEX(Competências!$E:$E,MATCH($F93,Competências!$C:$C,0)),"")</f>
        <v/>
      </c>
      <c r="I93" s="20" t="n"/>
      <c r="J93" s="20" t="n"/>
      <c r="K93" s="21">
        <f>IF(AND(ISNUMBER($I93),ISNUMBER($J93)),ABS($I93-$J93),"")</f>
        <v/>
      </c>
      <c r="L93" s="21">
        <f>IF(AND(NOT(ISNUMBER($I93)),NOT(ISNUMBER($J93))),"",IF(NOT(ISNUMBER($J93)),$I93,IF(NOT(ISNUMBER($I93)),$J93,IF($K93=0,$I93,IF($K93=1,IF($H93="Líder Técnico",$J93,IF($H93="GP",$I93,"CALIBRAR")),"CALIBRAR")))))</f>
        <v/>
      </c>
      <c r="M93" s="20" t="n"/>
      <c r="N93" s="21">
        <f>IF($C93="","",COUNTIFS(Ocorrências!$B:$B,$C93,Ocorrências!$F:$F,$F93,Ocorrências!$N:$N,$A93))</f>
        <v/>
      </c>
      <c r="O93" s="15">
        <f>IF($M93="","",IF(OR($M93=1,$M93=2,$M93=5),IF($N93&gt;0,"OK","SEM LASTRO"),"OK"))</f>
        <v/>
      </c>
      <c r="P93" s="19" t="n"/>
      <c r="Q93" s="18" t="n"/>
    </row>
    <row r="94">
      <c r="A94" s="19" t="n"/>
      <c r="B94" s="19" t="n"/>
      <c r="C94" s="15">
        <f>IFERROR(INDEX(Colaboradores!$B:$B,MATCH($B94,Colaboradores!$A:$A,0)),"")</f>
        <v/>
      </c>
      <c r="D94" s="15">
        <f>IFERROR(INDEX(Colaboradores!$E:$E,MATCH($B94,Colaboradores!$A:$A,0)),"")</f>
        <v/>
      </c>
      <c r="E94" s="15">
        <f>IFERROR(INDEX(Colaboradores!$D:$D,MATCH($B94,Colaboradores!$A:$A,0)),"")</f>
        <v/>
      </c>
      <c r="F94" s="19" t="n"/>
      <c r="G94" s="15">
        <f>IFERROR(INDEX(Competências!$B:$B,MATCH($F94,Competências!$C:$C,0)),"")</f>
        <v/>
      </c>
      <c r="H94" s="15">
        <f>IFERROR(INDEX(Competências!$E:$E,MATCH($F94,Competências!$C:$C,0)),"")</f>
        <v/>
      </c>
      <c r="I94" s="20" t="n"/>
      <c r="J94" s="20" t="n"/>
      <c r="K94" s="21">
        <f>IF(AND(ISNUMBER($I94),ISNUMBER($J94)),ABS($I94-$J94),"")</f>
        <v/>
      </c>
      <c r="L94" s="21">
        <f>IF(AND(NOT(ISNUMBER($I94)),NOT(ISNUMBER($J94))),"",IF(NOT(ISNUMBER($J94)),$I94,IF(NOT(ISNUMBER($I94)),$J94,IF($K94=0,$I94,IF($K94=1,IF($H94="Líder Técnico",$J94,IF($H94="GP",$I94,"CALIBRAR")),"CALIBRAR")))))</f>
        <v/>
      </c>
      <c r="M94" s="20" t="n"/>
      <c r="N94" s="21">
        <f>IF($C94="","",COUNTIFS(Ocorrências!$B:$B,$C94,Ocorrências!$F:$F,$F94,Ocorrências!$N:$N,$A94))</f>
        <v/>
      </c>
      <c r="O94" s="15">
        <f>IF($M94="","",IF(OR($M94=1,$M94=2,$M94=5),IF($N94&gt;0,"OK","SEM LASTRO"),"OK"))</f>
        <v/>
      </c>
      <c r="P94" s="19" t="n"/>
      <c r="Q94" s="18" t="n"/>
    </row>
    <row r="95">
      <c r="A95" s="19" t="n"/>
      <c r="B95" s="19" t="n"/>
      <c r="C95" s="15">
        <f>IFERROR(INDEX(Colaboradores!$B:$B,MATCH($B95,Colaboradores!$A:$A,0)),"")</f>
        <v/>
      </c>
      <c r="D95" s="15">
        <f>IFERROR(INDEX(Colaboradores!$E:$E,MATCH($B95,Colaboradores!$A:$A,0)),"")</f>
        <v/>
      </c>
      <c r="E95" s="15">
        <f>IFERROR(INDEX(Colaboradores!$D:$D,MATCH($B95,Colaboradores!$A:$A,0)),"")</f>
        <v/>
      </c>
      <c r="F95" s="19" t="n"/>
      <c r="G95" s="15">
        <f>IFERROR(INDEX(Competências!$B:$B,MATCH($F95,Competências!$C:$C,0)),"")</f>
        <v/>
      </c>
      <c r="H95" s="15">
        <f>IFERROR(INDEX(Competências!$E:$E,MATCH($F95,Competências!$C:$C,0)),"")</f>
        <v/>
      </c>
      <c r="I95" s="20" t="n"/>
      <c r="J95" s="20" t="n"/>
      <c r="K95" s="21">
        <f>IF(AND(ISNUMBER($I95),ISNUMBER($J95)),ABS($I95-$J95),"")</f>
        <v/>
      </c>
      <c r="L95" s="21">
        <f>IF(AND(NOT(ISNUMBER($I95)),NOT(ISNUMBER($J95))),"",IF(NOT(ISNUMBER($J95)),$I95,IF(NOT(ISNUMBER($I95)),$J95,IF($K95=0,$I95,IF($K95=1,IF($H95="Líder Técnico",$J95,IF($H95="GP",$I95,"CALIBRAR")),"CALIBRAR")))))</f>
        <v/>
      </c>
      <c r="M95" s="20" t="n"/>
      <c r="N95" s="21">
        <f>IF($C95="","",COUNTIFS(Ocorrências!$B:$B,$C95,Ocorrências!$F:$F,$F95,Ocorrências!$N:$N,$A95))</f>
        <v/>
      </c>
      <c r="O95" s="15">
        <f>IF($M95="","",IF(OR($M95=1,$M95=2,$M95=5),IF($N95&gt;0,"OK","SEM LASTRO"),"OK"))</f>
        <v/>
      </c>
      <c r="P95" s="19" t="n"/>
      <c r="Q95" s="18" t="n"/>
    </row>
    <row r="96">
      <c r="A96" s="19" t="n"/>
      <c r="B96" s="19" t="n"/>
      <c r="C96" s="15">
        <f>IFERROR(INDEX(Colaboradores!$B:$B,MATCH($B96,Colaboradores!$A:$A,0)),"")</f>
        <v/>
      </c>
      <c r="D96" s="15">
        <f>IFERROR(INDEX(Colaboradores!$E:$E,MATCH($B96,Colaboradores!$A:$A,0)),"")</f>
        <v/>
      </c>
      <c r="E96" s="15">
        <f>IFERROR(INDEX(Colaboradores!$D:$D,MATCH($B96,Colaboradores!$A:$A,0)),"")</f>
        <v/>
      </c>
      <c r="F96" s="19" t="n"/>
      <c r="G96" s="15">
        <f>IFERROR(INDEX(Competências!$B:$B,MATCH($F96,Competências!$C:$C,0)),"")</f>
        <v/>
      </c>
      <c r="H96" s="15">
        <f>IFERROR(INDEX(Competências!$E:$E,MATCH($F96,Competências!$C:$C,0)),"")</f>
        <v/>
      </c>
      <c r="I96" s="20" t="n"/>
      <c r="J96" s="20" t="n"/>
      <c r="K96" s="21">
        <f>IF(AND(ISNUMBER($I96),ISNUMBER($J96)),ABS($I96-$J96),"")</f>
        <v/>
      </c>
      <c r="L96" s="21">
        <f>IF(AND(NOT(ISNUMBER($I96)),NOT(ISNUMBER($J96))),"",IF(NOT(ISNUMBER($J96)),$I96,IF(NOT(ISNUMBER($I96)),$J96,IF($K96=0,$I96,IF($K96=1,IF($H96="Líder Técnico",$J96,IF($H96="GP",$I96,"CALIBRAR")),"CALIBRAR")))))</f>
        <v/>
      </c>
      <c r="M96" s="20" t="n"/>
      <c r="N96" s="21">
        <f>IF($C96="","",COUNTIFS(Ocorrências!$B:$B,$C96,Ocorrências!$F:$F,$F96,Ocorrências!$N:$N,$A96))</f>
        <v/>
      </c>
      <c r="O96" s="15">
        <f>IF($M96="","",IF(OR($M96=1,$M96=2,$M96=5),IF($N96&gt;0,"OK","SEM LASTRO"),"OK"))</f>
        <v/>
      </c>
      <c r="P96" s="19" t="n"/>
      <c r="Q96" s="18" t="n"/>
    </row>
    <row r="97">
      <c r="A97" s="19" t="n"/>
      <c r="B97" s="19" t="n"/>
      <c r="C97" s="15">
        <f>IFERROR(INDEX(Colaboradores!$B:$B,MATCH($B97,Colaboradores!$A:$A,0)),"")</f>
        <v/>
      </c>
      <c r="D97" s="15">
        <f>IFERROR(INDEX(Colaboradores!$E:$E,MATCH($B97,Colaboradores!$A:$A,0)),"")</f>
        <v/>
      </c>
      <c r="E97" s="15">
        <f>IFERROR(INDEX(Colaboradores!$D:$D,MATCH($B97,Colaboradores!$A:$A,0)),"")</f>
        <v/>
      </c>
      <c r="F97" s="19" t="n"/>
      <c r="G97" s="15">
        <f>IFERROR(INDEX(Competências!$B:$B,MATCH($F97,Competências!$C:$C,0)),"")</f>
        <v/>
      </c>
      <c r="H97" s="15">
        <f>IFERROR(INDEX(Competências!$E:$E,MATCH($F97,Competências!$C:$C,0)),"")</f>
        <v/>
      </c>
      <c r="I97" s="20" t="n"/>
      <c r="J97" s="20" t="n"/>
      <c r="K97" s="21">
        <f>IF(AND(ISNUMBER($I97),ISNUMBER($J97)),ABS($I97-$J97),"")</f>
        <v/>
      </c>
      <c r="L97" s="21">
        <f>IF(AND(NOT(ISNUMBER($I97)),NOT(ISNUMBER($J97))),"",IF(NOT(ISNUMBER($J97)),$I97,IF(NOT(ISNUMBER($I97)),$J97,IF($K97=0,$I97,IF($K97=1,IF($H97="Líder Técnico",$J97,IF($H97="GP",$I97,"CALIBRAR")),"CALIBRAR")))))</f>
        <v/>
      </c>
      <c r="M97" s="20" t="n"/>
      <c r="N97" s="21">
        <f>IF($C97="","",COUNTIFS(Ocorrências!$B:$B,$C97,Ocorrências!$F:$F,$F97,Ocorrências!$N:$N,$A97))</f>
        <v/>
      </c>
      <c r="O97" s="15">
        <f>IF($M97="","",IF(OR($M97=1,$M97=2,$M97=5),IF($N97&gt;0,"OK","SEM LASTRO"),"OK"))</f>
        <v/>
      </c>
      <c r="P97" s="19" t="n"/>
      <c r="Q97" s="18" t="n"/>
    </row>
    <row r="98">
      <c r="A98" s="19" t="n"/>
      <c r="B98" s="19" t="n"/>
      <c r="C98" s="15">
        <f>IFERROR(INDEX(Colaboradores!$B:$B,MATCH($B98,Colaboradores!$A:$A,0)),"")</f>
        <v/>
      </c>
      <c r="D98" s="15">
        <f>IFERROR(INDEX(Colaboradores!$E:$E,MATCH($B98,Colaboradores!$A:$A,0)),"")</f>
        <v/>
      </c>
      <c r="E98" s="15">
        <f>IFERROR(INDEX(Colaboradores!$D:$D,MATCH($B98,Colaboradores!$A:$A,0)),"")</f>
        <v/>
      </c>
      <c r="F98" s="19" t="n"/>
      <c r="G98" s="15">
        <f>IFERROR(INDEX(Competências!$B:$B,MATCH($F98,Competências!$C:$C,0)),"")</f>
        <v/>
      </c>
      <c r="H98" s="15">
        <f>IFERROR(INDEX(Competências!$E:$E,MATCH($F98,Competências!$C:$C,0)),"")</f>
        <v/>
      </c>
      <c r="I98" s="20" t="n"/>
      <c r="J98" s="20" t="n"/>
      <c r="K98" s="21">
        <f>IF(AND(ISNUMBER($I98),ISNUMBER($J98)),ABS($I98-$J98),"")</f>
        <v/>
      </c>
      <c r="L98" s="21">
        <f>IF(AND(NOT(ISNUMBER($I98)),NOT(ISNUMBER($J98))),"",IF(NOT(ISNUMBER($J98)),$I98,IF(NOT(ISNUMBER($I98)),$J98,IF($K98=0,$I98,IF($K98=1,IF($H98="Líder Técnico",$J98,IF($H98="GP",$I98,"CALIBRAR")),"CALIBRAR")))))</f>
        <v/>
      </c>
      <c r="M98" s="20" t="n"/>
      <c r="N98" s="21">
        <f>IF($C98="","",COUNTIFS(Ocorrências!$B:$B,$C98,Ocorrências!$F:$F,$F98,Ocorrências!$N:$N,$A98))</f>
        <v/>
      </c>
      <c r="O98" s="15">
        <f>IF($M98="","",IF(OR($M98=1,$M98=2,$M98=5),IF($N98&gt;0,"OK","SEM LASTRO"),"OK"))</f>
        <v/>
      </c>
      <c r="P98" s="19" t="n"/>
      <c r="Q98" s="18" t="n"/>
    </row>
    <row r="99">
      <c r="A99" s="19" t="n"/>
      <c r="B99" s="19" t="n"/>
      <c r="C99" s="15">
        <f>IFERROR(INDEX(Colaboradores!$B:$B,MATCH($B99,Colaboradores!$A:$A,0)),"")</f>
        <v/>
      </c>
      <c r="D99" s="15">
        <f>IFERROR(INDEX(Colaboradores!$E:$E,MATCH($B99,Colaboradores!$A:$A,0)),"")</f>
        <v/>
      </c>
      <c r="E99" s="15">
        <f>IFERROR(INDEX(Colaboradores!$D:$D,MATCH($B99,Colaboradores!$A:$A,0)),"")</f>
        <v/>
      </c>
      <c r="F99" s="19" t="n"/>
      <c r="G99" s="15">
        <f>IFERROR(INDEX(Competências!$B:$B,MATCH($F99,Competências!$C:$C,0)),"")</f>
        <v/>
      </c>
      <c r="H99" s="15">
        <f>IFERROR(INDEX(Competências!$E:$E,MATCH($F99,Competências!$C:$C,0)),"")</f>
        <v/>
      </c>
      <c r="I99" s="20" t="n"/>
      <c r="J99" s="20" t="n"/>
      <c r="K99" s="21">
        <f>IF(AND(ISNUMBER($I99),ISNUMBER($J99)),ABS($I99-$J99),"")</f>
        <v/>
      </c>
      <c r="L99" s="21">
        <f>IF(AND(NOT(ISNUMBER($I99)),NOT(ISNUMBER($J99))),"",IF(NOT(ISNUMBER($J99)),$I99,IF(NOT(ISNUMBER($I99)),$J99,IF($K99=0,$I99,IF($K99=1,IF($H99="Líder Técnico",$J99,IF($H99="GP",$I99,"CALIBRAR")),"CALIBRAR")))))</f>
        <v/>
      </c>
      <c r="M99" s="20" t="n"/>
      <c r="N99" s="21">
        <f>IF($C99="","",COUNTIFS(Ocorrências!$B:$B,$C99,Ocorrências!$F:$F,$F99,Ocorrências!$N:$N,$A99))</f>
        <v/>
      </c>
      <c r="O99" s="15">
        <f>IF($M99="","",IF(OR($M99=1,$M99=2,$M99=5),IF($N99&gt;0,"OK","SEM LASTRO"),"OK"))</f>
        <v/>
      </c>
      <c r="P99" s="19" t="n"/>
      <c r="Q99" s="18" t="n"/>
    </row>
    <row r="100">
      <c r="A100" s="19" t="n"/>
      <c r="B100" s="19" t="n"/>
      <c r="C100" s="15">
        <f>IFERROR(INDEX(Colaboradores!$B:$B,MATCH($B100,Colaboradores!$A:$A,0)),"")</f>
        <v/>
      </c>
      <c r="D100" s="15">
        <f>IFERROR(INDEX(Colaboradores!$E:$E,MATCH($B100,Colaboradores!$A:$A,0)),"")</f>
        <v/>
      </c>
      <c r="E100" s="15">
        <f>IFERROR(INDEX(Colaboradores!$D:$D,MATCH($B100,Colaboradores!$A:$A,0)),"")</f>
        <v/>
      </c>
      <c r="F100" s="19" t="n"/>
      <c r="G100" s="15">
        <f>IFERROR(INDEX(Competências!$B:$B,MATCH($F100,Competências!$C:$C,0)),"")</f>
        <v/>
      </c>
      <c r="H100" s="15">
        <f>IFERROR(INDEX(Competências!$E:$E,MATCH($F100,Competências!$C:$C,0)),"")</f>
        <v/>
      </c>
      <c r="I100" s="20" t="n"/>
      <c r="J100" s="20" t="n"/>
      <c r="K100" s="21">
        <f>IF(AND(ISNUMBER($I100),ISNUMBER($J100)),ABS($I100-$J100),"")</f>
        <v/>
      </c>
      <c r="L100" s="21">
        <f>IF(AND(NOT(ISNUMBER($I100)),NOT(ISNUMBER($J100))),"",IF(NOT(ISNUMBER($J100)),$I100,IF(NOT(ISNUMBER($I100)),$J100,IF($K100=0,$I100,IF($K100=1,IF($H100="Líder Técnico",$J100,IF($H100="GP",$I100,"CALIBRAR")),"CALIBRAR")))))</f>
        <v/>
      </c>
      <c r="M100" s="20" t="n"/>
      <c r="N100" s="21">
        <f>IF($C100="","",COUNTIFS(Ocorrências!$B:$B,$C100,Ocorrências!$F:$F,$F100,Ocorrências!$N:$N,$A100))</f>
        <v/>
      </c>
      <c r="O100" s="15">
        <f>IF($M100="","",IF(OR($M100=1,$M100=2,$M100=5),IF($N100&gt;0,"OK","SEM LASTRO"),"OK"))</f>
        <v/>
      </c>
      <c r="P100" s="19" t="n"/>
      <c r="Q100" s="18" t="n"/>
    </row>
    <row r="101">
      <c r="A101" s="19" t="n"/>
      <c r="B101" s="19" t="n"/>
      <c r="C101" s="15">
        <f>IFERROR(INDEX(Colaboradores!$B:$B,MATCH($B101,Colaboradores!$A:$A,0)),"")</f>
        <v/>
      </c>
      <c r="D101" s="15">
        <f>IFERROR(INDEX(Colaboradores!$E:$E,MATCH($B101,Colaboradores!$A:$A,0)),"")</f>
        <v/>
      </c>
      <c r="E101" s="15">
        <f>IFERROR(INDEX(Colaboradores!$D:$D,MATCH($B101,Colaboradores!$A:$A,0)),"")</f>
        <v/>
      </c>
      <c r="F101" s="19" t="n"/>
      <c r="G101" s="15">
        <f>IFERROR(INDEX(Competências!$B:$B,MATCH($F101,Competências!$C:$C,0)),"")</f>
        <v/>
      </c>
      <c r="H101" s="15">
        <f>IFERROR(INDEX(Competências!$E:$E,MATCH($F101,Competências!$C:$C,0)),"")</f>
        <v/>
      </c>
      <c r="I101" s="20" t="n"/>
      <c r="J101" s="20" t="n"/>
      <c r="K101" s="21">
        <f>IF(AND(ISNUMBER($I101),ISNUMBER($J101)),ABS($I101-$J101),"")</f>
        <v/>
      </c>
      <c r="L101" s="21">
        <f>IF(AND(NOT(ISNUMBER($I101)),NOT(ISNUMBER($J101))),"",IF(NOT(ISNUMBER($J101)),$I101,IF(NOT(ISNUMBER($I101)),$J101,IF($K101=0,$I101,IF($K101=1,IF($H101="Líder Técnico",$J101,IF($H101="GP",$I101,"CALIBRAR")),"CALIBRAR")))))</f>
        <v/>
      </c>
      <c r="M101" s="20" t="n"/>
      <c r="N101" s="21">
        <f>IF($C101="","",COUNTIFS(Ocorrências!$B:$B,$C101,Ocorrências!$F:$F,$F101,Ocorrências!$N:$N,$A101))</f>
        <v/>
      </c>
      <c r="O101" s="15">
        <f>IF($M101="","",IF(OR($M101=1,$M101=2,$M101=5),IF($N101&gt;0,"OK","SEM LASTRO"),"OK"))</f>
        <v/>
      </c>
      <c r="P101" s="19" t="n"/>
      <c r="Q101" s="18" t="n"/>
    </row>
    <row r="102">
      <c r="A102" s="19" t="n"/>
      <c r="B102" s="19" t="n"/>
      <c r="C102" s="15">
        <f>IFERROR(INDEX(Colaboradores!$B:$B,MATCH($B102,Colaboradores!$A:$A,0)),"")</f>
        <v/>
      </c>
      <c r="D102" s="15">
        <f>IFERROR(INDEX(Colaboradores!$E:$E,MATCH($B102,Colaboradores!$A:$A,0)),"")</f>
        <v/>
      </c>
      <c r="E102" s="15">
        <f>IFERROR(INDEX(Colaboradores!$D:$D,MATCH($B102,Colaboradores!$A:$A,0)),"")</f>
        <v/>
      </c>
      <c r="F102" s="19" t="n"/>
      <c r="G102" s="15">
        <f>IFERROR(INDEX(Competências!$B:$B,MATCH($F102,Competências!$C:$C,0)),"")</f>
        <v/>
      </c>
      <c r="H102" s="15">
        <f>IFERROR(INDEX(Competências!$E:$E,MATCH($F102,Competências!$C:$C,0)),"")</f>
        <v/>
      </c>
      <c r="I102" s="20" t="n"/>
      <c r="J102" s="20" t="n"/>
      <c r="K102" s="21">
        <f>IF(AND(ISNUMBER($I102),ISNUMBER($J102)),ABS($I102-$J102),"")</f>
        <v/>
      </c>
      <c r="L102" s="21">
        <f>IF(AND(NOT(ISNUMBER($I102)),NOT(ISNUMBER($J102))),"",IF(NOT(ISNUMBER($J102)),$I102,IF(NOT(ISNUMBER($I102)),$J102,IF($K102=0,$I102,IF($K102=1,IF($H102="Líder Técnico",$J102,IF($H102="GP",$I102,"CALIBRAR")),"CALIBRAR")))))</f>
        <v/>
      </c>
      <c r="M102" s="20" t="n"/>
      <c r="N102" s="21">
        <f>IF($C102="","",COUNTIFS(Ocorrências!$B:$B,$C102,Ocorrências!$F:$F,$F102,Ocorrências!$N:$N,$A102))</f>
        <v/>
      </c>
      <c r="O102" s="15">
        <f>IF($M102="","",IF(OR($M102=1,$M102=2,$M102=5),IF($N102&gt;0,"OK","SEM LASTRO"),"OK"))</f>
        <v/>
      </c>
      <c r="P102" s="19" t="n"/>
      <c r="Q102" s="18" t="n"/>
    </row>
    <row r="103">
      <c r="A103" s="19" t="n"/>
      <c r="B103" s="19" t="n"/>
      <c r="C103" s="15">
        <f>IFERROR(INDEX(Colaboradores!$B:$B,MATCH($B103,Colaboradores!$A:$A,0)),"")</f>
        <v/>
      </c>
      <c r="D103" s="15">
        <f>IFERROR(INDEX(Colaboradores!$E:$E,MATCH($B103,Colaboradores!$A:$A,0)),"")</f>
        <v/>
      </c>
      <c r="E103" s="15">
        <f>IFERROR(INDEX(Colaboradores!$D:$D,MATCH($B103,Colaboradores!$A:$A,0)),"")</f>
        <v/>
      </c>
      <c r="F103" s="19" t="n"/>
      <c r="G103" s="15">
        <f>IFERROR(INDEX(Competências!$B:$B,MATCH($F103,Competências!$C:$C,0)),"")</f>
        <v/>
      </c>
      <c r="H103" s="15">
        <f>IFERROR(INDEX(Competências!$E:$E,MATCH($F103,Competências!$C:$C,0)),"")</f>
        <v/>
      </c>
      <c r="I103" s="20" t="n"/>
      <c r="J103" s="20" t="n"/>
      <c r="K103" s="21">
        <f>IF(AND(ISNUMBER($I103),ISNUMBER($J103)),ABS($I103-$J103),"")</f>
        <v/>
      </c>
      <c r="L103" s="21">
        <f>IF(AND(NOT(ISNUMBER($I103)),NOT(ISNUMBER($J103))),"",IF(NOT(ISNUMBER($J103)),$I103,IF(NOT(ISNUMBER($I103)),$J103,IF($K103=0,$I103,IF($K103=1,IF($H103="Líder Técnico",$J103,IF($H103="GP",$I103,"CALIBRAR")),"CALIBRAR")))))</f>
        <v/>
      </c>
      <c r="M103" s="20" t="n"/>
      <c r="N103" s="21">
        <f>IF($C103="","",COUNTIFS(Ocorrências!$B:$B,$C103,Ocorrências!$F:$F,$F103,Ocorrências!$N:$N,$A103))</f>
        <v/>
      </c>
      <c r="O103" s="15">
        <f>IF($M103="","",IF(OR($M103=1,$M103=2,$M103=5),IF($N103&gt;0,"OK","SEM LASTRO"),"OK"))</f>
        <v/>
      </c>
      <c r="P103" s="19" t="n"/>
      <c r="Q103" s="18" t="n"/>
    </row>
    <row r="104">
      <c r="A104" s="19" t="n"/>
      <c r="B104" s="19" t="n"/>
      <c r="C104" s="15">
        <f>IFERROR(INDEX(Colaboradores!$B:$B,MATCH($B104,Colaboradores!$A:$A,0)),"")</f>
        <v/>
      </c>
      <c r="D104" s="15">
        <f>IFERROR(INDEX(Colaboradores!$E:$E,MATCH($B104,Colaboradores!$A:$A,0)),"")</f>
        <v/>
      </c>
      <c r="E104" s="15">
        <f>IFERROR(INDEX(Colaboradores!$D:$D,MATCH($B104,Colaboradores!$A:$A,0)),"")</f>
        <v/>
      </c>
      <c r="F104" s="19" t="n"/>
      <c r="G104" s="15">
        <f>IFERROR(INDEX(Competências!$B:$B,MATCH($F104,Competências!$C:$C,0)),"")</f>
        <v/>
      </c>
      <c r="H104" s="15">
        <f>IFERROR(INDEX(Competências!$E:$E,MATCH($F104,Competências!$C:$C,0)),"")</f>
        <v/>
      </c>
      <c r="I104" s="20" t="n"/>
      <c r="J104" s="20" t="n"/>
      <c r="K104" s="21">
        <f>IF(AND(ISNUMBER($I104),ISNUMBER($J104)),ABS($I104-$J104),"")</f>
        <v/>
      </c>
      <c r="L104" s="21">
        <f>IF(AND(NOT(ISNUMBER($I104)),NOT(ISNUMBER($J104))),"",IF(NOT(ISNUMBER($J104)),$I104,IF(NOT(ISNUMBER($I104)),$J104,IF($K104=0,$I104,IF($K104=1,IF($H104="Líder Técnico",$J104,IF($H104="GP",$I104,"CALIBRAR")),"CALIBRAR")))))</f>
        <v/>
      </c>
      <c r="M104" s="20" t="n"/>
      <c r="N104" s="21">
        <f>IF($C104="","",COUNTIFS(Ocorrências!$B:$B,$C104,Ocorrências!$F:$F,$F104,Ocorrências!$N:$N,$A104))</f>
        <v/>
      </c>
      <c r="O104" s="15">
        <f>IF($M104="","",IF(OR($M104=1,$M104=2,$M104=5),IF($N104&gt;0,"OK","SEM LASTRO"),"OK"))</f>
        <v/>
      </c>
      <c r="P104" s="19" t="n"/>
      <c r="Q104" s="18" t="n"/>
    </row>
    <row r="105">
      <c r="A105" s="19" t="n"/>
      <c r="B105" s="19" t="n"/>
      <c r="C105" s="15">
        <f>IFERROR(INDEX(Colaboradores!$B:$B,MATCH($B105,Colaboradores!$A:$A,0)),"")</f>
        <v/>
      </c>
      <c r="D105" s="15">
        <f>IFERROR(INDEX(Colaboradores!$E:$E,MATCH($B105,Colaboradores!$A:$A,0)),"")</f>
        <v/>
      </c>
      <c r="E105" s="15">
        <f>IFERROR(INDEX(Colaboradores!$D:$D,MATCH($B105,Colaboradores!$A:$A,0)),"")</f>
        <v/>
      </c>
      <c r="F105" s="19" t="n"/>
      <c r="G105" s="15">
        <f>IFERROR(INDEX(Competências!$B:$B,MATCH($F105,Competências!$C:$C,0)),"")</f>
        <v/>
      </c>
      <c r="H105" s="15">
        <f>IFERROR(INDEX(Competências!$E:$E,MATCH($F105,Competências!$C:$C,0)),"")</f>
        <v/>
      </c>
      <c r="I105" s="20" t="n"/>
      <c r="J105" s="20" t="n"/>
      <c r="K105" s="21">
        <f>IF(AND(ISNUMBER($I105),ISNUMBER($J105)),ABS($I105-$J105),"")</f>
        <v/>
      </c>
      <c r="L105" s="21">
        <f>IF(AND(NOT(ISNUMBER($I105)),NOT(ISNUMBER($J105))),"",IF(NOT(ISNUMBER($J105)),$I105,IF(NOT(ISNUMBER($I105)),$J105,IF($K105=0,$I105,IF($K105=1,IF($H105="Líder Técnico",$J105,IF($H105="GP",$I105,"CALIBRAR")),"CALIBRAR")))))</f>
        <v/>
      </c>
      <c r="M105" s="20" t="n"/>
      <c r="N105" s="21">
        <f>IF($C105="","",COUNTIFS(Ocorrências!$B:$B,$C105,Ocorrências!$F:$F,$F105,Ocorrências!$N:$N,$A105))</f>
        <v/>
      </c>
      <c r="O105" s="15">
        <f>IF($M105="","",IF(OR($M105=1,$M105=2,$M105=5),IF($N105&gt;0,"OK","SEM LASTRO"),"OK"))</f>
        <v/>
      </c>
      <c r="P105" s="19" t="n"/>
      <c r="Q105" s="18" t="n"/>
    </row>
    <row r="106">
      <c r="A106" s="19" t="n"/>
      <c r="B106" s="19" t="n"/>
      <c r="C106" s="15">
        <f>IFERROR(INDEX(Colaboradores!$B:$B,MATCH($B106,Colaboradores!$A:$A,0)),"")</f>
        <v/>
      </c>
      <c r="D106" s="15">
        <f>IFERROR(INDEX(Colaboradores!$E:$E,MATCH($B106,Colaboradores!$A:$A,0)),"")</f>
        <v/>
      </c>
      <c r="E106" s="15">
        <f>IFERROR(INDEX(Colaboradores!$D:$D,MATCH($B106,Colaboradores!$A:$A,0)),"")</f>
        <v/>
      </c>
      <c r="F106" s="19" t="n"/>
      <c r="G106" s="15">
        <f>IFERROR(INDEX(Competências!$B:$B,MATCH($F106,Competências!$C:$C,0)),"")</f>
        <v/>
      </c>
      <c r="H106" s="15">
        <f>IFERROR(INDEX(Competências!$E:$E,MATCH($F106,Competências!$C:$C,0)),"")</f>
        <v/>
      </c>
      <c r="I106" s="20" t="n"/>
      <c r="J106" s="20" t="n"/>
      <c r="K106" s="21">
        <f>IF(AND(ISNUMBER($I106),ISNUMBER($J106)),ABS($I106-$J106),"")</f>
        <v/>
      </c>
      <c r="L106" s="21">
        <f>IF(AND(NOT(ISNUMBER($I106)),NOT(ISNUMBER($J106))),"",IF(NOT(ISNUMBER($J106)),$I106,IF(NOT(ISNUMBER($I106)),$J106,IF($K106=0,$I106,IF($K106=1,IF($H106="Líder Técnico",$J106,IF($H106="GP",$I106,"CALIBRAR")),"CALIBRAR")))))</f>
        <v/>
      </c>
      <c r="M106" s="20" t="n"/>
      <c r="N106" s="21">
        <f>IF($C106="","",COUNTIFS(Ocorrências!$B:$B,$C106,Ocorrências!$F:$F,$F106,Ocorrências!$N:$N,$A106))</f>
        <v/>
      </c>
      <c r="O106" s="15">
        <f>IF($M106="","",IF(OR($M106=1,$M106=2,$M106=5),IF($N106&gt;0,"OK","SEM LASTRO"),"OK"))</f>
        <v/>
      </c>
      <c r="P106" s="19" t="n"/>
      <c r="Q106" s="18" t="n"/>
    </row>
    <row r="107">
      <c r="A107" s="19" t="n"/>
      <c r="B107" s="19" t="n"/>
      <c r="C107" s="15">
        <f>IFERROR(INDEX(Colaboradores!$B:$B,MATCH($B107,Colaboradores!$A:$A,0)),"")</f>
        <v/>
      </c>
      <c r="D107" s="15">
        <f>IFERROR(INDEX(Colaboradores!$E:$E,MATCH($B107,Colaboradores!$A:$A,0)),"")</f>
        <v/>
      </c>
      <c r="E107" s="15">
        <f>IFERROR(INDEX(Colaboradores!$D:$D,MATCH($B107,Colaboradores!$A:$A,0)),"")</f>
        <v/>
      </c>
      <c r="F107" s="19" t="n"/>
      <c r="G107" s="15">
        <f>IFERROR(INDEX(Competências!$B:$B,MATCH($F107,Competências!$C:$C,0)),"")</f>
        <v/>
      </c>
      <c r="H107" s="15">
        <f>IFERROR(INDEX(Competências!$E:$E,MATCH($F107,Competências!$C:$C,0)),"")</f>
        <v/>
      </c>
      <c r="I107" s="20" t="n"/>
      <c r="J107" s="20" t="n"/>
      <c r="K107" s="21">
        <f>IF(AND(ISNUMBER($I107),ISNUMBER($J107)),ABS($I107-$J107),"")</f>
        <v/>
      </c>
      <c r="L107" s="21">
        <f>IF(AND(NOT(ISNUMBER($I107)),NOT(ISNUMBER($J107))),"",IF(NOT(ISNUMBER($J107)),$I107,IF(NOT(ISNUMBER($I107)),$J107,IF($K107=0,$I107,IF($K107=1,IF($H107="Líder Técnico",$J107,IF($H107="GP",$I107,"CALIBRAR")),"CALIBRAR")))))</f>
        <v/>
      </c>
      <c r="M107" s="20" t="n"/>
      <c r="N107" s="21">
        <f>IF($C107="","",COUNTIFS(Ocorrências!$B:$B,$C107,Ocorrências!$F:$F,$F107,Ocorrências!$N:$N,$A107))</f>
        <v/>
      </c>
      <c r="O107" s="15">
        <f>IF($M107="","",IF(OR($M107=1,$M107=2,$M107=5),IF($N107&gt;0,"OK","SEM LASTRO"),"OK"))</f>
        <v/>
      </c>
      <c r="P107" s="19" t="n"/>
      <c r="Q107" s="18" t="n"/>
    </row>
    <row r="108">
      <c r="A108" s="19" t="n"/>
      <c r="B108" s="19" t="n"/>
      <c r="C108" s="15">
        <f>IFERROR(INDEX(Colaboradores!$B:$B,MATCH($B108,Colaboradores!$A:$A,0)),"")</f>
        <v/>
      </c>
      <c r="D108" s="15">
        <f>IFERROR(INDEX(Colaboradores!$E:$E,MATCH($B108,Colaboradores!$A:$A,0)),"")</f>
        <v/>
      </c>
      <c r="E108" s="15">
        <f>IFERROR(INDEX(Colaboradores!$D:$D,MATCH($B108,Colaboradores!$A:$A,0)),"")</f>
        <v/>
      </c>
      <c r="F108" s="19" t="n"/>
      <c r="G108" s="15">
        <f>IFERROR(INDEX(Competências!$B:$B,MATCH($F108,Competências!$C:$C,0)),"")</f>
        <v/>
      </c>
      <c r="H108" s="15">
        <f>IFERROR(INDEX(Competências!$E:$E,MATCH($F108,Competências!$C:$C,0)),"")</f>
        <v/>
      </c>
      <c r="I108" s="20" t="n"/>
      <c r="J108" s="20" t="n"/>
      <c r="K108" s="21">
        <f>IF(AND(ISNUMBER($I108),ISNUMBER($J108)),ABS($I108-$J108),"")</f>
        <v/>
      </c>
      <c r="L108" s="21">
        <f>IF(AND(NOT(ISNUMBER($I108)),NOT(ISNUMBER($J108))),"",IF(NOT(ISNUMBER($J108)),$I108,IF(NOT(ISNUMBER($I108)),$J108,IF($K108=0,$I108,IF($K108=1,IF($H108="Líder Técnico",$J108,IF($H108="GP",$I108,"CALIBRAR")),"CALIBRAR")))))</f>
        <v/>
      </c>
      <c r="M108" s="20" t="n"/>
      <c r="N108" s="21">
        <f>IF($C108="","",COUNTIFS(Ocorrências!$B:$B,$C108,Ocorrências!$F:$F,$F108,Ocorrências!$N:$N,$A108))</f>
        <v/>
      </c>
      <c r="O108" s="15">
        <f>IF($M108="","",IF(OR($M108=1,$M108=2,$M108=5),IF($N108&gt;0,"OK","SEM LASTRO"),"OK"))</f>
        <v/>
      </c>
      <c r="P108" s="19" t="n"/>
      <c r="Q108" s="18" t="n"/>
    </row>
    <row r="109">
      <c r="A109" s="19" t="n"/>
      <c r="B109" s="19" t="n"/>
      <c r="C109" s="15">
        <f>IFERROR(INDEX(Colaboradores!$B:$B,MATCH($B109,Colaboradores!$A:$A,0)),"")</f>
        <v/>
      </c>
      <c r="D109" s="15">
        <f>IFERROR(INDEX(Colaboradores!$E:$E,MATCH($B109,Colaboradores!$A:$A,0)),"")</f>
        <v/>
      </c>
      <c r="E109" s="15">
        <f>IFERROR(INDEX(Colaboradores!$D:$D,MATCH($B109,Colaboradores!$A:$A,0)),"")</f>
        <v/>
      </c>
      <c r="F109" s="19" t="n"/>
      <c r="G109" s="15">
        <f>IFERROR(INDEX(Competências!$B:$B,MATCH($F109,Competências!$C:$C,0)),"")</f>
        <v/>
      </c>
      <c r="H109" s="15">
        <f>IFERROR(INDEX(Competências!$E:$E,MATCH($F109,Competências!$C:$C,0)),"")</f>
        <v/>
      </c>
      <c r="I109" s="20" t="n"/>
      <c r="J109" s="20" t="n"/>
      <c r="K109" s="21">
        <f>IF(AND(ISNUMBER($I109),ISNUMBER($J109)),ABS($I109-$J109),"")</f>
        <v/>
      </c>
      <c r="L109" s="21">
        <f>IF(AND(NOT(ISNUMBER($I109)),NOT(ISNUMBER($J109))),"",IF(NOT(ISNUMBER($J109)),$I109,IF(NOT(ISNUMBER($I109)),$J109,IF($K109=0,$I109,IF($K109=1,IF($H109="Líder Técnico",$J109,IF($H109="GP",$I109,"CALIBRAR")),"CALIBRAR")))))</f>
        <v/>
      </c>
      <c r="M109" s="20" t="n"/>
      <c r="N109" s="21">
        <f>IF($C109="","",COUNTIFS(Ocorrências!$B:$B,$C109,Ocorrências!$F:$F,$F109,Ocorrências!$N:$N,$A109))</f>
        <v/>
      </c>
      <c r="O109" s="15">
        <f>IF($M109="","",IF(OR($M109=1,$M109=2,$M109=5),IF($N109&gt;0,"OK","SEM LASTRO"),"OK"))</f>
        <v/>
      </c>
      <c r="P109" s="19" t="n"/>
      <c r="Q109" s="18" t="n"/>
    </row>
    <row r="110">
      <c r="A110" s="19" t="n"/>
      <c r="B110" s="19" t="n"/>
      <c r="C110" s="15">
        <f>IFERROR(INDEX(Colaboradores!$B:$B,MATCH($B110,Colaboradores!$A:$A,0)),"")</f>
        <v/>
      </c>
      <c r="D110" s="15">
        <f>IFERROR(INDEX(Colaboradores!$E:$E,MATCH($B110,Colaboradores!$A:$A,0)),"")</f>
        <v/>
      </c>
      <c r="E110" s="15">
        <f>IFERROR(INDEX(Colaboradores!$D:$D,MATCH($B110,Colaboradores!$A:$A,0)),"")</f>
        <v/>
      </c>
      <c r="F110" s="19" t="n"/>
      <c r="G110" s="15">
        <f>IFERROR(INDEX(Competências!$B:$B,MATCH($F110,Competências!$C:$C,0)),"")</f>
        <v/>
      </c>
      <c r="H110" s="15">
        <f>IFERROR(INDEX(Competências!$E:$E,MATCH($F110,Competências!$C:$C,0)),"")</f>
        <v/>
      </c>
      <c r="I110" s="20" t="n"/>
      <c r="J110" s="20" t="n"/>
      <c r="K110" s="21">
        <f>IF(AND(ISNUMBER($I110),ISNUMBER($J110)),ABS($I110-$J110),"")</f>
        <v/>
      </c>
      <c r="L110" s="21">
        <f>IF(AND(NOT(ISNUMBER($I110)),NOT(ISNUMBER($J110))),"",IF(NOT(ISNUMBER($J110)),$I110,IF(NOT(ISNUMBER($I110)),$J110,IF($K110=0,$I110,IF($K110=1,IF($H110="Líder Técnico",$J110,IF($H110="GP",$I110,"CALIBRAR")),"CALIBRAR")))))</f>
        <v/>
      </c>
      <c r="M110" s="20" t="n"/>
      <c r="N110" s="21">
        <f>IF($C110="","",COUNTIFS(Ocorrências!$B:$B,$C110,Ocorrências!$F:$F,$F110,Ocorrências!$N:$N,$A110))</f>
        <v/>
      </c>
      <c r="O110" s="15">
        <f>IF($M110="","",IF(OR($M110=1,$M110=2,$M110=5),IF($N110&gt;0,"OK","SEM LASTRO"),"OK"))</f>
        <v/>
      </c>
      <c r="P110" s="19" t="n"/>
      <c r="Q110" s="18" t="n"/>
    </row>
    <row r="111">
      <c r="A111" s="19" t="n"/>
      <c r="B111" s="19" t="n"/>
      <c r="C111" s="15">
        <f>IFERROR(INDEX(Colaboradores!$B:$B,MATCH($B111,Colaboradores!$A:$A,0)),"")</f>
        <v/>
      </c>
      <c r="D111" s="15">
        <f>IFERROR(INDEX(Colaboradores!$E:$E,MATCH($B111,Colaboradores!$A:$A,0)),"")</f>
        <v/>
      </c>
      <c r="E111" s="15">
        <f>IFERROR(INDEX(Colaboradores!$D:$D,MATCH($B111,Colaboradores!$A:$A,0)),"")</f>
        <v/>
      </c>
      <c r="F111" s="19" t="n"/>
      <c r="G111" s="15">
        <f>IFERROR(INDEX(Competências!$B:$B,MATCH($F111,Competências!$C:$C,0)),"")</f>
        <v/>
      </c>
      <c r="H111" s="15">
        <f>IFERROR(INDEX(Competências!$E:$E,MATCH($F111,Competências!$C:$C,0)),"")</f>
        <v/>
      </c>
      <c r="I111" s="20" t="n"/>
      <c r="J111" s="20" t="n"/>
      <c r="K111" s="21">
        <f>IF(AND(ISNUMBER($I111),ISNUMBER($J111)),ABS($I111-$J111),"")</f>
        <v/>
      </c>
      <c r="L111" s="21">
        <f>IF(AND(NOT(ISNUMBER($I111)),NOT(ISNUMBER($J111))),"",IF(NOT(ISNUMBER($J111)),$I111,IF(NOT(ISNUMBER($I111)),$J111,IF($K111=0,$I111,IF($K111=1,IF($H111="Líder Técnico",$J111,IF($H111="GP",$I111,"CALIBRAR")),"CALIBRAR")))))</f>
        <v/>
      </c>
      <c r="M111" s="20" t="n"/>
      <c r="N111" s="21">
        <f>IF($C111="","",COUNTIFS(Ocorrências!$B:$B,$C111,Ocorrências!$F:$F,$F111,Ocorrências!$N:$N,$A111))</f>
        <v/>
      </c>
      <c r="O111" s="15">
        <f>IF($M111="","",IF(OR($M111=1,$M111=2,$M111=5),IF($N111&gt;0,"OK","SEM LASTRO"),"OK"))</f>
        <v/>
      </c>
      <c r="P111" s="19" t="n"/>
      <c r="Q111" s="18" t="n"/>
    </row>
    <row r="112">
      <c r="A112" s="19" t="n"/>
      <c r="B112" s="19" t="n"/>
      <c r="C112" s="15">
        <f>IFERROR(INDEX(Colaboradores!$B:$B,MATCH($B112,Colaboradores!$A:$A,0)),"")</f>
        <v/>
      </c>
      <c r="D112" s="15">
        <f>IFERROR(INDEX(Colaboradores!$E:$E,MATCH($B112,Colaboradores!$A:$A,0)),"")</f>
        <v/>
      </c>
      <c r="E112" s="15">
        <f>IFERROR(INDEX(Colaboradores!$D:$D,MATCH($B112,Colaboradores!$A:$A,0)),"")</f>
        <v/>
      </c>
      <c r="F112" s="19" t="n"/>
      <c r="G112" s="15">
        <f>IFERROR(INDEX(Competências!$B:$B,MATCH($F112,Competências!$C:$C,0)),"")</f>
        <v/>
      </c>
      <c r="H112" s="15">
        <f>IFERROR(INDEX(Competências!$E:$E,MATCH($F112,Competências!$C:$C,0)),"")</f>
        <v/>
      </c>
      <c r="I112" s="20" t="n"/>
      <c r="J112" s="20" t="n"/>
      <c r="K112" s="21">
        <f>IF(AND(ISNUMBER($I112),ISNUMBER($J112)),ABS($I112-$J112),"")</f>
        <v/>
      </c>
      <c r="L112" s="21">
        <f>IF(AND(NOT(ISNUMBER($I112)),NOT(ISNUMBER($J112))),"",IF(NOT(ISNUMBER($J112)),$I112,IF(NOT(ISNUMBER($I112)),$J112,IF($K112=0,$I112,IF($K112=1,IF($H112="Líder Técnico",$J112,IF($H112="GP",$I112,"CALIBRAR")),"CALIBRAR")))))</f>
        <v/>
      </c>
      <c r="M112" s="20" t="n"/>
      <c r="N112" s="21">
        <f>IF($C112="","",COUNTIFS(Ocorrências!$B:$B,$C112,Ocorrências!$F:$F,$F112,Ocorrências!$N:$N,$A112))</f>
        <v/>
      </c>
      <c r="O112" s="15">
        <f>IF($M112="","",IF(OR($M112=1,$M112=2,$M112=5),IF($N112&gt;0,"OK","SEM LASTRO"),"OK"))</f>
        <v/>
      </c>
      <c r="P112" s="19" t="n"/>
      <c r="Q112" s="18" t="n"/>
    </row>
    <row r="113">
      <c r="A113" s="19" t="n"/>
      <c r="B113" s="19" t="n"/>
      <c r="C113" s="15">
        <f>IFERROR(INDEX(Colaboradores!$B:$B,MATCH($B113,Colaboradores!$A:$A,0)),"")</f>
        <v/>
      </c>
      <c r="D113" s="15">
        <f>IFERROR(INDEX(Colaboradores!$E:$E,MATCH($B113,Colaboradores!$A:$A,0)),"")</f>
        <v/>
      </c>
      <c r="E113" s="15">
        <f>IFERROR(INDEX(Colaboradores!$D:$D,MATCH($B113,Colaboradores!$A:$A,0)),"")</f>
        <v/>
      </c>
      <c r="F113" s="19" t="n"/>
      <c r="G113" s="15">
        <f>IFERROR(INDEX(Competências!$B:$B,MATCH($F113,Competências!$C:$C,0)),"")</f>
        <v/>
      </c>
      <c r="H113" s="15">
        <f>IFERROR(INDEX(Competências!$E:$E,MATCH($F113,Competências!$C:$C,0)),"")</f>
        <v/>
      </c>
      <c r="I113" s="20" t="n"/>
      <c r="J113" s="20" t="n"/>
      <c r="K113" s="21">
        <f>IF(AND(ISNUMBER($I113),ISNUMBER($J113)),ABS($I113-$J113),"")</f>
        <v/>
      </c>
      <c r="L113" s="21">
        <f>IF(AND(NOT(ISNUMBER($I113)),NOT(ISNUMBER($J113))),"",IF(NOT(ISNUMBER($J113)),$I113,IF(NOT(ISNUMBER($I113)),$J113,IF($K113=0,$I113,IF($K113=1,IF($H113="Líder Técnico",$J113,IF($H113="GP",$I113,"CALIBRAR")),"CALIBRAR")))))</f>
        <v/>
      </c>
      <c r="M113" s="20" t="n"/>
      <c r="N113" s="21">
        <f>IF($C113="","",COUNTIFS(Ocorrências!$B:$B,$C113,Ocorrências!$F:$F,$F113,Ocorrências!$N:$N,$A113))</f>
        <v/>
      </c>
      <c r="O113" s="15">
        <f>IF($M113="","",IF(OR($M113=1,$M113=2,$M113=5),IF($N113&gt;0,"OK","SEM LASTRO"),"OK"))</f>
        <v/>
      </c>
      <c r="P113" s="19" t="n"/>
      <c r="Q113" s="18" t="n"/>
    </row>
    <row r="114">
      <c r="A114" s="19" t="n"/>
      <c r="B114" s="19" t="n"/>
      <c r="C114" s="15">
        <f>IFERROR(INDEX(Colaboradores!$B:$B,MATCH($B114,Colaboradores!$A:$A,0)),"")</f>
        <v/>
      </c>
      <c r="D114" s="15">
        <f>IFERROR(INDEX(Colaboradores!$E:$E,MATCH($B114,Colaboradores!$A:$A,0)),"")</f>
        <v/>
      </c>
      <c r="E114" s="15">
        <f>IFERROR(INDEX(Colaboradores!$D:$D,MATCH($B114,Colaboradores!$A:$A,0)),"")</f>
        <v/>
      </c>
      <c r="F114" s="19" t="n"/>
      <c r="G114" s="15">
        <f>IFERROR(INDEX(Competências!$B:$B,MATCH($F114,Competências!$C:$C,0)),"")</f>
        <v/>
      </c>
      <c r="H114" s="15">
        <f>IFERROR(INDEX(Competências!$E:$E,MATCH($F114,Competências!$C:$C,0)),"")</f>
        <v/>
      </c>
      <c r="I114" s="20" t="n"/>
      <c r="J114" s="20" t="n"/>
      <c r="K114" s="21">
        <f>IF(AND(ISNUMBER($I114),ISNUMBER($J114)),ABS($I114-$J114),"")</f>
        <v/>
      </c>
      <c r="L114" s="21">
        <f>IF(AND(NOT(ISNUMBER($I114)),NOT(ISNUMBER($J114))),"",IF(NOT(ISNUMBER($J114)),$I114,IF(NOT(ISNUMBER($I114)),$J114,IF($K114=0,$I114,IF($K114=1,IF($H114="Líder Técnico",$J114,IF($H114="GP",$I114,"CALIBRAR")),"CALIBRAR")))))</f>
        <v/>
      </c>
      <c r="M114" s="20" t="n"/>
      <c r="N114" s="21">
        <f>IF($C114="","",COUNTIFS(Ocorrências!$B:$B,$C114,Ocorrências!$F:$F,$F114,Ocorrências!$N:$N,$A114))</f>
        <v/>
      </c>
      <c r="O114" s="15">
        <f>IF($M114="","",IF(OR($M114=1,$M114=2,$M114=5),IF($N114&gt;0,"OK","SEM LASTRO"),"OK"))</f>
        <v/>
      </c>
      <c r="P114" s="19" t="n"/>
      <c r="Q114" s="18" t="n"/>
    </row>
    <row r="115">
      <c r="A115" s="19" t="n"/>
      <c r="B115" s="19" t="n"/>
      <c r="C115" s="15">
        <f>IFERROR(INDEX(Colaboradores!$B:$B,MATCH($B115,Colaboradores!$A:$A,0)),"")</f>
        <v/>
      </c>
      <c r="D115" s="15">
        <f>IFERROR(INDEX(Colaboradores!$E:$E,MATCH($B115,Colaboradores!$A:$A,0)),"")</f>
        <v/>
      </c>
      <c r="E115" s="15">
        <f>IFERROR(INDEX(Colaboradores!$D:$D,MATCH($B115,Colaboradores!$A:$A,0)),"")</f>
        <v/>
      </c>
      <c r="F115" s="19" t="n"/>
      <c r="G115" s="15">
        <f>IFERROR(INDEX(Competências!$B:$B,MATCH($F115,Competências!$C:$C,0)),"")</f>
        <v/>
      </c>
      <c r="H115" s="15">
        <f>IFERROR(INDEX(Competências!$E:$E,MATCH($F115,Competências!$C:$C,0)),"")</f>
        <v/>
      </c>
      <c r="I115" s="20" t="n"/>
      <c r="J115" s="20" t="n"/>
      <c r="K115" s="21">
        <f>IF(AND(ISNUMBER($I115),ISNUMBER($J115)),ABS($I115-$J115),"")</f>
        <v/>
      </c>
      <c r="L115" s="21">
        <f>IF(AND(NOT(ISNUMBER($I115)),NOT(ISNUMBER($J115))),"",IF(NOT(ISNUMBER($J115)),$I115,IF(NOT(ISNUMBER($I115)),$J115,IF($K115=0,$I115,IF($K115=1,IF($H115="Líder Técnico",$J115,IF($H115="GP",$I115,"CALIBRAR")),"CALIBRAR")))))</f>
        <v/>
      </c>
      <c r="M115" s="20" t="n"/>
      <c r="N115" s="21">
        <f>IF($C115="","",COUNTIFS(Ocorrências!$B:$B,$C115,Ocorrências!$F:$F,$F115,Ocorrências!$N:$N,$A115))</f>
        <v/>
      </c>
      <c r="O115" s="15">
        <f>IF($M115="","",IF(OR($M115=1,$M115=2,$M115=5),IF($N115&gt;0,"OK","SEM LASTRO"),"OK"))</f>
        <v/>
      </c>
      <c r="P115" s="19" t="n"/>
      <c r="Q115" s="18" t="n"/>
    </row>
    <row r="116">
      <c r="A116" s="19" t="n"/>
      <c r="B116" s="19" t="n"/>
      <c r="C116" s="15">
        <f>IFERROR(INDEX(Colaboradores!$B:$B,MATCH($B116,Colaboradores!$A:$A,0)),"")</f>
        <v/>
      </c>
      <c r="D116" s="15">
        <f>IFERROR(INDEX(Colaboradores!$E:$E,MATCH($B116,Colaboradores!$A:$A,0)),"")</f>
        <v/>
      </c>
      <c r="E116" s="15">
        <f>IFERROR(INDEX(Colaboradores!$D:$D,MATCH($B116,Colaboradores!$A:$A,0)),"")</f>
        <v/>
      </c>
      <c r="F116" s="19" t="n"/>
      <c r="G116" s="15">
        <f>IFERROR(INDEX(Competências!$B:$B,MATCH($F116,Competências!$C:$C,0)),"")</f>
        <v/>
      </c>
      <c r="H116" s="15">
        <f>IFERROR(INDEX(Competências!$E:$E,MATCH($F116,Competências!$C:$C,0)),"")</f>
        <v/>
      </c>
      <c r="I116" s="20" t="n"/>
      <c r="J116" s="20" t="n"/>
      <c r="K116" s="21">
        <f>IF(AND(ISNUMBER($I116),ISNUMBER($J116)),ABS($I116-$J116),"")</f>
        <v/>
      </c>
      <c r="L116" s="21">
        <f>IF(AND(NOT(ISNUMBER($I116)),NOT(ISNUMBER($J116))),"",IF(NOT(ISNUMBER($J116)),$I116,IF(NOT(ISNUMBER($I116)),$J116,IF($K116=0,$I116,IF($K116=1,IF($H116="Líder Técnico",$J116,IF($H116="GP",$I116,"CALIBRAR")),"CALIBRAR")))))</f>
        <v/>
      </c>
      <c r="M116" s="20" t="n"/>
      <c r="N116" s="21">
        <f>IF($C116="","",COUNTIFS(Ocorrências!$B:$B,$C116,Ocorrências!$F:$F,$F116,Ocorrências!$N:$N,$A116))</f>
        <v/>
      </c>
      <c r="O116" s="15">
        <f>IF($M116="","",IF(OR($M116=1,$M116=2,$M116=5),IF($N116&gt;0,"OK","SEM LASTRO"),"OK"))</f>
        <v/>
      </c>
      <c r="P116" s="19" t="n"/>
      <c r="Q116" s="18" t="n"/>
    </row>
    <row r="117">
      <c r="A117" s="19" t="n"/>
      <c r="B117" s="19" t="n"/>
      <c r="C117" s="15">
        <f>IFERROR(INDEX(Colaboradores!$B:$B,MATCH($B117,Colaboradores!$A:$A,0)),"")</f>
        <v/>
      </c>
      <c r="D117" s="15">
        <f>IFERROR(INDEX(Colaboradores!$E:$E,MATCH($B117,Colaboradores!$A:$A,0)),"")</f>
        <v/>
      </c>
      <c r="E117" s="15">
        <f>IFERROR(INDEX(Colaboradores!$D:$D,MATCH($B117,Colaboradores!$A:$A,0)),"")</f>
        <v/>
      </c>
      <c r="F117" s="19" t="n"/>
      <c r="G117" s="15">
        <f>IFERROR(INDEX(Competências!$B:$B,MATCH($F117,Competências!$C:$C,0)),"")</f>
        <v/>
      </c>
      <c r="H117" s="15">
        <f>IFERROR(INDEX(Competências!$E:$E,MATCH($F117,Competências!$C:$C,0)),"")</f>
        <v/>
      </c>
      <c r="I117" s="20" t="n"/>
      <c r="J117" s="20" t="n"/>
      <c r="K117" s="21">
        <f>IF(AND(ISNUMBER($I117),ISNUMBER($J117)),ABS($I117-$J117),"")</f>
        <v/>
      </c>
      <c r="L117" s="21">
        <f>IF(AND(NOT(ISNUMBER($I117)),NOT(ISNUMBER($J117))),"",IF(NOT(ISNUMBER($J117)),$I117,IF(NOT(ISNUMBER($I117)),$J117,IF($K117=0,$I117,IF($K117=1,IF($H117="Líder Técnico",$J117,IF($H117="GP",$I117,"CALIBRAR")),"CALIBRAR")))))</f>
        <v/>
      </c>
      <c r="M117" s="20" t="n"/>
      <c r="N117" s="21">
        <f>IF($C117="","",COUNTIFS(Ocorrências!$B:$B,$C117,Ocorrências!$F:$F,$F117,Ocorrências!$N:$N,$A117))</f>
        <v/>
      </c>
      <c r="O117" s="15">
        <f>IF($M117="","",IF(OR($M117=1,$M117=2,$M117=5),IF($N117&gt;0,"OK","SEM LASTRO"),"OK"))</f>
        <v/>
      </c>
      <c r="P117" s="19" t="n"/>
      <c r="Q117" s="18" t="n"/>
    </row>
    <row r="118">
      <c r="A118" s="19" t="n"/>
      <c r="B118" s="19" t="n"/>
      <c r="C118" s="15">
        <f>IFERROR(INDEX(Colaboradores!$B:$B,MATCH($B118,Colaboradores!$A:$A,0)),"")</f>
        <v/>
      </c>
      <c r="D118" s="15">
        <f>IFERROR(INDEX(Colaboradores!$E:$E,MATCH($B118,Colaboradores!$A:$A,0)),"")</f>
        <v/>
      </c>
      <c r="E118" s="15">
        <f>IFERROR(INDEX(Colaboradores!$D:$D,MATCH($B118,Colaboradores!$A:$A,0)),"")</f>
        <v/>
      </c>
      <c r="F118" s="19" t="n"/>
      <c r="G118" s="15">
        <f>IFERROR(INDEX(Competências!$B:$B,MATCH($F118,Competências!$C:$C,0)),"")</f>
        <v/>
      </c>
      <c r="H118" s="15">
        <f>IFERROR(INDEX(Competências!$E:$E,MATCH($F118,Competências!$C:$C,0)),"")</f>
        <v/>
      </c>
      <c r="I118" s="20" t="n"/>
      <c r="J118" s="20" t="n"/>
      <c r="K118" s="21">
        <f>IF(AND(ISNUMBER($I118),ISNUMBER($J118)),ABS($I118-$J118),"")</f>
        <v/>
      </c>
      <c r="L118" s="21">
        <f>IF(AND(NOT(ISNUMBER($I118)),NOT(ISNUMBER($J118))),"",IF(NOT(ISNUMBER($J118)),$I118,IF(NOT(ISNUMBER($I118)),$J118,IF($K118=0,$I118,IF($K118=1,IF($H118="Líder Técnico",$J118,IF($H118="GP",$I118,"CALIBRAR")),"CALIBRAR")))))</f>
        <v/>
      </c>
      <c r="M118" s="20" t="n"/>
      <c r="N118" s="21">
        <f>IF($C118="","",COUNTIFS(Ocorrências!$B:$B,$C118,Ocorrências!$F:$F,$F118,Ocorrências!$N:$N,$A118))</f>
        <v/>
      </c>
      <c r="O118" s="15">
        <f>IF($M118="","",IF(OR($M118=1,$M118=2,$M118=5),IF($N118&gt;0,"OK","SEM LASTRO"),"OK"))</f>
        <v/>
      </c>
      <c r="P118" s="19" t="n"/>
      <c r="Q118" s="18" t="n"/>
    </row>
    <row r="119">
      <c r="A119" s="19" t="n"/>
      <c r="B119" s="19" t="n"/>
      <c r="C119" s="15">
        <f>IFERROR(INDEX(Colaboradores!$B:$B,MATCH($B119,Colaboradores!$A:$A,0)),"")</f>
        <v/>
      </c>
      <c r="D119" s="15">
        <f>IFERROR(INDEX(Colaboradores!$E:$E,MATCH($B119,Colaboradores!$A:$A,0)),"")</f>
        <v/>
      </c>
      <c r="E119" s="15">
        <f>IFERROR(INDEX(Colaboradores!$D:$D,MATCH($B119,Colaboradores!$A:$A,0)),"")</f>
        <v/>
      </c>
      <c r="F119" s="19" t="n"/>
      <c r="G119" s="15">
        <f>IFERROR(INDEX(Competências!$B:$B,MATCH($F119,Competências!$C:$C,0)),"")</f>
        <v/>
      </c>
      <c r="H119" s="15">
        <f>IFERROR(INDEX(Competências!$E:$E,MATCH($F119,Competências!$C:$C,0)),"")</f>
        <v/>
      </c>
      <c r="I119" s="20" t="n"/>
      <c r="J119" s="20" t="n"/>
      <c r="K119" s="21">
        <f>IF(AND(ISNUMBER($I119),ISNUMBER($J119)),ABS($I119-$J119),"")</f>
        <v/>
      </c>
      <c r="L119" s="21">
        <f>IF(AND(NOT(ISNUMBER($I119)),NOT(ISNUMBER($J119))),"",IF(NOT(ISNUMBER($J119)),$I119,IF(NOT(ISNUMBER($I119)),$J119,IF($K119=0,$I119,IF($K119=1,IF($H119="Líder Técnico",$J119,IF($H119="GP",$I119,"CALIBRAR")),"CALIBRAR")))))</f>
        <v/>
      </c>
      <c r="M119" s="20" t="n"/>
      <c r="N119" s="21">
        <f>IF($C119="","",COUNTIFS(Ocorrências!$B:$B,$C119,Ocorrências!$F:$F,$F119,Ocorrências!$N:$N,$A119))</f>
        <v/>
      </c>
      <c r="O119" s="15">
        <f>IF($M119="","",IF(OR($M119=1,$M119=2,$M119=5),IF($N119&gt;0,"OK","SEM LASTRO"),"OK"))</f>
        <v/>
      </c>
      <c r="P119" s="19" t="n"/>
      <c r="Q119" s="18" t="n"/>
    </row>
    <row r="120">
      <c r="A120" s="19" t="n"/>
      <c r="B120" s="19" t="n"/>
      <c r="C120" s="15">
        <f>IFERROR(INDEX(Colaboradores!$B:$B,MATCH($B120,Colaboradores!$A:$A,0)),"")</f>
        <v/>
      </c>
      <c r="D120" s="15">
        <f>IFERROR(INDEX(Colaboradores!$E:$E,MATCH($B120,Colaboradores!$A:$A,0)),"")</f>
        <v/>
      </c>
      <c r="E120" s="15">
        <f>IFERROR(INDEX(Colaboradores!$D:$D,MATCH($B120,Colaboradores!$A:$A,0)),"")</f>
        <v/>
      </c>
      <c r="F120" s="19" t="n"/>
      <c r="G120" s="15">
        <f>IFERROR(INDEX(Competências!$B:$B,MATCH($F120,Competências!$C:$C,0)),"")</f>
        <v/>
      </c>
      <c r="H120" s="15">
        <f>IFERROR(INDEX(Competências!$E:$E,MATCH($F120,Competências!$C:$C,0)),"")</f>
        <v/>
      </c>
      <c r="I120" s="20" t="n"/>
      <c r="J120" s="20" t="n"/>
      <c r="K120" s="21">
        <f>IF(AND(ISNUMBER($I120),ISNUMBER($J120)),ABS($I120-$J120),"")</f>
        <v/>
      </c>
      <c r="L120" s="21">
        <f>IF(AND(NOT(ISNUMBER($I120)),NOT(ISNUMBER($J120))),"",IF(NOT(ISNUMBER($J120)),$I120,IF(NOT(ISNUMBER($I120)),$J120,IF($K120=0,$I120,IF($K120=1,IF($H120="Líder Técnico",$J120,IF($H120="GP",$I120,"CALIBRAR")),"CALIBRAR")))))</f>
        <v/>
      </c>
      <c r="M120" s="20" t="n"/>
      <c r="N120" s="21">
        <f>IF($C120="","",COUNTIFS(Ocorrências!$B:$B,$C120,Ocorrências!$F:$F,$F120,Ocorrências!$N:$N,$A120))</f>
        <v/>
      </c>
      <c r="O120" s="15">
        <f>IF($M120="","",IF(OR($M120=1,$M120=2,$M120=5),IF($N120&gt;0,"OK","SEM LASTRO"),"OK"))</f>
        <v/>
      </c>
      <c r="P120" s="19" t="n"/>
      <c r="Q120" s="18" t="n"/>
    </row>
    <row r="121">
      <c r="A121" s="19" t="n"/>
      <c r="B121" s="19" t="n"/>
      <c r="C121" s="15">
        <f>IFERROR(INDEX(Colaboradores!$B:$B,MATCH($B121,Colaboradores!$A:$A,0)),"")</f>
        <v/>
      </c>
      <c r="D121" s="15">
        <f>IFERROR(INDEX(Colaboradores!$E:$E,MATCH($B121,Colaboradores!$A:$A,0)),"")</f>
        <v/>
      </c>
      <c r="E121" s="15">
        <f>IFERROR(INDEX(Colaboradores!$D:$D,MATCH($B121,Colaboradores!$A:$A,0)),"")</f>
        <v/>
      </c>
      <c r="F121" s="19" t="n"/>
      <c r="G121" s="15">
        <f>IFERROR(INDEX(Competências!$B:$B,MATCH($F121,Competências!$C:$C,0)),"")</f>
        <v/>
      </c>
      <c r="H121" s="15">
        <f>IFERROR(INDEX(Competências!$E:$E,MATCH($F121,Competências!$C:$C,0)),"")</f>
        <v/>
      </c>
      <c r="I121" s="20" t="n"/>
      <c r="J121" s="20" t="n"/>
      <c r="K121" s="21">
        <f>IF(AND(ISNUMBER($I121),ISNUMBER($J121)),ABS($I121-$J121),"")</f>
        <v/>
      </c>
      <c r="L121" s="21">
        <f>IF(AND(NOT(ISNUMBER($I121)),NOT(ISNUMBER($J121))),"",IF(NOT(ISNUMBER($J121)),$I121,IF(NOT(ISNUMBER($I121)),$J121,IF($K121=0,$I121,IF($K121=1,IF($H121="Líder Técnico",$J121,IF($H121="GP",$I121,"CALIBRAR")),"CALIBRAR")))))</f>
        <v/>
      </c>
      <c r="M121" s="20" t="n"/>
      <c r="N121" s="21">
        <f>IF($C121="","",COUNTIFS(Ocorrências!$B:$B,$C121,Ocorrências!$F:$F,$F121,Ocorrências!$N:$N,$A121))</f>
        <v/>
      </c>
      <c r="O121" s="15">
        <f>IF($M121="","",IF(OR($M121=1,$M121=2,$M121=5),IF($N121&gt;0,"OK","SEM LASTRO"),"OK"))</f>
        <v/>
      </c>
      <c r="P121" s="19" t="n"/>
      <c r="Q121" s="18" t="n"/>
    </row>
    <row r="122">
      <c r="A122" s="19" t="n"/>
      <c r="B122" s="19" t="n"/>
      <c r="C122" s="15">
        <f>IFERROR(INDEX(Colaboradores!$B:$B,MATCH($B122,Colaboradores!$A:$A,0)),"")</f>
        <v/>
      </c>
      <c r="D122" s="15">
        <f>IFERROR(INDEX(Colaboradores!$E:$E,MATCH($B122,Colaboradores!$A:$A,0)),"")</f>
        <v/>
      </c>
      <c r="E122" s="15">
        <f>IFERROR(INDEX(Colaboradores!$D:$D,MATCH($B122,Colaboradores!$A:$A,0)),"")</f>
        <v/>
      </c>
      <c r="F122" s="19" t="n"/>
      <c r="G122" s="15">
        <f>IFERROR(INDEX(Competências!$B:$B,MATCH($F122,Competências!$C:$C,0)),"")</f>
        <v/>
      </c>
      <c r="H122" s="15">
        <f>IFERROR(INDEX(Competências!$E:$E,MATCH($F122,Competências!$C:$C,0)),"")</f>
        <v/>
      </c>
      <c r="I122" s="20" t="n"/>
      <c r="J122" s="20" t="n"/>
      <c r="K122" s="21">
        <f>IF(AND(ISNUMBER($I122),ISNUMBER($J122)),ABS($I122-$J122),"")</f>
        <v/>
      </c>
      <c r="L122" s="21">
        <f>IF(AND(NOT(ISNUMBER($I122)),NOT(ISNUMBER($J122))),"",IF(NOT(ISNUMBER($J122)),$I122,IF(NOT(ISNUMBER($I122)),$J122,IF($K122=0,$I122,IF($K122=1,IF($H122="Líder Técnico",$J122,IF($H122="GP",$I122,"CALIBRAR")),"CALIBRAR")))))</f>
        <v/>
      </c>
      <c r="M122" s="20" t="n"/>
      <c r="N122" s="21">
        <f>IF($C122="","",COUNTIFS(Ocorrências!$B:$B,$C122,Ocorrências!$F:$F,$F122,Ocorrências!$N:$N,$A122))</f>
        <v/>
      </c>
      <c r="O122" s="15">
        <f>IF($M122="","",IF(OR($M122=1,$M122=2,$M122=5),IF($N122&gt;0,"OK","SEM LASTRO"),"OK"))</f>
        <v/>
      </c>
      <c r="P122" s="19" t="n"/>
      <c r="Q122" s="18" t="n"/>
    </row>
    <row r="123">
      <c r="A123" s="19" t="n"/>
      <c r="B123" s="19" t="n"/>
      <c r="C123" s="15">
        <f>IFERROR(INDEX(Colaboradores!$B:$B,MATCH($B123,Colaboradores!$A:$A,0)),"")</f>
        <v/>
      </c>
      <c r="D123" s="15">
        <f>IFERROR(INDEX(Colaboradores!$E:$E,MATCH($B123,Colaboradores!$A:$A,0)),"")</f>
        <v/>
      </c>
      <c r="E123" s="15">
        <f>IFERROR(INDEX(Colaboradores!$D:$D,MATCH($B123,Colaboradores!$A:$A,0)),"")</f>
        <v/>
      </c>
      <c r="F123" s="19" t="n"/>
      <c r="G123" s="15">
        <f>IFERROR(INDEX(Competências!$B:$B,MATCH($F123,Competências!$C:$C,0)),"")</f>
        <v/>
      </c>
      <c r="H123" s="15">
        <f>IFERROR(INDEX(Competências!$E:$E,MATCH($F123,Competências!$C:$C,0)),"")</f>
        <v/>
      </c>
      <c r="I123" s="20" t="n"/>
      <c r="J123" s="20" t="n"/>
      <c r="K123" s="21">
        <f>IF(AND(ISNUMBER($I123),ISNUMBER($J123)),ABS($I123-$J123),"")</f>
        <v/>
      </c>
      <c r="L123" s="21">
        <f>IF(AND(NOT(ISNUMBER($I123)),NOT(ISNUMBER($J123))),"",IF(NOT(ISNUMBER($J123)),$I123,IF(NOT(ISNUMBER($I123)),$J123,IF($K123=0,$I123,IF($K123=1,IF($H123="Líder Técnico",$J123,IF($H123="GP",$I123,"CALIBRAR")),"CALIBRAR")))))</f>
        <v/>
      </c>
      <c r="M123" s="20" t="n"/>
      <c r="N123" s="21">
        <f>IF($C123="","",COUNTIFS(Ocorrências!$B:$B,$C123,Ocorrências!$F:$F,$F123,Ocorrências!$N:$N,$A123))</f>
        <v/>
      </c>
      <c r="O123" s="15">
        <f>IF($M123="","",IF(OR($M123=1,$M123=2,$M123=5),IF($N123&gt;0,"OK","SEM LASTRO"),"OK"))</f>
        <v/>
      </c>
      <c r="P123" s="19" t="n"/>
      <c r="Q123" s="18" t="n"/>
    </row>
    <row r="124">
      <c r="A124" s="19" t="n"/>
      <c r="B124" s="19" t="n"/>
      <c r="C124" s="15">
        <f>IFERROR(INDEX(Colaboradores!$B:$B,MATCH($B124,Colaboradores!$A:$A,0)),"")</f>
        <v/>
      </c>
      <c r="D124" s="15">
        <f>IFERROR(INDEX(Colaboradores!$E:$E,MATCH($B124,Colaboradores!$A:$A,0)),"")</f>
        <v/>
      </c>
      <c r="E124" s="15">
        <f>IFERROR(INDEX(Colaboradores!$D:$D,MATCH($B124,Colaboradores!$A:$A,0)),"")</f>
        <v/>
      </c>
      <c r="F124" s="19" t="n"/>
      <c r="G124" s="15">
        <f>IFERROR(INDEX(Competências!$B:$B,MATCH($F124,Competências!$C:$C,0)),"")</f>
        <v/>
      </c>
      <c r="H124" s="15">
        <f>IFERROR(INDEX(Competências!$E:$E,MATCH($F124,Competências!$C:$C,0)),"")</f>
        <v/>
      </c>
      <c r="I124" s="20" t="n"/>
      <c r="J124" s="20" t="n"/>
      <c r="K124" s="21">
        <f>IF(AND(ISNUMBER($I124),ISNUMBER($J124)),ABS($I124-$J124),"")</f>
        <v/>
      </c>
      <c r="L124" s="21">
        <f>IF(AND(NOT(ISNUMBER($I124)),NOT(ISNUMBER($J124))),"",IF(NOT(ISNUMBER($J124)),$I124,IF(NOT(ISNUMBER($I124)),$J124,IF($K124=0,$I124,IF($K124=1,IF($H124="Líder Técnico",$J124,IF($H124="GP",$I124,"CALIBRAR")),"CALIBRAR")))))</f>
        <v/>
      </c>
      <c r="M124" s="20" t="n"/>
      <c r="N124" s="21">
        <f>IF($C124="","",COUNTIFS(Ocorrências!$B:$B,$C124,Ocorrências!$F:$F,$F124,Ocorrências!$N:$N,$A124))</f>
        <v/>
      </c>
      <c r="O124" s="15">
        <f>IF($M124="","",IF(OR($M124=1,$M124=2,$M124=5),IF($N124&gt;0,"OK","SEM LASTRO"),"OK"))</f>
        <v/>
      </c>
      <c r="P124" s="19" t="n"/>
      <c r="Q124" s="18" t="n"/>
    </row>
    <row r="125">
      <c r="A125" s="19" t="n"/>
      <c r="B125" s="19" t="n"/>
      <c r="C125" s="15">
        <f>IFERROR(INDEX(Colaboradores!$B:$B,MATCH($B125,Colaboradores!$A:$A,0)),"")</f>
        <v/>
      </c>
      <c r="D125" s="15">
        <f>IFERROR(INDEX(Colaboradores!$E:$E,MATCH($B125,Colaboradores!$A:$A,0)),"")</f>
        <v/>
      </c>
      <c r="E125" s="15">
        <f>IFERROR(INDEX(Colaboradores!$D:$D,MATCH($B125,Colaboradores!$A:$A,0)),"")</f>
        <v/>
      </c>
      <c r="F125" s="19" t="n"/>
      <c r="G125" s="15">
        <f>IFERROR(INDEX(Competências!$B:$B,MATCH($F125,Competências!$C:$C,0)),"")</f>
        <v/>
      </c>
      <c r="H125" s="15">
        <f>IFERROR(INDEX(Competências!$E:$E,MATCH($F125,Competências!$C:$C,0)),"")</f>
        <v/>
      </c>
      <c r="I125" s="20" t="n"/>
      <c r="J125" s="20" t="n"/>
      <c r="K125" s="21">
        <f>IF(AND(ISNUMBER($I125),ISNUMBER($J125)),ABS($I125-$J125),"")</f>
        <v/>
      </c>
      <c r="L125" s="21">
        <f>IF(AND(NOT(ISNUMBER($I125)),NOT(ISNUMBER($J125))),"",IF(NOT(ISNUMBER($J125)),$I125,IF(NOT(ISNUMBER($I125)),$J125,IF($K125=0,$I125,IF($K125=1,IF($H125="Líder Técnico",$J125,IF($H125="GP",$I125,"CALIBRAR")),"CALIBRAR")))))</f>
        <v/>
      </c>
      <c r="M125" s="20" t="n"/>
      <c r="N125" s="21">
        <f>IF($C125="","",COUNTIFS(Ocorrências!$B:$B,$C125,Ocorrências!$F:$F,$F125,Ocorrências!$N:$N,$A125))</f>
        <v/>
      </c>
      <c r="O125" s="15">
        <f>IF($M125="","",IF(OR($M125=1,$M125=2,$M125=5),IF($N125&gt;0,"OK","SEM LASTRO"),"OK"))</f>
        <v/>
      </c>
      <c r="P125" s="19" t="n"/>
      <c r="Q125" s="18" t="n"/>
    </row>
    <row r="126">
      <c r="A126" s="19" t="n"/>
      <c r="B126" s="19" t="n"/>
      <c r="C126" s="15">
        <f>IFERROR(INDEX(Colaboradores!$B:$B,MATCH($B126,Colaboradores!$A:$A,0)),"")</f>
        <v/>
      </c>
      <c r="D126" s="15">
        <f>IFERROR(INDEX(Colaboradores!$E:$E,MATCH($B126,Colaboradores!$A:$A,0)),"")</f>
        <v/>
      </c>
      <c r="E126" s="15">
        <f>IFERROR(INDEX(Colaboradores!$D:$D,MATCH($B126,Colaboradores!$A:$A,0)),"")</f>
        <v/>
      </c>
      <c r="F126" s="19" t="n"/>
      <c r="G126" s="15">
        <f>IFERROR(INDEX(Competências!$B:$B,MATCH($F126,Competências!$C:$C,0)),"")</f>
        <v/>
      </c>
      <c r="H126" s="15">
        <f>IFERROR(INDEX(Competências!$E:$E,MATCH($F126,Competências!$C:$C,0)),"")</f>
        <v/>
      </c>
      <c r="I126" s="20" t="n"/>
      <c r="J126" s="20" t="n"/>
      <c r="K126" s="21">
        <f>IF(AND(ISNUMBER($I126),ISNUMBER($J126)),ABS($I126-$J126),"")</f>
        <v/>
      </c>
      <c r="L126" s="21">
        <f>IF(AND(NOT(ISNUMBER($I126)),NOT(ISNUMBER($J126))),"",IF(NOT(ISNUMBER($J126)),$I126,IF(NOT(ISNUMBER($I126)),$J126,IF($K126=0,$I126,IF($K126=1,IF($H126="Líder Técnico",$J126,IF($H126="GP",$I126,"CALIBRAR")),"CALIBRAR")))))</f>
        <v/>
      </c>
      <c r="M126" s="20" t="n"/>
      <c r="N126" s="21">
        <f>IF($C126="","",COUNTIFS(Ocorrências!$B:$B,$C126,Ocorrências!$F:$F,$F126,Ocorrências!$N:$N,$A126))</f>
        <v/>
      </c>
      <c r="O126" s="15">
        <f>IF($M126="","",IF(OR($M126=1,$M126=2,$M126=5),IF($N126&gt;0,"OK","SEM LASTRO"),"OK"))</f>
        <v/>
      </c>
      <c r="P126" s="19" t="n"/>
      <c r="Q126" s="18" t="n"/>
    </row>
    <row r="127">
      <c r="A127" s="19" t="n"/>
      <c r="B127" s="19" t="n"/>
      <c r="C127" s="15">
        <f>IFERROR(INDEX(Colaboradores!$B:$B,MATCH($B127,Colaboradores!$A:$A,0)),"")</f>
        <v/>
      </c>
      <c r="D127" s="15">
        <f>IFERROR(INDEX(Colaboradores!$E:$E,MATCH($B127,Colaboradores!$A:$A,0)),"")</f>
        <v/>
      </c>
      <c r="E127" s="15">
        <f>IFERROR(INDEX(Colaboradores!$D:$D,MATCH($B127,Colaboradores!$A:$A,0)),"")</f>
        <v/>
      </c>
      <c r="F127" s="19" t="n"/>
      <c r="G127" s="15">
        <f>IFERROR(INDEX(Competências!$B:$B,MATCH($F127,Competências!$C:$C,0)),"")</f>
        <v/>
      </c>
      <c r="H127" s="15">
        <f>IFERROR(INDEX(Competências!$E:$E,MATCH($F127,Competências!$C:$C,0)),"")</f>
        <v/>
      </c>
      <c r="I127" s="20" t="n"/>
      <c r="J127" s="20" t="n"/>
      <c r="K127" s="21">
        <f>IF(AND(ISNUMBER($I127),ISNUMBER($J127)),ABS($I127-$J127),"")</f>
        <v/>
      </c>
      <c r="L127" s="21">
        <f>IF(AND(NOT(ISNUMBER($I127)),NOT(ISNUMBER($J127))),"",IF(NOT(ISNUMBER($J127)),$I127,IF(NOT(ISNUMBER($I127)),$J127,IF($K127=0,$I127,IF($K127=1,IF($H127="Líder Técnico",$J127,IF($H127="GP",$I127,"CALIBRAR")),"CALIBRAR")))))</f>
        <v/>
      </c>
      <c r="M127" s="20" t="n"/>
      <c r="N127" s="21">
        <f>IF($C127="","",COUNTIFS(Ocorrências!$B:$B,$C127,Ocorrências!$F:$F,$F127,Ocorrências!$N:$N,$A127))</f>
        <v/>
      </c>
      <c r="O127" s="15">
        <f>IF($M127="","",IF(OR($M127=1,$M127=2,$M127=5),IF($N127&gt;0,"OK","SEM LASTRO"),"OK"))</f>
        <v/>
      </c>
      <c r="P127" s="19" t="n"/>
      <c r="Q127" s="18" t="n"/>
    </row>
    <row r="128">
      <c r="A128" s="19" t="n"/>
      <c r="B128" s="19" t="n"/>
      <c r="C128" s="15">
        <f>IFERROR(INDEX(Colaboradores!$B:$B,MATCH($B128,Colaboradores!$A:$A,0)),"")</f>
        <v/>
      </c>
      <c r="D128" s="15">
        <f>IFERROR(INDEX(Colaboradores!$E:$E,MATCH($B128,Colaboradores!$A:$A,0)),"")</f>
        <v/>
      </c>
      <c r="E128" s="15">
        <f>IFERROR(INDEX(Colaboradores!$D:$D,MATCH($B128,Colaboradores!$A:$A,0)),"")</f>
        <v/>
      </c>
      <c r="F128" s="19" t="n"/>
      <c r="G128" s="15">
        <f>IFERROR(INDEX(Competências!$B:$B,MATCH($F128,Competências!$C:$C,0)),"")</f>
        <v/>
      </c>
      <c r="H128" s="15">
        <f>IFERROR(INDEX(Competências!$E:$E,MATCH($F128,Competências!$C:$C,0)),"")</f>
        <v/>
      </c>
      <c r="I128" s="20" t="n"/>
      <c r="J128" s="20" t="n"/>
      <c r="K128" s="21">
        <f>IF(AND(ISNUMBER($I128),ISNUMBER($J128)),ABS($I128-$J128),"")</f>
        <v/>
      </c>
      <c r="L128" s="21">
        <f>IF(AND(NOT(ISNUMBER($I128)),NOT(ISNUMBER($J128))),"",IF(NOT(ISNUMBER($J128)),$I128,IF(NOT(ISNUMBER($I128)),$J128,IF($K128=0,$I128,IF($K128=1,IF($H128="Líder Técnico",$J128,IF($H128="GP",$I128,"CALIBRAR")),"CALIBRAR")))))</f>
        <v/>
      </c>
      <c r="M128" s="20" t="n"/>
      <c r="N128" s="21">
        <f>IF($C128="","",COUNTIFS(Ocorrências!$B:$B,$C128,Ocorrências!$F:$F,$F128,Ocorrências!$N:$N,$A128))</f>
        <v/>
      </c>
      <c r="O128" s="15">
        <f>IF($M128="","",IF(OR($M128=1,$M128=2,$M128=5),IF($N128&gt;0,"OK","SEM LASTRO"),"OK"))</f>
        <v/>
      </c>
      <c r="P128" s="19" t="n"/>
      <c r="Q128" s="18" t="n"/>
    </row>
    <row r="129">
      <c r="A129" s="19" t="n"/>
      <c r="B129" s="19" t="n"/>
      <c r="C129" s="15">
        <f>IFERROR(INDEX(Colaboradores!$B:$B,MATCH($B129,Colaboradores!$A:$A,0)),"")</f>
        <v/>
      </c>
      <c r="D129" s="15">
        <f>IFERROR(INDEX(Colaboradores!$E:$E,MATCH($B129,Colaboradores!$A:$A,0)),"")</f>
        <v/>
      </c>
      <c r="E129" s="15">
        <f>IFERROR(INDEX(Colaboradores!$D:$D,MATCH($B129,Colaboradores!$A:$A,0)),"")</f>
        <v/>
      </c>
      <c r="F129" s="19" t="n"/>
      <c r="G129" s="15">
        <f>IFERROR(INDEX(Competências!$B:$B,MATCH($F129,Competências!$C:$C,0)),"")</f>
        <v/>
      </c>
      <c r="H129" s="15">
        <f>IFERROR(INDEX(Competências!$E:$E,MATCH($F129,Competências!$C:$C,0)),"")</f>
        <v/>
      </c>
      <c r="I129" s="20" t="n"/>
      <c r="J129" s="20" t="n"/>
      <c r="K129" s="21">
        <f>IF(AND(ISNUMBER($I129),ISNUMBER($J129)),ABS($I129-$J129),"")</f>
        <v/>
      </c>
      <c r="L129" s="21">
        <f>IF(AND(NOT(ISNUMBER($I129)),NOT(ISNUMBER($J129))),"",IF(NOT(ISNUMBER($J129)),$I129,IF(NOT(ISNUMBER($I129)),$J129,IF($K129=0,$I129,IF($K129=1,IF($H129="Líder Técnico",$J129,IF($H129="GP",$I129,"CALIBRAR")),"CALIBRAR")))))</f>
        <v/>
      </c>
      <c r="M129" s="20" t="n"/>
      <c r="N129" s="21">
        <f>IF($C129="","",COUNTIFS(Ocorrências!$B:$B,$C129,Ocorrências!$F:$F,$F129,Ocorrências!$N:$N,$A129))</f>
        <v/>
      </c>
      <c r="O129" s="15">
        <f>IF($M129="","",IF(OR($M129=1,$M129=2,$M129=5),IF($N129&gt;0,"OK","SEM LASTRO"),"OK"))</f>
        <v/>
      </c>
      <c r="P129" s="19" t="n"/>
      <c r="Q129" s="18" t="n"/>
    </row>
    <row r="130">
      <c r="A130" s="19" t="n"/>
      <c r="B130" s="19" t="n"/>
      <c r="C130" s="15">
        <f>IFERROR(INDEX(Colaboradores!$B:$B,MATCH($B130,Colaboradores!$A:$A,0)),"")</f>
        <v/>
      </c>
      <c r="D130" s="15">
        <f>IFERROR(INDEX(Colaboradores!$E:$E,MATCH($B130,Colaboradores!$A:$A,0)),"")</f>
        <v/>
      </c>
      <c r="E130" s="15">
        <f>IFERROR(INDEX(Colaboradores!$D:$D,MATCH($B130,Colaboradores!$A:$A,0)),"")</f>
        <v/>
      </c>
      <c r="F130" s="19" t="n"/>
      <c r="G130" s="15">
        <f>IFERROR(INDEX(Competências!$B:$B,MATCH($F130,Competências!$C:$C,0)),"")</f>
        <v/>
      </c>
      <c r="H130" s="15">
        <f>IFERROR(INDEX(Competências!$E:$E,MATCH($F130,Competências!$C:$C,0)),"")</f>
        <v/>
      </c>
      <c r="I130" s="20" t="n"/>
      <c r="J130" s="20" t="n"/>
      <c r="K130" s="21">
        <f>IF(AND(ISNUMBER($I130),ISNUMBER($J130)),ABS($I130-$J130),"")</f>
        <v/>
      </c>
      <c r="L130" s="21">
        <f>IF(AND(NOT(ISNUMBER($I130)),NOT(ISNUMBER($J130))),"",IF(NOT(ISNUMBER($J130)),$I130,IF(NOT(ISNUMBER($I130)),$J130,IF($K130=0,$I130,IF($K130=1,IF($H130="Líder Técnico",$J130,IF($H130="GP",$I130,"CALIBRAR")),"CALIBRAR")))))</f>
        <v/>
      </c>
      <c r="M130" s="20" t="n"/>
      <c r="N130" s="21">
        <f>IF($C130="","",COUNTIFS(Ocorrências!$B:$B,$C130,Ocorrências!$F:$F,$F130,Ocorrências!$N:$N,$A130))</f>
        <v/>
      </c>
      <c r="O130" s="15">
        <f>IF($M130="","",IF(OR($M130=1,$M130=2,$M130=5),IF($N130&gt;0,"OK","SEM LASTRO"),"OK"))</f>
        <v/>
      </c>
      <c r="P130" s="19" t="n"/>
      <c r="Q130" s="18" t="n"/>
    </row>
    <row r="131">
      <c r="A131" s="19" t="n"/>
      <c r="B131" s="19" t="n"/>
      <c r="C131" s="15">
        <f>IFERROR(INDEX(Colaboradores!$B:$B,MATCH($B131,Colaboradores!$A:$A,0)),"")</f>
        <v/>
      </c>
      <c r="D131" s="15">
        <f>IFERROR(INDEX(Colaboradores!$E:$E,MATCH($B131,Colaboradores!$A:$A,0)),"")</f>
        <v/>
      </c>
      <c r="E131" s="15">
        <f>IFERROR(INDEX(Colaboradores!$D:$D,MATCH($B131,Colaboradores!$A:$A,0)),"")</f>
        <v/>
      </c>
      <c r="F131" s="19" t="n"/>
      <c r="G131" s="15">
        <f>IFERROR(INDEX(Competências!$B:$B,MATCH($F131,Competências!$C:$C,0)),"")</f>
        <v/>
      </c>
      <c r="H131" s="15">
        <f>IFERROR(INDEX(Competências!$E:$E,MATCH($F131,Competências!$C:$C,0)),"")</f>
        <v/>
      </c>
      <c r="I131" s="20" t="n"/>
      <c r="J131" s="20" t="n"/>
      <c r="K131" s="21">
        <f>IF(AND(ISNUMBER($I131),ISNUMBER($J131)),ABS($I131-$J131),"")</f>
        <v/>
      </c>
      <c r="L131" s="21">
        <f>IF(AND(NOT(ISNUMBER($I131)),NOT(ISNUMBER($J131))),"",IF(NOT(ISNUMBER($J131)),$I131,IF(NOT(ISNUMBER($I131)),$J131,IF($K131=0,$I131,IF($K131=1,IF($H131="Líder Técnico",$J131,IF($H131="GP",$I131,"CALIBRAR")),"CALIBRAR")))))</f>
        <v/>
      </c>
      <c r="M131" s="20" t="n"/>
      <c r="N131" s="21">
        <f>IF($C131="","",COUNTIFS(Ocorrências!$B:$B,$C131,Ocorrências!$F:$F,$F131,Ocorrências!$N:$N,$A131))</f>
        <v/>
      </c>
      <c r="O131" s="15">
        <f>IF($M131="","",IF(OR($M131=1,$M131=2,$M131=5),IF($N131&gt;0,"OK","SEM LASTRO"),"OK"))</f>
        <v/>
      </c>
      <c r="P131" s="19" t="n"/>
      <c r="Q131" s="18" t="n"/>
    </row>
    <row r="132">
      <c r="A132" s="19" t="n"/>
      <c r="B132" s="19" t="n"/>
      <c r="C132" s="15">
        <f>IFERROR(INDEX(Colaboradores!$B:$B,MATCH($B132,Colaboradores!$A:$A,0)),"")</f>
        <v/>
      </c>
      <c r="D132" s="15">
        <f>IFERROR(INDEX(Colaboradores!$E:$E,MATCH($B132,Colaboradores!$A:$A,0)),"")</f>
        <v/>
      </c>
      <c r="E132" s="15">
        <f>IFERROR(INDEX(Colaboradores!$D:$D,MATCH($B132,Colaboradores!$A:$A,0)),"")</f>
        <v/>
      </c>
      <c r="F132" s="19" t="n"/>
      <c r="G132" s="15">
        <f>IFERROR(INDEX(Competências!$B:$B,MATCH($F132,Competências!$C:$C,0)),"")</f>
        <v/>
      </c>
      <c r="H132" s="15">
        <f>IFERROR(INDEX(Competências!$E:$E,MATCH($F132,Competências!$C:$C,0)),"")</f>
        <v/>
      </c>
      <c r="I132" s="20" t="n"/>
      <c r="J132" s="20" t="n"/>
      <c r="K132" s="21">
        <f>IF(AND(ISNUMBER($I132),ISNUMBER($J132)),ABS($I132-$J132),"")</f>
        <v/>
      </c>
      <c r="L132" s="21">
        <f>IF(AND(NOT(ISNUMBER($I132)),NOT(ISNUMBER($J132))),"",IF(NOT(ISNUMBER($J132)),$I132,IF(NOT(ISNUMBER($I132)),$J132,IF($K132=0,$I132,IF($K132=1,IF($H132="Líder Técnico",$J132,IF($H132="GP",$I132,"CALIBRAR")),"CALIBRAR")))))</f>
        <v/>
      </c>
      <c r="M132" s="20" t="n"/>
      <c r="N132" s="21">
        <f>IF($C132="","",COUNTIFS(Ocorrências!$B:$B,$C132,Ocorrências!$F:$F,$F132,Ocorrências!$N:$N,$A132))</f>
        <v/>
      </c>
      <c r="O132" s="15">
        <f>IF($M132="","",IF(OR($M132=1,$M132=2,$M132=5),IF($N132&gt;0,"OK","SEM LASTRO"),"OK"))</f>
        <v/>
      </c>
      <c r="P132" s="19" t="n"/>
      <c r="Q132" s="18" t="n"/>
    </row>
    <row r="133">
      <c r="A133" s="19" t="n"/>
      <c r="B133" s="19" t="n"/>
      <c r="C133" s="15">
        <f>IFERROR(INDEX(Colaboradores!$B:$B,MATCH($B133,Colaboradores!$A:$A,0)),"")</f>
        <v/>
      </c>
      <c r="D133" s="15">
        <f>IFERROR(INDEX(Colaboradores!$E:$E,MATCH($B133,Colaboradores!$A:$A,0)),"")</f>
        <v/>
      </c>
      <c r="E133" s="15">
        <f>IFERROR(INDEX(Colaboradores!$D:$D,MATCH($B133,Colaboradores!$A:$A,0)),"")</f>
        <v/>
      </c>
      <c r="F133" s="19" t="n"/>
      <c r="G133" s="15">
        <f>IFERROR(INDEX(Competências!$B:$B,MATCH($F133,Competências!$C:$C,0)),"")</f>
        <v/>
      </c>
      <c r="H133" s="15">
        <f>IFERROR(INDEX(Competências!$E:$E,MATCH($F133,Competências!$C:$C,0)),"")</f>
        <v/>
      </c>
      <c r="I133" s="20" t="n"/>
      <c r="J133" s="20" t="n"/>
      <c r="K133" s="21">
        <f>IF(AND(ISNUMBER($I133),ISNUMBER($J133)),ABS($I133-$J133),"")</f>
        <v/>
      </c>
      <c r="L133" s="21">
        <f>IF(AND(NOT(ISNUMBER($I133)),NOT(ISNUMBER($J133))),"",IF(NOT(ISNUMBER($J133)),$I133,IF(NOT(ISNUMBER($I133)),$J133,IF($K133=0,$I133,IF($K133=1,IF($H133="Líder Técnico",$J133,IF($H133="GP",$I133,"CALIBRAR")),"CALIBRAR")))))</f>
        <v/>
      </c>
      <c r="M133" s="20" t="n"/>
      <c r="N133" s="21">
        <f>IF($C133="","",COUNTIFS(Ocorrências!$B:$B,$C133,Ocorrências!$F:$F,$F133,Ocorrências!$N:$N,$A133))</f>
        <v/>
      </c>
      <c r="O133" s="15">
        <f>IF($M133="","",IF(OR($M133=1,$M133=2,$M133=5),IF($N133&gt;0,"OK","SEM LASTRO"),"OK"))</f>
        <v/>
      </c>
      <c r="P133" s="19" t="n"/>
      <c r="Q133" s="18" t="n"/>
    </row>
    <row r="134">
      <c r="A134" s="19" t="n"/>
      <c r="B134" s="19" t="n"/>
      <c r="C134" s="15">
        <f>IFERROR(INDEX(Colaboradores!$B:$B,MATCH($B134,Colaboradores!$A:$A,0)),"")</f>
        <v/>
      </c>
      <c r="D134" s="15">
        <f>IFERROR(INDEX(Colaboradores!$E:$E,MATCH($B134,Colaboradores!$A:$A,0)),"")</f>
        <v/>
      </c>
      <c r="E134" s="15">
        <f>IFERROR(INDEX(Colaboradores!$D:$D,MATCH($B134,Colaboradores!$A:$A,0)),"")</f>
        <v/>
      </c>
      <c r="F134" s="19" t="n"/>
      <c r="G134" s="15">
        <f>IFERROR(INDEX(Competências!$B:$B,MATCH($F134,Competências!$C:$C,0)),"")</f>
        <v/>
      </c>
      <c r="H134" s="15">
        <f>IFERROR(INDEX(Competências!$E:$E,MATCH($F134,Competências!$C:$C,0)),"")</f>
        <v/>
      </c>
      <c r="I134" s="20" t="n"/>
      <c r="J134" s="20" t="n"/>
      <c r="K134" s="21">
        <f>IF(AND(ISNUMBER($I134),ISNUMBER($J134)),ABS($I134-$J134),"")</f>
        <v/>
      </c>
      <c r="L134" s="21">
        <f>IF(AND(NOT(ISNUMBER($I134)),NOT(ISNUMBER($J134))),"",IF(NOT(ISNUMBER($J134)),$I134,IF(NOT(ISNUMBER($I134)),$J134,IF($K134=0,$I134,IF($K134=1,IF($H134="Líder Técnico",$J134,IF($H134="GP",$I134,"CALIBRAR")),"CALIBRAR")))))</f>
        <v/>
      </c>
      <c r="M134" s="20" t="n"/>
      <c r="N134" s="21">
        <f>IF($C134="","",COUNTIFS(Ocorrências!$B:$B,$C134,Ocorrências!$F:$F,$F134,Ocorrências!$N:$N,$A134))</f>
        <v/>
      </c>
      <c r="O134" s="15">
        <f>IF($M134="","",IF(OR($M134=1,$M134=2,$M134=5),IF($N134&gt;0,"OK","SEM LASTRO"),"OK"))</f>
        <v/>
      </c>
      <c r="P134" s="19" t="n"/>
      <c r="Q134" s="18" t="n"/>
    </row>
    <row r="135">
      <c r="A135" s="19" t="n"/>
      <c r="B135" s="19" t="n"/>
      <c r="C135" s="15">
        <f>IFERROR(INDEX(Colaboradores!$B:$B,MATCH($B135,Colaboradores!$A:$A,0)),"")</f>
        <v/>
      </c>
      <c r="D135" s="15">
        <f>IFERROR(INDEX(Colaboradores!$E:$E,MATCH($B135,Colaboradores!$A:$A,0)),"")</f>
        <v/>
      </c>
      <c r="E135" s="15">
        <f>IFERROR(INDEX(Colaboradores!$D:$D,MATCH($B135,Colaboradores!$A:$A,0)),"")</f>
        <v/>
      </c>
      <c r="F135" s="19" t="n"/>
      <c r="G135" s="15">
        <f>IFERROR(INDEX(Competências!$B:$B,MATCH($F135,Competências!$C:$C,0)),"")</f>
        <v/>
      </c>
      <c r="H135" s="15">
        <f>IFERROR(INDEX(Competências!$E:$E,MATCH($F135,Competências!$C:$C,0)),"")</f>
        <v/>
      </c>
      <c r="I135" s="20" t="n"/>
      <c r="J135" s="20" t="n"/>
      <c r="K135" s="21">
        <f>IF(AND(ISNUMBER($I135),ISNUMBER($J135)),ABS($I135-$J135),"")</f>
        <v/>
      </c>
      <c r="L135" s="21">
        <f>IF(AND(NOT(ISNUMBER($I135)),NOT(ISNUMBER($J135))),"",IF(NOT(ISNUMBER($J135)),$I135,IF(NOT(ISNUMBER($I135)),$J135,IF($K135=0,$I135,IF($K135=1,IF($H135="Líder Técnico",$J135,IF($H135="GP",$I135,"CALIBRAR")),"CALIBRAR")))))</f>
        <v/>
      </c>
      <c r="M135" s="20" t="n"/>
      <c r="N135" s="21">
        <f>IF($C135="","",COUNTIFS(Ocorrências!$B:$B,$C135,Ocorrências!$F:$F,$F135,Ocorrências!$N:$N,$A135))</f>
        <v/>
      </c>
      <c r="O135" s="15">
        <f>IF($M135="","",IF(OR($M135=1,$M135=2,$M135=5),IF($N135&gt;0,"OK","SEM LASTRO"),"OK"))</f>
        <v/>
      </c>
      <c r="P135" s="19" t="n"/>
      <c r="Q135" s="18" t="n"/>
    </row>
    <row r="136">
      <c r="A136" s="19" t="n"/>
      <c r="B136" s="19" t="n"/>
      <c r="C136" s="15">
        <f>IFERROR(INDEX(Colaboradores!$B:$B,MATCH($B136,Colaboradores!$A:$A,0)),"")</f>
        <v/>
      </c>
      <c r="D136" s="15">
        <f>IFERROR(INDEX(Colaboradores!$E:$E,MATCH($B136,Colaboradores!$A:$A,0)),"")</f>
        <v/>
      </c>
      <c r="E136" s="15">
        <f>IFERROR(INDEX(Colaboradores!$D:$D,MATCH($B136,Colaboradores!$A:$A,0)),"")</f>
        <v/>
      </c>
      <c r="F136" s="19" t="n"/>
      <c r="G136" s="15">
        <f>IFERROR(INDEX(Competências!$B:$B,MATCH($F136,Competências!$C:$C,0)),"")</f>
        <v/>
      </c>
      <c r="H136" s="15">
        <f>IFERROR(INDEX(Competências!$E:$E,MATCH($F136,Competências!$C:$C,0)),"")</f>
        <v/>
      </c>
      <c r="I136" s="20" t="n"/>
      <c r="J136" s="20" t="n"/>
      <c r="K136" s="21">
        <f>IF(AND(ISNUMBER($I136),ISNUMBER($J136)),ABS($I136-$J136),"")</f>
        <v/>
      </c>
      <c r="L136" s="21">
        <f>IF(AND(NOT(ISNUMBER($I136)),NOT(ISNUMBER($J136))),"",IF(NOT(ISNUMBER($J136)),$I136,IF(NOT(ISNUMBER($I136)),$J136,IF($K136=0,$I136,IF($K136=1,IF($H136="Líder Técnico",$J136,IF($H136="GP",$I136,"CALIBRAR")),"CALIBRAR")))))</f>
        <v/>
      </c>
      <c r="M136" s="20" t="n"/>
      <c r="N136" s="21">
        <f>IF($C136="","",COUNTIFS(Ocorrências!$B:$B,$C136,Ocorrências!$F:$F,$F136,Ocorrências!$N:$N,$A136))</f>
        <v/>
      </c>
      <c r="O136" s="15">
        <f>IF($M136="","",IF(OR($M136=1,$M136=2,$M136=5),IF($N136&gt;0,"OK","SEM LASTRO"),"OK"))</f>
        <v/>
      </c>
      <c r="P136" s="19" t="n"/>
      <c r="Q136" s="18" t="n"/>
    </row>
    <row r="137">
      <c r="A137" s="19" t="n"/>
      <c r="B137" s="19" t="n"/>
      <c r="C137" s="15">
        <f>IFERROR(INDEX(Colaboradores!$B:$B,MATCH($B137,Colaboradores!$A:$A,0)),"")</f>
        <v/>
      </c>
      <c r="D137" s="15">
        <f>IFERROR(INDEX(Colaboradores!$E:$E,MATCH($B137,Colaboradores!$A:$A,0)),"")</f>
        <v/>
      </c>
      <c r="E137" s="15">
        <f>IFERROR(INDEX(Colaboradores!$D:$D,MATCH($B137,Colaboradores!$A:$A,0)),"")</f>
        <v/>
      </c>
      <c r="F137" s="19" t="n"/>
      <c r="G137" s="15">
        <f>IFERROR(INDEX(Competências!$B:$B,MATCH($F137,Competências!$C:$C,0)),"")</f>
        <v/>
      </c>
      <c r="H137" s="15">
        <f>IFERROR(INDEX(Competências!$E:$E,MATCH($F137,Competências!$C:$C,0)),"")</f>
        <v/>
      </c>
      <c r="I137" s="20" t="n"/>
      <c r="J137" s="20" t="n"/>
      <c r="K137" s="21">
        <f>IF(AND(ISNUMBER($I137),ISNUMBER($J137)),ABS($I137-$J137),"")</f>
        <v/>
      </c>
      <c r="L137" s="21">
        <f>IF(AND(NOT(ISNUMBER($I137)),NOT(ISNUMBER($J137))),"",IF(NOT(ISNUMBER($J137)),$I137,IF(NOT(ISNUMBER($I137)),$J137,IF($K137=0,$I137,IF($K137=1,IF($H137="Líder Técnico",$J137,IF($H137="GP",$I137,"CALIBRAR")),"CALIBRAR")))))</f>
        <v/>
      </c>
      <c r="M137" s="20" t="n"/>
      <c r="N137" s="21">
        <f>IF($C137="","",COUNTIFS(Ocorrências!$B:$B,$C137,Ocorrências!$F:$F,$F137,Ocorrências!$N:$N,$A137))</f>
        <v/>
      </c>
      <c r="O137" s="15">
        <f>IF($M137="","",IF(OR($M137=1,$M137=2,$M137=5),IF($N137&gt;0,"OK","SEM LASTRO"),"OK"))</f>
        <v/>
      </c>
      <c r="P137" s="19" t="n"/>
      <c r="Q137" s="18" t="n"/>
    </row>
    <row r="138">
      <c r="A138" s="19" t="n"/>
      <c r="B138" s="19" t="n"/>
      <c r="C138" s="15">
        <f>IFERROR(INDEX(Colaboradores!$B:$B,MATCH($B138,Colaboradores!$A:$A,0)),"")</f>
        <v/>
      </c>
      <c r="D138" s="15">
        <f>IFERROR(INDEX(Colaboradores!$E:$E,MATCH($B138,Colaboradores!$A:$A,0)),"")</f>
        <v/>
      </c>
      <c r="E138" s="15">
        <f>IFERROR(INDEX(Colaboradores!$D:$D,MATCH($B138,Colaboradores!$A:$A,0)),"")</f>
        <v/>
      </c>
      <c r="F138" s="19" t="n"/>
      <c r="G138" s="15">
        <f>IFERROR(INDEX(Competências!$B:$B,MATCH($F138,Competências!$C:$C,0)),"")</f>
        <v/>
      </c>
      <c r="H138" s="15">
        <f>IFERROR(INDEX(Competências!$E:$E,MATCH($F138,Competências!$C:$C,0)),"")</f>
        <v/>
      </c>
      <c r="I138" s="20" t="n"/>
      <c r="J138" s="20" t="n"/>
      <c r="K138" s="21">
        <f>IF(AND(ISNUMBER($I138),ISNUMBER($J138)),ABS($I138-$J138),"")</f>
        <v/>
      </c>
      <c r="L138" s="21">
        <f>IF(AND(NOT(ISNUMBER($I138)),NOT(ISNUMBER($J138))),"",IF(NOT(ISNUMBER($J138)),$I138,IF(NOT(ISNUMBER($I138)),$J138,IF($K138=0,$I138,IF($K138=1,IF($H138="Líder Técnico",$J138,IF($H138="GP",$I138,"CALIBRAR")),"CALIBRAR")))))</f>
        <v/>
      </c>
      <c r="M138" s="20" t="n"/>
      <c r="N138" s="21">
        <f>IF($C138="","",COUNTIFS(Ocorrências!$B:$B,$C138,Ocorrências!$F:$F,$F138,Ocorrências!$N:$N,$A138))</f>
        <v/>
      </c>
      <c r="O138" s="15">
        <f>IF($M138="","",IF(OR($M138=1,$M138=2,$M138=5),IF($N138&gt;0,"OK","SEM LASTRO"),"OK"))</f>
        <v/>
      </c>
      <c r="P138" s="19" t="n"/>
      <c r="Q138" s="18" t="n"/>
    </row>
    <row r="139">
      <c r="A139" s="19" t="n"/>
      <c r="B139" s="19" t="n"/>
      <c r="C139" s="15">
        <f>IFERROR(INDEX(Colaboradores!$B:$B,MATCH($B139,Colaboradores!$A:$A,0)),"")</f>
        <v/>
      </c>
      <c r="D139" s="15">
        <f>IFERROR(INDEX(Colaboradores!$E:$E,MATCH($B139,Colaboradores!$A:$A,0)),"")</f>
        <v/>
      </c>
      <c r="E139" s="15">
        <f>IFERROR(INDEX(Colaboradores!$D:$D,MATCH($B139,Colaboradores!$A:$A,0)),"")</f>
        <v/>
      </c>
      <c r="F139" s="19" t="n"/>
      <c r="G139" s="15">
        <f>IFERROR(INDEX(Competências!$B:$B,MATCH($F139,Competências!$C:$C,0)),"")</f>
        <v/>
      </c>
      <c r="H139" s="15">
        <f>IFERROR(INDEX(Competências!$E:$E,MATCH($F139,Competências!$C:$C,0)),"")</f>
        <v/>
      </c>
      <c r="I139" s="20" t="n"/>
      <c r="J139" s="20" t="n"/>
      <c r="K139" s="21">
        <f>IF(AND(ISNUMBER($I139),ISNUMBER($J139)),ABS($I139-$J139),"")</f>
        <v/>
      </c>
      <c r="L139" s="21">
        <f>IF(AND(NOT(ISNUMBER($I139)),NOT(ISNUMBER($J139))),"",IF(NOT(ISNUMBER($J139)),$I139,IF(NOT(ISNUMBER($I139)),$J139,IF($K139=0,$I139,IF($K139=1,IF($H139="Líder Técnico",$J139,IF($H139="GP",$I139,"CALIBRAR")),"CALIBRAR")))))</f>
        <v/>
      </c>
      <c r="M139" s="20" t="n"/>
      <c r="N139" s="21">
        <f>IF($C139="","",COUNTIFS(Ocorrências!$B:$B,$C139,Ocorrências!$F:$F,$F139,Ocorrências!$N:$N,$A139))</f>
        <v/>
      </c>
      <c r="O139" s="15">
        <f>IF($M139="","",IF(OR($M139=1,$M139=2,$M139=5),IF($N139&gt;0,"OK","SEM LASTRO"),"OK"))</f>
        <v/>
      </c>
      <c r="P139" s="19" t="n"/>
      <c r="Q139" s="18" t="n"/>
    </row>
    <row r="140">
      <c r="A140" s="19" t="n"/>
      <c r="B140" s="19" t="n"/>
      <c r="C140" s="15">
        <f>IFERROR(INDEX(Colaboradores!$B:$B,MATCH($B140,Colaboradores!$A:$A,0)),"")</f>
        <v/>
      </c>
      <c r="D140" s="15">
        <f>IFERROR(INDEX(Colaboradores!$E:$E,MATCH($B140,Colaboradores!$A:$A,0)),"")</f>
        <v/>
      </c>
      <c r="E140" s="15">
        <f>IFERROR(INDEX(Colaboradores!$D:$D,MATCH($B140,Colaboradores!$A:$A,0)),"")</f>
        <v/>
      </c>
      <c r="F140" s="19" t="n"/>
      <c r="G140" s="15">
        <f>IFERROR(INDEX(Competências!$B:$B,MATCH($F140,Competências!$C:$C,0)),"")</f>
        <v/>
      </c>
      <c r="H140" s="15">
        <f>IFERROR(INDEX(Competências!$E:$E,MATCH($F140,Competências!$C:$C,0)),"")</f>
        <v/>
      </c>
      <c r="I140" s="20" t="n"/>
      <c r="J140" s="20" t="n"/>
      <c r="K140" s="21">
        <f>IF(AND(ISNUMBER($I140),ISNUMBER($J140)),ABS($I140-$J140),"")</f>
        <v/>
      </c>
      <c r="L140" s="21">
        <f>IF(AND(NOT(ISNUMBER($I140)),NOT(ISNUMBER($J140))),"",IF(NOT(ISNUMBER($J140)),$I140,IF(NOT(ISNUMBER($I140)),$J140,IF($K140=0,$I140,IF($K140=1,IF($H140="Líder Técnico",$J140,IF($H140="GP",$I140,"CALIBRAR")),"CALIBRAR")))))</f>
        <v/>
      </c>
      <c r="M140" s="20" t="n"/>
      <c r="N140" s="21">
        <f>IF($C140="","",COUNTIFS(Ocorrências!$B:$B,$C140,Ocorrências!$F:$F,$F140,Ocorrências!$N:$N,$A140))</f>
        <v/>
      </c>
      <c r="O140" s="15">
        <f>IF($M140="","",IF(OR($M140=1,$M140=2,$M140=5),IF($N140&gt;0,"OK","SEM LASTRO"),"OK"))</f>
        <v/>
      </c>
      <c r="P140" s="19" t="n"/>
      <c r="Q140" s="18" t="n"/>
    </row>
    <row r="141">
      <c r="A141" s="19" t="n"/>
      <c r="B141" s="19" t="n"/>
      <c r="C141" s="15">
        <f>IFERROR(INDEX(Colaboradores!$B:$B,MATCH($B141,Colaboradores!$A:$A,0)),"")</f>
        <v/>
      </c>
      <c r="D141" s="15">
        <f>IFERROR(INDEX(Colaboradores!$E:$E,MATCH($B141,Colaboradores!$A:$A,0)),"")</f>
        <v/>
      </c>
      <c r="E141" s="15">
        <f>IFERROR(INDEX(Colaboradores!$D:$D,MATCH($B141,Colaboradores!$A:$A,0)),"")</f>
        <v/>
      </c>
      <c r="F141" s="19" t="n"/>
      <c r="G141" s="15">
        <f>IFERROR(INDEX(Competências!$B:$B,MATCH($F141,Competências!$C:$C,0)),"")</f>
        <v/>
      </c>
      <c r="H141" s="15">
        <f>IFERROR(INDEX(Competências!$E:$E,MATCH($F141,Competências!$C:$C,0)),"")</f>
        <v/>
      </c>
      <c r="I141" s="20" t="n"/>
      <c r="J141" s="20" t="n"/>
      <c r="K141" s="21">
        <f>IF(AND(ISNUMBER($I141),ISNUMBER($J141)),ABS($I141-$J141),"")</f>
        <v/>
      </c>
      <c r="L141" s="21">
        <f>IF(AND(NOT(ISNUMBER($I141)),NOT(ISNUMBER($J141))),"",IF(NOT(ISNUMBER($J141)),$I141,IF(NOT(ISNUMBER($I141)),$J141,IF($K141=0,$I141,IF($K141=1,IF($H141="Líder Técnico",$J141,IF($H141="GP",$I141,"CALIBRAR")),"CALIBRAR")))))</f>
        <v/>
      </c>
      <c r="M141" s="20" t="n"/>
      <c r="N141" s="21">
        <f>IF($C141="","",COUNTIFS(Ocorrências!$B:$B,$C141,Ocorrências!$F:$F,$F141,Ocorrências!$N:$N,$A141))</f>
        <v/>
      </c>
      <c r="O141" s="15">
        <f>IF($M141="","",IF(OR($M141=1,$M141=2,$M141=5),IF($N141&gt;0,"OK","SEM LASTRO"),"OK"))</f>
        <v/>
      </c>
      <c r="P141" s="19" t="n"/>
      <c r="Q141" s="18" t="n"/>
    </row>
    <row r="142">
      <c r="A142" s="19" t="n"/>
      <c r="B142" s="19" t="n"/>
      <c r="C142" s="15">
        <f>IFERROR(INDEX(Colaboradores!$B:$B,MATCH($B142,Colaboradores!$A:$A,0)),"")</f>
        <v/>
      </c>
      <c r="D142" s="15">
        <f>IFERROR(INDEX(Colaboradores!$E:$E,MATCH($B142,Colaboradores!$A:$A,0)),"")</f>
        <v/>
      </c>
      <c r="E142" s="15">
        <f>IFERROR(INDEX(Colaboradores!$D:$D,MATCH($B142,Colaboradores!$A:$A,0)),"")</f>
        <v/>
      </c>
      <c r="F142" s="19" t="n"/>
      <c r="G142" s="15">
        <f>IFERROR(INDEX(Competências!$B:$B,MATCH($F142,Competências!$C:$C,0)),"")</f>
        <v/>
      </c>
      <c r="H142" s="15">
        <f>IFERROR(INDEX(Competências!$E:$E,MATCH($F142,Competências!$C:$C,0)),"")</f>
        <v/>
      </c>
      <c r="I142" s="20" t="n"/>
      <c r="J142" s="20" t="n"/>
      <c r="K142" s="21">
        <f>IF(AND(ISNUMBER($I142),ISNUMBER($J142)),ABS($I142-$J142),"")</f>
        <v/>
      </c>
      <c r="L142" s="21">
        <f>IF(AND(NOT(ISNUMBER($I142)),NOT(ISNUMBER($J142))),"",IF(NOT(ISNUMBER($J142)),$I142,IF(NOT(ISNUMBER($I142)),$J142,IF($K142=0,$I142,IF($K142=1,IF($H142="Líder Técnico",$J142,IF($H142="GP",$I142,"CALIBRAR")),"CALIBRAR")))))</f>
        <v/>
      </c>
      <c r="M142" s="20" t="n"/>
      <c r="N142" s="21">
        <f>IF($C142="","",COUNTIFS(Ocorrências!$B:$B,$C142,Ocorrências!$F:$F,$F142,Ocorrências!$N:$N,$A142))</f>
        <v/>
      </c>
      <c r="O142" s="15">
        <f>IF($M142="","",IF(OR($M142=1,$M142=2,$M142=5),IF($N142&gt;0,"OK","SEM LASTRO"),"OK"))</f>
        <v/>
      </c>
      <c r="P142" s="19" t="n"/>
      <c r="Q142" s="18" t="n"/>
    </row>
    <row r="143">
      <c r="A143" s="19" t="n"/>
      <c r="B143" s="19" t="n"/>
      <c r="C143" s="15">
        <f>IFERROR(INDEX(Colaboradores!$B:$B,MATCH($B143,Colaboradores!$A:$A,0)),"")</f>
        <v/>
      </c>
      <c r="D143" s="15">
        <f>IFERROR(INDEX(Colaboradores!$E:$E,MATCH($B143,Colaboradores!$A:$A,0)),"")</f>
        <v/>
      </c>
      <c r="E143" s="15">
        <f>IFERROR(INDEX(Colaboradores!$D:$D,MATCH($B143,Colaboradores!$A:$A,0)),"")</f>
        <v/>
      </c>
      <c r="F143" s="19" t="n"/>
      <c r="G143" s="15">
        <f>IFERROR(INDEX(Competências!$B:$B,MATCH($F143,Competências!$C:$C,0)),"")</f>
        <v/>
      </c>
      <c r="H143" s="15">
        <f>IFERROR(INDEX(Competências!$E:$E,MATCH($F143,Competências!$C:$C,0)),"")</f>
        <v/>
      </c>
      <c r="I143" s="20" t="n"/>
      <c r="J143" s="20" t="n"/>
      <c r="K143" s="21">
        <f>IF(AND(ISNUMBER($I143),ISNUMBER($J143)),ABS($I143-$J143),"")</f>
        <v/>
      </c>
      <c r="L143" s="21">
        <f>IF(AND(NOT(ISNUMBER($I143)),NOT(ISNUMBER($J143))),"",IF(NOT(ISNUMBER($J143)),$I143,IF(NOT(ISNUMBER($I143)),$J143,IF($K143=0,$I143,IF($K143=1,IF($H143="Líder Técnico",$J143,IF($H143="GP",$I143,"CALIBRAR")),"CALIBRAR")))))</f>
        <v/>
      </c>
      <c r="M143" s="20" t="n"/>
      <c r="N143" s="21">
        <f>IF($C143="","",COUNTIFS(Ocorrências!$B:$B,$C143,Ocorrências!$F:$F,$F143,Ocorrências!$N:$N,$A143))</f>
        <v/>
      </c>
      <c r="O143" s="15">
        <f>IF($M143="","",IF(OR($M143=1,$M143=2,$M143=5),IF($N143&gt;0,"OK","SEM LASTRO"),"OK"))</f>
        <v/>
      </c>
      <c r="P143" s="19" t="n"/>
      <c r="Q143" s="18" t="n"/>
    </row>
    <row r="144">
      <c r="A144" s="19" t="n"/>
      <c r="B144" s="19" t="n"/>
      <c r="C144" s="15">
        <f>IFERROR(INDEX(Colaboradores!$B:$B,MATCH($B144,Colaboradores!$A:$A,0)),"")</f>
        <v/>
      </c>
      <c r="D144" s="15">
        <f>IFERROR(INDEX(Colaboradores!$E:$E,MATCH($B144,Colaboradores!$A:$A,0)),"")</f>
        <v/>
      </c>
      <c r="E144" s="15">
        <f>IFERROR(INDEX(Colaboradores!$D:$D,MATCH($B144,Colaboradores!$A:$A,0)),"")</f>
        <v/>
      </c>
      <c r="F144" s="19" t="n"/>
      <c r="G144" s="15">
        <f>IFERROR(INDEX(Competências!$B:$B,MATCH($F144,Competências!$C:$C,0)),"")</f>
        <v/>
      </c>
      <c r="H144" s="15">
        <f>IFERROR(INDEX(Competências!$E:$E,MATCH($F144,Competências!$C:$C,0)),"")</f>
        <v/>
      </c>
      <c r="I144" s="20" t="n"/>
      <c r="J144" s="20" t="n"/>
      <c r="K144" s="21">
        <f>IF(AND(ISNUMBER($I144),ISNUMBER($J144)),ABS($I144-$J144),"")</f>
        <v/>
      </c>
      <c r="L144" s="21">
        <f>IF(AND(NOT(ISNUMBER($I144)),NOT(ISNUMBER($J144))),"",IF(NOT(ISNUMBER($J144)),$I144,IF(NOT(ISNUMBER($I144)),$J144,IF($K144=0,$I144,IF($K144=1,IF($H144="Líder Técnico",$J144,IF($H144="GP",$I144,"CALIBRAR")),"CALIBRAR")))))</f>
        <v/>
      </c>
      <c r="M144" s="20" t="n"/>
      <c r="N144" s="21">
        <f>IF($C144="","",COUNTIFS(Ocorrências!$B:$B,$C144,Ocorrências!$F:$F,$F144,Ocorrências!$N:$N,$A144))</f>
        <v/>
      </c>
      <c r="O144" s="15">
        <f>IF($M144="","",IF(OR($M144=1,$M144=2,$M144=5),IF($N144&gt;0,"OK","SEM LASTRO"),"OK"))</f>
        <v/>
      </c>
      <c r="P144" s="19" t="n"/>
      <c r="Q144" s="18" t="n"/>
    </row>
    <row r="145">
      <c r="A145" s="19" t="n"/>
      <c r="B145" s="19" t="n"/>
      <c r="C145" s="15">
        <f>IFERROR(INDEX(Colaboradores!$B:$B,MATCH($B145,Colaboradores!$A:$A,0)),"")</f>
        <v/>
      </c>
      <c r="D145" s="15">
        <f>IFERROR(INDEX(Colaboradores!$E:$E,MATCH($B145,Colaboradores!$A:$A,0)),"")</f>
        <v/>
      </c>
      <c r="E145" s="15">
        <f>IFERROR(INDEX(Colaboradores!$D:$D,MATCH($B145,Colaboradores!$A:$A,0)),"")</f>
        <v/>
      </c>
      <c r="F145" s="19" t="n"/>
      <c r="G145" s="15">
        <f>IFERROR(INDEX(Competências!$B:$B,MATCH($F145,Competências!$C:$C,0)),"")</f>
        <v/>
      </c>
      <c r="H145" s="15">
        <f>IFERROR(INDEX(Competências!$E:$E,MATCH($F145,Competências!$C:$C,0)),"")</f>
        <v/>
      </c>
      <c r="I145" s="20" t="n"/>
      <c r="J145" s="20" t="n"/>
      <c r="K145" s="21">
        <f>IF(AND(ISNUMBER($I145),ISNUMBER($J145)),ABS($I145-$J145),"")</f>
        <v/>
      </c>
      <c r="L145" s="21">
        <f>IF(AND(NOT(ISNUMBER($I145)),NOT(ISNUMBER($J145))),"",IF(NOT(ISNUMBER($J145)),$I145,IF(NOT(ISNUMBER($I145)),$J145,IF($K145=0,$I145,IF($K145=1,IF($H145="Líder Técnico",$J145,IF($H145="GP",$I145,"CALIBRAR")),"CALIBRAR")))))</f>
        <v/>
      </c>
      <c r="M145" s="20" t="n"/>
      <c r="N145" s="21">
        <f>IF($C145="","",COUNTIFS(Ocorrências!$B:$B,$C145,Ocorrências!$F:$F,$F145,Ocorrências!$N:$N,$A145))</f>
        <v/>
      </c>
      <c r="O145" s="15">
        <f>IF($M145="","",IF(OR($M145=1,$M145=2,$M145=5),IF($N145&gt;0,"OK","SEM LASTRO"),"OK"))</f>
        <v/>
      </c>
      <c r="P145" s="19" t="n"/>
      <c r="Q145" s="18" t="n"/>
    </row>
    <row r="146">
      <c r="A146" s="19" t="n"/>
      <c r="B146" s="19" t="n"/>
      <c r="C146" s="15">
        <f>IFERROR(INDEX(Colaboradores!$B:$B,MATCH($B146,Colaboradores!$A:$A,0)),"")</f>
        <v/>
      </c>
      <c r="D146" s="15">
        <f>IFERROR(INDEX(Colaboradores!$E:$E,MATCH($B146,Colaboradores!$A:$A,0)),"")</f>
        <v/>
      </c>
      <c r="E146" s="15">
        <f>IFERROR(INDEX(Colaboradores!$D:$D,MATCH($B146,Colaboradores!$A:$A,0)),"")</f>
        <v/>
      </c>
      <c r="F146" s="19" t="n"/>
      <c r="G146" s="15">
        <f>IFERROR(INDEX(Competências!$B:$B,MATCH($F146,Competências!$C:$C,0)),"")</f>
        <v/>
      </c>
      <c r="H146" s="15">
        <f>IFERROR(INDEX(Competências!$E:$E,MATCH($F146,Competências!$C:$C,0)),"")</f>
        <v/>
      </c>
      <c r="I146" s="20" t="n"/>
      <c r="J146" s="20" t="n"/>
      <c r="K146" s="21">
        <f>IF(AND(ISNUMBER($I146),ISNUMBER($J146)),ABS($I146-$J146),"")</f>
        <v/>
      </c>
      <c r="L146" s="21">
        <f>IF(AND(NOT(ISNUMBER($I146)),NOT(ISNUMBER($J146))),"",IF(NOT(ISNUMBER($J146)),$I146,IF(NOT(ISNUMBER($I146)),$J146,IF($K146=0,$I146,IF($K146=1,IF($H146="Líder Técnico",$J146,IF($H146="GP",$I146,"CALIBRAR")),"CALIBRAR")))))</f>
        <v/>
      </c>
      <c r="M146" s="20" t="n"/>
      <c r="N146" s="21">
        <f>IF($C146="","",COUNTIFS(Ocorrências!$B:$B,$C146,Ocorrências!$F:$F,$F146,Ocorrências!$N:$N,$A146))</f>
        <v/>
      </c>
      <c r="O146" s="15">
        <f>IF($M146="","",IF(OR($M146=1,$M146=2,$M146=5),IF($N146&gt;0,"OK","SEM LASTRO"),"OK"))</f>
        <v/>
      </c>
      <c r="P146" s="19" t="n"/>
      <c r="Q146" s="18" t="n"/>
    </row>
    <row r="147">
      <c r="A147" s="19" t="n"/>
      <c r="B147" s="19" t="n"/>
      <c r="C147" s="15">
        <f>IFERROR(INDEX(Colaboradores!$B:$B,MATCH($B147,Colaboradores!$A:$A,0)),"")</f>
        <v/>
      </c>
      <c r="D147" s="15">
        <f>IFERROR(INDEX(Colaboradores!$E:$E,MATCH($B147,Colaboradores!$A:$A,0)),"")</f>
        <v/>
      </c>
      <c r="E147" s="15">
        <f>IFERROR(INDEX(Colaboradores!$D:$D,MATCH($B147,Colaboradores!$A:$A,0)),"")</f>
        <v/>
      </c>
      <c r="F147" s="19" t="n"/>
      <c r="G147" s="15">
        <f>IFERROR(INDEX(Competências!$B:$B,MATCH($F147,Competências!$C:$C,0)),"")</f>
        <v/>
      </c>
      <c r="H147" s="15">
        <f>IFERROR(INDEX(Competências!$E:$E,MATCH($F147,Competências!$C:$C,0)),"")</f>
        <v/>
      </c>
      <c r="I147" s="20" t="n"/>
      <c r="J147" s="20" t="n"/>
      <c r="K147" s="21">
        <f>IF(AND(ISNUMBER($I147),ISNUMBER($J147)),ABS($I147-$J147),"")</f>
        <v/>
      </c>
      <c r="L147" s="21">
        <f>IF(AND(NOT(ISNUMBER($I147)),NOT(ISNUMBER($J147))),"",IF(NOT(ISNUMBER($J147)),$I147,IF(NOT(ISNUMBER($I147)),$J147,IF($K147=0,$I147,IF($K147=1,IF($H147="Líder Técnico",$J147,IF($H147="GP",$I147,"CALIBRAR")),"CALIBRAR")))))</f>
        <v/>
      </c>
      <c r="M147" s="20" t="n"/>
      <c r="N147" s="21">
        <f>IF($C147="","",COUNTIFS(Ocorrências!$B:$B,$C147,Ocorrências!$F:$F,$F147,Ocorrências!$N:$N,$A147))</f>
        <v/>
      </c>
      <c r="O147" s="15">
        <f>IF($M147="","",IF(OR($M147=1,$M147=2,$M147=5),IF($N147&gt;0,"OK","SEM LASTRO"),"OK"))</f>
        <v/>
      </c>
      <c r="P147" s="19" t="n"/>
      <c r="Q147" s="18" t="n"/>
    </row>
    <row r="148">
      <c r="A148" s="19" t="n"/>
      <c r="B148" s="19" t="n"/>
      <c r="C148" s="15">
        <f>IFERROR(INDEX(Colaboradores!$B:$B,MATCH($B148,Colaboradores!$A:$A,0)),"")</f>
        <v/>
      </c>
      <c r="D148" s="15">
        <f>IFERROR(INDEX(Colaboradores!$E:$E,MATCH($B148,Colaboradores!$A:$A,0)),"")</f>
        <v/>
      </c>
      <c r="E148" s="15">
        <f>IFERROR(INDEX(Colaboradores!$D:$D,MATCH($B148,Colaboradores!$A:$A,0)),"")</f>
        <v/>
      </c>
      <c r="F148" s="19" t="n"/>
      <c r="G148" s="15">
        <f>IFERROR(INDEX(Competências!$B:$B,MATCH($F148,Competências!$C:$C,0)),"")</f>
        <v/>
      </c>
      <c r="H148" s="15">
        <f>IFERROR(INDEX(Competências!$E:$E,MATCH($F148,Competências!$C:$C,0)),"")</f>
        <v/>
      </c>
      <c r="I148" s="20" t="n"/>
      <c r="J148" s="20" t="n"/>
      <c r="K148" s="21">
        <f>IF(AND(ISNUMBER($I148),ISNUMBER($J148)),ABS($I148-$J148),"")</f>
        <v/>
      </c>
      <c r="L148" s="21">
        <f>IF(AND(NOT(ISNUMBER($I148)),NOT(ISNUMBER($J148))),"",IF(NOT(ISNUMBER($J148)),$I148,IF(NOT(ISNUMBER($I148)),$J148,IF($K148=0,$I148,IF($K148=1,IF($H148="Líder Técnico",$J148,IF($H148="GP",$I148,"CALIBRAR")),"CALIBRAR")))))</f>
        <v/>
      </c>
      <c r="M148" s="20" t="n"/>
      <c r="N148" s="21">
        <f>IF($C148="","",COUNTIFS(Ocorrências!$B:$B,$C148,Ocorrências!$F:$F,$F148,Ocorrências!$N:$N,$A148))</f>
        <v/>
      </c>
      <c r="O148" s="15">
        <f>IF($M148="","",IF(OR($M148=1,$M148=2,$M148=5),IF($N148&gt;0,"OK","SEM LASTRO"),"OK"))</f>
        <v/>
      </c>
      <c r="P148" s="19" t="n"/>
      <c r="Q148" s="18" t="n"/>
    </row>
    <row r="149">
      <c r="A149" s="19" t="n"/>
      <c r="B149" s="19" t="n"/>
      <c r="C149" s="15">
        <f>IFERROR(INDEX(Colaboradores!$B:$B,MATCH($B149,Colaboradores!$A:$A,0)),"")</f>
        <v/>
      </c>
      <c r="D149" s="15">
        <f>IFERROR(INDEX(Colaboradores!$E:$E,MATCH($B149,Colaboradores!$A:$A,0)),"")</f>
        <v/>
      </c>
      <c r="E149" s="15">
        <f>IFERROR(INDEX(Colaboradores!$D:$D,MATCH($B149,Colaboradores!$A:$A,0)),"")</f>
        <v/>
      </c>
      <c r="F149" s="19" t="n"/>
      <c r="G149" s="15">
        <f>IFERROR(INDEX(Competências!$B:$B,MATCH($F149,Competências!$C:$C,0)),"")</f>
        <v/>
      </c>
      <c r="H149" s="15">
        <f>IFERROR(INDEX(Competências!$E:$E,MATCH($F149,Competências!$C:$C,0)),"")</f>
        <v/>
      </c>
      <c r="I149" s="20" t="n"/>
      <c r="J149" s="20" t="n"/>
      <c r="K149" s="21">
        <f>IF(AND(ISNUMBER($I149),ISNUMBER($J149)),ABS($I149-$J149),"")</f>
        <v/>
      </c>
      <c r="L149" s="21">
        <f>IF(AND(NOT(ISNUMBER($I149)),NOT(ISNUMBER($J149))),"",IF(NOT(ISNUMBER($J149)),$I149,IF(NOT(ISNUMBER($I149)),$J149,IF($K149=0,$I149,IF($K149=1,IF($H149="Líder Técnico",$J149,IF($H149="GP",$I149,"CALIBRAR")),"CALIBRAR")))))</f>
        <v/>
      </c>
      <c r="M149" s="20" t="n"/>
      <c r="N149" s="21">
        <f>IF($C149="","",COUNTIFS(Ocorrências!$B:$B,$C149,Ocorrências!$F:$F,$F149,Ocorrências!$N:$N,$A149))</f>
        <v/>
      </c>
      <c r="O149" s="15">
        <f>IF($M149="","",IF(OR($M149=1,$M149=2,$M149=5),IF($N149&gt;0,"OK","SEM LASTRO"),"OK"))</f>
        <v/>
      </c>
      <c r="P149" s="19" t="n"/>
      <c r="Q149" s="18" t="n"/>
    </row>
    <row r="150">
      <c r="A150" s="19" t="n"/>
      <c r="B150" s="19" t="n"/>
      <c r="C150" s="15">
        <f>IFERROR(INDEX(Colaboradores!$B:$B,MATCH($B150,Colaboradores!$A:$A,0)),"")</f>
        <v/>
      </c>
      <c r="D150" s="15">
        <f>IFERROR(INDEX(Colaboradores!$E:$E,MATCH($B150,Colaboradores!$A:$A,0)),"")</f>
        <v/>
      </c>
      <c r="E150" s="15">
        <f>IFERROR(INDEX(Colaboradores!$D:$D,MATCH($B150,Colaboradores!$A:$A,0)),"")</f>
        <v/>
      </c>
      <c r="F150" s="19" t="n"/>
      <c r="G150" s="15">
        <f>IFERROR(INDEX(Competências!$B:$B,MATCH($F150,Competências!$C:$C,0)),"")</f>
        <v/>
      </c>
      <c r="H150" s="15">
        <f>IFERROR(INDEX(Competências!$E:$E,MATCH($F150,Competências!$C:$C,0)),"")</f>
        <v/>
      </c>
      <c r="I150" s="20" t="n"/>
      <c r="J150" s="20" t="n"/>
      <c r="K150" s="21">
        <f>IF(AND(ISNUMBER($I150),ISNUMBER($J150)),ABS($I150-$J150),"")</f>
        <v/>
      </c>
      <c r="L150" s="21">
        <f>IF(AND(NOT(ISNUMBER($I150)),NOT(ISNUMBER($J150))),"",IF(NOT(ISNUMBER($J150)),$I150,IF(NOT(ISNUMBER($I150)),$J150,IF($K150=0,$I150,IF($K150=1,IF($H150="Líder Técnico",$J150,IF($H150="GP",$I150,"CALIBRAR")),"CALIBRAR")))))</f>
        <v/>
      </c>
      <c r="M150" s="20" t="n"/>
      <c r="N150" s="21">
        <f>IF($C150="","",COUNTIFS(Ocorrências!$B:$B,$C150,Ocorrências!$F:$F,$F150,Ocorrências!$N:$N,$A150))</f>
        <v/>
      </c>
      <c r="O150" s="15">
        <f>IF($M150="","",IF(OR($M150=1,$M150=2,$M150=5),IF($N150&gt;0,"OK","SEM LASTRO"),"OK"))</f>
        <v/>
      </c>
      <c r="P150" s="19" t="n"/>
      <c r="Q150" s="18" t="n"/>
    </row>
    <row r="151">
      <c r="A151" s="19" t="n"/>
      <c r="B151" s="19" t="n"/>
      <c r="C151" s="15">
        <f>IFERROR(INDEX(Colaboradores!$B:$B,MATCH($B151,Colaboradores!$A:$A,0)),"")</f>
        <v/>
      </c>
      <c r="D151" s="15">
        <f>IFERROR(INDEX(Colaboradores!$E:$E,MATCH($B151,Colaboradores!$A:$A,0)),"")</f>
        <v/>
      </c>
      <c r="E151" s="15">
        <f>IFERROR(INDEX(Colaboradores!$D:$D,MATCH($B151,Colaboradores!$A:$A,0)),"")</f>
        <v/>
      </c>
      <c r="F151" s="19" t="n"/>
      <c r="G151" s="15">
        <f>IFERROR(INDEX(Competências!$B:$B,MATCH($F151,Competências!$C:$C,0)),"")</f>
        <v/>
      </c>
      <c r="H151" s="15">
        <f>IFERROR(INDEX(Competências!$E:$E,MATCH($F151,Competências!$C:$C,0)),"")</f>
        <v/>
      </c>
      <c r="I151" s="20" t="n"/>
      <c r="J151" s="20" t="n"/>
      <c r="K151" s="21">
        <f>IF(AND(ISNUMBER($I151),ISNUMBER($J151)),ABS($I151-$J151),"")</f>
        <v/>
      </c>
      <c r="L151" s="21">
        <f>IF(AND(NOT(ISNUMBER($I151)),NOT(ISNUMBER($J151))),"",IF(NOT(ISNUMBER($J151)),$I151,IF(NOT(ISNUMBER($I151)),$J151,IF($K151=0,$I151,IF($K151=1,IF($H151="Líder Técnico",$J151,IF($H151="GP",$I151,"CALIBRAR")),"CALIBRAR")))))</f>
        <v/>
      </c>
      <c r="M151" s="20" t="n"/>
      <c r="N151" s="21">
        <f>IF($C151="","",COUNTIFS(Ocorrências!$B:$B,$C151,Ocorrências!$F:$F,$F151,Ocorrências!$N:$N,$A151))</f>
        <v/>
      </c>
      <c r="O151" s="15">
        <f>IF($M151="","",IF(OR($M151=1,$M151=2,$M151=5),IF($N151&gt;0,"OK","SEM LASTRO"),"OK"))</f>
        <v/>
      </c>
      <c r="P151" s="19" t="n"/>
      <c r="Q151" s="18" t="n"/>
    </row>
    <row r="152">
      <c r="A152" s="19" t="n"/>
      <c r="B152" s="19" t="n"/>
      <c r="C152" s="15">
        <f>IFERROR(INDEX(Colaboradores!$B:$B,MATCH($B152,Colaboradores!$A:$A,0)),"")</f>
        <v/>
      </c>
      <c r="D152" s="15">
        <f>IFERROR(INDEX(Colaboradores!$E:$E,MATCH($B152,Colaboradores!$A:$A,0)),"")</f>
        <v/>
      </c>
      <c r="E152" s="15">
        <f>IFERROR(INDEX(Colaboradores!$D:$D,MATCH($B152,Colaboradores!$A:$A,0)),"")</f>
        <v/>
      </c>
      <c r="F152" s="19" t="n"/>
      <c r="G152" s="15">
        <f>IFERROR(INDEX(Competências!$B:$B,MATCH($F152,Competências!$C:$C,0)),"")</f>
        <v/>
      </c>
      <c r="H152" s="15">
        <f>IFERROR(INDEX(Competências!$E:$E,MATCH($F152,Competências!$C:$C,0)),"")</f>
        <v/>
      </c>
      <c r="I152" s="20" t="n"/>
      <c r="J152" s="20" t="n"/>
      <c r="K152" s="21">
        <f>IF(AND(ISNUMBER($I152),ISNUMBER($J152)),ABS($I152-$J152),"")</f>
        <v/>
      </c>
      <c r="L152" s="21">
        <f>IF(AND(NOT(ISNUMBER($I152)),NOT(ISNUMBER($J152))),"",IF(NOT(ISNUMBER($J152)),$I152,IF(NOT(ISNUMBER($I152)),$J152,IF($K152=0,$I152,IF($K152=1,IF($H152="Líder Técnico",$J152,IF($H152="GP",$I152,"CALIBRAR")),"CALIBRAR")))))</f>
        <v/>
      </c>
      <c r="M152" s="20" t="n"/>
      <c r="N152" s="21">
        <f>IF($C152="","",COUNTIFS(Ocorrências!$B:$B,$C152,Ocorrências!$F:$F,$F152,Ocorrências!$N:$N,$A152))</f>
        <v/>
      </c>
      <c r="O152" s="15">
        <f>IF($M152="","",IF(OR($M152=1,$M152=2,$M152=5),IF($N152&gt;0,"OK","SEM LASTRO"),"OK"))</f>
        <v/>
      </c>
      <c r="P152" s="19" t="n"/>
      <c r="Q152" s="18" t="n"/>
    </row>
    <row r="153">
      <c r="A153" s="19" t="n"/>
      <c r="B153" s="19" t="n"/>
      <c r="C153" s="15">
        <f>IFERROR(INDEX(Colaboradores!$B:$B,MATCH($B153,Colaboradores!$A:$A,0)),"")</f>
        <v/>
      </c>
      <c r="D153" s="15">
        <f>IFERROR(INDEX(Colaboradores!$E:$E,MATCH($B153,Colaboradores!$A:$A,0)),"")</f>
        <v/>
      </c>
      <c r="E153" s="15">
        <f>IFERROR(INDEX(Colaboradores!$D:$D,MATCH($B153,Colaboradores!$A:$A,0)),"")</f>
        <v/>
      </c>
      <c r="F153" s="19" t="n"/>
      <c r="G153" s="15">
        <f>IFERROR(INDEX(Competências!$B:$B,MATCH($F153,Competências!$C:$C,0)),"")</f>
        <v/>
      </c>
      <c r="H153" s="15">
        <f>IFERROR(INDEX(Competências!$E:$E,MATCH($F153,Competências!$C:$C,0)),"")</f>
        <v/>
      </c>
      <c r="I153" s="20" t="n"/>
      <c r="J153" s="20" t="n"/>
      <c r="K153" s="21">
        <f>IF(AND(ISNUMBER($I153),ISNUMBER($J153)),ABS($I153-$J153),"")</f>
        <v/>
      </c>
      <c r="L153" s="21">
        <f>IF(AND(NOT(ISNUMBER($I153)),NOT(ISNUMBER($J153))),"",IF(NOT(ISNUMBER($J153)),$I153,IF(NOT(ISNUMBER($I153)),$J153,IF($K153=0,$I153,IF($K153=1,IF($H153="Líder Técnico",$J153,IF($H153="GP",$I153,"CALIBRAR")),"CALIBRAR")))))</f>
        <v/>
      </c>
      <c r="M153" s="20" t="n"/>
      <c r="N153" s="21">
        <f>IF($C153="","",COUNTIFS(Ocorrências!$B:$B,$C153,Ocorrências!$F:$F,$F153,Ocorrências!$N:$N,$A153))</f>
        <v/>
      </c>
      <c r="O153" s="15">
        <f>IF($M153="","",IF(OR($M153=1,$M153=2,$M153=5),IF($N153&gt;0,"OK","SEM LASTRO"),"OK"))</f>
        <v/>
      </c>
      <c r="P153" s="19" t="n"/>
      <c r="Q153" s="18" t="n"/>
    </row>
    <row r="154">
      <c r="A154" s="19" t="n"/>
      <c r="B154" s="19" t="n"/>
      <c r="C154" s="15">
        <f>IFERROR(INDEX(Colaboradores!$B:$B,MATCH($B154,Colaboradores!$A:$A,0)),"")</f>
        <v/>
      </c>
      <c r="D154" s="15">
        <f>IFERROR(INDEX(Colaboradores!$E:$E,MATCH($B154,Colaboradores!$A:$A,0)),"")</f>
        <v/>
      </c>
      <c r="E154" s="15">
        <f>IFERROR(INDEX(Colaboradores!$D:$D,MATCH($B154,Colaboradores!$A:$A,0)),"")</f>
        <v/>
      </c>
      <c r="F154" s="19" t="n"/>
      <c r="G154" s="15">
        <f>IFERROR(INDEX(Competências!$B:$B,MATCH($F154,Competências!$C:$C,0)),"")</f>
        <v/>
      </c>
      <c r="H154" s="15">
        <f>IFERROR(INDEX(Competências!$E:$E,MATCH($F154,Competências!$C:$C,0)),"")</f>
        <v/>
      </c>
      <c r="I154" s="20" t="n"/>
      <c r="J154" s="20" t="n"/>
      <c r="K154" s="21">
        <f>IF(AND(ISNUMBER($I154),ISNUMBER($J154)),ABS($I154-$J154),"")</f>
        <v/>
      </c>
      <c r="L154" s="21">
        <f>IF(AND(NOT(ISNUMBER($I154)),NOT(ISNUMBER($J154))),"",IF(NOT(ISNUMBER($J154)),$I154,IF(NOT(ISNUMBER($I154)),$J154,IF($K154=0,$I154,IF($K154=1,IF($H154="Líder Técnico",$J154,IF($H154="GP",$I154,"CALIBRAR")),"CALIBRAR")))))</f>
        <v/>
      </c>
      <c r="M154" s="20" t="n"/>
      <c r="N154" s="21">
        <f>IF($C154="","",COUNTIFS(Ocorrências!$B:$B,$C154,Ocorrências!$F:$F,$F154,Ocorrências!$N:$N,$A154))</f>
        <v/>
      </c>
      <c r="O154" s="15">
        <f>IF($M154="","",IF(OR($M154=1,$M154=2,$M154=5),IF($N154&gt;0,"OK","SEM LASTRO"),"OK"))</f>
        <v/>
      </c>
      <c r="P154" s="19" t="n"/>
      <c r="Q154" s="18" t="n"/>
    </row>
    <row r="155">
      <c r="A155" s="19" t="n"/>
      <c r="B155" s="19" t="n"/>
      <c r="C155" s="15">
        <f>IFERROR(INDEX(Colaboradores!$B:$B,MATCH($B155,Colaboradores!$A:$A,0)),"")</f>
        <v/>
      </c>
      <c r="D155" s="15">
        <f>IFERROR(INDEX(Colaboradores!$E:$E,MATCH($B155,Colaboradores!$A:$A,0)),"")</f>
        <v/>
      </c>
      <c r="E155" s="15">
        <f>IFERROR(INDEX(Colaboradores!$D:$D,MATCH($B155,Colaboradores!$A:$A,0)),"")</f>
        <v/>
      </c>
      <c r="F155" s="19" t="n"/>
      <c r="G155" s="15">
        <f>IFERROR(INDEX(Competências!$B:$B,MATCH($F155,Competências!$C:$C,0)),"")</f>
        <v/>
      </c>
      <c r="H155" s="15">
        <f>IFERROR(INDEX(Competências!$E:$E,MATCH($F155,Competências!$C:$C,0)),"")</f>
        <v/>
      </c>
      <c r="I155" s="20" t="n"/>
      <c r="J155" s="20" t="n"/>
      <c r="K155" s="21">
        <f>IF(AND(ISNUMBER($I155),ISNUMBER($J155)),ABS($I155-$J155),"")</f>
        <v/>
      </c>
      <c r="L155" s="21">
        <f>IF(AND(NOT(ISNUMBER($I155)),NOT(ISNUMBER($J155))),"",IF(NOT(ISNUMBER($J155)),$I155,IF(NOT(ISNUMBER($I155)),$J155,IF($K155=0,$I155,IF($K155=1,IF($H155="Líder Técnico",$J155,IF($H155="GP",$I155,"CALIBRAR")),"CALIBRAR")))))</f>
        <v/>
      </c>
      <c r="M155" s="20" t="n"/>
      <c r="N155" s="21">
        <f>IF($C155="","",COUNTIFS(Ocorrências!$B:$B,$C155,Ocorrências!$F:$F,$F155,Ocorrências!$N:$N,$A155))</f>
        <v/>
      </c>
      <c r="O155" s="15">
        <f>IF($M155="","",IF(OR($M155=1,$M155=2,$M155=5),IF($N155&gt;0,"OK","SEM LASTRO"),"OK"))</f>
        <v/>
      </c>
      <c r="P155" s="19" t="n"/>
      <c r="Q155" s="18" t="n"/>
    </row>
    <row r="156">
      <c r="A156" s="19" t="n"/>
      <c r="B156" s="19" t="n"/>
      <c r="C156" s="15">
        <f>IFERROR(INDEX(Colaboradores!$B:$B,MATCH($B156,Colaboradores!$A:$A,0)),"")</f>
        <v/>
      </c>
      <c r="D156" s="15">
        <f>IFERROR(INDEX(Colaboradores!$E:$E,MATCH($B156,Colaboradores!$A:$A,0)),"")</f>
        <v/>
      </c>
      <c r="E156" s="15">
        <f>IFERROR(INDEX(Colaboradores!$D:$D,MATCH($B156,Colaboradores!$A:$A,0)),"")</f>
        <v/>
      </c>
      <c r="F156" s="19" t="n"/>
      <c r="G156" s="15">
        <f>IFERROR(INDEX(Competências!$B:$B,MATCH($F156,Competências!$C:$C,0)),"")</f>
        <v/>
      </c>
      <c r="H156" s="15">
        <f>IFERROR(INDEX(Competências!$E:$E,MATCH($F156,Competências!$C:$C,0)),"")</f>
        <v/>
      </c>
      <c r="I156" s="20" t="n"/>
      <c r="J156" s="20" t="n"/>
      <c r="K156" s="21">
        <f>IF(AND(ISNUMBER($I156),ISNUMBER($J156)),ABS($I156-$J156),"")</f>
        <v/>
      </c>
      <c r="L156" s="21">
        <f>IF(AND(NOT(ISNUMBER($I156)),NOT(ISNUMBER($J156))),"",IF(NOT(ISNUMBER($J156)),$I156,IF(NOT(ISNUMBER($I156)),$J156,IF($K156=0,$I156,IF($K156=1,IF($H156="Líder Técnico",$J156,IF($H156="GP",$I156,"CALIBRAR")),"CALIBRAR")))))</f>
        <v/>
      </c>
      <c r="M156" s="20" t="n"/>
      <c r="N156" s="21">
        <f>IF($C156="","",COUNTIFS(Ocorrências!$B:$B,$C156,Ocorrências!$F:$F,$F156,Ocorrências!$N:$N,$A156))</f>
        <v/>
      </c>
      <c r="O156" s="15">
        <f>IF($M156="","",IF(OR($M156=1,$M156=2,$M156=5),IF($N156&gt;0,"OK","SEM LASTRO"),"OK"))</f>
        <v/>
      </c>
      <c r="P156" s="19" t="n"/>
      <c r="Q156" s="18" t="n"/>
    </row>
    <row r="157">
      <c r="A157" s="19" t="n"/>
      <c r="B157" s="19" t="n"/>
      <c r="C157" s="15">
        <f>IFERROR(INDEX(Colaboradores!$B:$B,MATCH($B157,Colaboradores!$A:$A,0)),"")</f>
        <v/>
      </c>
      <c r="D157" s="15">
        <f>IFERROR(INDEX(Colaboradores!$E:$E,MATCH($B157,Colaboradores!$A:$A,0)),"")</f>
        <v/>
      </c>
      <c r="E157" s="15">
        <f>IFERROR(INDEX(Colaboradores!$D:$D,MATCH($B157,Colaboradores!$A:$A,0)),"")</f>
        <v/>
      </c>
      <c r="F157" s="19" t="n"/>
      <c r="G157" s="15">
        <f>IFERROR(INDEX(Competências!$B:$B,MATCH($F157,Competências!$C:$C,0)),"")</f>
        <v/>
      </c>
      <c r="H157" s="15">
        <f>IFERROR(INDEX(Competências!$E:$E,MATCH($F157,Competências!$C:$C,0)),"")</f>
        <v/>
      </c>
      <c r="I157" s="20" t="n"/>
      <c r="J157" s="20" t="n"/>
      <c r="K157" s="21">
        <f>IF(AND(ISNUMBER($I157),ISNUMBER($J157)),ABS($I157-$J157),"")</f>
        <v/>
      </c>
      <c r="L157" s="21">
        <f>IF(AND(NOT(ISNUMBER($I157)),NOT(ISNUMBER($J157))),"",IF(NOT(ISNUMBER($J157)),$I157,IF(NOT(ISNUMBER($I157)),$J157,IF($K157=0,$I157,IF($K157=1,IF($H157="Líder Técnico",$J157,IF($H157="GP",$I157,"CALIBRAR")),"CALIBRAR")))))</f>
        <v/>
      </c>
      <c r="M157" s="20" t="n"/>
      <c r="N157" s="21">
        <f>IF($C157="","",COUNTIFS(Ocorrências!$B:$B,$C157,Ocorrências!$F:$F,$F157,Ocorrências!$N:$N,$A157))</f>
        <v/>
      </c>
      <c r="O157" s="15">
        <f>IF($M157="","",IF(OR($M157=1,$M157=2,$M157=5),IF($N157&gt;0,"OK","SEM LASTRO"),"OK"))</f>
        <v/>
      </c>
      <c r="P157" s="19" t="n"/>
      <c r="Q157" s="18" t="n"/>
    </row>
    <row r="158">
      <c r="A158" s="19" t="n"/>
      <c r="B158" s="19" t="n"/>
      <c r="C158" s="15">
        <f>IFERROR(INDEX(Colaboradores!$B:$B,MATCH($B158,Colaboradores!$A:$A,0)),"")</f>
        <v/>
      </c>
      <c r="D158" s="15">
        <f>IFERROR(INDEX(Colaboradores!$E:$E,MATCH($B158,Colaboradores!$A:$A,0)),"")</f>
        <v/>
      </c>
      <c r="E158" s="15">
        <f>IFERROR(INDEX(Colaboradores!$D:$D,MATCH($B158,Colaboradores!$A:$A,0)),"")</f>
        <v/>
      </c>
      <c r="F158" s="19" t="n"/>
      <c r="G158" s="15">
        <f>IFERROR(INDEX(Competências!$B:$B,MATCH($F158,Competências!$C:$C,0)),"")</f>
        <v/>
      </c>
      <c r="H158" s="15">
        <f>IFERROR(INDEX(Competências!$E:$E,MATCH($F158,Competências!$C:$C,0)),"")</f>
        <v/>
      </c>
      <c r="I158" s="20" t="n"/>
      <c r="J158" s="20" t="n"/>
      <c r="K158" s="21">
        <f>IF(AND(ISNUMBER($I158),ISNUMBER($J158)),ABS($I158-$J158),"")</f>
        <v/>
      </c>
      <c r="L158" s="21">
        <f>IF(AND(NOT(ISNUMBER($I158)),NOT(ISNUMBER($J158))),"",IF(NOT(ISNUMBER($J158)),$I158,IF(NOT(ISNUMBER($I158)),$J158,IF($K158=0,$I158,IF($K158=1,IF($H158="Líder Técnico",$J158,IF($H158="GP",$I158,"CALIBRAR")),"CALIBRAR")))))</f>
        <v/>
      </c>
      <c r="M158" s="20" t="n"/>
      <c r="N158" s="21">
        <f>IF($C158="","",COUNTIFS(Ocorrências!$B:$B,$C158,Ocorrências!$F:$F,$F158,Ocorrências!$N:$N,$A158))</f>
        <v/>
      </c>
      <c r="O158" s="15">
        <f>IF($M158="","",IF(OR($M158=1,$M158=2,$M158=5),IF($N158&gt;0,"OK","SEM LASTRO"),"OK"))</f>
        <v/>
      </c>
      <c r="P158" s="19" t="n"/>
      <c r="Q158" s="18" t="n"/>
    </row>
    <row r="159">
      <c r="A159" s="19" t="n"/>
      <c r="B159" s="19" t="n"/>
      <c r="C159" s="15">
        <f>IFERROR(INDEX(Colaboradores!$B:$B,MATCH($B159,Colaboradores!$A:$A,0)),"")</f>
        <v/>
      </c>
      <c r="D159" s="15">
        <f>IFERROR(INDEX(Colaboradores!$E:$E,MATCH($B159,Colaboradores!$A:$A,0)),"")</f>
        <v/>
      </c>
      <c r="E159" s="15">
        <f>IFERROR(INDEX(Colaboradores!$D:$D,MATCH($B159,Colaboradores!$A:$A,0)),"")</f>
        <v/>
      </c>
      <c r="F159" s="19" t="n"/>
      <c r="G159" s="15">
        <f>IFERROR(INDEX(Competências!$B:$B,MATCH($F159,Competências!$C:$C,0)),"")</f>
        <v/>
      </c>
      <c r="H159" s="15">
        <f>IFERROR(INDEX(Competências!$E:$E,MATCH($F159,Competências!$C:$C,0)),"")</f>
        <v/>
      </c>
      <c r="I159" s="20" t="n"/>
      <c r="J159" s="20" t="n"/>
      <c r="K159" s="21">
        <f>IF(AND(ISNUMBER($I159),ISNUMBER($J159)),ABS($I159-$J159),"")</f>
        <v/>
      </c>
      <c r="L159" s="21">
        <f>IF(AND(NOT(ISNUMBER($I159)),NOT(ISNUMBER($J159))),"",IF(NOT(ISNUMBER($J159)),$I159,IF(NOT(ISNUMBER($I159)),$J159,IF($K159=0,$I159,IF($K159=1,IF($H159="Líder Técnico",$J159,IF($H159="GP",$I159,"CALIBRAR")),"CALIBRAR")))))</f>
        <v/>
      </c>
      <c r="M159" s="20" t="n"/>
      <c r="N159" s="21">
        <f>IF($C159="","",COUNTIFS(Ocorrências!$B:$B,$C159,Ocorrências!$F:$F,$F159,Ocorrências!$N:$N,$A159))</f>
        <v/>
      </c>
      <c r="O159" s="15">
        <f>IF($M159="","",IF(OR($M159=1,$M159=2,$M159=5),IF($N159&gt;0,"OK","SEM LASTRO"),"OK"))</f>
        <v/>
      </c>
      <c r="P159" s="19" t="n"/>
      <c r="Q159" s="18" t="n"/>
    </row>
    <row r="160">
      <c r="A160" s="19" t="n"/>
      <c r="B160" s="19" t="n"/>
      <c r="C160" s="15">
        <f>IFERROR(INDEX(Colaboradores!$B:$B,MATCH($B160,Colaboradores!$A:$A,0)),"")</f>
        <v/>
      </c>
      <c r="D160" s="15">
        <f>IFERROR(INDEX(Colaboradores!$E:$E,MATCH($B160,Colaboradores!$A:$A,0)),"")</f>
        <v/>
      </c>
      <c r="E160" s="15">
        <f>IFERROR(INDEX(Colaboradores!$D:$D,MATCH($B160,Colaboradores!$A:$A,0)),"")</f>
        <v/>
      </c>
      <c r="F160" s="19" t="n"/>
      <c r="G160" s="15">
        <f>IFERROR(INDEX(Competências!$B:$B,MATCH($F160,Competências!$C:$C,0)),"")</f>
        <v/>
      </c>
      <c r="H160" s="15">
        <f>IFERROR(INDEX(Competências!$E:$E,MATCH($F160,Competências!$C:$C,0)),"")</f>
        <v/>
      </c>
      <c r="I160" s="20" t="n"/>
      <c r="J160" s="20" t="n"/>
      <c r="K160" s="21">
        <f>IF(AND(ISNUMBER($I160),ISNUMBER($J160)),ABS($I160-$J160),"")</f>
        <v/>
      </c>
      <c r="L160" s="21">
        <f>IF(AND(NOT(ISNUMBER($I160)),NOT(ISNUMBER($J160))),"",IF(NOT(ISNUMBER($J160)),$I160,IF(NOT(ISNUMBER($I160)),$J160,IF($K160=0,$I160,IF($K160=1,IF($H160="Líder Técnico",$J160,IF($H160="GP",$I160,"CALIBRAR")),"CALIBRAR")))))</f>
        <v/>
      </c>
      <c r="M160" s="20" t="n"/>
      <c r="N160" s="21">
        <f>IF($C160="","",COUNTIFS(Ocorrências!$B:$B,$C160,Ocorrências!$F:$F,$F160,Ocorrências!$N:$N,$A160))</f>
        <v/>
      </c>
      <c r="O160" s="15">
        <f>IF($M160="","",IF(OR($M160=1,$M160=2,$M160=5),IF($N160&gt;0,"OK","SEM LASTRO"),"OK"))</f>
        <v/>
      </c>
      <c r="P160" s="19" t="n"/>
      <c r="Q160" s="18" t="n"/>
    </row>
    <row r="161">
      <c r="A161" s="19" t="n"/>
      <c r="B161" s="19" t="n"/>
      <c r="C161" s="15">
        <f>IFERROR(INDEX(Colaboradores!$B:$B,MATCH($B161,Colaboradores!$A:$A,0)),"")</f>
        <v/>
      </c>
      <c r="D161" s="15">
        <f>IFERROR(INDEX(Colaboradores!$E:$E,MATCH($B161,Colaboradores!$A:$A,0)),"")</f>
        <v/>
      </c>
      <c r="E161" s="15">
        <f>IFERROR(INDEX(Colaboradores!$D:$D,MATCH($B161,Colaboradores!$A:$A,0)),"")</f>
        <v/>
      </c>
      <c r="F161" s="19" t="n"/>
      <c r="G161" s="15">
        <f>IFERROR(INDEX(Competências!$B:$B,MATCH($F161,Competências!$C:$C,0)),"")</f>
        <v/>
      </c>
      <c r="H161" s="15">
        <f>IFERROR(INDEX(Competências!$E:$E,MATCH($F161,Competências!$C:$C,0)),"")</f>
        <v/>
      </c>
      <c r="I161" s="20" t="n"/>
      <c r="J161" s="20" t="n"/>
      <c r="K161" s="21">
        <f>IF(AND(ISNUMBER($I161),ISNUMBER($J161)),ABS($I161-$J161),"")</f>
        <v/>
      </c>
      <c r="L161" s="21">
        <f>IF(AND(NOT(ISNUMBER($I161)),NOT(ISNUMBER($J161))),"",IF(NOT(ISNUMBER($J161)),$I161,IF(NOT(ISNUMBER($I161)),$J161,IF($K161=0,$I161,IF($K161=1,IF($H161="Líder Técnico",$J161,IF($H161="GP",$I161,"CALIBRAR")),"CALIBRAR")))))</f>
        <v/>
      </c>
      <c r="M161" s="20" t="n"/>
      <c r="N161" s="21">
        <f>IF($C161="","",COUNTIFS(Ocorrências!$B:$B,$C161,Ocorrências!$F:$F,$F161,Ocorrências!$N:$N,$A161))</f>
        <v/>
      </c>
      <c r="O161" s="15">
        <f>IF($M161="","",IF(OR($M161=1,$M161=2,$M161=5),IF($N161&gt;0,"OK","SEM LASTRO"),"OK"))</f>
        <v/>
      </c>
      <c r="P161" s="19" t="n"/>
      <c r="Q161" s="18" t="n"/>
    </row>
    <row r="162">
      <c r="A162" s="19" t="n"/>
      <c r="B162" s="19" t="n"/>
      <c r="C162" s="15">
        <f>IFERROR(INDEX(Colaboradores!$B:$B,MATCH($B162,Colaboradores!$A:$A,0)),"")</f>
        <v/>
      </c>
      <c r="D162" s="15">
        <f>IFERROR(INDEX(Colaboradores!$E:$E,MATCH($B162,Colaboradores!$A:$A,0)),"")</f>
        <v/>
      </c>
      <c r="E162" s="15">
        <f>IFERROR(INDEX(Colaboradores!$D:$D,MATCH($B162,Colaboradores!$A:$A,0)),"")</f>
        <v/>
      </c>
      <c r="F162" s="19" t="n"/>
      <c r="G162" s="15">
        <f>IFERROR(INDEX(Competências!$B:$B,MATCH($F162,Competências!$C:$C,0)),"")</f>
        <v/>
      </c>
      <c r="H162" s="15">
        <f>IFERROR(INDEX(Competências!$E:$E,MATCH($F162,Competências!$C:$C,0)),"")</f>
        <v/>
      </c>
      <c r="I162" s="20" t="n"/>
      <c r="J162" s="20" t="n"/>
      <c r="K162" s="21">
        <f>IF(AND(ISNUMBER($I162),ISNUMBER($J162)),ABS($I162-$J162),"")</f>
        <v/>
      </c>
      <c r="L162" s="21">
        <f>IF(AND(NOT(ISNUMBER($I162)),NOT(ISNUMBER($J162))),"",IF(NOT(ISNUMBER($J162)),$I162,IF(NOT(ISNUMBER($I162)),$J162,IF($K162=0,$I162,IF($K162=1,IF($H162="Líder Técnico",$J162,IF($H162="GP",$I162,"CALIBRAR")),"CALIBRAR")))))</f>
        <v/>
      </c>
      <c r="M162" s="20" t="n"/>
      <c r="N162" s="21">
        <f>IF($C162="","",COUNTIFS(Ocorrências!$B:$B,$C162,Ocorrências!$F:$F,$F162,Ocorrências!$N:$N,$A162))</f>
        <v/>
      </c>
      <c r="O162" s="15">
        <f>IF($M162="","",IF(OR($M162=1,$M162=2,$M162=5),IF($N162&gt;0,"OK","SEM LASTRO"),"OK"))</f>
        <v/>
      </c>
      <c r="P162" s="19" t="n"/>
      <c r="Q162" s="18" t="n"/>
    </row>
    <row r="163">
      <c r="A163" s="19" t="n"/>
      <c r="B163" s="19" t="n"/>
      <c r="C163" s="15">
        <f>IFERROR(INDEX(Colaboradores!$B:$B,MATCH($B163,Colaboradores!$A:$A,0)),"")</f>
        <v/>
      </c>
      <c r="D163" s="15">
        <f>IFERROR(INDEX(Colaboradores!$E:$E,MATCH($B163,Colaboradores!$A:$A,0)),"")</f>
        <v/>
      </c>
      <c r="E163" s="15">
        <f>IFERROR(INDEX(Colaboradores!$D:$D,MATCH($B163,Colaboradores!$A:$A,0)),"")</f>
        <v/>
      </c>
      <c r="F163" s="19" t="n"/>
      <c r="G163" s="15">
        <f>IFERROR(INDEX(Competências!$B:$B,MATCH($F163,Competências!$C:$C,0)),"")</f>
        <v/>
      </c>
      <c r="H163" s="15">
        <f>IFERROR(INDEX(Competências!$E:$E,MATCH($F163,Competências!$C:$C,0)),"")</f>
        <v/>
      </c>
      <c r="I163" s="20" t="n"/>
      <c r="J163" s="20" t="n"/>
      <c r="K163" s="21">
        <f>IF(AND(ISNUMBER($I163),ISNUMBER($J163)),ABS($I163-$J163),"")</f>
        <v/>
      </c>
      <c r="L163" s="21">
        <f>IF(AND(NOT(ISNUMBER($I163)),NOT(ISNUMBER($J163))),"",IF(NOT(ISNUMBER($J163)),$I163,IF(NOT(ISNUMBER($I163)),$J163,IF($K163=0,$I163,IF($K163=1,IF($H163="Líder Técnico",$J163,IF($H163="GP",$I163,"CALIBRAR")),"CALIBRAR")))))</f>
        <v/>
      </c>
      <c r="M163" s="20" t="n"/>
      <c r="N163" s="21">
        <f>IF($C163="","",COUNTIFS(Ocorrências!$B:$B,$C163,Ocorrências!$F:$F,$F163,Ocorrências!$N:$N,$A163))</f>
        <v/>
      </c>
      <c r="O163" s="15">
        <f>IF($M163="","",IF(OR($M163=1,$M163=2,$M163=5),IF($N163&gt;0,"OK","SEM LASTRO"),"OK"))</f>
        <v/>
      </c>
      <c r="P163" s="19" t="n"/>
      <c r="Q163" s="18" t="n"/>
    </row>
    <row r="164">
      <c r="A164" s="19" t="n"/>
      <c r="B164" s="19" t="n"/>
      <c r="C164" s="15">
        <f>IFERROR(INDEX(Colaboradores!$B:$B,MATCH($B164,Colaboradores!$A:$A,0)),"")</f>
        <v/>
      </c>
      <c r="D164" s="15">
        <f>IFERROR(INDEX(Colaboradores!$E:$E,MATCH($B164,Colaboradores!$A:$A,0)),"")</f>
        <v/>
      </c>
      <c r="E164" s="15">
        <f>IFERROR(INDEX(Colaboradores!$D:$D,MATCH($B164,Colaboradores!$A:$A,0)),"")</f>
        <v/>
      </c>
      <c r="F164" s="19" t="n"/>
      <c r="G164" s="15">
        <f>IFERROR(INDEX(Competências!$B:$B,MATCH($F164,Competências!$C:$C,0)),"")</f>
        <v/>
      </c>
      <c r="H164" s="15">
        <f>IFERROR(INDEX(Competências!$E:$E,MATCH($F164,Competências!$C:$C,0)),"")</f>
        <v/>
      </c>
      <c r="I164" s="20" t="n"/>
      <c r="J164" s="20" t="n"/>
      <c r="K164" s="21">
        <f>IF(AND(ISNUMBER($I164),ISNUMBER($J164)),ABS($I164-$J164),"")</f>
        <v/>
      </c>
      <c r="L164" s="21">
        <f>IF(AND(NOT(ISNUMBER($I164)),NOT(ISNUMBER($J164))),"",IF(NOT(ISNUMBER($J164)),$I164,IF(NOT(ISNUMBER($I164)),$J164,IF($K164=0,$I164,IF($K164=1,IF($H164="Líder Técnico",$J164,IF($H164="GP",$I164,"CALIBRAR")),"CALIBRAR")))))</f>
        <v/>
      </c>
      <c r="M164" s="20" t="n"/>
      <c r="N164" s="21">
        <f>IF($C164="","",COUNTIFS(Ocorrências!$B:$B,$C164,Ocorrências!$F:$F,$F164,Ocorrências!$N:$N,$A164))</f>
        <v/>
      </c>
      <c r="O164" s="15">
        <f>IF($M164="","",IF(OR($M164=1,$M164=2,$M164=5),IF($N164&gt;0,"OK","SEM LASTRO"),"OK"))</f>
        <v/>
      </c>
      <c r="P164" s="19" t="n"/>
      <c r="Q164" s="18" t="n"/>
    </row>
    <row r="165">
      <c r="A165" s="19" t="n"/>
      <c r="B165" s="19" t="n"/>
      <c r="C165" s="15">
        <f>IFERROR(INDEX(Colaboradores!$B:$B,MATCH($B165,Colaboradores!$A:$A,0)),"")</f>
        <v/>
      </c>
      <c r="D165" s="15">
        <f>IFERROR(INDEX(Colaboradores!$E:$E,MATCH($B165,Colaboradores!$A:$A,0)),"")</f>
        <v/>
      </c>
      <c r="E165" s="15">
        <f>IFERROR(INDEX(Colaboradores!$D:$D,MATCH($B165,Colaboradores!$A:$A,0)),"")</f>
        <v/>
      </c>
      <c r="F165" s="19" t="n"/>
      <c r="G165" s="15">
        <f>IFERROR(INDEX(Competências!$B:$B,MATCH($F165,Competências!$C:$C,0)),"")</f>
        <v/>
      </c>
      <c r="H165" s="15">
        <f>IFERROR(INDEX(Competências!$E:$E,MATCH($F165,Competências!$C:$C,0)),"")</f>
        <v/>
      </c>
      <c r="I165" s="20" t="n"/>
      <c r="J165" s="20" t="n"/>
      <c r="K165" s="21">
        <f>IF(AND(ISNUMBER($I165),ISNUMBER($J165)),ABS($I165-$J165),"")</f>
        <v/>
      </c>
      <c r="L165" s="21">
        <f>IF(AND(NOT(ISNUMBER($I165)),NOT(ISNUMBER($J165))),"",IF(NOT(ISNUMBER($J165)),$I165,IF(NOT(ISNUMBER($I165)),$J165,IF($K165=0,$I165,IF($K165=1,IF($H165="Líder Técnico",$J165,IF($H165="GP",$I165,"CALIBRAR")),"CALIBRAR")))))</f>
        <v/>
      </c>
      <c r="M165" s="20" t="n"/>
      <c r="N165" s="21">
        <f>IF($C165="","",COUNTIFS(Ocorrências!$B:$B,$C165,Ocorrências!$F:$F,$F165,Ocorrências!$N:$N,$A165))</f>
        <v/>
      </c>
      <c r="O165" s="15">
        <f>IF($M165="","",IF(OR($M165=1,$M165=2,$M165=5),IF($N165&gt;0,"OK","SEM LASTRO"),"OK"))</f>
        <v/>
      </c>
      <c r="P165" s="19" t="n"/>
      <c r="Q165" s="18" t="n"/>
    </row>
    <row r="166">
      <c r="A166" s="19" t="n"/>
      <c r="B166" s="19" t="n"/>
      <c r="C166" s="15">
        <f>IFERROR(INDEX(Colaboradores!$B:$B,MATCH($B166,Colaboradores!$A:$A,0)),"")</f>
        <v/>
      </c>
      <c r="D166" s="15">
        <f>IFERROR(INDEX(Colaboradores!$E:$E,MATCH($B166,Colaboradores!$A:$A,0)),"")</f>
        <v/>
      </c>
      <c r="E166" s="15">
        <f>IFERROR(INDEX(Colaboradores!$D:$D,MATCH($B166,Colaboradores!$A:$A,0)),"")</f>
        <v/>
      </c>
      <c r="F166" s="19" t="n"/>
      <c r="G166" s="15">
        <f>IFERROR(INDEX(Competências!$B:$B,MATCH($F166,Competências!$C:$C,0)),"")</f>
        <v/>
      </c>
      <c r="H166" s="15">
        <f>IFERROR(INDEX(Competências!$E:$E,MATCH($F166,Competências!$C:$C,0)),"")</f>
        <v/>
      </c>
      <c r="I166" s="20" t="n"/>
      <c r="J166" s="20" t="n"/>
      <c r="K166" s="21">
        <f>IF(AND(ISNUMBER($I166),ISNUMBER($J166)),ABS($I166-$J166),"")</f>
        <v/>
      </c>
      <c r="L166" s="21">
        <f>IF(AND(NOT(ISNUMBER($I166)),NOT(ISNUMBER($J166))),"",IF(NOT(ISNUMBER($J166)),$I166,IF(NOT(ISNUMBER($I166)),$J166,IF($K166=0,$I166,IF($K166=1,IF($H166="Líder Técnico",$J166,IF($H166="GP",$I166,"CALIBRAR")),"CALIBRAR")))))</f>
        <v/>
      </c>
      <c r="M166" s="20" t="n"/>
      <c r="N166" s="21">
        <f>IF($C166="","",COUNTIFS(Ocorrências!$B:$B,$C166,Ocorrências!$F:$F,$F166,Ocorrências!$N:$N,$A166))</f>
        <v/>
      </c>
      <c r="O166" s="15">
        <f>IF($M166="","",IF(OR($M166=1,$M166=2,$M166=5),IF($N166&gt;0,"OK","SEM LASTRO"),"OK"))</f>
        <v/>
      </c>
      <c r="P166" s="19" t="n"/>
      <c r="Q166" s="18" t="n"/>
    </row>
    <row r="167">
      <c r="A167" s="19" t="n"/>
      <c r="B167" s="19" t="n"/>
      <c r="C167" s="15">
        <f>IFERROR(INDEX(Colaboradores!$B:$B,MATCH($B167,Colaboradores!$A:$A,0)),"")</f>
        <v/>
      </c>
      <c r="D167" s="15">
        <f>IFERROR(INDEX(Colaboradores!$E:$E,MATCH($B167,Colaboradores!$A:$A,0)),"")</f>
        <v/>
      </c>
      <c r="E167" s="15">
        <f>IFERROR(INDEX(Colaboradores!$D:$D,MATCH($B167,Colaboradores!$A:$A,0)),"")</f>
        <v/>
      </c>
      <c r="F167" s="19" t="n"/>
      <c r="G167" s="15">
        <f>IFERROR(INDEX(Competências!$B:$B,MATCH($F167,Competências!$C:$C,0)),"")</f>
        <v/>
      </c>
      <c r="H167" s="15">
        <f>IFERROR(INDEX(Competências!$E:$E,MATCH($F167,Competências!$C:$C,0)),"")</f>
        <v/>
      </c>
      <c r="I167" s="20" t="n"/>
      <c r="J167" s="20" t="n"/>
      <c r="K167" s="21">
        <f>IF(AND(ISNUMBER($I167),ISNUMBER($J167)),ABS($I167-$J167),"")</f>
        <v/>
      </c>
      <c r="L167" s="21">
        <f>IF(AND(NOT(ISNUMBER($I167)),NOT(ISNUMBER($J167))),"",IF(NOT(ISNUMBER($J167)),$I167,IF(NOT(ISNUMBER($I167)),$J167,IF($K167=0,$I167,IF($K167=1,IF($H167="Líder Técnico",$J167,IF($H167="GP",$I167,"CALIBRAR")),"CALIBRAR")))))</f>
        <v/>
      </c>
      <c r="M167" s="20" t="n"/>
      <c r="N167" s="21">
        <f>IF($C167="","",COUNTIFS(Ocorrências!$B:$B,$C167,Ocorrências!$F:$F,$F167,Ocorrências!$N:$N,$A167))</f>
        <v/>
      </c>
      <c r="O167" s="15">
        <f>IF($M167="","",IF(OR($M167=1,$M167=2,$M167=5),IF($N167&gt;0,"OK","SEM LASTRO"),"OK"))</f>
        <v/>
      </c>
      <c r="P167" s="19" t="n"/>
      <c r="Q167" s="18" t="n"/>
    </row>
    <row r="168">
      <c r="A168" s="19" t="n"/>
      <c r="B168" s="19" t="n"/>
      <c r="C168" s="15">
        <f>IFERROR(INDEX(Colaboradores!$B:$B,MATCH($B168,Colaboradores!$A:$A,0)),"")</f>
        <v/>
      </c>
      <c r="D168" s="15">
        <f>IFERROR(INDEX(Colaboradores!$E:$E,MATCH($B168,Colaboradores!$A:$A,0)),"")</f>
        <v/>
      </c>
      <c r="E168" s="15">
        <f>IFERROR(INDEX(Colaboradores!$D:$D,MATCH($B168,Colaboradores!$A:$A,0)),"")</f>
        <v/>
      </c>
      <c r="F168" s="19" t="n"/>
      <c r="G168" s="15">
        <f>IFERROR(INDEX(Competências!$B:$B,MATCH($F168,Competências!$C:$C,0)),"")</f>
        <v/>
      </c>
      <c r="H168" s="15">
        <f>IFERROR(INDEX(Competências!$E:$E,MATCH($F168,Competências!$C:$C,0)),"")</f>
        <v/>
      </c>
      <c r="I168" s="20" t="n"/>
      <c r="J168" s="20" t="n"/>
      <c r="K168" s="21">
        <f>IF(AND(ISNUMBER($I168),ISNUMBER($J168)),ABS($I168-$J168),"")</f>
        <v/>
      </c>
      <c r="L168" s="21">
        <f>IF(AND(NOT(ISNUMBER($I168)),NOT(ISNUMBER($J168))),"",IF(NOT(ISNUMBER($J168)),$I168,IF(NOT(ISNUMBER($I168)),$J168,IF($K168=0,$I168,IF($K168=1,IF($H168="Líder Técnico",$J168,IF($H168="GP",$I168,"CALIBRAR")),"CALIBRAR")))))</f>
        <v/>
      </c>
      <c r="M168" s="20" t="n"/>
      <c r="N168" s="21">
        <f>IF($C168="","",COUNTIFS(Ocorrências!$B:$B,$C168,Ocorrências!$F:$F,$F168,Ocorrências!$N:$N,$A168))</f>
        <v/>
      </c>
      <c r="O168" s="15">
        <f>IF($M168="","",IF(OR($M168=1,$M168=2,$M168=5),IF($N168&gt;0,"OK","SEM LASTRO"),"OK"))</f>
        <v/>
      </c>
      <c r="P168" s="19" t="n"/>
      <c r="Q168" s="18" t="n"/>
    </row>
    <row r="169">
      <c r="A169" s="19" t="n"/>
      <c r="B169" s="19" t="n"/>
      <c r="C169" s="15">
        <f>IFERROR(INDEX(Colaboradores!$B:$B,MATCH($B169,Colaboradores!$A:$A,0)),"")</f>
        <v/>
      </c>
      <c r="D169" s="15">
        <f>IFERROR(INDEX(Colaboradores!$E:$E,MATCH($B169,Colaboradores!$A:$A,0)),"")</f>
        <v/>
      </c>
      <c r="E169" s="15">
        <f>IFERROR(INDEX(Colaboradores!$D:$D,MATCH($B169,Colaboradores!$A:$A,0)),"")</f>
        <v/>
      </c>
      <c r="F169" s="19" t="n"/>
      <c r="G169" s="15">
        <f>IFERROR(INDEX(Competências!$B:$B,MATCH($F169,Competências!$C:$C,0)),"")</f>
        <v/>
      </c>
      <c r="H169" s="15">
        <f>IFERROR(INDEX(Competências!$E:$E,MATCH($F169,Competências!$C:$C,0)),"")</f>
        <v/>
      </c>
      <c r="I169" s="20" t="n"/>
      <c r="J169" s="20" t="n"/>
      <c r="K169" s="21">
        <f>IF(AND(ISNUMBER($I169),ISNUMBER($J169)),ABS($I169-$J169),"")</f>
        <v/>
      </c>
      <c r="L169" s="21">
        <f>IF(AND(NOT(ISNUMBER($I169)),NOT(ISNUMBER($J169))),"",IF(NOT(ISNUMBER($J169)),$I169,IF(NOT(ISNUMBER($I169)),$J169,IF($K169=0,$I169,IF($K169=1,IF($H169="Líder Técnico",$J169,IF($H169="GP",$I169,"CALIBRAR")),"CALIBRAR")))))</f>
        <v/>
      </c>
      <c r="M169" s="20" t="n"/>
      <c r="N169" s="21">
        <f>IF($C169="","",COUNTIFS(Ocorrências!$B:$B,$C169,Ocorrências!$F:$F,$F169,Ocorrências!$N:$N,$A169))</f>
        <v/>
      </c>
      <c r="O169" s="15">
        <f>IF($M169="","",IF(OR($M169=1,$M169=2,$M169=5),IF($N169&gt;0,"OK","SEM LASTRO"),"OK"))</f>
        <v/>
      </c>
      <c r="P169" s="19" t="n"/>
      <c r="Q169" s="18" t="n"/>
    </row>
    <row r="170">
      <c r="A170" s="19" t="n"/>
      <c r="B170" s="19" t="n"/>
      <c r="C170" s="15">
        <f>IFERROR(INDEX(Colaboradores!$B:$B,MATCH($B170,Colaboradores!$A:$A,0)),"")</f>
        <v/>
      </c>
      <c r="D170" s="15">
        <f>IFERROR(INDEX(Colaboradores!$E:$E,MATCH($B170,Colaboradores!$A:$A,0)),"")</f>
        <v/>
      </c>
      <c r="E170" s="15">
        <f>IFERROR(INDEX(Colaboradores!$D:$D,MATCH($B170,Colaboradores!$A:$A,0)),"")</f>
        <v/>
      </c>
      <c r="F170" s="19" t="n"/>
      <c r="G170" s="15">
        <f>IFERROR(INDEX(Competências!$B:$B,MATCH($F170,Competências!$C:$C,0)),"")</f>
        <v/>
      </c>
      <c r="H170" s="15">
        <f>IFERROR(INDEX(Competências!$E:$E,MATCH($F170,Competências!$C:$C,0)),"")</f>
        <v/>
      </c>
      <c r="I170" s="20" t="n"/>
      <c r="J170" s="20" t="n"/>
      <c r="K170" s="21">
        <f>IF(AND(ISNUMBER($I170),ISNUMBER($J170)),ABS($I170-$J170),"")</f>
        <v/>
      </c>
      <c r="L170" s="21">
        <f>IF(AND(NOT(ISNUMBER($I170)),NOT(ISNUMBER($J170))),"",IF(NOT(ISNUMBER($J170)),$I170,IF(NOT(ISNUMBER($I170)),$J170,IF($K170=0,$I170,IF($K170=1,IF($H170="Líder Técnico",$J170,IF($H170="GP",$I170,"CALIBRAR")),"CALIBRAR")))))</f>
        <v/>
      </c>
      <c r="M170" s="20" t="n"/>
      <c r="N170" s="21">
        <f>IF($C170="","",COUNTIFS(Ocorrências!$B:$B,$C170,Ocorrências!$F:$F,$F170,Ocorrências!$N:$N,$A170))</f>
        <v/>
      </c>
      <c r="O170" s="15">
        <f>IF($M170="","",IF(OR($M170=1,$M170=2,$M170=5),IF($N170&gt;0,"OK","SEM LASTRO"),"OK"))</f>
        <v/>
      </c>
      <c r="P170" s="19" t="n"/>
      <c r="Q170" s="18" t="n"/>
    </row>
    <row r="171">
      <c r="A171" s="19" t="n"/>
      <c r="B171" s="19" t="n"/>
      <c r="C171" s="15">
        <f>IFERROR(INDEX(Colaboradores!$B:$B,MATCH($B171,Colaboradores!$A:$A,0)),"")</f>
        <v/>
      </c>
      <c r="D171" s="15">
        <f>IFERROR(INDEX(Colaboradores!$E:$E,MATCH($B171,Colaboradores!$A:$A,0)),"")</f>
        <v/>
      </c>
      <c r="E171" s="15">
        <f>IFERROR(INDEX(Colaboradores!$D:$D,MATCH($B171,Colaboradores!$A:$A,0)),"")</f>
        <v/>
      </c>
      <c r="F171" s="19" t="n"/>
      <c r="G171" s="15">
        <f>IFERROR(INDEX(Competências!$B:$B,MATCH($F171,Competências!$C:$C,0)),"")</f>
        <v/>
      </c>
      <c r="H171" s="15">
        <f>IFERROR(INDEX(Competências!$E:$E,MATCH($F171,Competências!$C:$C,0)),"")</f>
        <v/>
      </c>
      <c r="I171" s="20" t="n"/>
      <c r="J171" s="20" t="n"/>
      <c r="K171" s="21">
        <f>IF(AND(ISNUMBER($I171),ISNUMBER($J171)),ABS($I171-$J171),"")</f>
        <v/>
      </c>
      <c r="L171" s="21">
        <f>IF(AND(NOT(ISNUMBER($I171)),NOT(ISNUMBER($J171))),"",IF(NOT(ISNUMBER($J171)),$I171,IF(NOT(ISNUMBER($I171)),$J171,IF($K171=0,$I171,IF($K171=1,IF($H171="Líder Técnico",$J171,IF($H171="GP",$I171,"CALIBRAR")),"CALIBRAR")))))</f>
        <v/>
      </c>
      <c r="M171" s="20" t="n"/>
      <c r="N171" s="21">
        <f>IF($C171="","",COUNTIFS(Ocorrências!$B:$B,$C171,Ocorrências!$F:$F,$F171,Ocorrências!$N:$N,$A171))</f>
        <v/>
      </c>
      <c r="O171" s="15">
        <f>IF($M171="","",IF(OR($M171=1,$M171=2,$M171=5),IF($N171&gt;0,"OK","SEM LASTRO"),"OK"))</f>
        <v/>
      </c>
      <c r="P171" s="19" t="n"/>
      <c r="Q171" s="18" t="n"/>
    </row>
    <row r="172">
      <c r="A172" s="19" t="n"/>
      <c r="B172" s="19" t="n"/>
      <c r="C172" s="15">
        <f>IFERROR(INDEX(Colaboradores!$B:$B,MATCH($B172,Colaboradores!$A:$A,0)),"")</f>
        <v/>
      </c>
      <c r="D172" s="15">
        <f>IFERROR(INDEX(Colaboradores!$E:$E,MATCH($B172,Colaboradores!$A:$A,0)),"")</f>
        <v/>
      </c>
      <c r="E172" s="15">
        <f>IFERROR(INDEX(Colaboradores!$D:$D,MATCH($B172,Colaboradores!$A:$A,0)),"")</f>
        <v/>
      </c>
      <c r="F172" s="19" t="n"/>
      <c r="G172" s="15">
        <f>IFERROR(INDEX(Competências!$B:$B,MATCH($F172,Competências!$C:$C,0)),"")</f>
        <v/>
      </c>
      <c r="H172" s="15">
        <f>IFERROR(INDEX(Competências!$E:$E,MATCH($F172,Competências!$C:$C,0)),"")</f>
        <v/>
      </c>
      <c r="I172" s="20" t="n"/>
      <c r="J172" s="20" t="n"/>
      <c r="K172" s="21">
        <f>IF(AND(ISNUMBER($I172),ISNUMBER($J172)),ABS($I172-$J172),"")</f>
        <v/>
      </c>
      <c r="L172" s="21">
        <f>IF(AND(NOT(ISNUMBER($I172)),NOT(ISNUMBER($J172))),"",IF(NOT(ISNUMBER($J172)),$I172,IF(NOT(ISNUMBER($I172)),$J172,IF($K172=0,$I172,IF($K172=1,IF($H172="Líder Técnico",$J172,IF($H172="GP",$I172,"CALIBRAR")),"CALIBRAR")))))</f>
        <v/>
      </c>
      <c r="M172" s="20" t="n"/>
      <c r="N172" s="21">
        <f>IF($C172="","",COUNTIFS(Ocorrências!$B:$B,$C172,Ocorrências!$F:$F,$F172,Ocorrências!$N:$N,$A172))</f>
        <v/>
      </c>
      <c r="O172" s="15">
        <f>IF($M172="","",IF(OR($M172=1,$M172=2,$M172=5),IF($N172&gt;0,"OK","SEM LASTRO"),"OK"))</f>
        <v/>
      </c>
      <c r="P172" s="19" t="n"/>
      <c r="Q172" s="18" t="n"/>
    </row>
    <row r="173">
      <c r="A173" s="19" t="n"/>
      <c r="B173" s="19" t="n"/>
      <c r="C173" s="15">
        <f>IFERROR(INDEX(Colaboradores!$B:$B,MATCH($B173,Colaboradores!$A:$A,0)),"")</f>
        <v/>
      </c>
      <c r="D173" s="15">
        <f>IFERROR(INDEX(Colaboradores!$E:$E,MATCH($B173,Colaboradores!$A:$A,0)),"")</f>
        <v/>
      </c>
      <c r="E173" s="15">
        <f>IFERROR(INDEX(Colaboradores!$D:$D,MATCH($B173,Colaboradores!$A:$A,0)),"")</f>
        <v/>
      </c>
      <c r="F173" s="19" t="n"/>
      <c r="G173" s="15">
        <f>IFERROR(INDEX(Competências!$B:$B,MATCH($F173,Competências!$C:$C,0)),"")</f>
        <v/>
      </c>
      <c r="H173" s="15">
        <f>IFERROR(INDEX(Competências!$E:$E,MATCH($F173,Competências!$C:$C,0)),"")</f>
        <v/>
      </c>
      <c r="I173" s="20" t="n"/>
      <c r="J173" s="20" t="n"/>
      <c r="K173" s="21">
        <f>IF(AND(ISNUMBER($I173),ISNUMBER($J173)),ABS($I173-$J173),"")</f>
        <v/>
      </c>
      <c r="L173" s="21">
        <f>IF(AND(NOT(ISNUMBER($I173)),NOT(ISNUMBER($J173))),"",IF(NOT(ISNUMBER($J173)),$I173,IF(NOT(ISNUMBER($I173)),$J173,IF($K173=0,$I173,IF($K173=1,IF($H173="Líder Técnico",$J173,IF($H173="GP",$I173,"CALIBRAR")),"CALIBRAR")))))</f>
        <v/>
      </c>
      <c r="M173" s="20" t="n"/>
      <c r="N173" s="21">
        <f>IF($C173="","",COUNTIFS(Ocorrências!$B:$B,$C173,Ocorrências!$F:$F,$F173,Ocorrências!$N:$N,$A173))</f>
        <v/>
      </c>
      <c r="O173" s="15">
        <f>IF($M173="","",IF(OR($M173=1,$M173=2,$M173=5),IF($N173&gt;0,"OK","SEM LASTRO"),"OK"))</f>
        <v/>
      </c>
      <c r="P173" s="19" t="n"/>
      <c r="Q173" s="18" t="n"/>
    </row>
    <row r="174">
      <c r="A174" s="19" t="n"/>
      <c r="B174" s="19" t="n"/>
      <c r="C174" s="15">
        <f>IFERROR(INDEX(Colaboradores!$B:$B,MATCH($B174,Colaboradores!$A:$A,0)),"")</f>
        <v/>
      </c>
      <c r="D174" s="15">
        <f>IFERROR(INDEX(Colaboradores!$E:$E,MATCH($B174,Colaboradores!$A:$A,0)),"")</f>
        <v/>
      </c>
      <c r="E174" s="15">
        <f>IFERROR(INDEX(Colaboradores!$D:$D,MATCH($B174,Colaboradores!$A:$A,0)),"")</f>
        <v/>
      </c>
      <c r="F174" s="19" t="n"/>
      <c r="G174" s="15">
        <f>IFERROR(INDEX(Competências!$B:$B,MATCH($F174,Competências!$C:$C,0)),"")</f>
        <v/>
      </c>
      <c r="H174" s="15">
        <f>IFERROR(INDEX(Competências!$E:$E,MATCH($F174,Competências!$C:$C,0)),"")</f>
        <v/>
      </c>
      <c r="I174" s="20" t="n"/>
      <c r="J174" s="20" t="n"/>
      <c r="K174" s="21">
        <f>IF(AND(ISNUMBER($I174),ISNUMBER($J174)),ABS($I174-$J174),"")</f>
        <v/>
      </c>
      <c r="L174" s="21">
        <f>IF(AND(NOT(ISNUMBER($I174)),NOT(ISNUMBER($J174))),"",IF(NOT(ISNUMBER($J174)),$I174,IF(NOT(ISNUMBER($I174)),$J174,IF($K174=0,$I174,IF($K174=1,IF($H174="Líder Técnico",$J174,IF($H174="GP",$I174,"CALIBRAR")),"CALIBRAR")))))</f>
        <v/>
      </c>
      <c r="M174" s="20" t="n"/>
      <c r="N174" s="21">
        <f>IF($C174="","",COUNTIFS(Ocorrências!$B:$B,$C174,Ocorrências!$F:$F,$F174,Ocorrências!$N:$N,$A174))</f>
        <v/>
      </c>
      <c r="O174" s="15">
        <f>IF($M174="","",IF(OR($M174=1,$M174=2,$M174=5),IF($N174&gt;0,"OK","SEM LASTRO"),"OK"))</f>
        <v/>
      </c>
      <c r="P174" s="19" t="n"/>
      <c r="Q174" s="18" t="n"/>
    </row>
    <row r="175">
      <c r="A175" s="19" t="n"/>
      <c r="B175" s="19" t="n"/>
      <c r="C175" s="15">
        <f>IFERROR(INDEX(Colaboradores!$B:$B,MATCH($B175,Colaboradores!$A:$A,0)),"")</f>
        <v/>
      </c>
      <c r="D175" s="15">
        <f>IFERROR(INDEX(Colaboradores!$E:$E,MATCH($B175,Colaboradores!$A:$A,0)),"")</f>
        <v/>
      </c>
      <c r="E175" s="15">
        <f>IFERROR(INDEX(Colaboradores!$D:$D,MATCH($B175,Colaboradores!$A:$A,0)),"")</f>
        <v/>
      </c>
      <c r="F175" s="19" t="n"/>
      <c r="G175" s="15">
        <f>IFERROR(INDEX(Competências!$B:$B,MATCH($F175,Competências!$C:$C,0)),"")</f>
        <v/>
      </c>
      <c r="H175" s="15">
        <f>IFERROR(INDEX(Competências!$E:$E,MATCH($F175,Competências!$C:$C,0)),"")</f>
        <v/>
      </c>
      <c r="I175" s="20" t="n"/>
      <c r="J175" s="20" t="n"/>
      <c r="K175" s="21">
        <f>IF(AND(ISNUMBER($I175),ISNUMBER($J175)),ABS($I175-$J175),"")</f>
        <v/>
      </c>
      <c r="L175" s="21">
        <f>IF(AND(NOT(ISNUMBER($I175)),NOT(ISNUMBER($J175))),"",IF(NOT(ISNUMBER($J175)),$I175,IF(NOT(ISNUMBER($I175)),$J175,IF($K175=0,$I175,IF($K175=1,IF($H175="Líder Técnico",$J175,IF($H175="GP",$I175,"CALIBRAR")),"CALIBRAR")))))</f>
        <v/>
      </c>
      <c r="M175" s="20" t="n"/>
      <c r="N175" s="21">
        <f>IF($C175="","",COUNTIFS(Ocorrências!$B:$B,$C175,Ocorrências!$F:$F,$F175,Ocorrências!$N:$N,$A175))</f>
        <v/>
      </c>
      <c r="O175" s="15">
        <f>IF($M175="","",IF(OR($M175=1,$M175=2,$M175=5),IF($N175&gt;0,"OK","SEM LASTRO"),"OK"))</f>
        <v/>
      </c>
      <c r="P175" s="19" t="n"/>
      <c r="Q175" s="18" t="n"/>
    </row>
    <row r="176">
      <c r="A176" s="19" t="n"/>
      <c r="B176" s="19" t="n"/>
      <c r="C176" s="15">
        <f>IFERROR(INDEX(Colaboradores!$B:$B,MATCH($B176,Colaboradores!$A:$A,0)),"")</f>
        <v/>
      </c>
      <c r="D176" s="15">
        <f>IFERROR(INDEX(Colaboradores!$E:$E,MATCH($B176,Colaboradores!$A:$A,0)),"")</f>
        <v/>
      </c>
      <c r="E176" s="15">
        <f>IFERROR(INDEX(Colaboradores!$D:$D,MATCH($B176,Colaboradores!$A:$A,0)),"")</f>
        <v/>
      </c>
      <c r="F176" s="19" t="n"/>
      <c r="G176" s="15">
        <f>IFERROR(INDEX(Competências!$B:$B,MATCH($F176,Competências!$C:$C,0)),"")</f>
        <v/>
      </c>
      <c r="H176" s="15">
        <f>IFERROR(INDEX(Competências!$E:$E,MATCH($F176,Competências!$C:$C,0)),"")</f>
        <v/>
      </c>
      <c r="I176" s="20" t="n"/>
      <c r="J176" s="20" t="n"/>
      <c r="K176" s="21">
        <f>IF(AND(ISNUMBER($I176),ISNUMBER($J176)),ABS($I176-$J176),"")</f>
        <v/>
      </c>
      <c r="L176" s="21">
        <f>IF(AND(NOT(ISNUMBER($I176)),NOT(ISNUMBER($J176))),"",IF(NOT(ISNUMBER($J176)),$I176,IF(NOT(ISNUMBER($I176)),$J176,IF($K176=0,$I176,IF($K176=1,IF($H176="Líder Técnico",$J176,IF($H176="GP",$I176,"CALIBRAR")),"CALIBRAR")))))</f>
        <v/>
      </c>
      <c r="M176" s="20" t="n"/>
      <c r="N176" s="21">
        <f>IF($C176="","",COUNTIFS(Ocorrências!$B:$B,$C176,Ocorrências!$F:$F,$F176,Ocorrências!$N:$N,$A176))</f>
        <v/>
      </c>
      <c r="O176" s="15">
        <f>IF($M176="","",IF(OR($M176=1,$M176=2,$M176=5),IF($N176&gt;0,"OK","SEM LASTRO"),"OK"))</f>
        <v/>
      </c>
      <c r="P176" s="19" t="n"/>
      <c r="Q176" s="18" t="n"/>
    </row>
    <row r="177">
      <c r="A177" s="19" t="n"/>
      <c r="B177" s="19" t="n"/>
      <c r="C177" s="15">
        <f>IFERROR(INDEX(Colaboradores!$B:$B,MATCH($B177,Colaboradores!$A:$A,0)),"")</f>
        <v/>
      </c>
      <c r="D177" s="15">
        <f>IFERROR(INDEX(Colaboradores!$E:$E,MATCH($B177,Colaboradores!$A:$A,0)),"")</f>
        <v/>
      </c>
      <c r="E177" s="15">
        <f>IFERROR(INDEX(Colaboradores!$D:$D,MATCH($B177,Colaboradores!$A:$A,0)),"")</f>
        <v/>
      </c>
      <c r="F177" s="19" t="n"/>
      <c r="G177" s="15">
        <f>IFERROR(INDEX(Competências!$B:$B,MATCH($F177,Competências!$C:$C,0)),"")</f>
        <v/>
      </c>
      <c r="H177" s="15">
        <f>IFERROR(INDEX(Competências!$E:$E,MATCH($F177,Competências!$C:$C,0)),"")</f>
        <v/>
      </c>
      <c r="I177" s="20" t="n"/>
      <c r="J177" s="20" t="n"/>
      <c r="K177" s="21">
        <f>IF(AND(ISNUMBER($I177),ISNUMBER($J177)),ABS($I177-$J177),"")</f>
        <v/>
      </c>
      <c r="L177" s="21">
        <f>IF(AND(NOT(ISNUMBER($I177)),NOT(ISNUMBER($J177))),"",IF(NOT(ISNUMBER($J177)),$I177,IF(NOT(ISNUMBER($I177)),$J177,IF($K177=0,$I177,IF($K177=1,IF($H177="Líder Técnico",$J177,IF($H177="GP",$I177,"CALIBRAR")),"CALIBRAR")))))</f>
        <v/>
      </c>
      <c r="M177" s="20" t="n"/>
      <c r="N177" s="21">
        <f>IF($C177="","",COUNTIFS(Ocorrências!$B:$B,$C177,Ocorrências!$F:$F,$F177,Ocorrências!$N:$N,$A177))</f>
        <v/>
      </c>
      <c r="O177" s="15">
        <f>IF($M177="","",IF(OR($M177=1,$M177=2,$M177=5),IF($N177&gt;0,"OK","SEM LASTRO"),"OK"))</f>
        <v/>
      </c>
      <c r="P177" s="19" t="n"/>
      <c r="Q177" s="18" t="n"/>
    </row>
    <row r="178">
      <c r="A178" s="19" t="n"/>
      <c r="B178" s="19" t="n"/>
      <c r="C178" s="15">
        <f>IFERROR(INDEX(Colaboradores!$B:$B,MATCH($B178,Colaboradores!$A:$A,0)),"")</f>
        <v/>
      </c>
      <c r="D178" s="15">
        <f>IFERROR(INDEX(Colaboradores!$E:$E,MATCH($B178,Colaboradores!$A:$A,0)),"")</f>
        <v/>
      </c>
      <c r="E178" s="15">
        <f>IFERROR(INDEX(Colaboradores!$D:$D,MATCH($B178,Colaboradores!$A:$A,0)),"")</f>
        <v/>
      </c>
      <c r="F178" s="19" t="n"/>
      <c r="G178" s="15">
        <f>IFERROR(INDEX(Competências!$B:$B,MATCH($F178,Competências!$C:$C,0)),"")</f>
        <v/>
      </c>
      <c r="H178" s="15">
        <f>IFERROR(INDEX(Competências!$E:$E,MATCH($F178,Competências!$C:$C,0)),"")</f>
        <v/>
      </c>
      <c r="I178" s="20" t="n"/>
      <c r="J178" s="20" t="n"/>
      <c r="K178" s="21">
        <f>IF(AND(ISNUMBER($I178),ISNUMBER($J178)),ABS($I178-$J178),"")</f>
        <v/>
      </c>
      <c r="L178" s="21">
        <f>IF(AND(NOT(ISNUMBER($I178)),NOT(ISNUMBER($J178))),"",IF(NOT(ISNUMBER($J178)),$I178,IF(NOT(ISNUMBER($I178)),$J178,IF($K178=0,$I178,IF($K178=1,IF($H178="Líder Técnico",$J178,IF($H178="GP",$I178,"CALIBRAR")),"CALIBRAR")))))</f>
        <v/>
      </c>
      <c r="M178" s="20" t="n"/>
      <c r="N178" s="21">
        <f>IF($C178="","",COUNTIFS(Ocorrências!$B:$B,$C178,Ocorrências!$F:$F,$F178,Ocorrências!$N:$N,$A178))</f>
        <v/>
      </c>
      <c r="O178" s="15">
        <f>IF($M178="","",IF(OR($M178=1,$M178=2,$M178=5),IF($N178&gt;0,"OK","SEM LASTRO"),"OK"))</f>
        <v/>
      </c>
      <c r="P178" s="19" t="n"/>
      <c r="Q178" s="18" t="n"/>
    </row>
    <row r="179">
      <c r="A179" s="19" t="n"/>
      <c r="B179" s="19" t="n"/>
      <c r="C179" s="15">
        <f>IFERROR(INDEX(Colaboradores!$B:$B,MATCH($B179,Colaboradores!$A:$A,0)),"")</f>
        <v/>
      </c>
      <c r="D179" s="15">
        <f>IFERROR(INDEX(Colaboradores!$E:$E,MATCH($B179,Colaboradores!$A:$A,0)),"")</f>
        <v/>
      </c>
      <c r="E179" s="15">
        <f>IFERROR(INDEX(Colaboradores!$D:$D,MATCH($B179,Colaboradores!$A:$A,0)),"")</f>
        <v/>
      </c>
      <c r="F179" s="19" t="n"/>
      <c r="G179" s="15">
        <f>IFERROR(INDEX(Competências!$B:$B,MATCH($F179,Competências!$C:$C,0)),"")</f>
        <v/>
      </c>
      <c r="H179" s="15">
        <f>IFERROR(INDEX(Competências!$E:$E,MATCH($F179,Competências!$C:$C,0)),"")</f>
        <v/>
      </c>
      <c r="I179" s="20" t="n"/>
      <c r="J179" s="20" t="n"/>
      <c r="K179" s="21">
        <f>IF(AND(ISNUMBER($I179),ISNUMBER($J179)),ABS($I179-$J179),"")</f>
        <v/>
      </c>
      <c r="L179" s="21">
        <f>IF(AND(NOT(ISNUMBER($I179)),NOT(ISNUMBER($J179))),"",IF(NOT(ISNUMBER($J179)),$I179,IF(NOT(ISNUMBER($I179)),$J179,IF($K179=0,$I179,IF($K179=1,IF($H179="Líder Técnico",$J179,IF($H179="GP",$I179,"CALIBRAR")),"CALIBRAR")))))</f>
        <v/>
      </c>
      <c r="M179" s="20" t="n"/>
      <c r="N179" s="21">
        <f>IF($C179="","",COUNTIFS(Ocorrências!$B:$B,$C179,Ocorrências!$F:$F,$F179,Ocorrências!$N:$N,$A179))</f>
        <v/>
      </c>
      <c r="O179" s="15">
        <f>IF($M179="","",IF(OR($M179=1,$M179=2,$M179=5),IF($N179&gt;0,"OK","SEM LASTRO"),"OK"))</f>
        <v/>
      </c>
      <c r="P179" s="19" t="n"/>
      <c r="Q179" s="18" t="n"/>
    </row>
    <row r="180">
      <c r="A180" s="19" t="n"/>
      <c r="B180" s="19" t="n"/>
      <c r="C180" s="15">
        <f>IFERROR(INDEX(Colaboradores!$B:$B,MATCH($B180,Colaboradores!$A:$A,0)),"")</f>
        <v/>
      </c>
      <c r="D180" s="15">
        <f>IFERROR(INDEX(Colaboradores!$E:$E,MATCH($B180,Colaboradores!$A:$A,0)),"")</f>
        <v/>
      </c>
      <c r="E180" s="15">
        <f>IFERROR(INDEX(Colaboradores!$D:$D,MATCH($B180,Colaboradores!$A:$A,0)),"")</f>
        <v/>
      </c>
      <c r="F180" s="19" t="n"/>
      <c r="G180" s="15">
        <f>IFERROR(INDEX(Competências!$B:$B,MATCH($F180,Competências!$C:$C,0)),"")</f>
        <v/>
      </c>
      <c r="H180" s="15">
        <f>IFERROR(INDEX(Competências!$E:$E,MATCH($F180,Competências!$C:$C,0)),"")</f>
        <v/>
      </c>
      <c r="I180" s="20" t="n"/>
      <c r="J180" s="20" t="n"/>
      <c r="K180" s="21">
        <f>IF(AND(ISNUMBER($I180),ISNUMBER($J180)),ABS($I180-$J180),"")</f>
        <v/>
      </c>
      <c r="L180" s="21">
        <f>IF(AND(NOT(ISNUMBER($I180)),NOT(ISNUMBER($J180))),"",IF(NOT(ISNUMBER($J180)),$I180,IF(NOT(ISNUMBER($I180)),$J180,IF($K180=0,$I180,IF($K180=1,IF($H180="Líder Técnico",$J180,IF($H180="GP",$I180,"CALIBRAR")),"CALIBRAR")))))</f>
        <v/>
      </c>
      <c r="M180" s="20" t="n"/>
      <c r="N180" s="21">
        <f>IF($C180="","",COUNTIFS(Ocorrências!$B:$B,$C180,Ocorrências!$F:$F,$F180,Ocorrências!$N:$N,$A180))</f>
        <v/>
      </c>
      <c r="O180" s="15">
        <f>IF($M180="","",IF(OR($M180=1,$M180=2,$M180=5),IF($N180&gt;0,"OK","SEM LASTRO"),"OK"))</f>
        <v/>
      </c>
      <c r="P180" s="19" t="n"/>
      <c r="Q180" s="18" t="n"/>
    </row>
    <row r="181">
      <c r="A181" s="19" t="n"/>
      <c r="B181" s="19" t="n"/>
      <c r="C181" s="15">
        <f>IFERROR(INDEX(Colaboradores!$B:$B,MATCH($B181,Colaboradores!$A:$A,0)),"")</f>
        <v/>
      </c>
      <c r="D181" s="15">
        <f>IFERROR(INDEX(Colaboradores!$E:$E,MATCH($B181,Colaboradores!$A:$A,0)),"")</f>
        <v/>
      </c>
      <c r="E181" s="15">
        <f>IFERROR(INDEX(Colaboradores!$D:$D,MATCH($B181,Colaboradores!$A:$A,0)),"")</f>
        <v/>
      </c>
      <c r="F181" s="19" t="n"/>
      <c r="G181" s="15">
        <f>IFERROR(INDEX(Competências!$B:$B,MATCH($F181,Competências!$C:$C,0)),"")</f>
        <v/>
      </c>
      <c r="H181" s="15">
        <f>IFERROR(INDEX(Competências!$E:$E,MATCH($F181,Competências!$C:$C,0)),"")</f>
        <v/>
      </c>
      <c r="I181" s="20" t="n"/>
      <c r="J181" s="20" t="n"/>
      <c r="K181" s="21">
        <f>IF(AND(ISNUMBER($I181),ISNUMBER($J181)),ABS($I181-$J181),"")</f>
        <v/>
      </c>
      <c r="L181" s="21">
        <f>IF(AND(NOT(ISNUMBER($I181)),NOT(ISNUMBER($J181))),"",IF(NOT(ISNUMBER($J181)),$I181,IF(NOT(ISNUMBER($I181)),$J181,IF($K181=0,$I181,IF($K181=1,IF($H181="Líder Técnico",$J181,IF($H181="GP",$I181,"CALIBRAR")),"CALIBRAR")))))</f>
        <v/>
      </c>
      <c r="M181" s="20" t="n"/>
      <c r="N181" s="21">
        <f>IF($C181="","",COUNTIFS(Ocorrências!$B:$B,$C181,Ocorrências!$F:$F,$F181,Ocorrências!$N:$N,$A181))</f>
        <v/>
      </c>
      <c r="O181" s="15">
        <f>IF($M181="","",IF(OR($M181=1,$M181=2,$M181=5),IF($N181&gt;0,"OK","SEM LASTRO"),"OK"))</f>
        <v/>
      </c>
      <c r="P181" s="19" t="n"/>
      <c r="Q181" s="18" t="n"/>
    </row>
    <row r="182">
      <c r="A182" s="19" t="n"/>
      <c r="B182" s="19" t="n"/>
      <c r="C182" s="15">
        <f>IFERROR(INDEX(Colaboradores!$B:$B,MATCH($B182,Colaboradores!$A:$A,0)),"")</f>
        <v/>
      </c>
      <c r="D182" s="15">
        <f>IFERROR(INDEX(Colaboradores!$E:$E,MATCH($B182,Colaboradores!$A:$A,0)),"")</f>
        <v/>
      </c>
      <c r="E182" s="15">
        <f>IFERROR(INDEX(Colaboradores!$D:$D,MATCH($B182,Colaboradores!$A:$A,0)),"")</f>
        <v/>
      </c>
      <c r="F182" s="19" t="n"/>
      <c r="G182" s="15">
        <f>IFERROR(INDEX(Competências!$B:$B,MATCH($F182,Competências!$C:$C,0)),"")</f>
        <v/>
      </c>
      <c r="H182" s="15">
        <f>IFERROR(INDEX(Competências!$E:$E,MATCH($F182,Competências!$C:$C,0)),"")</f>
        <v/>
      </c>
      <c r="I182" s="20" t="n"/>
      <c r="J182" s="20" t="n"/>
      <c r="K182" s="21">
        <f>IF(AND(ISNUMBER($I182),ISNUMBER($J182)),ABS($I182-$J182),"")</f>
        <v/>
      </c>
      <c r="L182" s="21">
        <f>IF(AND(NOT(ISNUMBER($I182)),NOT(ISNUMBER($J182))),"",IF(NOT(ISNUMBER($J182)),$I182,IF(NOT(ISNUMBER($I182)),$J182,IF($K182=0,$I182,IF($K182=1,IF($H182="Líder Técnico",$J182,IF($H182="GP",$I182,"CALIBRAR")),"CALIBRAR")))))</f>
        <v/>
      </c>
      <c r="M182" s="20" t="n"/>
      <c r="N182" s="21">
        <f>IF($C182="","",COUNTIFS(Ocorrências!$B:$B,$C182,Ocorrências!$F:$F,$F182,Ocorrências!$N:$N,$A182))</f>
        <v/>
      </c>
      <c r="O182" s="15">
        <f>IF($M182="","",IF(OR($M182=1,$M182=2,$M182=5),IF($N182&gt;0,"OK","SEM LASTRO"),"OK"))</f>
        <v/>
      </c>
      <c r="P182" s="19" t="n"/>
      <c r="Q182" s="18" t="n"/>
    </row>
    <row r="183">
      <c r="A183" s="19" t="n"/>
      <c r="B183" s="19" t="n"/>
      <c r="C183" s="15">
        <f>IFERROR(INDEX(Colaboradores!$B:$B,MATCH($B183,Colaboradores!$A:$A,0)),"")</f>
        <v/>
      </c>
      <c r="D183" s="15">
        <f>IFERROR(INDEX(Colaboradores!$E:$E,MATCH($B183,Colaboradores!$A:$A,0)),"")</f>
        <v/>
      </c>
      <c r="E183" s="15">
        <f>IFERROR(INDEX(Colaboradores!$D:$D,MATCH($B183,Colaboradores!$A:$A,0)),"")</f>
        <v/>
      </c>
      <c r="F183" s="19" t="n"/>
      <c r="G183" s="15">
        <f>IFERROR(INDEX(Competências!$B:$B,MATCH($F183,Competências!$C:$C,0)),"")</f>
        <v/>
      </c>
      <c r="H183" s="15">
        <f>IFERROR(INDEX(Competências!$E:$E,MATCH($F183,Competências!$C:$C,0)),"")</f>
        <v/>
      </c>
      <c r="I183" s="20" t="n"/>
      <c r="J183" s="20" t="n"/>
      <c r="K183" s="21">
        <f>IF(AND(ISNUMBER($I183),ISNUMBER($J183)),ABS($I183-$J183),"")</f>
        <v/>
      </c>
      <c r="L183" s="21">
        <f>IF(AND(NOT(ISNUMBER($I183)),NOT(ISNUMBER($J183))),"",IF(NOT(ISNUMBER($J183)),$I183,IF(NOT(ISNUMBER($I183)),$J183,IF($K183=0,$I183,IF($K183=1,IF($H183="Líder Técnico",$J183,IF($H183="GP",$I183,"CALIBRAR")),"CALIBRAR")))))</f>
        <v/>
      </c>
      <c r="M183" s="20" t="n"/>
      <c r="N183" s="21">
        <f>IF($C183="","",COUNTIFS(Ocorrências!$B:$B,$C183,Ocorrências!$F:$F,$F183,Ocorrências!$N:$N,$A183))</f>
        <v/>
      </c>
      <c r="O183" s="15">
        <f>IF($M183="","",IF(OR($M183=1,$M183=2,$M183=5),IF($N183&gt;0,"OK","SEM LASTRO"),"OK"))</f>
        <v/>
      </c>
      <c r="P183" s="19" t="n"/>
      <c r="Q183" s="18" t="n"/>
    </row>
    <row r="184">
      <c r="A184" s="19" t="n"/>
      <c r="B184" s="19" t="n"/>
      <c r="C184" s="15">
        <f>IFERROR(INDEX(Colaboradores!$B:$B,MATCH($B184,Colaboradores!$A:$A,0)),"")</f>
        <v/>
      </c>
      <c r="D184" s="15">
        <f>IFERROR(INDEX(Colaboradores!$E:$E,MATCH($B184,Colaboradores!$A:$A,0)),"")</f>
        <v/>
      </c>
      <c r="E184" s="15">
        <f>IFERROR(INDEX(Colaboradores!$D:$D,MATCH($B184,Colaboradores!$A:$A,0)),"")</f>
        <v/>
      </c>
      <c r="F184" s="19" t="n"/>
      <c r="G184" s="15">
        <f>IFERROR(INDEX(Competências!$B:$B,MATCH($F184,Competências!$C:$C,0)),"")</f>
        <v/>
      </c>
      <c r="H184" s="15">
        <f>IFERROR(INDEX(Competências!$E:$E,MATCH($F184,Competências!$C:$C,0)),"")</f>
        <v/>
      </c>
      <c r="I184" s="20" t="n"/>
      <c r="J184" s="20" t="n"/>
      <c r="K184" s="21">
        <f>IF(AND(ISNUMBER($I184),ISNUMBER($J184)),ABS($I184-$J184),"")</f>
        <v/>
      </c>
      <c r="L184" s="21">
        <f>IF(AND(NOT(ISNUMBER($I184)),NOT(ISNUMBER($J184))),"",IF(NOT(ISNUMBER($J184)),$I184,IF(NOT(ISNUMBER($I184)),$J184,IF($K184=0,$I184,IF($K184=1,IF($H184="Líder Técnico",$J184,IF($H184="GP",$I184,"CALIBRAR")),"CALIBRAR")))))</f>
        <v/>
      </c>
      <c r="M184" s="20" t="n"/>
      <c r="N184" s="21">
        <f>IF($C184="","",COUNTIFS(Ocorrências!$B:$B,$C184,Ocorrências!$F:$F,$F184,Ocorrências!$N:$N,$A184))</f>
        <v/>
      </c>
      <c r="O184" s="15">
        <f>IF($M184="","",IF(OR($M184=1,$M184=2,$M184=5),IF($N184&gt;0,"OK","SEM LASTRO"),"OK"))</f>
        <v/>
      </c>
      <c r="P184" s="19" t="n"/>
      <c r="Q184" s="18" t="n"/>
    </row>
    <row r="185">
      <c r="A185" s="19" t="n"/>
      <c r="B185" s="19" t="n"/>
      <c r="C185" s="15">
        <f>IFERROR(INDEX(Colaboradores!$B:$B,MATCH($B185,Colaboradores!$A:$A,0)),"")</f>
        <v/>
      </c>
      <c r="D185" s="15">
        <f>IFERROR(INDEX(Colaboradores!$E:$E,MATCH($B185,Colaboradores!$A:$A,0)),"")</f>
        <v/>
      </c>
      <c r="E185" s="15">
        <f>IFERROR(INDEX(Colaboradores!$D:$D,MATCH($B185,Colaboradores!$A:$A,0)),"")</f>
        <v/>
      </c>
      <c r="F185" s="19" t="n"/>
      <c r="G185" s="15">
        <f>IFERROR(INDEX(Competências!$B:$B,MATCH($F185,Competências!$C:$C,0)),"")</f>
        <v/>
      </c>
      <c r="H185" s="15">
        <f>IFERROR(INDEX(Competências!$E:$E,MATCH($F185,Competências!$C:$C,0)),"")</f>
        <v/>
      </c>
      <c r="I185" s="20" t="n"/>
      <c r="J185" s="20" t="n"/>
      <c r="K185" s="21">
        <f>IF(AND(ISNUMBER($I185),ISNUMBER($J185)),ABS($I185-$J185),"")</f>
        <v/>
      </c>
      <c r="L185" s="21">
        <f>IF(AND(NOT(ISNUMBER($I185)),NOT(ISNUMBER($J185))),"",IF(NOT(ISNUMBER($J185)),$I185,IF(NOT(ISNUMBER($I185)),$J185,IF($K185=0,$I185,IF($K185=1,IF($H185="Líder Técnico",$J185,IF($H185="GP",$I185,"CALIBRAR")),"CALIBRAR")))))</f>
        <v/>
      </c>
      <c r="M185" s="20" t="n"/>
      <c r="N185" s="21">
        <f>IF($C185="","",COUNTIFS(Ocorrências!$B:$B,$C185,Ocorrências!$F:$F,$F185,Ocorrências!$N:$N,$A185))</f>
        <v/>
      </c>
      <c r="O185" s="15">
        <f>IF($M185="","",IF(OR($M185=1,$M185=2,$M185=5),IF($N185&gt;0,"OK","SEM LASTRO"),"OK"))</f>
        <v/>
      </c>
      <c r="P185" s="19" t="n"/>
      <c r="Q185" s="18" t="n"/>
    </row>
    <row r="186">
      <c r="A186" s="19" t="n"/>
      <c r="B186" s="19" t="n"/>
      <c r="C186" s="15">
        <f>IFERROR(INDEX(Colaboradores!$B:$B,MATCH($B186,Colaboradores!$A:$A,0)),"")</f>
        <v/>
      </c>
      <c r="D186" s="15">
        <f>IFERROR(INDEX(Colaboradores!$E:$E,MATCH($B186,Colaboradores!$A:$A,0)),"")</f>
        <v/>
      </c>
      <c r="E186" s="15">
        <f>IFERROR(INDEX(Colaboradores!$D:$D,MATCH($B186,Colaboradores!$A:$A,0)),"")</f>
        <v/>
      </c>
      <c r="F186" s="19" t="n"/>
      <c r="G186" s="15">
        <f>IFERROR(INDEX(Competências!$B:$B,MATCH($F186,Competências!$C:$C,0)),"")</f>
        <v/>
      </c>
      <c r="H186" s="15">
        <f>IFERROR(INDEX(Competências!$E:$E,MATCH($F186,Competências!$C:$C,0)),"")</f>
        <v/>
      </c>
      <c r="I186" s="20" t="n"/>
      <c r="J186" s="20" t="n"/>
      <c r="K186" s="21">
        <f>IF(AND(ISNUMBER($I186),ISNUMBER($J186)),ABS($I186-$J186),"")</f>
        <v/>
      </c>
      <c r="L186" s="21">
        <f>IF(AND(NOT(ISNUMBER($I186)),NOT(ISNUMBER($J186))),"",IF(NOT(ISNUMBER($J186)),$I186,IF(NOT(ISNUMBER($I186)),$J186,IF($K186=0,$I186,IF($K186=1,IF($H186="Líder Técnico",$J186,IF($H186="GP",$I186,"CALIBRAR")),"CALIBRAR")))))</f>
        <v/>
      </c>
      <c r="M186" s="20" t="n"/>
      <c r="N186" s="21">
        <f>IF($C186="","",COUNTIFS(Ocorrências!$B:$B,$C186,Ocorrências!$F:$F,$F186,Ocorrências!$N:$N,$A186))</f>
        <v/>
      </c>
      <c r="O186" s="15">
        <f>IF($M186="","",IF(OR($M186=1,$M186=2,$M186=5),IF($N186&gt;0,"OK","SEM LASTRO"),"OK"))</f>
        <v/>
      </c>
      <c r="P186" s="19" t="n"/>
      <c r="Q186" s="18" t="n"/>
    </row>
    <row r="187">
      <c r="A187" s="19" t="n"/>
      <c r="B187" s="19" t="n"/>
      <c r="C187" s="15">
        <f>IFERROR(INDEX(Colaboradores!$B:$B,MATCH($B187,Colaboradores!$A:$A,0)),"")</f>
        <v/>
      </c>
      <c r="D187" s="15">
        <f>IFERROR(INDEX(Colaboradores!$E:$E,MATCH($B187,Colaboradores!$A:$A,0)),"")</f>
        <v/>
      </c>
      <c r="E187" s="15">
        <f>IFERROR(INDEX(Colaboradores!$D:$D,MATCH($B187,Colaboradores!$A:$A,0)),"")</f>
        <v/>
      </c>
      <c r="F187" s="19" t="n"/>
      <c r="G187" s="15">
        <f>IFERROR(INDEX(Competências!$B:$B,MATCH($F187,Competências!$C:$C,0)),"")</f>
        <v/>
      </c>
      <c r="H187" s="15">
        <f>IFERROR(INDEX(Competências!$E:$E,MATCH($F187,Competências!$C:$C,0)),"")</f>
        <v/>
      </c>
      <c r="I187" s="20" t="n"/>
      <c r="J187" s="20" t="n"/>
      <c r="K187" s="21">
        <f>IF(AND(ISNUMBER($I187),ISNUMBER($J187)),ABS($I187-$J187),"")</f>
        <v/>
      </c>
      <c r="L187" s="21">
        <f>IF(AND(NOT(ISNUMBER($I187)),NOT(ISNUMBER($J187))),"",IF(NOT(ISNUMBER($J187)),$I187,IF(NOT(ISNUMBER($I187)),$J187,IF($K187=0,$I187,IF($K187=1,IF($H187="Líder Técnico",$J187,IF($H187="GP",$I187,"CALIBRAR")),"CALIBRAR")))))</f>
        <v/>
      </c>
      <c r="M187" s="20" t="n"/>
      <c r="N187" s="21">
        <f>IF($C187="","",COUNTIFS(Ocorrências!$B:$B,$C187,Ocorrências!$F:$F,$F187,Ocorrências!$N:$N,$A187))</f>
        <v/>
      </c>
      <c r="O187" s="15">
        <f>IF($M187="","",IF(OR($M187=1,$M187=2,$M187=5),IF($N187&gt;0,"OK","SEM LASTRO"),"OK"))</f>
        <v/>
      </c>
      <c r="P187" s="19" t="n"/>
      <c r="Q187" s="18" t="n"/>
    </row>
    <row r="188">
      <c r="A188" s="19" t="n"/>
      <c r="B188" s="19" t="n"/>
      <c r="C188" s="15">
        <f>IFERROR(INDEX(Colaboradores!$B:$B,MATCH($B188,Colaboradores!$A:$A,0)),"")</f>
        <v/>
      </c>
      <c r="D188" s="15">
        <f>IFERROR(INDEX(Colaboradores!$E:$E,MATCH($B188,Colaboradores!$A:$A,0)),"")</f>
        <v/>
      </c>
      <c r="E188" s="15">
        <f>IFERROR(INDEX(Colaboradores!$D:$D,MATCH($B188,Colaboradores!$A:$A,0)),"")</f>
        <v/>
      </c>
      <c r="F188" s="19" t="n"/>
      <c r="G188" s="15">
        <f>IFERROR(INDEX(Competências!$B:$B,MATCH($F188,Competências!$C:$C,0)),"")</f>
        <v/>
      </c>
      <c r="H188" s="15">
        <f>IFERROR(INDEX(Competências!$E:$E,MATCH($F188,Competências!$C:$C,0)),"")</f>
        <v/>
      </c>
      <c r="I188" s="20" t="n"/>
      <c r="J188" s="20" t="n"/>
      <c r="K188" s="21">
        <f>IF(AND(ISNUMBER($I188),ISNUMBER($J188)),ABS($I188-$J188),"")</f>
        <v/>
      </c>
      <c r="L188" s="21">
        <f>IF(AND(NOT(ISNUMBER($I188)),NOT(ISNUMBER($J188))),"",IF(NOT(ISNUMBER($J188)),$I188,IF(NOT(ISNUMBER($I188)),$J188,IF($K188=0,$I188,IF($K188=1,IF($H188="Líder Técnico",$J188,IF($H188="GP",$I188,"CALIBRAR")),"CALIBRAR")))))</f>
        <v/>
      </c>
      <c r="M188" s="20" t="n"/>
      <c r="N188" s="21">
        <f>IF($C188="","",COUNTIFS(Ocorrências!$B:$B,$C188,Ocorrências!$F:$F,$F188,Ocorrências!$N:$N,$A188))</f>
        <v/>
      </c>
      <c r="O188" s="15">
        <f>IF($M188="","",IF(OR($M188=1,$M188=2,$M188=5),IF($N188&gt;0,"OK","SEM LASTRO"),"OK"))</f>
        <v/>
      </c>
      <c r="P188" s="19" t="n"/>
      <c r="Q188" s="18" t="n"/>
    </row>
    <row r="189">
      <c r="A189" s="19" t="n"/>
      <c r="B189" s="19" t="n"/>
      <c r="C189" s="15">
        <f>IFERROR(INDEX(Colaboradores!$B:$B,MATCH($B189,Colaboradores!$A:$A,0)),"")</f>
        <v/>
      </c>
      <c r="D189" s="15">
        <f>IFERROR(INDEX(Colaboradores!$E:$E,MATCH($B189,Colaboradores!$A:$A,0)),"")</f>
        <v/>
      </c>
      <c r="E189" s="15">
        <f>IFERROR(INDEX(Colaboradores!$D:$D,MATCH($B189,Colaboradores!$A:$A,0)),"")</f>
        <v/>
      </c>
      <c r="F189" s="19" t="n"/>
      <c r="G189" s="15">
        <f>IFERROR(INDEX(Competências!$B:$B,MATCH($F189,Competências!$C:$C,0)),"")</f>
        <v/>
      </c>
      <c r="H189" s="15">
        <f>IFERROR(INDEX(Competências!$E:$E,MATCH($F189,Competências!$C:$C,0)),"")</f>
        <v/>
      </c>
      <c r="I189" s="20" t="n"/>
      <c r="J189" s="20" t="n"/>
      <c r="K189" s="21">
        <f>IF(AND(ISNUMBER($I189),ISNUMBER($J189)),ABS($I189-$J189),"")</f>
        <v/>
      </c>
      <c r="L189" s="21">
        <f>IF(AND(NOT(ISNUMBER($I189)),NOT(ISNUMBER($J189))),"",IF(NOT(ISNUMBER($J189)),$I189,IF(NOT(ISNUMBER($I189)),$J189,IF($K189=0,$I189,IF($K189=1,IF($H189="Líder Técnico",$J189,IF($H189="GP",$I189,"CALIBRAR")),"CALIBRAR")))))</f>
        <v/>
      </c>
      <c r="M189" s="20" t="n"/>
      <c r="N189" s="21">
        <f>IF($C189="","",COUNTIFS(Ocorrências!$B:$B,$C189,Ocorrências!$F:$F,$F189,Ocorrências!$N:$N,$A189))</f>
        <v/>
      </c>
      <c r="O189" s="15">
        <f>IF($M189="","",IF(OR($M189=1,$M189=2,$M189=5),IF($N189&gt;0,"OK","SEM LASTRO"),"OK"))</f>
        <v/>
      </c>
      <c r="P189" s="19" t="n"/>
      <c r="Q189" s="18" t="n"/>
    </row>
    <row r="190">
      <c r="A190" s="19" t="n"/>
      <c r="B190" s="19" t="n"/>
      <c r="C190" s="15">
        <f>IFERROR(INDEX(Colaboradores!$B:$B,MATCH($B190,Colaboradores!$A:$A,0)),"")</f>
        <v/>
      </c>
      <c r="D190" s="15">
        <f>IFERROR(INDEX(Colaboradores!$E:$E,MATCH($B190,Colaboradores!$A:$A,0)),"")</f>
        <v/>
      </c>
      <c r="E190" s="15">
        <f>IFERROR(INDEX(Colaboradores!$D:$D,MATCH($B190,Colaboradores!$A:$A,0)),"")</f>
        <v/>
      </c>
      <c r="F190" s="19" t="n"/>
      <c r="G190" s="15">
        <f>IFERROR(INDEX(Competências!$B:$B,MATCH($F190,Competências!$C:$C,0)),"")</f>
        <v/>
      </c>
      <c r="H190" s="15">
        <f>IFERROR(INDEX(Competências!$E:$E,MATCH($F190,Competências!$C:$C,0)),"")</f>
        <v/>
      </c>
      <c r="I190" s="20" t="n"/>
      <c r="J190" s="20" t="n"/>
      <c r="K190" s="21">
        <f>IF(AND(ISNUMBER($I190),ISNUMBER($J190)),ABS($I190-$J190),"")</f>
        <v/>
      </c>
      <c r="L190" s="21">
        <f>IF(AND(NOT(ISNUMBER($I190)),NOT(ISNUMBER($J190))),"",IF(NOT(ISNUMBER($J190)),$I190,IF(NOT(ISNUMBER($I190)),$J190,IF($K190=0,$I190,IF($K190=1,IF($H190="Líder Técnico",$J190,IF($H190="GP",$I190,"CALIBRAR")),"CALIBRAR")))))</f>
        <v/>
      </c>
      <c r="M190" s="20" t="n"/>
      <c r="N190" s="21">
        <f>IF($C190="","",COUNTIFS(Ocorrências!$B:$B,$C190,Ocorrências!$F:$F,$F190,Ocorrências!$N:$N,$A190))</f>
        <v/>
      </c>
      <c r="O190" s="15">
        <f>IF($M190="","",IF(OR($M190=1,$M190=2,$M190=5),IF($N190&gt;0,"OK","SEM LASTRO"),"OK"))</f>
        <v/>
      </c>
      <c r="P190" s="19" t="n"/>
      <c r="Q190" s="18" t="n"/>
    </row>
    <row r="191">
      <c r="A191" s="19" t="n"/>
      <c r="B191" s="19" t="n"/>
      <c r="C191" s="15">
        <f>IFERROR(INDEX(Colaboradores!$B:$B,MATCH($B191,Colaboradores!$A:$A,0)),"")</f>
        <v/>
      </c>
      <c r="D191" s="15">
        <f>IFERROR(INDEX(Colaboradores!$E:$E,MATCH($B191,Colaboradores!$A:$A,0)),"")</f>
        <v/>
      </c>
      <c r="E191" s="15">
        <f>IFERROR(INDEX(Colaboradores!$D:$D,MATCH($B191,Colaboradores!$A:$A,0)),"")</f>
        <v/>
      </c>
      <c r="F191" s="19" t="n"/>
      <c r="G191" s="15">
        <f>IFERROR(INDEX(Competências!$B:$B,MATCH($F191,Competências!$C:$C,0)),"")</f>
        <v/>
      </c>
      <c r="H191" s="15">
        <f>IFERROR(INDEX(Competências!$E:$E,MATCH($F191,Competências!$C:$C,0)),"")</f>
        <v/>
      </c>
      <c r="I191" s="20" t="n"/>
      <c r="J191" s="20" t="n"/>
      <c r="K191" s="21">
        <f>IF(AND(ISNUMBER($I191),ISNUMBER($J191)),ABS($I191-$J191),"")</f>
        <v/>
      </c>
      <c r="L191" s="21">
        <f>IF(AND(NOT(ISNUMBER($I191)),NOT(ISNUMBER($J191))),"",IF(NOT(ISNUMBER($J191)),$I191,IF(NOT(ISNUMBER($I191)),$J191,IF($K191=0,$I191,IF($K191=1,IF($H191="Líder Técnico",$J191,IF($H191="GP",$I191,"CALIBRAR")),"CALIBRAR")))))</f>
        <v/>
      </c>
      <c r="M191" s="20" t="n"/>
      <c r="N191" s="21">
        <f>IF($C191="","",COUNTIFS(Ocorrências!$B:$B,$C191,Ocorrências!$F:$F,$F191,Ocorrências!$N:$N,$A191))</f>
        <v/>
      </c>
      <c r="O191" s="15">
        <f>IF($M191="","",IF(OR($M191=1,$M191=2,$M191=5),IF($N191&gt;0,"OK","SEM LASTRO"),"OK"))</f>
        <v/>
      </c>
      <c r="P191" s="19" t="n"/>
      <c r="Q191" s="18" t="n"/>
    </row>
    <row r="192">
      <c r="A192" s="19" t="n"/>
      <c r="B192" s="19" t="n"/>
      <c r="C192" s="15">
        <f>IFERROR(INDEX(Colaboradores!$B:$B,MATCH($B192,Colaboradores!$A:$A,0)),"")</f>
        <v/>
      </c>
      <c r="D192" s="15">
        <f>IFERROR(INDEX(Colaboradores!$E:$E,MATCH($B192,Colaboradores!$A:$A,0)),"")</f>
        <v/>
      </c>
      <c r="E192" s="15">
        <f>IFERROR(INDEX(Colaboradores!$D:$D,MATCH($B192,Colaboradores!$A:$A,0)),"")</f>
        <v/>
      </c>
      <c r="F192" s="19" t="n"/>
      <c r="G192" s="15">
        <f>IFERROR(INDEX(Competências!$B:$B,MATCH($F192,Competências!$C:$C,0)),"")</f>
        <v/>
      </c>
      <c r="H192" s="15">
        <f>IFERROR(INDEX(Competências!$E:$E,MATCH($F192,Competências!$C:$C,0)),"")</f>
        <v/>
      </c>
      <c r="I192" s="20" t="n"/>
      <c r="J192" s="20" t="n"/>
      <c r="K192" s="21">
        <f>IF(AND(ISNUMBER($I192),ISNUMBER($J192)),ABS($I192-$J192),"")</f>
        <v/>
      </c>
      <c r="L192" s="21">
        <f>IF(AND(NOT(ISNUMBER($I192)),NOT(ISNUMBER($J192))),"",IF(NOT(ISNUMBER($J192)),$I192,IF(NOT(ISNUMBER($I192)),$J192,IF($K192=0,$I192,IF($K192=1,IF($H192="Líder Técnico",$J192,IF($H192="GP",$I192,"CALIBRAR")),"CALIBRAR")))))</f>
        <v/>
      </c>
      <c r="M192" s="20" t="n"/>
      <c r="N192" s="21">
        <f>IF($C192="","",COUNTIFS(Ocorrências!$B:$B,$C192,Ocorrências!$F:$F,$F192,Ocorrências!$N:$N,$A192))</f>
        <v/>
      </c>
      <c r="O192" s="15">
        <f>IF($M192="","",IF(OR($M192=1,$M192=2,$M192=5),IF($N192&gt;0,"OK","SEM LASTRO"),"OK"))</f>
        <v/>
      </c>
      <c r="P192" s="19" t="n"/>
      <c r="Q192" s="18" t="n"/>
    </row>
    <row r="193">
      <c r="A193" s="19" t="n"/>
      <c r="B193" s="19" t="n"/>
      <c r="C193" s="15">
        <f>IFERROR(INDEX(Colaboradores!$B:$B,MATCH($B193,Colaboradores!$A:$A,0)),"")</f>
        <v/>
      </c>
      <c r="D193" s="15">
        <f>IFERROR(INDEX(Colaboradores!$E:$E,MATCH($B193,Colaboradores!$A:$A,0)),"")</f>
        <v/>
      </c>
      <c r="E193" s="15">
        <f>IFERROR(INDEX(Colaboradores!$D:$D,MATCH($B193,Colaboradores!$A:$A,0)),"")</f>
        <v/>
      </c>
      <c r="F193" s="19" t="n"/>
      <c r="G193" s="15">
        <f>IFERROR(INDEX(Competências!$B:$B,MATCH($F193,Competências!$C:$C,0)),"")</f>
        <v/>
      </c>
      <c r="H193" s="15">
        <f>IFERROR(INDEX(Competências!$E:$E,MATCH($F193,Competências!$C:$C,0)),"")</f>
        <v/>
      </c>
      <c r="I193" s="20" t="n"/>
      <c r="J193" s="20" t="n"/>
      <c r="K193" s="21">
        <f>IF(AND(ISNUMBER($I193),ISNUMBER($J193)),ABS($I193-$J193),"")</f>
        <v/>
      </c>
      <c r="L193" s="21">
        <f>IF(AND(NOT(ISNUMBER($I193)),NOT(ISNUMBER($J193))),"",IF(NOT(ISNUMBER($J193)),$I193,IF(NOT(ISNUMBER($I193)),$J193,IF($K193=0,$I193,IF($K193=1,IF($H193="Líder Técnico",$J193,IF($H193="GP",$I193,"CALIBRAR")),"CALIBRAR")))))</f>
        <v/>
      </c>
      <c r="M193" s="20" t="n"/>
      <c r="N193" s="21">
        <f>IF($C193="","",COUNTIFS(Ocorrências!$B:$B,$C193,Ocorrências!$F:$F,$F193,Ocorrências!$N:$N,$A193))</f>
        <v/>
      </c>
      <c r="O193" s="15">
        <f>IF($M193="","",IF(OR($M193=1,$M193=2,$M193=5),IF($N193&gt;0,"OK","SEM LASTRO"),"OK"))</f>
        <v/>
      </c>
      <c r="P193" s="19" t="n"/>
      <c r="Q193" s="18" t="n"/>
    </row>
    <row r="194">
      <c r="A194" s="19" t="n"/>
      <c r="B194" s="19" t="n"/>
      <c r="C194" s="15">
        <f>IFERROR(INDEX(Colaboradores!$B:$B,MATCH($B194,Colaboradores!$A:$A,0)),"")</f>
        <v/>
      </c>
      <c r="D194" s="15">
        <f>IFERROR(INDEX(Colaboradores!$E:$E,MATCH($B194,Colaboradores!$A:$A,0)),"")</f>
        <v/>
      </c>
      <c r="E194" s="15">
        <f>IFERROR(INDEX(Colaboradores!$D:$D,MATCH($B194,Colaboradores!$A:$A,0)),"")</f>
        <v/>
      </c>
      <c r="F194" s="19" t="n"/>
      <c r="G194" s="15">
        <f>IFERROR(INDEX(Competências!$B:$B,MATCH($F194,Competências!$C:$C,0)),"")</f>
        <v/>
      </c>
      <c r="H194" s="15">
        <f>IFERROR(INDEX(Competências!$E:$E,MATCH($F194,Competências!$C:$C,0)),"")</f>
        <v/>
      </c>
      <c r="I194" s="20" t="n"/>
      <c r="J194" s="20" t="n"/>
      <c r="K194" s="21">
        <f>IF(AND(ISNUMBER($I194),ISNUMBER($J194)),ABS($I194-$J194),"")</f>
        <v/>
      </c>
      <c r="L194" s="21">
        <f>IF(AND(NOT(ISNUMBER($I194)),NOT(ISNUMBER($J194))),"",IF(NOT(ISNUMBER($J194)),$I194,IF(NOT(ISNUMBER($I194)),$J194,IF($K194=0,$I194,IF($K194=1,IF($H194="Líder Técnico",$J194,IF($H194="GP",$I194,"CALIBRAR")),"CALIBRAR")))))</f>
        <v/>
      </c>
      <c r="M194" s="20" t="n"/>
      <c r="N194" s="21">
        <f>IF($C194="","",COUNTIFS(Ocorrências!$B:$B,$C194,Ocorrências!$F:$F,$F194,Ocorrências!$N:$N,$A194))</f>
        <v/>
      </c>
      <c r="O194" s="15">
        <f>IF($M194="","",IF(OR($M194=1,$M194=2,$M194=5),IF($N194&gt;0,"OK","SEM LASTRO"),"OK"))</f>
        <v/>
      </c>
      <c r="P194" s="19" t="n"/>
      <c r="Q194" s="18" t="n"/>
    </row>
    <row r="195">
      <c r="A195" s="19" t="n"/>
      <c r="B195" s="19" t="n"/>
      <c r="C195" s="15">
        <f>IFERROR(INDEX(Colaboradores!$B:$B,MATCH($B195,Colaboradores!$A:$A,0)),"")</f>
        <v/>
      </c>
      <c r="D195" s="15">
        <f>IFERROR(INDEX(Colaboradores!$E:$E,MATCH($B195,Colaboradores!$A:$A,0)),"")</f>
        <v/>
      </c>
      <c r="E195" s="15">
        <f>IFERROR(INDEX(Colaboradores!$D:$D,MATCH($B195,Colaboradores!$A:$A,0)),"")</f>
        <v/>
      </c>
      <c r="F195" s="19" t="n"/>
      <c r="G195" s="15">
        <f>IFERROR(INDEX(Competências!$B:$B,MATCH($F195,Competências!$C:$C,0)),"")</f>
        <v/>
      </c>
      <c r="H195" s="15">
        <f>IFERROR(INDEX(Competências!$E:$E,MATCH($F195,Competências!$C:$C,0)),"")</f>
        <v/>
      </c>
      <c r="I195" s="20" t="n"/>
      <c r="J195" s="20" t="n"/>
      <c r="K195" s="21">
        <f>IF(AND(ISNUMBER($I195),ISNUMBER($J195)),ABS($I195-$J195),"")</f>
        <v/>
      </c>
      <c r="L195" s="21">
        <f>IF(AND(NOT(ISNUMBER($I195)),NOT(ISNUMBER($J195))),"",IF(NOT(ISNUMBER($J195)),$I195,IF(NOT(ISNUMBER($I195)),$J195,IF($K195=0,$I195,IF($K195=1,IF($H195="Líder Técnico",$J195,IF($H195="GP",$I195,"CALIBRAR")),"CALIBRAR")))))</f>
        <v/>
      </c>
      <c r="M195" s="20" t="n"/>
      <c r="N195" s="21">
        <f>IF($C195="","",COUNTIFS(Ocorrências!$B:$B,$C195,Ocorrências!$F:$F,$F195,Ocorrências!$N:$N,$A195))</f>
        <v/>
      </c>
      <c r="O195" s="15">
        <f>IF($M195="","",IF(OR($M195=1,$M195=2,$M195=5),IF($N195&gt;0,"OK","SEM LASTRO"),"OK"))</f>
        <v/>
      </c>
      <c r="P195" s="19" t="n"/>
      <c r="Q195" s="18" t="n"/>
    </row>
    <row r="196">
      <c r="A196" s="19" t="n"/>
      <c r="B196" s="19" t="n"/>
      <c r="C196" s="15">
        <f>IFERROR(INDEX(Colaboradores!$B:$B,MATCH($B196,Colaboradores!$A:$A,0)),"")</f>
        <v/>
      </c>
      <c r="D196" s="15">
        <f>IFERROR(INDEX(Colaboradores!$E:$E,MATCH($B196,Colaboradores!$A:$A,0)),"")</f>
        <v/>
      </c>
      <c r="E196" s="15">
        <f>IFERROR(INDEX(Colaboradores!$D:$D,MATCH($B196,Colaboradores!$A:$A,0)),"")</f>
        <v/>
      </c>
      <c r="F196" s="19" t="n"/>
      <c r="G196" s="15">
        <f>IFERROR(INDEX(Competências!$B:$B,MATCH($F196,Competências!$C:$C,0)),"")</f>
        <v/>
      </c>
      <c r="H196" s="15">
        <f>IFERROR(INDEX(Competências!$E:$E,MATCH($F196,Competências!$C:$C,0)),"")</f>
        <v/>
      </c>
      <c r="I196" s="20" t="n"/>
      <c r="J196" s="20" t="n"/>
      <c r="K196" s="21">
        <f>IF(AND(ISNUMBER($I196),ISNUMBER($J196)),ABS($I196-$J196),"")</f>
        <v/>
      </c>
      <c r="L196" s="21">
        <f>IF(AND(NOT(ISNUMBER($I196)),NOT(ISNUMBER($J196))),"",IF(NOT(ISNUMBER($J196)),$I196,IF(NOT(ISNUMBER($I196)),$J196,IF($K196=0,$I196,IF($K196=1,IF($H196="Líder Técnico",$J196,IF($H196="GP",$I196,"CALIBRAR")),"CALIBRAR")))))</f>
        <v/>
      </c>
      <c r="M196" s="20" t="n"/>
      <c r="N196" s="21">
        <f>IF($C196="","",COUNTIFS(Ocorrências!$B:$B,$C196,Ocorrências!$F:$F,$F196,Ocorrências!$N:$N,$A196))</f>
        <v/>
      </c>
      <c r="O196" s="15">
        <f>IF($M196="","",IF(OR($M196=1,$M196=2,$M196=5),IF($N196&gt;0,"OK","SEM LASTRO"),"OK"))</f>
        <v/>
      </c>
      <c r="P196" s="19" t="n"/>
      <c r="Q196" s="18" t="n"/>
    </row>
    <row r="197">
      <c r="A197" s="19" t="n"/>
      <c r="B197" s="19" t="n"/>
      <c r="C197" s="15">
        <f>IFERROR(INDEX(Colaboradores!$B:$B,MATCH($B197,Colaboradores!$A:$A,0)),"")</f>
        <v/>
      </c>
      <c r="D197" s="15">
        <f>IFERROR(INDEX(Colaboradores!$E:$E,MATCH($B197,Colaboradores!$A:$A,0)),"")</f>
        <v/>
      </c>
      <c r="E197" s="15">
        <f>IFERROR(INDEX(Colaboradores!$D:$D,MATCH($B197,Colaboradores!$A:$A,0)),"")</f>
        <v/>
      </c>
      <c r="F197" s="19" t="n"/>
      <c r="G197" s="15">
        <f>IFERROR(INDEX(Competências!$B:$B,MATCH($F197,Competências!$C:$C,0)),"")</f>
        <v/>
      </c>
      <c r="H197" s="15">
        <f>IFERROR(INDEX(Competências!$E:$E,MATCH($F197,Competências!$C:$C,0)),"")</f>
        <v/>
      </c>
      <c r="I197" s="20" t="n"/>
      <c r="J197" s="20" t="n"/>
      <c r="K197" s="21">
        <f>IF(AND(ISNUMBER($I197),ISNUMBER($J197)),ABS($I197-$J197),"")</f>
        <v/>
      </c>
      <c r="L197" s="21">
        <f>IF(AND(NOT(ISNUMBER($I197)),NOT(ISNUMBER($J197))),"",IF(NOT(ISNUMBER($J197)),$I197,IF(NOT(ISNUMBER($I197)),$J197,IF($K197=0,$I197,IF($K197=1,IF($H197="Líder Técnico",$J197,IF($H197="GP",$I197,"CALIBRAR")),"CALIBRAR")))))</f>
        <v/>
      </c>
      <c r="M197" s="20" t="n"/>
      <c r="N197" s="21">
        <f>IF($C197="","",COUNTIFS(Ocorrências!$B:$B,$C197,Ocorrências!$F:$F,$F197,Ocorrências!$N:$N,$A197))</f>
        <v/>
      </c>
      <c r="O197" s="15">
        <f>IF($M197="","",IF(OR($M197=1,$M197=2,$M197=5),IF($N197&gt;0,"OK","SEM LASTRO"),"OK"))</f>
        <v/>
      </c>
      <c r="P197" s="19" t="n"/>
      <c r="Q197" s="18" t="n"/>
    </row>
    <row r="198">
      <c r="A198" s="19" t="n"/>
      <c r="B198" s="19" t="n"/>
      <c r="C198" s="15">
        <f>IFERROR(INDEX(Colaboradores!$B:$B,MATCH($B198,Colaboradores!$A:$A,0)),"")</f>
        <v/>
      </c>
      <c r="D198" s="15">
        <f>IFERROR(INDEX(Colaboradores!$E:$E,MATCH($B198,Colaboradores!$A:$A,0)),"")</f>
        <v/>
      </c>
      <c r="E198" s="15">
        <f>IFERROR(INDEX(Colaboradores!$D:$D,MATCH($B198,Colaboradores!$A:$A,0)),"")</f>
        <v/>
      </c>
      <c r="F198" s="19" t="n"/>
      <c r="G198" s="15">
        <f>IFERROR(INDEX(Competências!$B:$B,MATCH($F198,Competências!$C:$C,0)),"")</f>
        <v/>
      </c>
      <c r="H198" s="15">
        <f>IFERROR(INDEX(Competências!$E:$E,MATCH($F198,Competências!$C:$C,0)),"")</f>
        <v/>
      </c>
      <c r="I198" s="20" t="n"/>
      <c r="J198" s="20" t="n"/>
      <c r="K198" s="21">
        <f>IF(AND(ISNUMBER($I198),ISNUMBER($J198)),ABS($I198-$J198),"")</f>
        <v/>
      </c>
      <c r="L198" s="21">
        <f>IF(AND(NOT(ISNUMBER($I198)),NOT(ISNUMBER($J198))),"",IF(NOT(ISNUMBER($J198)),$I198,IF(NOT(ISNUMBER($I198)),$J198,IF($K198=0,$I198,IF($K198=1,IF($H198="Líder Técnico",$J198,IF($H198="GP",$I198,"CALIBRAR")),"CALIBRAR")))))</f>
        <v/>
      </c>
      <c r="M198" s="20" t="n"/>
      <c r="N198" s="21">
        <f>IF($C198="","",COUNTIFS(Ocorrências!$B:$B,$C198,Ocorrências!$F:$F,$F198,Ocorrências!$N:$N,$A198))</f>
        <v/>
      </c>
      <c r="O198" s="15">
        <f>IF($M198="","",IF(OR($M198=1,$M198=2,$M198=5),IF($N198&gt;0,"OK","SEM LASTRO"),"OK"))</f>
        <v/>
      </c>
      <c r="P198" s="19" t="n"/>
      <c r="Q198" s="18" t="n"/>
    </row>
    <row r="199">
      <c r="A199" s="19" t="n"/>
      <c r="B199" s="19" t="n"/>
      <c r="C199" s="15">
        <f>IFERROR(INDEX(Colaboradores!$B:$B,MATCH($B199,Colaboradores!$A:$A,0)),"")</f>
        <v/>
      </c>
      <c r="D199" s="15">
        <f>IFERROR(INDEX(Colaboradores!$E:$E,MATCH($B199,Colaboradores!$A:$A,0)),"")</f>
        <v/>
      </c>
      <c r="E199" s="15">
        <f>IFERROR(INDEX(Colaboradores!$D:$D,MATCH($B199,Colaboradores!$A:$A,0)),"")</f>
        <v/>
      </c>
      <c r="F199" s="19" t="n"/>
      <c r="G199" s="15">
        <f>IFERROR(INDEX(Competências!$B:$B,MATCH($F199,Competências!$C:$C,0)),"")</f>
        <v/>
      </c>
      <c r="H199" s="15">
        <f>IFERROR(INDEX(Competências!$E:$E,MATCH($F199,Competências!$C:$C,0)),"")</f>
        <v/>
      </c>
      <c r="I199" s="20" t="n"/>
      <c r="J199" s="20" t="n"/>
      <c r="K199" s="21">
        <f>IF(AND(ISNUMBER($I199),ISNUMBER($J199)),ABS($I199-$J199),"")</f>
        <v/>
      </c>
      <c r="L199" s="21">
        <f>IF(AND(NOT(ISNUMBER($I199)),NOT(ISNUMBER($J199))),"",IF(NOT(ISNUMBER($J199)),$I199,IF(NOT(ISNUMBER($I199)),$J199,IF($K199=0,$I199,IF($K199=1,IF($H199="Líder Técnico",$J199,IF($H199="GP",$I199,"CALIBRAR")),"CALIBRAR")))))</f>
        <v/>
      </c>
      <c r="M199" s="20" t="n"/>
      <c r="N199" s="21">
        <f>IF($C199="","",COUNTIFS(Ocorrências!$B:$B,$C199,Ocorrências!$F:$F,$F199,Ocorrências!$N:$N,$A199))</f>
        <v/>
      </c>
      <c r="O199" s="15">
        <f>IF($M199="","",IF(OR($M199=1,$M199=2,$M199=5),IF($N199&gt;0,"OK","SEM LASTRO"),"OK"))</f>
        <v/>
      </c>
      <c r="P199" s="19" t="n"/>
      <c r="Q199" s="18" t="n"/>
    </row>
    <row r="200">
      <c r="A200" s="19" t="n"/>
      <c r="B200" s="19" t="n"/>
      <c r="C200" s="15">
        <f>IFERROR(INDEX(Colaboradores!$B:$B,MATCH($B200,Colaboradores!$A:$A,0)),"")</f>
        <v/>
      </c>
      <c r="D200" s="15">
        <f>IFERROR(INDEX(Colaboradores!$E:$E,MATCH($B200,Colaboradores!$A:$A,0)),"")</f>
        <v/>
      </c>
      <c r="E200" s="15">
        <f>IFERROR(INDEX(Colaboradores!$D:$D,MATCH($B200,Colaboradores!$A:$A,0)),"")</f>
        <v/>
      </c>
      <c r="F200" s="19" t="n"/>
      <c r="G200" s="15">
        <f>IFERROR(INDEX(Competências!$B:$B,MATCH($F200,Competências!$C:$C,0)),"")</f>
        <v/>
      </c>
      <c r="H200" s="15">
        <f>IFERROR(INDEX(Competências!$E:$E,MATCH($F200,Competências!$C:$C,0)),"")</f>
        <v/>
      </c>
      <c r="I200" s="20" t="n"/>
      <c r="J200" s="20" t="n"/>
      <c r="K200" s="21">
        <f>IF(AND(ISNUMBER($I200),ISNUMBER($J200)),ABS($I200-$J200),"")</f>
        <v/>
      </c>
      <c r="L200" s="21">
        <f>IF(AND(NOT(ISNUMBER($I200)),NOT(ISNUMBER($J200))),"",IF(NOT(ISNUMBER($J200)),$I200,IF(NOT(ISNUMBER($I200)),$J200,IF($K200=0,$I200,IF($K200=1,IF($H200="Líder Técnico",$J200,IF($H200="GP",$I200,"CALIBRAR")),"CALIBRAR")))))</f>
        <v/>
      </c>
      <c r="M200" s="20" t="n"/>
      <c r="N200" s="21">
        <f>IF($C200="","",COUNTIFS(Ocorrências!$B:$B,$C200,Ocorrências!$F:$F,$F200,Ocorrências!$N:$N,$A200))</f>
        <v/>
      </c>
      <c r="O200" s="15">
        <f>IF($M200="","",IF(OR($M200=1,$M200=2,$M200=5),IF($N200&gt;0,"OK","SEM LASTRO"),"OK"))</f>
        <v/>
      </c>
      <c r="P200" s="19" t="n"/>
      <c r="Q200" s="18" t="n"/>
    </row>
    <row r="201">
      <c r="A201" s="19" t="n"/>
      <c r="B201" s="19" t="n"/>
      <c r="C201" s="15">
        <f>IFERROR(INDEX(Colaboradores!$B:$B,MATCH($B201,Colaboradores!$A:$A,0)),"")</f>
        <v/>
      </c>
      <c r="D201" s="15">
        <f>IFERROR(INDEX(Colaboradores!$E:$E,MATCH($B201,Colaboradores!$A:$A,0)),"")</f>
        <v/>
      </c>
      <c r="E201" s="15">
        <f>IFERROR(INDEX(Colaboradores!$D:$D,MATCH($B201,Colaboradores!$A:$A,0)),"")</f>
        <v/>
      </c>
      <c r="F201" s="19" t="n"/>
      <c r="G201" s="15">
        <f>IFERROR(INDEX(Competências!$B:$B,MATCH($F201,Competências!$C:$C,0)),"")</f>
        <v/>
      </c>
      <c r="H201" s="15">
        <f>IFERROR(INDEX(Competências!$E:$E,MATCH($F201,Competências!$C:$C,0)),"")</f>
        <v/>
      </c>
      <c r="I201" s="20" t="n"/>
      <c r="J201" s="20" t="n"/>
      <c r="K201" s="21">
        <f>IF(AND(ISNUMBER($I201),ISNUMBER($J201)),ABS($I201-$J201),"")</f>
        <v/>
      </c>
      <c r="L201" s="21">
        <f>IF(AND(NOT(ISNUMBER($I201)),NOT(ISNUMBER($J201))),"",IF(NOT(ISNUMBER($J201)),$I201,IF(NOT(ISNUMBER($I201)),$J201,IF($K201=0,$I201,IF($K201=1,IF($H201="Líder Técnico",$J201,IF($H201="GP",$I201,"CALIBRAR")),"CALIBRAR")))))</f>
        <v/>
      </c>
      <c r="M201" s="20" t="n"/>
      <c r="N201" s="21">
        <f>IF($C201="","",COUNTIFS(Ocorrências!$B:$B,$C201,Ocorrências!$F:$F,$F201,Ocorrências!$N:$N,$A201))</f>
        <v/>
      </c>
      <c r="O201" s="15">
        <f>IF($M201="","",IF(OR($M201=1,$M201=2,$M201=5),IF($N201&gt;0,"OK","SEM LASTRO"),"OK"))</f>
        <v/>
      </c>
      <c r="P201" s="19" t="n"/>
      <c r="Q201" s="18" t="n"/>
    </row>
    <row r="202">
      <c r="A202" s="19" t="n"/>
      <c r="B202" s="19" t="n"/>
      <c r="C202" s="15">
        <f>IFERROR(INDEX(Colaboradores!$B:$B,MATCH($B202,Colaboradores!$A:$A,0)),"")</f>
        <v/>
      </c>
      <c r="D202" s="15">
        <f>IFERROR(INDEX(Colaboradores!$E:$E,MATCH($B202,Colaboradores!$A:$A,0)),"")</f>
        <v/>
      </c>
      <c r="E202" s="15">
        <f>IFERROR(INDEX(Colaboradores!$D:$D,MATCH($B202,Colaboradores!$A:$A,0)),"")</f>
        <v/>
      </c>
      <c r="F202" s="19" t="n"/>
      <c r="G202" s="15">
        <f>IFERROR(INDEX(Competências!$B:$B,MATCH($F202,Competências!$C:$C,0)),"")</f>
        <v/>
      </c>
      <c r="H202" s="15">
        <f>IFERROR(INDEX(Competências!$E:$E,MATCH($F202,Competências!$C:$C,0)),"")</f>
        <v/>
      </c>
      <c r="I202" s="20" t="n"/>
      <c r="J202" s="20" t="n"/>
      <c r="K202" s="21">
        <f>IF(AND(ISNUMBER($I202),ISNUMBER($J202)),ABS($I202-$J202),"")</f>
        <v/>
      </c>
      <c r="L202" s="21">
        <f>IF(AND(NOT(ISNUMBER($I202)),NOT(ISNUMBER($J202))),"",IF(NOT(ISNUMBER($J202)),$I202,IF(NOT(ISNUMBER($I202)),$J202,IF($K202=0,$I202,IF($K202=1,IF($H202="Líder Técnico",$J202,IF($H202="GP",$I202,"CALIBRAR")),"CALIBRAR")))))</f>
        <v/>
      </c>
      <c r="M202" s="20" t="n"/>
      <c r="N202" s="21">
        <f>IF($C202="","",COUNTIFS(Ocorrências!$B:$B,$C202,Ocorrências!$F:$F,$F202,Ocorrências!$N:$N,$A202))</f>
        <v/>
      </c>
      <c r="O202" s="15">
        <f>IF($M202="","",IF(OR($M202=1,$M202=2,$M202=5),IF($N202&gt;0,"OK","SEM LASTRO"),"OK"))</f>
        <v/>
      </c>
      <c r="P202" s="19" t="n"/>
      <c r="Q202" s="18" t="n"/>
    </row>
    <row r="203">
      <c r="A203" s="19" t="n"/>
      <c r="B203" s="19" t="n"/>
      <c r="C203" s="15">
        <f>IFERROR(INDEX(Colaboradores!$B:$B,MATCH($B203,Colaboradores!$A:$A,0)),"")</f>
        <v/>
      </c>
      <c r="D203" s="15">
        <f>IFERROR(INDEX(Colaboradores!$E:$E,MATCH($B203,Colaboradores!$A:$A,0)),"")</f>
        <v/>
      </c>
      <c r="E203" s="15">
        <f>IFERROR(INDEX(Colaboradores!$D:$D,MATCH($B203,Colaboradores!$A:$A,0)),"")</f>
        <v/>
      </c>
      <c r="F203" s="19" t="n"/>
      <c r="G203" s="15">
        <f>IFERROR(INDEX(Competências!$B:$B,MATCH($F203,Competências!$C:$C,0)),"")</f>
        <v/>
      </c>
      <c r="H203" s="15">
        <f>IFERROR(INDEX(Competências!$E:$E,MATCH($F203,Competências!$C:$C,0)),"")</f>
        <v/>
      </c>
      <c r="I203" s="20" t="n"/>
      <c r="J203" s="20" t="n"/>
      <c r="K203" s="21">
        <f>IF(AND(ISNUMBER($I203),ISNUMBER($J203)),ABS($I203-$J203),"")</f>
        <v/>
      </c>
      <c r="L203" s="21">
        <f>IF(AND(NOT(ISNUMBER($I203)),NOT(ISNUMBER($J203))),"",IF(NOT(ISNUMBER($J203)),$I203,IF(NOT(ISNUMBER($I203)),$J203,IF($K203=0,$I203,IF($K203=1,IF($H203="Líder Técnico",$J203,IF($H203="GP",$I203,"CALIBRAR")),"CALIBRAR")))))</f>
        <v/>
      </c>
      <c r="M203" s="20" t="n"/>
      <c r="N203" s="21">
        <f>IF($C203="","",COUNTIFS(Ocorrências!$B:$B,$C203,Ocorrências!$F:$F,$F203,Ocorrências!$N:$N,$A203))</f>
        <v/>
      </c>
      <c r="O203" s="15">
        <f>IF($M203="","",IF(OR($M203=1,$M203=2,$M203=5),IF($N203&gt;0,"OK","SEM LASTRO"),"OK"))</f>
        <v/>
      </c>
      <c r="P203" s="19" t="n"/>
      <c r="Q203" s="18" t="n"/>
    </row>
    <row r="204">
      <c r="A204" s="19" t="n"/>
      <c r="B204" s="19" t="n"/>
      <c r="C204" s="15">
        <f>IFERROR(INDEX(Colaboradores!$B:$B,MATCH($B204,Colaboradores!$A:$A,0)),"")</f>
        <v/>
      </c>
      <c r="D204" s="15">
        <f>IFERROR(INDEX(Colaboradores!$E:$E,MATCH($B204,Colaboradores!$A:$A,0)),"")</f>
        <v/>
      </c>
      <c r="E204" s="15">
        <f>IFERROR(INDEX(Colaboradores!$D:$D,MATCH($B204,Colaboradores!$A:$A,0)),"")</f>
        <v/>
      </c>
      <c r="F204" s="19" t="n"/>
      <c r="G204" s="15">
        <f>IFERROR(INDEX(Competências!$B:$B,MATCH($F204,Competências!$C:$C,0)),"")</f>
        <v/>
      </c>
      <c r="H204" s="15">
        <f>IFERROR(INDEX(Competências!$E:$E,MATCH($F204,Competências!$C:$C,0)),"")</f>
        <v/>
      </c>
      <c r="I204" s="20" t="n"/>
      <c r="J204" s="20" t="n"/>
      <c r="K204" s="21">
        <f>IF(AND(ISNUMBER($I204),ISNUMBER($J204)),ABS($I204-$J204),"")</f>
        <v/>
      </c>
      <c r="L204" s="21">
        <f>IF(AND(NOT(ISNUMBER($I204)),NOT(ISNUMBER($J204))),"",IF(NOT(ISNUMBER($J204)),$I204,IF(NOT(ISNUMBER($I204)),$J204,IF($K204=0,$I204,IF($K204=1,IF($H204="Líder Técnico",$J204,IF($H204="GP",$I204,"CALIBRAR")),"CALIBRAR")))))</f>
        <v/>
      </c>
      <c r="M204" s="20" t="n"/>
      <c r="N204" s="21">
        <f>IF($C204="","",COUNTIFS(Ocorrências!$B:$B,$C204,Ocorrências!$F:$F,$F204,Ocorrências!$N:$N,$A204))</f>
        <v/>
      </c>
      <c r="O204" s="15">
        <f>IF($M204="","",IF(OR($M204=1,$M204=2,$M204=5),IF($N204&gt;0,"OK","SEM LASTRO"),"OK"))</f>
        <v/>
      </c>
      <c r="P204" s="19" t="n"/>
      <c r="Q204" s="18" t="n"/>
    </row>
    <row r="205">
      <c r="A205" s="19" t="n"/>
      <c r="B205" s="19" t="n"/>
      <c r="C205" s="15">
        <f>IFERROR(INDEX(Colaboradores!$B:$B,MATCH($B205,Colaboradores!$A:$A,0)),"")</f>
        <v/>
      </c>
      <c r="D205" s="15">
        <f>IFERROR(INDEX(Colaboradores!$E:$E,MATCH($B205,Colaboradores!$A:$A,0)),"")</f>
        <v/>
      </c>
      <c r="E205" s="15">
        <f>IFERROR(INDEX(Colaboradores!$D:$D,MATCH($B205,Colaboradores!$A:$A,0)),"")</f>
        <v/>
      </c>
      <c r="F205" s="19" t="n"/>
      <c r="G205" s="15">
        <f>IFERROR(INDEX(Competências!$B:$B,MATCH($F205,Competências!$C:$C,0)),"")</f>
        <v/>
      </c>
      <c r="H205" s="15">
        <f>IFERROR(INDEX(Competências!$E:$E,MATCH($F205,Competências!$C:$C,0)),"")</f>
        <v/>
      </c>
      <c r="I205" s="20" t="n"/>
      <c r="J205" s="20" t="n"/>
      <c r="K205" s="21">
        <f>IF(AND(ISNUMBER($I205),ISNUMBER($J205)),ABS($I205-$J205),"")</f>
        <v/>
      </c>
      <c r="L205" s="21">
        <f>IF(AND(NOT(ISNUMBER($I205)),NOT(ISNUMBER($J205))),"",IF(NOT(ISNUMBER($J205)),$I205,IF(NOT(ISNUMBER($I205)),$J205,IF($K205=0,$I205,IF($K205=1,IF($H205="Líder Técnico",$J205,IF($H205="GP",$I205,"CALIBRAR")),"CALIBRAR")))))</f>
        <v/>
      </c>
      <c r="M205" s="20" t="n"/>
      <c r="N205" s="21">
        <f>IF($C205="","",COUNTIFS(Ocorrências!$B:$B,$C205,Ocorrências!$F:$F,$F205,Ocorrências!$N:$N,$A205))</f>
        <v/>
      </c>
      <c r="O205" s="15">
        <f>IF($M205="","",IF(OR($M205=1,$M205=2,$M205=5),IF($N205&gt;0,"OK","SEM LASTRO"),"OK"))</f>
        <v/>
      </c>
      <c r="P205" s="19" t="n"/>
      <c r="Q205" s="18" t="n"/>
    </row>
    <row r="206">
      <c r="A206" s="19" t="n"/>
      <c r="B206" s="19" t="n"/>
      <c r="C206" s="15">
        <f>IFERROR(INDEX(Colaboradores!$B:$B,MATCH($B206,Colaboradores!$A:$A,0)),"")</f>
        <v/>
      </c>
      <c r="D206" s="15">
        <f>IFERROR(INDEX(Colaboradores!$E:$E,MATCH($B206,Colaboradores!$A:$A,0)),"")</f>
        <v/>
      </c>
      <c r="E206" s="15">
        <f>IFERROR(INDEX(Colaboradores!$D:$D,MATCH($B206,Colaboradores!$A:$A,0)),"")</f>
        <v/>
      </c>
      <c r="F206" s="19" t="n"/>
      <c r="G206" s="15">
        <f>IFERROR(INDEX(Competências!$B:$B,MATCH($F206,Competências!$C:$C,0)),"")</f>
        <v/>
      </c>
      <c r="H206" s="15">
        <f>IFERROR(INDEX(Competências!$E:$E,MATCH($F206,Competências!$C:$C,0)),"")</f>
        <v/>
      </c>
      <c r="I206" s="20" t="n"/>
      <c r="J206" s="20" t="n"/>
      <c r="K206" s="21">
        <f>IF(AND(ISNUMBER($I206),ISNUMBER($J206)),ABS($I206-$J206),"")</f>
        <v/>
      </c>
      <c r="L206" s="21">
        <f>IF(AND(NOT(ISNUMBER($I206)),NOT(ISNUMBER($J206))),"",IF(NOT(ISNUMBER($J206)),$I206,IF(NOT(ISNUMBER($I206)),$J206,IF($K206=0,$I206,IF($K206=1,IF($H206="Líder Técnico",$J206,IF($H206="GP",$I206,"CALIBRAR")),"CALIBRAR")))))</f>
        <v/>
      </c>
      <c r="M206" s="20" t="n"/>
      <c r="N206" s="21">
        <f>IF($C206="","",COUNTIFS(Ocorrências!$B:$B,$C206,Ocorrências!$F:$F,$F206,Ocorrências!$N:$N,$A206))</f>
        <v/>
      </c>
      <c r="O206" s="15">
        <f>IF($M206="","",IF(OR($M206=1,$M206=2,$M206=5),IF($N206&gt;0,"OK","SEM LASTRO"),"OK"))</f>
        <v/>
      </c>
      <c r="P206" s="19" t="n"/>
      <c r="Q206" s="18" t="n"/>
    </row>
    <row r="207">
      <c r="A207" s="19" t="n"/>
      <c r="B207" s="19" t="n"/>
      <c r="C207" s="15">
        <f>IFERROR(INDEX(Colaboradores!$B:$B,MATCH($B207,Colaboradores!$A:$A,0)),"")</f>
        <v/>
      </c>
      <c r="D207" s="15">
        <f>IFERROR(INDEX(Colaboradores!$E:$E,MATCH($B207,Colaboradores!$A:$A,0)),"")</f>
        <v/>
      </c>
      <c r="E207" s="15">
        <f>IFERROR(INDEX(Colaboradores!$D:$D,MATCH($B207,Colaboradores!$A:$A,0)),"")</f>
        <v/>
      </c>
      <c r="F207" s="19" t="n"/>
      <c r="G207" s="15">
        <f>IFERROR(INDEX(Competências!$B:$B,MATCH($F207,Competências!$C:$C,0)),"")</f>
        <v/>
      </c>
      <c r="H207" s="15">
        <f>IFERROR(INDEX(Competências!$E:$E,MATCH($F207,Competências!$C:$C,0)),"")</f>
        <v/>
      </c>
      <c r="I207" s="20" t="n"/>
      <c r="J207" s="20" t="n"/>
      <c r="K207" s="21">
        <f>IF(AND(ISNUMBER($I207),ISNUMBER($J207)),ABS($I207-$J207),"")</f>
        <v/>
      </c>
      <c r="L207" s="21">
        <f>IF(AND(NOT(ISNUMBER($I207)),NOT(ISNUMBER($J207))),"",IF(NOT(ISNUMBER($J207)),$I207,IF(NOT(ISNUMBER($I207)),$J207,IF($K207=0,$I207,IF($K207=1,IF($H207="Líder Técnico",$J207,IF($H207="GP",$I207,"CALIBRAR")),"CALIBRAR")))))</f>
        <v/>
      </c>
      <c r="M207" s="20" t="n"/>
      <c r="N207" s="21">
        <f>IF($C207="","",COUNTIFS(Ocorrências!$B:$B,$C207,Ocorrências!$F:$F,$F207,Ocorrências!$N:$N,$A207))</f>
        <v/>
      </c>
      <c r="O207" s="15">
        <f>IF($M207="","",IF(OR($M207=1,$M207=2,$M207=5),IF($N207&gt;0,"OK","SEM LASTRO"),"OK"))</f>
        <v/>
      </c>
      <c r="P207" s="19" t="n"/>
      <c r="Q207" s="18" t="n"/>
    </row>
    <row r="208">
      <c r="A208" s="19" t="n"/>
      <c r="B208" s="19" t="n"/>
      <c r="C208" s="15">
        <f>IFERROR(INDEX(Colaboradores!$B:$B,MATCH($B208,Colaboradores!$A:$A,0)),"")</f>
        <v/>
      </c>
      <c r="D208" s="15">
        <f>IFERROR(INDEX(Colaboradores!$E:$E,MATCH($B208,Colaboradores!$A:$A,0)),"")</f>
        <v/>
      </c>
      <c r="E208" s="15">
        <f>IFERROR(INDEX(Colaboradores!$D:$D,MATCH($B208,Colaboradores!$A:$A,0)),"")</f>
        <v/>
      </c>
      <c r="F208" s="19" t="n"/>
      <c r="G208" s="15">
        <f>IFERROR(INDEX(Competências!$B:$B,MATCH($F208,Competências!$C:$C,0)),"")</f>
        <v/>
      </c>
      <c r="H208" s="15">
        <f>IFERROR(INDEX(Competências!$E:$E,MATCH($F208,Competências!$C:$C,0)),"")</f>
        <v/>
      </c>
      <c r="I208" s="20" t="n"/>
      <c r="J208" s="20" t="n"/>
      <c r="K208" s="21">
        <f>IF(AND(ISNUMBER($I208),ISNUMBER($J208)),ABS($I208-$J208),"")</f>
        <v/>
      </c>
      <c r="L208" s="21">
        <f>IF(AND(NOT(ISNUMBER($I208)),NOT(ISNUMBER($J208))),"",IF(NOT(ISNUMBER($J208)),$I208,IF(NOT(ISNUMBER($I208)),$J208,IF($K208=0,$I208,IF($K208=1,IF($H208="Líder Técnico",$J208,IF($H208="GP",$I208,"CALIBRAR")),"CALIBRAR")))))</f>
        <v/>
      </c>
      <c r="M208" s="20" t="n"/>
      <c r="N208" s="21">
        <f>IF($C208="","",COUNTIFS(Ocorrências!$B:$B,$C208,Ocorrências!$F:$F,$F208,Ocorrências!$N:$N,$A208))</f>
        <v/>
      </c>
      <c r="O208" s="15">
        <f>IF($M208="","",IF(OR($M208=1,$M208=2,$M208=5),IF($N208&gt;0,"OK","SEM LASTRO"),"OK"))</f>
        <v/>
      </c>
      <c r="P208" s="19" t="n"/>
      <c r="Q208" s="18" t="n"/>
    </row>
    <row r="209">
      <c r="A209" s="19" t="n"/>
      <c r="B209" s="19" t="n"/>
      <c r="C209" s="15">
        <f>IFERROR(INDEX(Colaboradores!$B:$B,MATCH($B209,Colaboradores!$A:$A,0)),"")</f>
        <v/>
      </c>
      <c r="D209" s="15">
        <f>IFERROR(INDEX(Colaboradores!$E:$E,MATCH($B209,Colaboradores!$A:$A,0)),"")</f>
        <v/>
      </c>
      <c r="E209" s="15">
        <f>IFERROR(INDEX(Colaboradores!$D:$D,MATCH($B209,Colaboradores!$A:$A,0)),"")</f>
        <v/>
      </c>
      <c r="F209" s="19" t="n"/>
      <c r="G209" s="15">
        <f>IFERROR(INDEX(Competências!$B:$B,MATCH($F209,Competências!$C:$C,0)),"")</f>
        <v/>
      </c>
      <c r="H209" s="15">
        <f>IFERROR(INDEX(Competências!$E:$E,MATCH($F209,Competências!$C:$C,0)),"")</f>
        <v/>
      </c>
      <c r="I209" s="20" t="n"/>
      <c r="J209" s="20" t="n"/>
      <c r="K209" s="21">
        <f>IF(AND(ISNUMBER($I209),ISNUMBER($J209)),ABS($I209-$J209),"")</f>
        <v/>
      </c>
      <c r="L209" s="21">
        <f>IF(AND(NOT(ISNUMBER($I209)),NOT(ISNUMBER($J209))),"",IF(NOT(ISNUMBER($J209)),$I209,IF(NOT(ISNUMBER($I209)),$J209,IF($K209=0,$I209,IF($K209=1,IF($H209="Líder Técnico",$J209,IF($H209="GP",$I209,"CALIBRAR")),"CALIBRAR")))))</f>
        <v/>
      </c>
      <c r="M209" s="20" t="n"/>
      <c r="N209" s="21">
        <f>IF($C209="","",COUNTIFS(Ocorrências!$B:$B,$C209,Ocorrências!$F:$F,$F209,Ocorrências!$N:$N,$A209))</f>
        <v/>
      </c>
      <c r="O209" s="15">
        <f>IF($M209="","",IF(OR($M209=1,$M209=2,$M209=5),IF($N209&gt;0,"OK","SEM LASTRO"),"OK"))</f>
        <v/>
      </c>
      <c r="P209" s="19" t="n"/>
      <c r="Q209" s="18" t="n"/>
    </row>
    <row r="210">
      <c r="A210" s="19" t="n"/>
      <c r="B210" s="19" t="n"/>
      <c r="C210" s="15">
        <f>IFERROR(INDEX(Colaboradores!$B:$B,MATCH($B210,Colaboradores!$A:$A,0)),"")</f>
        <v/>
      </c>
      <c r="D210" s="15">
        <f>IFERROR(INDEX(Colaboradores!$E:$E,MATCH($B210,Colaboradores!$A:$A,0)),"")</f>
        <v/>
      </c>
      <c r="E210" s="15">
        <f>IFERROR(INDEX(Colaboradores!$D:$D,MATCH($B210,Colaboradores!$A:$A,0)),"")</f>
        <v/>
      </c>
      <c r="F210" s="19" t="n"/>
      <c r="G210" s="15">
        <f>IFERROR(INDEX(Competências!$B:$B,MATCH($F210,Competências!$C:$C,0)),"")</f>
        <v/>
      </c>
      <c r="H210" s="15">
        <f>IFERROR(INDEX(Competências!$E:$E,MATCH($F210,Competências!$C:$C,0)),"")</f>
        <v/>
      </c>
      <c r="I210" s="20" t="n"/>
      <c r="J210" s="20" t="n"/>
      <c r="K210" s="21">
        <f>IF(AND(ISNUMBER($I210),ISNUMBER($J210)),ABS($I210-$J210),"")</f>
        <v/>
      </c>
      <c r="L210" s="21">
        <f>IF(AND(NOT(ISNUMBER($I210)),NOT(ISNUMBER($J210))),"",IF(NOT(ISNUMBER($J210)),$I210,IF(NOT(ISNUMBER($I210)),$J210,IF($K210=0,$I210,IF($K210=1,IF($H210="Líder Técnico",$J210,IF($H210="GP",$I210,"CALIBRAR")),"CALIBRAR")))))</f>
        <v/>
      </c>
      <c r="M210" s="20" t="n"/>
      <c r="N210" s="21">
        <f>IF($C210="","",COUNTIFS(Ocorrências!$B:$B,$C210,Ocorrências!$F:$F,$F210,Ocorrências!$N:$N,$A210))</f>
        <v/>
      </c>
      <c r="O210" s="15">
        <f>IF($M210="","",IF(OR($M210=1,$M210=2,$M210=5),IF($N210&gt;0,"OK","SEM LASTRO"),"OK"))</f>
        <v/>
      </c>
      <c r="P210" s="19" t="n"/>
      <c r="Q210" s="18" t="n"/>
    </row>
    <row r="211">
      <c r="A211" s="19" t="n"/>
      <c r="B211" s="19" t="n"/>
      <c r="C211" s="15">
        <f>IFERROR(INDEX(Colaboradores!$B:$B,MATCH($B211,Colaboradores!$A:$A,0)),"")</f>
        <v/>
      </c>
      <c r="D211" s="15">
        <f>IFERROR(INDEX(Colaboradores!$E:$E,MATCH($B211,Colaboradores!$A:$A,0)),"")</f>
        <v/>
      </c>
      <c r="E211" s="15">
        <f>IFERROR(INDEX(Colaboradores!$D:$D,MATCH($B211,Colaboradores!$A:$A,0)),"")</f>
        <v/>
      </c>
      <c r="F211" s="19" t="n"/>
      <c r="G211" s="15">
        <f>IFERROR(INDEX(Competências!$B:$B,MATCH($F211,Competências!$C:$C,0)),"")</f>
        <v/>
      </c>
      <c r="H211" s="15">
        <f>IFERROR(INDEX(Competências!$E:$E,MATCH($F211,Competências!$C:$C,0)),"")</f>
        <v/>
      </c>
      <c r="I211" s="20" t="n"/>
      <c r="J211" s="20" t="n"/>
      <c r="K211" s="21">
        <f>IF(AND(ISNUMBER($I211),ISNUMBER($J211)),ABS($I211-$J211),"")</f>
        <v/>
      </c>
      <c r="L211" s="21">
        <f>IF(AND(NOT(ISNUMBER($I211)),NOT(ISNUMBER($J211))),"",IF(NOT(ISNUMBER($J211)),$I211,IF(NOT(ISNUMBER($I211)),$J211,IF($K211=0,$I211,IF($K211=1,IF($H211="Líder Técnico",$J211,IF($H211="GP",$I211,"CALIBRAR")),"CALIBRAR")))))</f>
        <v/>
      </c>
      <c r="M211" s="20" t="n"/>
      <c r="N211" s="21">
        <f>IF($C211="","",COUNTIFS(Ocorrências!$B:$B,$C211,Ocorrências!$F:$F,$F211,Ocorrências!$N:$N,$A211))</f>
        <v/>
      </c>
      <c r="O211" s="15">
        <f>IF($M211="","",IF(OR($M211=1,$M211=2,$M211=5),IF($N211&gt;0,"OK","SEM LASTRO"),"OK"))</f>
        <v/>
      </c>
      <c r="P211" s="19" t="n"/>
      <c r="Q211" s="18" t="n"/>
    </row>
    <row r="212">
      <c r="A212" s="19" t="n"/>
      <c r="B212" s="19" t="n"/>
      <c r="C212" s="15">
        <f>IFERROR(INDEX(Colaboradores!$B:$B,MATCH($B212,Colaboradores!$A:$A,0)),"")</f>
        <v/>
      </c>
      <c r="D212" s="15">
        <f>IFERROR(INDEX(Colaboradores!$E:$E,MATCH($B212,Colaboradores!$A:$A,0)),"")</f>
        <v/>
      </c>
      <c r="E212" s="15">
        <f>IFERROR(INDEX(Colaboradores!$D:$D,MATCH($B212,Colaboradores!$A:$A,0)),"")</f>
        <v/>
      </c>
      <c r="F212" s="19" t="n"/>
      <c r="G212" s="15">
        <f>IFERROR(INDEX(Competências!$B:$B,MATCH($F212,Competências!$C:$C,0)),"")</f>
        <v/>
      </c>
      <c r="H212" s="15">
        <f>IFERROR(INDEX(Competências!$E:$E,MATCH($F212,Competências!$C:$C,0)),"")</f>
        <v/>
      </c>
      <c r="I212" s="20" t="n"/>
      <c r="J212" s="20" t="n"/>
      <c r="K212" s="21">
        <f>IF(AND(ISNUMBER($I212),ISNUMBER($J212)),ABS($I212-$J212),"")</f>
        <v/>
      </c>
      <c r="L212" s="21">
        <f>IF(AND(NOT(ISNUMBER($I212)),NOT(ISNUMBER($J212))),"",IF(NOT(ISNUMBER($J212)),$I212,IF(NOT(ISNUMBER($I212)),$J212,IF($K212=0,$I212,IF($K212=1,IF($H212="Líder Técnico",$J212,IF($H212="GP",$I212,"CALIBRAR")),"CALIBRAR")))))</f>
        <v/>
      </c>
      <c r="M212" s="20" t="n"/>
      <c r="N212" s="21">
        <f>IF($C212="","",COUNTIFS(Ocorrências!$B:$B,$C212,Ocorrências!$F:$F,$F212,Ocorrências!$N:$N,$A212))</f>
        <v/>
      </c>
      <c r="O212" s="15">
        <f>IF($M212="","",IF(OR($M212=1,$M212=2,$M212=5),IF($N212&gt;0,"OK","SEM LASTRO"),"OK"))</f>
        <v/>
      </c>
      <c r="P212" s="19" t="n"/>
      <c r="Q212" s="18" t="n"/>
    </row>
    <row r="213">
      <c r="A213" s="19" t="n"/>
      <c r="B213" s="19" t="n"/>
      <c r="C213" s="15">
        <f>IFERROR(INDEX(Colaboradores!$B:$B,MATCH($B213,Colaboradores!$A:$A,0)),"")</f>
        <v/>
      </c>
      <c r="D213" s="15">
        <f>IFERROR(INDEX(Colaboradores!$E:$E,MATCH($B213,Colaboradores!$A:$A,0)),"")</f>
        <v/>
      </c>
      <c r="E213" s="15">
        <f>IFERROR(INDEX(Colaboradores!$D:$D,MATCH($B213,Colaboradores!$A:$A,0)),"")</f>
        <v/>
      </c>
      <c r="F213" s="19" t="n"/>
      <c r="G213" s="15">
        <f>IFERROR(INDEX(Competências!$B:$B,MATCH($F213,Competências!$C:$C,0)),"")</f>
        <v/>
      </c>
      <c r="H213" s="15">
        <f>IFERROR(INDEX(Competências!$E:$E,MATCH($F213,Competências!$C:$C,0)),"")</f>
        <v/>
      </c>
      <c r="I213" s="20" t="n"/>
      <c r="J213" s="20" t="n"/>
      <c r="K213" s="21">
        <f>IF(AND(ISNUMBER($I213),ISNUMBER($J213)),ABS($I213-$J213),"")</f>
        <v/>
      </c>
      <c r="L213" s="21">
        <f>IF(AND(NOT(ISNUMBER($I213)),NOT(ISNUMBER($J213))),"",IF(NOT(ISNUMBER($J213)),$I213,IF(NOT(ISNUMBER($I213)),$J213,IF($K213=0,$I213,IF($K213=1,IF($H213="Líder Técnico",$J213,IF($H213="GP",$I213,"CALIBRAR")),"CALIBRAR")))))</f>
        <v/>
      </c>
      <c r="M213" s="20" t="n"/>
      <c r="N213" s="21">
        <f>IF($C213="","",COUNTIFS(Ocorrências!$B:$B,$C213,Ocorrências!$F:$F,$F213,Ocorrências!$N:$N,$A213))</f>
        <v/>
      </c>
      <c r="O213" s="15">
        <f>IF($M213="","",IF(OR($M213=1,$M213=2,$M213=5),IF($N213&gt;0,"OK","SEM LASTRO"),"OK"))</f>
        <v/>
      </c>
      <c r="P213" s="19" t="n"/>
      <c r="Q213" s="18" t="n"/>
    </row>
    <row r="214">
      <c r="A214" s="19" t="n"/>
      <c r="B214" s="19" t="n"/>
      <c r="C214" s="15">
        <f>IFERROR(INDEX(Colaboradores!$B:$B,MATCH($B214,Colaboradores!$A:$A,0)),"")</f>
        <v/>
      </c>
      <c r="D214" s="15">
        <f>IFERROR(INDEX(Colaboradores!$E:$E,MATCH($B214,Colaboradores!$A:$A,0)),"")</f>
        <v/>
      </c>
      <c r="E214" s="15">
        <f>IFERROR(INDEX(Colaboradores!$D:$D,MATCH($B214,Colaboradores!$A:$A,0)),"")</f>
        <v/>
      </c>
      <c r="F214" s="19" t="n"/>
      <c r="G214" s="15">
        <f>IFERROR(INDEX(Competências!$B:$B,MATCH($F214,Competências!$C:$C,0)),"")</f>
        <v/>
      </c>
      <c r="H214" s="15">
        <f>IFERROR(INDEX(Competências!$E:$E,MATCH($F214,Competências!$C:$C,0)),"")</f>
        <v/>
      </c>
      <c r="I214" s="20" t="n"/>
      <c r="J214" s="20" t="n"/>
      <c r="K214" s="21">
        <f>IF(AND(ISNUMBER($I214),ISNUMBER($J214)),ABS($I214-$J214),"")</f>
        <v/>
      </c>
      <c r="L214" s="21">
        <f>IF(AND(NOT(ISNUMBER($I214)),NOT(ISNUMBER($J214))),"",IF(NOT(ISNUMBER($J214)),$I214,IF(NOT(ISNUMBER($I214)),$J214,IF($K214=0,$I214,IF($K214=1,IF($H214="Líder Técnico",$J214,IF($H214="GP",$I214,"CALIBRAR")),"CALIBRAR")))))</f>
        <v/>
      </c>
      <c r="M214" s="20" t="n"/>
      <c r="N214" s="21">
        <f>IF($C214="","",COUNTIFS(Ocorrências!$B:$B,$C214,Ocorrências!$F:$F,$F214,Ocorrências!$N:$N,$A214))</f>
        <v/>
      </c>
      <c r="O214" s="15">
        <f>IF($M214="","",IF(OR($M214=1,$M214=2,$M214=5),IF($N214&gt;0,"OK","SEM LASTRO"),"OK"))</f>
        <v/>
      </c>
      <c r="P214" s="19" t="n"/>
      <c r="Q214" s="18" t="n"/>
    </row>
    <row r="215">
      <c r="A215" s="19" t="n"/>
      <c r="B215" s="19" t="n"/>
      <c r="C215" s="15">
        <f>IFERROR(INDEX(Colaboradores!$B:$B,MATCH($B215,Colaboradores!$A:$A,0)),"")</f>
        <v/>
      </c>
      <c r="D215" s="15">
        <f>IFERROR(INDEX(Colaboradores!$E:$E,MATCH($B215,Colaboradores!$A:$A,0)),"")</f>
        <v/>
      </c>
      <c r="E215" s="15">
        <f>IFERROR(INDEX(Colaboradores!$D:$D,MATCH($B215,Colaboradores!$A:$A,0)),"")</f>
        <v/>
      </c>
      <c r="F215" s="19" t="n"/>
      <c r="G215" s="15">
        <f>IFERROR(INDEX(Competências!$B:$B,MATCH($F215,Competências!$C:$C,0)),"")</f>
        <v/>
      </c>
      <c r="H215" s="15">
        <f>IFERROR(INDEX(Competências!$E:$E,MATCH($F215,Competências!$C:$C,0)),"")</f>
        <v/>
      </c>
      <c r="I215" s="20" t="n"/>
      <c r="J215" s="20" t="n"/>
      <c r="K215" s="21">
        <f>IF(AND(ISNUMBER($I215),ISNUMBER($J215)),ABS($I215-$J215),"")</f>
        <v/>
      </c>
      <c r="L215" s="21">
        <f>IF(AND(NOT(ISNUMBER($I215)),NOT(ISNUMBER($J215))),"",IF(NOT(ISNUMBER($J215)),$I215,IF(NOT(ISNUMBER($I215)),$J215,IF($K215=0,$I215,IF($K215=1,IF($H215="Líder Técnico",$J215,IF($H215="GP",$I215,"CALIBRAR")),"CALIBRAR")))))</f>
        <v/>
      </c>
      <c r="M215" s="20" t="n"/>
      <c r="N215" s="21">
        <f>IF($C215="","",COUNTIFS(Ocorrências!$B:$B,$C215,Ocorrências!$F:$F,$F215,Ocorrências!$N:$N,$A215))</f>
        <v/>
      </c>
      <c r="O215" s="15">
        <f>IF($M215="","",IF(OR($M215=1,$M215=2,$M215=5),IF($N215&gt;0,"OK","SEM LASTRO"),"OK"))</f>
        <v/>
      </c>
      <c r="P215" s="19" t="n"/>
      <c r="Q215" s="18" t="n"/>
    </row>
    <row r="216">
      <c r="A216" s="19" t="n"/>
      <c r="B216" s="19" t="n"/>
      <c r="C216" s="15">
        <f>IFERROR(INDEX(Colaboradores!$B:$B,MATCH($B216,Colaboradores!$A:$A,0)),"")</f>
        <v/>
      </c>
      <c r="D216" s="15">
        <f>IFERROR(INDEX(Colaboradores!$E:$E,MATCH($B216,Colaboradores!$A:$A,0)),"")</f>
        <v/>
      </c>
      <c r="E216" s="15">
        <f>IFERROR(INDEX(Colaboradores!$D:$D,MATCH($B216,Colaboradores!$A:$A,0)),"")</f>
        <v/>
      </c>
      <c r="F216" s="19" t="n"/>
      <c r="G216" s="15">
        <f>IFERROR(INDEX(Competências!$B:$B,MATCH($F216,Competências!$C:$C,0)),"")</f>
        <v/>
      </c>
      <c r="H216" s="15">
        <f>IFERROR(INDEX(Competências!$E:$E,MATCH($F216,Competências!$C:$C,0)),"")</f>
        <v/>
      </c>
      <c r="I216" s="20" t="n"/>
      <c r="J216" s="20" t="n"/>
      <c r="K216" s="21">
        <f>IF(AND(ISNUMBER($I216),ISNUMBER($J216)),ABS($I216-$J216),"")</f>
        <v/>
      </c>
      <c r="L216" s="21">
        <f>IF(AND(NOT(ISNUMBER($I216)),NOT(ISNUMBER($J216))),"",IF(NOT(ISNUMBER($J216)),$I216,IF(NOT(ISNUMBER($I216)),$J216,IF($K216=0,$I216,IF($K216=1,IF($H216="Líder Técnico",$J216,IF($H216="GP",$I216,"CALIBRAR")),"CALIBRAR")))))</f>
        <v/>
      </c>
      <c r="M216" s="20" t="n"/>
      <c r="N216" s="21">
        <f>IF($C216="","",COUNTIFS(Ocorrências!$B:$B,$C216,Ocorrências!$F:$F,$F216,Ocorrências!$N:$N,$A216))</f>
        <v/>
      </c>
      <c r="O216" s="15">
        <f>IF($M216="","",IF(OR($M216=1,$M216=2,$M216=5),IF($N216&gt;0,"OK","SEM LASTRO"),"OK"))</f>
        <v/>
      </c>
      <c r="P216" s="19" t="n"/>
      <c r="Q216" s="18" t="n"/>
    </row>
    <row r="217">
      <c r="A217" s="19" t="n"/>
      <c r="B217" s="19" t="n"/>
      <c r="C217" s="15">
        <f>IFERROR(INDEX(Colaboradores!$B:$B,MATCH($B217,Colaboradores!$A:$A,0)),"")</f>
        <v/>
      </c>
      <c r="D217" s="15">
        <f>IFERROR(INDEX(Colaboradores!$E:$E,MATCH($B217,Colaboradores!$A:$A,0)),"")</f>
        <v/>
      </c>
      <c r="E217" s="15">
        <f>IFERROR(INDEX(Colaboradores!$D:$D,MATCH($B217,Colaboradores!$A:$A,0)),"")</f>
        <v/>
      </c>
      <c r="F217" s="19" t="n"/>
      <c r="G217" s="15">
        <f>IFERROR(INDEX(Competências!$B:$B,MATCH($F217,Competências!$C:$C,0)),"")</f>
        <v/>
      </c>
      <c r="H217" s="15">
        <f>IFERROR(INDEX(Competências!$E:$E,MATCH($F217,Competências!$C:$C,0)),"")</f>
        <v/>
      </c>
      <c r="I217" s="20" t="n"/>
      <c r="J217" s="20" t="n"/>
      <c r="K217" s="21">
        <f>IF(AND(ISNUMBER($I217),ISNUMBER($J217)),ABS($I217-$J217),"")</f>
        <v/>
      </c>
      <c r="L217" s="21">
        <f>IF(AND(NOT(ISNUMBER($I217)),NOT(ISNUMBER($J217))),"",IF(NOT(ISNUMBER($J217)),$I217,IF(NOT(ISNUMBER($I217)),$J217,IF($K217=0,$I217,IF($K217=1,IF($H217="Líder Técnico",$J217,IF($H217="GP",$I217,"CALIBRAR")),"CALIBRAR")))))</f>
        <v/>
      </c>
      <c r="M217" s="20" t="n"/>
      <c r="N217" s="21">
        <f>IF($C217="","",COUNTIFS(Ocorrências!$B:$B,$C217,Ocorrências!$F:$F,$F217,Ocorrências!$N:$N,$A217))</f>
        <v/>
      </c>
      <c r="O217" s="15">
        <f>IF($M217="","",IF(OR($M217=1,$M217=2,$M217=5),IF($N217&gt;0,"OK","SEM LASTRO"),"OK"))</f>
        <v/>
      </c>
      <c r="P217" s="19" t="n"/>
      <c r="Q217" s="18" t="n"/>
    </row>
    <row r="218">
      <c r="A218" s="19" t="n"/>
      <c r="B218" s="19" t="n"/>
      <c r="C218" s="15">
        <f>IFERROR(INDEX(Colaboradores!$B:$B,MATCH($B218,Colaboradores!$A:$A,0)),"")</f>
        <v/>
      </c>
      <c r="D218" s="15">
        <f>IFERROR(INDEX(Colaboradores!$E:$E,MATCH($B218,Colaboradores!$A:$A,0)),"")</f>
        <v/>
      </c>
      <c r="E218" s="15">
        <f>IFERROR(INDEX(Colaboradores!$D:$D,MATCH($B218,Colaboradores!$A:$A,0)),"")</f>
        <v/>
      </c>
      <c r="F218" s="19" t="n"/>
      <c r="G218" s="15">
        <f>IFERROR(INDEX(Competências!$B:$B,MATCH($F218,Competências!$C:$C,0)),"")</f>
        <v/>
      </c>
      <c r="H218" s="15">
        <f>IFERROR(INDEX(Competências!$E:$E,MATCH($F218,Competências!$C:$C,0)),"")</f>
        <v/>
      </c>
      <c r="I218" s="20" t="n"/>
      <c r="J218" s="20" t="n"/>
      <c r="K218" s="21">
        <f>IF(AND(ISNUMBER($I218),ISNUMBER($J218)),ABS($I218-$J218),"")</f>
        <v/>
      </c>
      <c r="L218" s="21">
        <f>IF(AND(NOT(ISNUMBER($I218)),NOT(ISNUMBER($J218))),"",IF(NOT(ISNUMBER($J218)),$I218,IF(NOT(ISNUMBER($I218)),$J218,IF($K218=0,$I218,IF($K218=1,IF($H218="Líder Técnico",$J218,IF($H218="GP",$I218,"CALIBRAR")),"CALIBRAR")))))</f>
        <v/>
      </c>
      <c r="M218" s="20" t="n"/>
      <c r="N218" s="21">
        <f>IF($C218="","",COUNTIFS(Ocorrências!$B:$B,$C218,Ocorrências!$F:$F,$F218,Ocorrências!$N:$N,$A218))</f>
        <v/>
      </c>
      <c r="O218" s="15">
        <f>IF($M218="","",IF(OR($M218=1,$M218=2,$M218=5),IF($N218&gt;0,"OK","SEM LASTRO"),"OK"))</f>
        <v/>
      </c>
      <c r="P218" s="19" t="n"/>
      <c r="Q218" s="18" t="n"/>
    </row>
    <row r="219">
      <c r="A219" s="19" t="n"/>
      <c r="B219" s="19" t="n"/>
      <c r="C219" s="15">
        <f>IFERROR(INDEX(Colaboradores!$B:$B,MATCH($B219,Colaboradores!$A:$A,0)),"")</f>
        <v/>
      </c>
      <c r="D219" s="15">
        <f>IFERROR(INDEX(Colaboradores!$E:$E,MATCH($B219,Colaboradores!$A:$A,0)),"")</f>
        <v/>
      </c>
      <c r="E219" s="15">
        <f>IFERROR(INDEX(Colaboradores!$D:$D,MATCH($B219,Colaboradores!$A:$A,0)),"")</f>
        <v/>
      </c>
      <c r="F219" s="19" t="n"/>
      <c r="G219" s="15">
        <f>IFERROR(INDEX(Competências!$B:$B,MATCH($F219,Competências!$C:$C,0)),"")</f>
        <v/>
      </c>
      <c r="H219" s="15">
        <f>IFERROR(INDEX(Competências!$E:$E,MATCH($F219,Competências!$C:$C,0)),"")</f>
        <v/>
      </c>
      <c r="I219" s="20" t="n"/>
      <c r="J219" s="20" t="n"/>
      <c r="K219" s="21">
        <f>IF(AND(ISNUMBER($I219),ISNUMBER($J219)),ABS($I219-$J219),"")</f>
        <v/>
      </c>
      <c r="L219" s="21">
        <f>IF(AND(NOT(ISNUMBER($I219)),NOT(ISNUMBER($J219))),"",IF(NOT(ISNUMBER($J219)),$I219,IF(NOT(ISNUMBER($I219)),$J219,IF($K219=0,$I219,IF($K219=1,IF($H219="Líder Técnico",$J219,IF($H219="GP",$I219,"CALIBRAR")),"CALIBRAR")))))</f>
        <v/>
      </c>
      <c r="M219" s="20" t="n"/>
      <c r="N219" s="21">
        <f>IF($C219="","",COUNTIFS(Ocorrências!$B:$B,$C219,Ocorrências!$F:$F,$F219,Ocorrências!$N:$N,$A219))</f>
        <v/>
      </c>
      <c r="O219" s="15">
        <f>IF($M219="","",IF(OR($M219=1,$M219=2,$M219=5),IF($N219&gt;0,"OK","SEM LASTRO"),"OK"))</f>
        <v/>
      </c>
      <c r="P219" s="19" t="n"/>
      <c r="Q219" s="18" t="n"/>
    </row>
    <row r="220">
      <c r="A220" s="19" t="n"/>
      <c r="B220" s="19" t="n"/>
      <c r="C220" s="15">
        <f>IFERROR(INDEX(Colaboradores!$B:$B,MATCH($B220,Colaboradores!$A:$A,0)),"")</f>
        <v/>
      </c>
      <c r="D220" s="15">
        <f>IFERROR(INDEX(Colaboradores!$E:$E,MATCH($B220,Colaboradores!$A:$A,0)),"")</f>
        <v/>
      </c>
      <c r="E220" s="15">
        <f>IFERROR(INDEX(Colaboradores!$D:$D,MATCH($B220,Colaboradores!$A:$A,0)),"")</f>
        <v/>
      </c>
      <c r="F220" s="19" t="n"/>
      <c r="G220" s="15">
        <f>IFERROR(INDEX(Competências!$B:$B,MATCH($F220,Competências!$C:$C,0)),"")</f>
        <v/>
      </c>
      <c r="H220" s="15">
        <f>IFERROR(INDEX(Competências!$E:$E,MATCH($F220,Competências!$C:$C,0)),"")</f>
        <v/>
      </c>
      <c r="I220" s="20" t="n"/>
      <c r="J220" s="20" t="n"/>
      <c r="K220" s="21">
        <f>IF(AND(ISNUMBER($I220),ISNUMBER($J220)),ABS($I220-$J220),"")</f>
        <v/>
      </c>
      <c r="L220" s="21">
        <f>IF(AND(NOT(ISNUMBER($I220)),NOT(ISNUMBER($J220))),"",IF(NOT(ISNUMBER($J220)),$I220,IF(NOT(ISNUMBER($I220)),$J220,IF($K220=0,$I220,IF($K220=1,IF($H220="Líder Técnico",$J220,IF($H220="GP",$I220,"CALIBRAR")),"CALIBRAR")))))</f>
        <v/>
      </c>
      <c r="M220" s="20" t="n"/>
      <c r="N220" s="21">
        <f>IF($C220="","",COUNTIFS(Ocorrências!$B:$B,$C220,Ocorrências!$F:$F,$F220,Ocorrências!$N:$N,$A220))</f>
        <v/>
      </c>
      <c r="O220" s="15">
        <f>IF($M220="","",IF(OR($M220=1,$M220=2,$M220=5),IF($N220&gt;0,"OK","SEM LASTRO"),"OK"))</f>
        <v/>
      </c>
      <c r="P220" s="19" t="n"/>
      <c r="Q220" s="18" t="n"/>
    </row>
    <row r="221">
      <c r="A221" s="19" t="n"/>
      <c r="B221" s="19" t="n"/>
      <c r="C221" s="15">
        <f>IFERROR(INDEX(Colaboradores!$B:$B,MATCH($B221,Colaboradores!$A:$A,0)),"")</f>
        <v/>
      </c>
      <c r="D221" s="15">
        <f>IFERROR(INDEX(Colaboradores!$E:$E,MATCH($B221,Colaboradores!$A:$A,0)),"")</f>
        <v/>
      </c>
      <c r="E221" s="15">
        <f>IFERROR(INDEX(Colaboradores!$D:$D,MATCH($B221,Colaboradores!$A:$A,0)),"")</f>
        <v/>
      </c>
      <c r="F221" s="19" t="n"/>
      <c r="G221" s="15">
        <f>IFERROR(INDEX(Competências!$B:$B,MATCH($F221,Competências!$C:$C,0)),"")</f>
        <v/>
      </c>
      <c r="H221" s="15">
        <f>IFERROR(INDEX(Competências!$E:$E,MATCH($F221,Competências!$C:$C,0)),"")</f>
        <v/>
      </c>
      <c r="I221" s="20" t="n"/>
      <c r="J221" s="20" t="n"/>
      <c r="K221" s="21">
        <f>IF(AND(ISNUMBER($I221),ISNUMBER($J221)),ABS($I221-$J221),"")</f>
        <v/>
      </c>
      <c r="L221" s="21">
        <f>IF(AND(NOT(ISNUMBER($I221)),NOT(ISNUMBER($J221))),"",IF(NOT(ISNUMBER($J221)),$I221,IF(NOT(ISNUMBER($I221)),$J221,IF($K221=0,$I221,IF($K221=1,IF($H221="Líder Técnico",$J221,IF($H221="GP",$I221,"CALIBRAR")),"CALIBRAR")))))</f>
        <v/>
      </c>
      <c r="M221" s="20" t="n"/>
      <c r="N221" s="21">
        <f>IF($C221="","",COUNTIFS(Ocorrências!$B:$B,$C221,Ocorrências!$F:$F,$F221,Ocorrências!$N:$N,$A221))</f>
        <v/>
      </c>
      <c r="O221" s="15">
        <f>IF($M221="","",IF(OR($M221=1,$M221=2,$M221=5),IF($N221&gt;0,"OK","SEM LASTRO"),"OK"))</f>
        <v/>
      </c>
      <c r="P221" s="19" t="n"/>
      <c r="Q221" s="18" t="n"/>
    </row>
    <row r="222">
      <c r="A222" s="19" t="n"/>
      <c r="B222" s="19" t="n"/>
      <c r="C222" s="15">
        <f>IFERROR(INDEX(Colaboradores!$B:$B,MATCH($B222,Colaboradores!$A:$A,0)),"")</f>
        <v/>
      </c>
      <c r="D222" s="15">
        <f>IFERROR(INDEX(Colaboradores!$E:$E,MATCH($B222,Colaboradores!$A:$A,0)),"")</f>
        <v/>
      </c>
      <c r="E222" s="15">
        <f>IFERROR(INDEX(Colaboradores!$D:$D,MATCH($B222,Colaboradores!$A:$A,0)),"")</f>
        <v/>
      </c>
      <c r="F222" s="19" t="n"/>
      <c r="G222" s="15">
        <f>IFERROR(INDEX(Competências!$B:$B,MATCH($F222,Competências!$C:$C,0)),"")</f>
        <v/>
      </c>
      <c r="H222" s="15">
        <f>IFERROR(INDEX(Competências!$E:$E,MATCH($F222,Competências!$C:$C,0)),"")</f>
        <v/>
      </c>
      <c r="I222" s="20" t="n"/>
      <c r="J222" s="20" t="n"/>
      <c r="K222" s="21">
        <f>IF(AND(ISNUMBER($I222),ISNUMBER($J222)),ABS($I222-$J222),"")</f>
        <v/>
      </c>
      <c r="L222" s="21">
        <f>IF(AND(NOT(ISNUMBER($I222)),NOT(ISNUMBER($J222))),"",IF(NOT(ISNUMBER($J222)),$I222,IF(NOT(ISNUMBER($I222)),$J222,IF($K222=0,$I222,IF($K222=1,IF($H222="Líder Técnico",$J222,IF($H222="GP",$I222,"CALIBRAR")),"CALIBRAR")))))</f>
        <v/>
      </c>
      <c r="M222" s="20" t="n"/>
      <c r="N222" s="21">
        <f>IF($C222="","",COUNTIFS(Ocorrências!$B:$B,$C222,Ocorrências!$F:$F,$F222,Ocorrências!$N:$N,$A222))</f>
        <v/>
      </c>
      <c r="O222" s="15">
        <f>IF($M222="","",IF(OR($M222=1,$M222=2,$M222=5),IF($N222&gt;0,"OK","SEM LASTRO"),"OK"))</f>
        <v/>
      </c>
      <c r="P222" s="19" t="n"/>
      <c r="Q222" s="18" t="n"/>
    </row>
    <row r="223">
      <c r="A223" s="19" t="n"/>
      <c r="B223" s="19" t="n"/>
      <c r="C223" s="15">
        <f>IFERROR(INDEX(Colaboradores!$B:$B,MATCH($B223,Colaboradores!$A:$A,0)),"")</f>
        <v/>
      </c>
      <c r="D223" s="15">
        <f>IFERROR(INDEX(Colaboradores!$E:$E,MATCH($B223,Colaboradores!$A:$A,0)),"")</f>
        <v/>
      </c>
      <c r="E223" s="15">
        <f>IFERROR(INDEX(Colaboradores!$D:$D,MATCH($B223,Colaboradores!$A:$A,0)),"")</f>
        <v/>
      </c>
      <c r="F223" s="19" t="n"/>
      <c r="G223" s="15">
        <f>IFERROR(INDEX(Competências!$B:$B,MATCH($F223,Competências!$C:$C,0)),"")</f>
        <v/>
      </c>
      <c r="H223" s="15">
        <f>IFERROR(INDEX(Competências!$E:$E,MATCH($F223,Competências!$C:$C,0)),"")</f>
        <v/>
      </c>
      <c r="I223" s="20" t="n"/>
      <c r="J223" s="20" t="n"/>
      <c r="K223" s="21">
        <f>IF(AND(ISNUMBER($I223),ISNUMBER($J223)),ABS($I223-$J223),"")</f>
        <v/>
      </c>
      <c r="L223" s="21">
        <f>IF(AND(NOT(ISNUMBER($I223)),NOT(ISNUMBER($J223))),"",IF(NOT(ISNUMBER($J223)),$I223,IF(NOT(ISNUMBER($I223)),$J223,IF($K223=0,$I223,IF($K223=1,IF($H223="Líder Técnico",$J223,IF($H223="GP",$I223,"CALIBRAR")),"CALIBRAR")))))</f>
        <v/>
      </c>
      <c r="M223" s="20" t="n"/>
      <c r="N223" s="21">
        <f>IF($C223="","",COUNTIFS(Ocorrências!$B:$B,$C223,Ocorrências!$F:$F,$F223,Ocorrências!$N:$N,$A223))</f>
        <v/>
      </c>
      <c r="O223" s="15">
        <f>IF($M223="","",IF(OR($M223=1,$M223=2,$M223=5),IF($N223&gt;0,"OK","SEM LASTRO"),"OK"))</f>
        <v/>
      </c>
      <c r="P223" s="19" t="n"/>
      <c r="Q223" s="18" t="n"/>
    </row>
    <row r="224">
      <c r="A224" s="19" t="n"/>
      <c r="B224" s="19" t="n"/>
      <c r="C224" s="15">
        <f>IFERROR(INDEX(Colaboradores!$B:$B,MATCH($B224,Colaboradores!$A:$A,0)),"")</f>
        <v/>
      </c>
      <c r="D224" s="15">
        <f>IFERROR(INDEX(Colaboradores!$E:$E,MATCH($B224,Colaboradores!$A:$A,0)),"")</f>
        <v/>
      </c>
      <c r="E224" s="15">
        <f>IFERROR(INDEX(Colaboradores!$D:$D,MATCH($B224,Colaboradores!$A:$A,0)),"")</f>
        <v/>
      </c>
      <c r="F224" s="19" t="n"/>
      <c r="G224" s="15">
        <f>IFERROR(INDEX(Competências!$B:$B,MATCH($F224,Competências!$C:$C,0)),"")</f>
        <v/>
      </c>
      <c r="H224" s="15">
        <f>IFERROR(INDEX(Competências!$E:$E,MATCH($F224,Competências!$C:$C,0)),"")</f>
        <v/>
      </c>
      <c r="I224" s="20" t="n"/>
      <c r="J224" s="20" t="n"/>
      <c r="K224" s="21">
        <f>IF(AND(ISNUMBER($I224),ISNUMBER($J224)),ABS($I224-$J224),"")</f>
        <v/>
      </c>
      <c r="L224" s="21">
        <f>IF(AND(NOT(ISNUMBER($I224)),NOT(ISNUMBER($J224))),"",IF(NOT(ISNUMBER($J224)),$I224,IF(NOT(ISNUMBER($I224)),$J224,IF($K224=0,$I224,IF($K224=1,IF($H224="Líder Técnico",$J224,IF($H224="GP",$I224,"CALIBRAR")),"CALIBRAR")))))</f>
        <v/>
      </c>
      <c r="M224" s="20" t="n"/>
      <c r="N224" s="21">
        <f>IF($C224="","",COUNTIFS(Ocorrências!$B:$B,$C224,Ocorrências!$F:$F,$F224,Ocorrências!$N:$N,$A224))</f>
        <v/>
      </c>
      <c r="O224" s="15">
        <f>IF($M224="","",IF(OR($M224=1,$M224=2,$M224=5),IF($N224&gt;0,"OK","SEM LASTRO"),"OK"))</f>
        <v/>
      </c>
      <c r="P224" s="19" t="n"/>
      <c r="Q224" s="18" t="n"/>
    </row>
    <row r="225">
      <c r="A225" s="19" t="n"/>
      <c r="B225" s="19" t="n"/>
      <c r="C225" s="15">
        <f>IFERROR(INDEX(Colaboradores!$B:$B,MATCH($B225,Colaboradores!$A:$A,0)),"")</f>
        <v/>
      </c>
      <c r="D225" s="15">
        <f>IFERROR(INDEX(Colaboradores!$E:$E,MATCH($B225,Colaboradores!$A:$A,0)),"")</f>
        <v/>
      </c>
      <c r="E225" s="15">
        <f>IFERROR(INDEX(Colaboradores!$D:$D,MATCH($B225,Colaboradores!$A:$A,0)),"")</f>
        <v/>
      </c>
      <c r="F225" s="19" t="n"/>
      <c r="G225" s="15">
        <f>IFERROR(INDEX(Competências!$B:$B,MATCH($F225,Competências!$C:$C,0)),"")</f>
        <v/>
      </c>
      <c r="H225" s="15">
        <f>IFERROR(INDEX(Competências!$E:$E,MATCH($F225,Competências!$C:$C,0)),"")</f>
        <v/>
      </c>
      <c r="I225" s="20" t="n"/>
      <c r="J225" s="20" t="n"/>
      <c r="K225" s="21">
        <f>IF(AND(ISNUMBER($I225),ISNUMBER($J225)),ABS($I225-$J225),"")</f>
        <v/>
      </c>
      <c r="L225" s="21">
        <f>IF(AND(NOT(ISNUMBER($I225)),NOT(ISNUMBER($J225))),"",IF(NOT(ISNUMBER($J225)),$I225,IF(NOT(ISNUMBER($I225)),$J225,IF($K225=0,$I225,IF($K225=1,IF($H225="Líder Técnico",$J225,IF($H225="GP",$I225,"CALIBRAR")),"CALIBRAR")))))</f>
        <v/>
      </c>
      <c r="M225" s="20" t="n"/>
      <c r="N225" s="21">
        <f>IF($C225="","",COUNTIFS(Ocorrências!$B:$B,$C225,Ocorrências!$F:$F,$F225,Ocorrências!$N:$N,$A225))</f>
        <v/>
      </c>
      <c r="O225" s="15">
        <f>IF($M225="","",IF(OR($M225=1,$M225=2,$M225=5),IF($N225&gt;0,"OK","SEM LASTRO"),"OK"))</f>
        <v/>
      </c>
      <c r="P225" s="19" t="n"/>
      <c r="Q225" s="18" t="n"/>
    </row>
    <row r="226">
      <c r="A226" s="19" t="n"/>
      <c r="B226" s="19" t="n"/>
      <c r="C226" s="15">
        <f>IFERROR(INDEX(Colaboradores!$B:$B,MATCH($B226,Colaboradores!$A:$A,0)),"")</f>
        <v/>
      </c>
      <c r="D226" s="15">
        <f>IFERROR(INDEX(Colaboradores!$E:$E,MATCH($B226,Colaboradores!$A:$A,0)),"")</f>
        <v/>
      </c>
      <c r="E226" s="15">
        <f>IFERROR(INDEX(Colaboradores!$D:$D,MATCH($B226,Colaboradores!$A:$A,0)),"")</f>
        <v/>
      </c>
      <c r="F226" s="19" t="n"/>
      <c r="G226" s="15">
        <f>IFERROR(INDEX(Competências!$B:$B,MATCH($F226,Competências!$C:$C,0)),"")</f>
        <v/>
      </c>
      <c r="H226" s="15">
        <f>IFERROR(INDEX(Competências!$E:$E,MATCH($F226,Competências!$C:$C,0)),"")</f>
        <v/>
      </c>
      <c r="I226" s="20" t="n"/>
      <c r="J226" s="20" t="n"/>
      <c r="K226" s="21">
        <f>IF(AND(ISNUMBER($I226),ISNUMBER($J226)),ABS($I226-$J226),"")</f>
        <v/>
      </c>
      <c r="L226" s="21">
        <f>IF(AND(NOT(ISNUMBER($I226)),NOT(ISNUMBER($J226))),"",IF(NOT(ISNUMBER($J226)),$I226,IF(NOT(ISNUMBER($I226)),$J226,IF($K226=0,$I226,IF($K226=1,IF($H226="Líder Técnico",$J226,IF($H226="GP",$I226,"CALIBRAR")),"CALIBRAR")))))</f>
        <v/>
      </c>
      <c r="M226" s="20" t="n"/>
      <c r="N226" s="21">
        <f>IF($C226="","",COUNTIFS(Ocorrências!$B:$B,$C226,Ocorrências!$F:$F,$F226,Ocorrências!$N:$N,$A226))</f>
        <v/>
      </c>
      <c r="O226" s="15">
        <f>IF($M226="","",IF(OR($M226=1,$M226=2,$M226=5),IF($N226&gt;0,"OK","SEM LASTRO"),"OK"))</f>
        <v/>
      </c>
      <c r="P226" s="19" t="n"/>
      <c r="Q226" s="18" t="n"/>
    </row>
    <row r="227">
      <c r="A227" s="19" t="n"/>
      <c r="B227" s="19" t="n"/>
      <c r="C227" s="15">
        <f>IFERROR(INDEX(Colaboradores!$B:$B,MATCH($B227,Colaboradores!$A:$A,0)),"")</f>
        <v/>
      </c>
      <c r="D227" s="15">
        <f>IFERROR(INDEX(Colaboradores!$E:$E,MATCH($B227,Colaboradores!$A:$A,0)),"")</f>
        <v/>
      </c>
      <c r="E227" s="15">
        <f>IFERROR(INDEX(Colaboradores!$D:$D,MATCH($B227,Colaboradores!$A:$A,0)),"")</f>
        <v/>
      </c>
      <c r="F227" s="19" t="n"/>
      <c r="G227" s="15">
        <f>IFERROR(INDEX(Competências!$B:$B,MATCH($F227,Competências!$C:$C,0)),"")</f>
        <v/>
      </c>
      <c r="H227" s="15">
        <f>IFERROR(INDEX(Competências!$E:$E,MATCH($F227,Competências!$C:$C,0)),"")</f>
        <v/>
      </c>
      <c r="I227" s="20" t="n"/>
      <c r="J227" s="20" t="n"/>
      <c r="K227" s="21">
        <f>IF(AND(ISNUMBER($I227),ISNUMBER($J227)),ABS($I227-$J227),"")</f>
        <v/>
      </c>
      <c r="L227" s="21">
        <f>IF(AND(NOT(ISNUMBER($I227)),NOT(ISNUMBER($J227))),"",IF(NOT(ISNUMBER($J227)),$I227,IF(NOT(ISNUMBER($I227)),$J227,IF($K227=0,$I227,IF($K227=1,IF($H227="Líder Técnico",$J227,IF($H227="GP",$I227,"CALIBRAR")),"CALIBRAR")))))</f>
        <v/>
      </c>
      <c r="M227" s="20" t="n"/>
      <c r="N227" s="21">
        <f>IF($C227="","",COUNTIFS(Ocorrências!$B:$B,$C227,Ocorrências!$F:$F,$F227,Ocorrências!$N:$N,$A227))</f>
        <v/>
      </c>
      <c r="O227" s="15">
        <f>IF($M227="","",IF(OR($M227=1,$M227=2,$M227=5),IF($N227&gt;0,"OK","SEM LASTRO"),"OK"))</f>
        <v/>
      </c>
      <c r="P227" s="19" t="n"/>
      <c r="Q227" s="18" t="n"/>
    </row>
    <row r="228">
      <c r="A228" s="19" t="n"/>
      <c r="B228" s="19" t="n"/>
      <c r="C228" s="15">
        <f>IFERROR(INDEX(Colaboradores!$B:$B,MATCH($B228,Colaboradores!$A:$A,0)),"")</f>
        <v/>
      </c>
      <c r="D228" s="15">
        <f>IFERROR(INDEX(Colaboradores!$E:$E,MATCH($B228,Colaboradores!$A:$A,0)),"")</f>
        <v/>
      </c>
      <c r="E228" s="15">
        <f>IFERROR(INDEX(Colaboradores!$D:$D,MATCH($B228,Colaboradores!$A:$A,0)),"")</f>
        <v/>
      </c>
      <c r="F228" s="19" t="n"/>
      <c r="G228" s="15">
        <f>IFERROR(INDEX(Competências!$B:$B,MATCH($F228,Competências!$C:$C,0)),"")</f>
        <v/>
      </c>
      <c r="H228" s="15">
        <f>IFERROR(INDEX(Competências!$E:$E,MATCH($F228,Competências!$C:$C,0)),"")</f>
        <v/>
      </c>
      <c r="I228" s="20" t="n"/>
      <c r="J228" s="20" t="n"/>
      <c r="K228" s="21">
        <f>IF(AND(ISNUMBER($I228),ISNUMBER($J228)),ABS($I228-$J228),"")</f>
        <v/>
      </c>
      <c r="L228" s="21">
        <f>IF(AND(NOT(ISNUMBER($I228)),NOT(ISNUMBER($J228))),"",IF(NOT(ISNUMBER($J228)),$I228,IF(NOT(ISNUMBER($I228)),$J228,IF($K228=0,$I228,IF($K228=1,IF($H228="Líder Técnico",$J228,IF($H228="GP",$I228,"CALIBRAR")),"CALIBRAR")))))</f>
        <v/>
      </c>
      <c r="M228" s="20" t="n"/>
      <c r="N228" s="21">
        <f>IF($C228="","",COUNTIFS(Ocorrências!$B:$B,$C228,Ocorrências!$F:$F,$F228,Ocorrências!$N:$N,$A228))</f>
        <v/>
      </c>
      <c r="O228" s="15">
        <f>IF($M228="","",IF(OR($M228=1,$M228=2,$M228=5),IF($N228&gt;0,"OK","SEM LASTRO"),"OK"))</f>
        <v/>
      </c>
      <c r="P228" s="19" t="n"/>
      <c r="Q228" s="18" t="n"/>
    </row>
    <row r="229">
      <c r="A229" s="19" t="n"/>
      <c r="B229" s="19" t="n"/>
      <c r="C229" s="15">
        <f>IFERROR(INDEX(Colaboradores!$B:$B,MATCH($B229,Colaboradores!$A:$A,0)),"")</f>
        <v/>
      </c>
      <c r="D229" s="15">
        <f>IFERROR(INDEX(Colaboradores!$E:$E,MATCH($B229,Colaboradores!$A:$A,0)),"")</f>
        <v/>
      </c>
      <c r="E229" s="15">
        <f>IFERROR(INDEX(Colaboradores!$D:$D,MATCH($B229,Colaboradores!$A:$A,0)),"")</f>
        <v/>
      </c>
      <c r="F229" s="19" t="n"/>
      <c r="G229" s="15">
        <f>IFERROR(INDEX(Competências!$B:$B,MATCH($F229,Competências!$C:$C,0)),"")</f>
        <v/>
      </c>
      <c r="H229" s="15">
        <f>IFERROR(INDEX(Competências!$E:$E,MATCH($F229,Competências!$C:$C,0)),"")</f>
        <v/>
      </c>
      <c r="I229" s="20" t="n"/>
      <c r="J229" s="20" t="n"/>
      <c r="K229" s="21">
        <f>IF(AND(ISNUMBER($I229),ISNUMBER($J229)),ABS($I229-$J229),"")</f>
        <v/>
      </c>
      <c r="L229" s="21">
        <f>IF(AND(NOT(ISNUMBER($I229)),NOT(ISNUMBER($J229))),"",IF(NOT(ISNUMBER($J229)),$I229,IF(NOT(ISNUMBER($I229)),$J229,IF($K229=0,$I229,IF($K229=1,IF($H229="Líder Técnico",$J229,IF($H229="GP",$I229,"CALIBRAR")),"CALIBRAR")))))</f>
        <v/>
      </c>
      <c r="M229" s="20" t="n"/>
      <c r="N229" s="21">
        <f>IF($C229="","",COUNTIFS(Ocorrências!$B:$B,$C229,Ocorrências!$F:$F,$F229,Ocorrências!$N:$N,$A229))</f>
        <v/>
      </c>
      <c r="O229" s="15">
        <f>IF($M229="","",IF(OR($M229=1,$M229=2,$M229=5),IF($N229&gt;0,"OK","SEM LASTRO"),"OK"))</f>
        <v/>
      </c>
      <c r="P229" s="19" t="n"/>
      <c r="Q229" s="18" t="n"/>
    </row>
    <row r="230">
      <c r="A230" s="19" t="n"/>
      <c r="B230" s="19" t="n"/>
      <c r="C230" s="15">
        <f>IFERROR(INDEX(Colaboradores!$B:$B,MATCH($B230,Colaboradores!$A:$A,0)),"")</f>
        <v/>
      </c>
      <c r="D230" s="15">
        <f>IFERROR(INDEX(Colaboradores!$E:$E,MATCH($B230,Colaboradores!$A:$A,0)),"")</f>
        <v/>
      </c>
      <c r="E230" s="15">
        <f>IFERROR(INDEX(Colaboradores!$D:$D,MATCH($B230,Colaboradores!$A:$A,0)),"")</f>
        <v/>
      </c>
      <c r="F230" s="19" t="n"/>
      <c r="G230" s="15">
        <f>IFERROR(INDEX(Competências!$B:$B,MATCH($F230,Competências!$C:$C,0)),"")</f>
        <v/>
      </c>
      <c r="H230" s="15">
        <f>IFERROR(INDEX(Competências!$E:$E,MATCH($F230,Competências!$C:$C,0)),"")</f>
        <v/>
      </c>
      <c r="I230" s="20" t="n"/>
      <c r="J230" s="20" t="n"/>
      <c r="K230" s="21">
        <f>IF(AND(ISNUMBER($I230),ISNUMBER($J230)),ABS($I230-$J230),"")</f>
        <v/>
      </c>
      <c r="L230" s="21">
        <f>IF(AND(NOT(ISNUMBER($I230)),NOT(ISNUMBER($J230))),"",IF(NOT(ISNUMBER($J230)),$I230,IF(NOT(ISNUMBER($I230)),$J230,IF($K230=0,$I230,IF($K230=1,IF($H230="Líder Técnico",$J230,IF($H230="GP",$I230,"CALIBRAR")),"CALIBRAR")))))</f>
        <v/>
      </c>
      <c r="M230" s="20" t="n"/>
      <c r="N230" s="21">
        <f>IF($C230="","",COUNTIFS(Ocorrências!$B:$B,$C230,Ocorrências!$F:$F,$F230,Ocorrências!$N:$N,$A230))</f>
        <v/>
      </c>
      <c r="O230" s="15">
        <f>IF($M230="","",IF(OR($M230=1,$M230=2,$M230=5),IF($N230&gt;0,"OK","SEM LASTRO"),"OK"))</f>
        <v/>
      </c>
      <c r="P230" s="19" t="n"/>
      <c r="Q230" s="18" t="n"/>
    </row>
    <row r="231">
      <c r="A231" s="19" t="n"/>
      <c r="B231" s="19" t="n"/>
      <c r="C231" s="15">
        <f>IFERROR(INDEX(Colaboradores!$B:$B,MATCH($B231,Colaboradores!$A:$A,0)),"")</f>
        <v/>
      </c>
      <c r="D231" s="15">
        <f>IFERROR(INDEX(Colaboradores!$E:$E,MATCH($B231,Colaboradores!$A:$A,0)),"")</f>
        <v/>
      </c>
      <c r="E231" s="15">
        <f>IFERROR(INDEX(Colaboradores!$D:$D,MATCH($B231,Colaboradores!$A:$A,0)),"")</f>
        <v/>
      </c>
      <c r="F231" s="19" t="n"/>
      <c r="G231" s="15">
        <f>IFERROR(INDEX(Competências!$B:$B,MATCH($F231,Competências!$C:$C,0)),"")</f>
        <v/>
      </c>
      <c r="H231" s="15">
        <f>IFERROR(INDEX(Competências!$E:$E,MATCH($F231,Competências!$C:$C,0)),"")</f>
        <v/>
      </c>
      <c r="I231" s="20" t="n"/>
      <c r="J231" s="20" t="n"/>
      <c r="K231" s="21">
        <f>IF(AND(ISNUMBER($I231),ISNUMBER($J231)),ABS($I231-$J231),"")</f>
        <v/>
      </c>
      <c r="L231" s="21">
        <f>IF(AND(NOT(ISNUMBER($I231)),NOT(ISNUMBER($J231))),"",IF(NOT(ISNUMBER($J231)),$I231,IF(NOT(ISNUMBER($I231)),$J231,IF($K231=0,$I231,IF($K231=1,IF($H231="Líder Técnico",$J231,IF($H231="GP",$I231,"CALIBRAR")),"CALIBRAR")))))</f>
        <v/>
      </c>
      <c r="M231" s="20" t="n"/>
      <c r="N231" s="21">
        <f>IF($C231="","",COUNTIFS(Ocorrências!$B:$B,$C231,Ocorrências!$F:$F,$F231,Ocorrências!$N:$N,$A231))</f>
        <v/>
      </c>
      <c r="O231" s="15">
        <f>IF($M231="","",IF(OR($M231=1,$M231=2,$M231=5),IF($N231&gt;0,"OK","SEM LASTRO"),"OK"))</f>
        <v/>
      </c>
      <c r="P231" s="19" t="n"/>
      <c r="Q231" s="18" t="n"/>
    </row>
    <row r="232">
      <c r="A232" s="19" t="n"/>
      <c r="B232" s="19" t="n"/>
      <c r="C232" s="15">
        <f>IFERROR(INDEX(Colaboradores!$B:$B,MATCH($B232,Colaboradores!$A:$A,0)),"")</f>
        <v/>
      </c>
      <c r="D232" s="15">
        <f>IFERROR(INDEX(Colaboradores!$E:$E,MATCH($B232,Colaboradores!$A:$A,0)),"")</f>
        <v/>
      </c>
      <c r="E232" s="15">
        <f>IFERROR(INDEX(Colaboradores!$D:$D,MATCH($B232,Colaboradores!$A:$A,0)),"")</f>
        <v/>
      </c>
      <c r="F232" s="19" t="n"/>
      <c r="G232" s="15">
        <f>IFERROR(INDEX(Competências!$B:$B,MATCH($F232,Competências!$C:$C,0)),"")</f>
        <v/>
      </c>
      <c r="H232" s="15">
        <f>IFERROR(INDEX(Competências!$E:$E,MATCH($F232,Competências!$C:$C,0)),"")</f>
        <v/>
      </c>
      <c r="I232" s="20" t="n"/>
      <c r="J232" s="20" t="n"/>
      <c r="K232" s="21">
        <f>IF(AND(ISNUMBER($I232),ISNUMBER($J232)),ABS($I232-$J232),"")</f>
        <v/>
      </c>
      <c r="L232" s="21">
        <f>IF(AND(NOT(ISNUMBER($I232)),NOT(ISNUMBER($J232))),"",IF(NOT(ISNUMBER($J232)),$I232,IF(NOT(ISNUMBER($I232)),$J232,IF($K232=0,$I232,IF($K232=1,IF($H232="Líder Técnico",$J232,IF($H232="GP",$I232,"CALIBRAR")),"CALIBRAR")))))</f>
        <v/>
      </c>
      <c r="M232" s="20" t="n"/>
      <c r="N232" s="21">
        <f>IF($C232="","",COUNTIFS(Ocorrências!$B:$B,$C232,Ocorrências!$F:$F,$F232,Ocorrências!$N:$N,$A232))</f>
        <v/>
      </c>
      <c r="O232" s="15">
        <f>IF($M232="","",IF(OR($M232=1,$M232=2,$M232=5),IF($N232&gt;0,"OK","SEM LASTRO"),"OK"))</f>
        <v/>
      </c>
      <c r="P232" s="19" t="n"/>
      <c r="Q232" s="18" t="n"/>
    </row>
    <row r="233">
      <c r="A233" s="19" t="n"/>
      <c r="B233" s="19" t="n"/>
      <c r="C233" s="15">
        <f>IFERROR(INDEX(Colaboradores!$B:$B,MATCH($B233,Colaboradores!$A:$A,0)),"")</f>
        <v/>
      </c>
      <c r="D233" s="15">
        <f>IFERROR(INDEX(Colaboradores!$E:$E,MATCH($B233,Colaboradores!$A:$A,0)),"")</f>
        <v/>
      </c>
      <c r="E233" s="15">
        <f>IFERROR(INDEX(Colaboradores!$D:$D,MATCH($B233,Colaboradores!$A:$A,0)),"")</f>
        <v/>
      </c>
      <c r="F233" s="19" t="n"/>
      <c r="G233" s="15">
        <f>IFERROR(INDEX(Competências!$B:$B,MATCH($F233,Competências!$C:$C,0)),"")</f>
        <v/>
      </c>
      <c r="H233" s="15">
        <f>IFERROR(INDEX(Competências!$E:$E,MATCH($F233,Competências!$C:$C,0)),"")</f>
        <v/>
      </c>
      <c r="I233" s="20" t="n"/>
      <c r="J233" s="20" t="n"/>
      <c r="K233" s="21">
        <f>IF(AND(ISNUMBER($I233),ISNUMBER($J233)),ABS($I233-$J233),"")</f>
        <v/>
      </c>
      <c r="L233" s="21">
        <f>IF(AND(NOT(ISNUMBER($I233)),NOT(ISNUMBER($J233))),"",IF(NOT(ISNUMBER($J233)),$I233,IF(NOT(ISNUMBER($I233)),$J233,IF($K233=0,$I233,IF($K233=1,IF($H233="Líder Técnico",$J233,IF($H233="GP",$I233,"CALIBRAR")),"CALIBRAR")))))</f>
        <v/>
      </c>
      <c r="M233" s="20" t="n"/>
      <c r="N233" s="21">
        <f>IF($C233="","",COUNTIFS(Ocorrências!$B:$B,$C233,Ocorrências!$F:$F,$F233,Ocorrências!$N:$N,$A233))</f>
        <v/>
      </c>
      <c r="O233" s="15">
        <f>IF($M233="","",IF(OR($M233=1,$M233=2,$M233=5),IF($N233&gt;0,"OK","SEM LASTRO"),"OK"))</f>
        <v/>
      </c>
      <c r="P233" s="19" t="n"/>
      <c r="Q233" s="18" t="n"/>
    </row>
    <row r="234">
      <c r="A234" s="19" t="n"/>
      <c r="B234" s="19" t="n"/>
      <c r="C234" s="15">
        <f>IFERROR(INDEX(Colaboradores!$B:$B,MATCH($B234,Colaboradores!$A:$A,0)),"")</f>
        <v/>
      </c>
      <c r="D234" s="15">
        <f>IFERROR(INDEX(Colaboradores!$E:$E,MATCH($B234,Colaboradores!$A:$A,0)),"")</f>
        <v/>
      </c>
      <c r="E234" s="15">
        <f>IFERROR(INDEX(Colaboradores!$D:$D,MATCH($B234,Colaboradores!$A:$A,0)),"")</f>
        <v/>
      </c>
      <c r="F234" s="19" t="n"/>
      <c r="G234" s="15">
        <f>IFERROR(INDEX(Competências!$B:$B,MATCH($F234,Competências!$C:$C,0)),"")</f>
        <v/>
      </c>
      <c r="H234" s="15">
        <f>IFERROR(INDEX(Competências!$E:$E,MATCH($F234,Competências!$C:$C,0)),"")</f>
        <v/>
      </c>
      <c r="I234" s="20" t="n"/>
      <c r="J234" s="20" t="n"/>
      <c r="K234" s="21">
        <f>IF(AND(ISNUMBER($I234),ISNUMBER($J234)),ABS($I234-$J234),"")</f>
        <v/>
      </c>
      <c r="L234" s="21">
        <f>IF(AND(NOT(ISNUMBER($I234)),NOT(ISNUMBER($J234))),"",IF(NOT(ISNUMBER($J234)),$I234,IF(NOT(ISNUMBER($I234)),$J234,IF($K234=0,$I234,IF($K234=1,IF($H234="Líder Técnico",$J234,IF($H234="GP",$I234,"CALIBRAR")),"CALIBRAR")))))</f>
        <v/>
      </c>
      <c r="M234" s="20" t="n"/>
      <c r="N234" s="21">
        <f>IF($C234="","",COUNTIFS(Ocorrências!$B:$B,$C234,Ocorrências!$F:$F,$F234,Ocorrências!$N:$N,$A234))</f>
        <v/>
      </c>
      <c r="O234" s="15">
        <f>IF($M234="","",IF(OR($M234=1,$M234=2,$M234=5),IF($N234&gt;0,"OK","SEM LASTRO"),"OK"))</f>
        <v/>
      </c>
      <c r="P234" s="19" t="n"/>
      <c r="Q234" s="18" t="n"/>
    </row>
    <row r="235">
      <c r="A235" s="19" t="n"/>
      <c r="B235" s="19" t="n"/>
      <c r="C235" s="15">
        <f>IFERROR(INDEX(Colaboradores!$B:$B,MATCH($B235,Colaboradores!$A:$A,0)),"")</f>
        <v/>
      </c>
      <c r="D235" s="15">
        <f>IFERROR(INDEX(Colaboradores!$E:$E,MATCH($B235,Colaboradores!$A:$A,0)),"")</f>
        <v/>
      </c>
      <c r="E235" s="15">
        <f>IFERROR(INDEX(Colaboradores!$D:$D,MATCH($B235,Colaboradores!$A:$A,0)),"")</f>
        <v/>
      </c>
      <c r="F235" s="19" t="n"/>
      <c r="G235" s="15">
        <f>IFERROR(INDEX(Competências!$B:$B,MATCH($F235,Competências!$C:$C,0)),"")</f>
        <v/>
      </c>
      <c r="H235" s="15">
        <f>IFERROR(INDEX(Competências!$E:$E,MATCH($F235,Competências!$C:$C,0)),"")</f>
        <v/>
      </c>
      <c r="I235" s="20" t="n"/>
      <c r="J235" s="20" t="n"/>
      <c r="K235" s="21">
        <f>IF(AND(ISNUMBER($I235),ISNUMBER($J235)),ABS($I235-$J235),"")</f>
        <v/>
      </c>
      <c r="L235" s="21">
        <f>IF(AND(NOT(ISNUMBER($I235)),NOT(ISNUMBER($J235))),"",IF(NOT(ISNUMBER($J235)),$I235,IF(NOT(ISNUMBER($I235)),$J235,IF($K235=0,$I235,IF($K235=1,IF($H235="Líder Técnico",$J235,IF($H235="GP",$I235,"CALIBRAR")),"CALIBRAR")))))</f>
        <v/>
      </c>
      <c r="M235" s="20" t="n"/>
      <c r="N235" s="21">
        <f>IF($C235="","",COUNTIFS(Ocorrências!$B:$B,$C235,Ocorrências!$F:$F,$F235,Ocorrências!$N:$N,$A235))</f>
        <v/>
      </c>
      <c r="O235" s="15">
        <f>IF($M235="","",IF(OR($M235=1,$M235=2,$M235=5),IF($N235&gt;0,"OK","SEM LASTRO"),"OK"))</f>
        <v/>
      </c>
      <c r="P235" s="19" t="n"/>
      <c r="Q235" s="18" t="n"/>
    </row>
    <row r="236">
      <c r="A236" s="19" t="n"/>
      <c r="B236" s="19" t="n"/>
      <c r="C236" s="15">
        <f>IFERROR(INDEX(Colaboradores!$B:$B,MATCH($B236,Colaboradores!$A:$A,0)),"")</f>
        <v/>
      </c>
      <c r="D236" s="15">
        <f>IFERROR(INDEX(Colaboradores!$E:$E,MATCH($B236,Colaboradores!$A:$A,0)),"")</f>
        <v/>
      </c>
      <c r="E236" s="15">
        <f>IFERROR(INDEX(Colaboradores!$D:$D,MATCH($B236,Colaboradores!$A:$A,0)),"")</f>
        <v/>
      </c>
      <c r="F236" s="19" t="n"/>
      <c r="G236" s="15">
        <f>IFERROR(INDEX(Competências!$B:$B,MATCH($F236,Competências!$C:$C,0)),"")</f>
        <v/>
      </c>
      <c r="H236" s="15">
        <f>IFERROR(INDEX(Competências!$E:$E,MATCH($F236,Competências!$C:$C,0)),"")</f>
        <v/>
      </c>
      <c r="I236" s="20" t="n"/>
      <c r="J236" s="20" t="n"/>
      <c r="K236" s="21">
        <f>IF(AND(ISNUMBER($I236),ISNUMBER($J236)),ABS($I236-$J236),"")</f>
        <v/>
      </c>
      <c r="L236" s="21">
        <f>IF(AND(NOT(ISNUMBER($I236)),NOT(ISNUMBER($J236))),"",IF(NOT(ISNUMBER($J236)),$I236,IF(NOT(ISNUMBER($I236)),$J236,IF($K236=0,$I236,IF($K236=1,IF($H236="Líder Técnico",$J236,IF($H236="GP",$I236,"CALIBRAR")),"CALIBRAR")))))</f>
        <v/>
      </c>
      <c r="M236" s="20" t="n"/>
      <c r="N236" s="21">
        <f>IF($C236="","",COUNTIFS(Ocorrências!$B:$B,$C236,Ocorrências!$F:$F,$F236,Ocorrências!$N:$N,$A236))</f>
        <v/>
      </c>
      <c r="O236" s="15">
        <f>IF($M236="","",IF(OR($M236=1,$M236=2,$M236=5),IF($N236&gt;0,"OK","SEM LASTRO"),"OK"))</f>
        <v/>
      </c>
      <c r="P236" s="19" t="n"/>
      <c r="Q236" s="18" t="n"/>
    </row>
    <row r="237">
      <c r="A237" s="19" t="n"/>
      <c r="B237" s="19" t="n"/>
      <c r="C237" s="15">
        <f>IFERROR(INDEX(Colaboradores!$B:$B,MATCH($B237,Colaboradores!$A:$A,0)),"")</f>
        <v/>
      </c>
      <c r="D237" s="15">
        <f>IFERROR(INDEX(Colaboradores!$E:$E,MATCH($B237,Colaboradores!$A:$A,0)),"")</f>
        <v/>
      </c>
      <c r="E237" s="15">
        <f>IFERROR(INDEX(Colaboradores!$D:$D,MATCH($B237,Colaboradores!$A:$A,0)),"")</f>
        <v/>
      </c>
      <c r="F237" s="19" t="n"/>
      <c r="G237" s="15">
        <f>IFERROR(INDEX(Competências!$B:$B,MATCH($F237,Competências!$C:$C,0)),"")</f>
        <v/>
      </c>
      <c r="H237" s="15">
        <f>IFERROR(INDEX(Competências!$E:$E,MATCH($F237,Competências!$C:$C,0)),"")</f>
        <v/>
      </c>
      <c r="I237" s="20" t="n"/>
      <c r="J237" s="20" t="n"/>
      <c r="K237" s="21">
        <f>IF(AND(ISNUMBER($I237),ISNUMBER($J237)),ABS($I237-$J237),"")</f>
        <v/>
      </c>
      <c r="L237" s="21">
        <f>IF(AND(NOT(ISNUMBER($I237)),NOT(ISNUMBER($J237))),"",IF(NOT(ISNUMBER($J237)),$I237,IF(NOT(ISNUMBER($I237)),$J237,IF($K237=0,$I237,IF($K237=1,IF($H237="Líder Técnico",$J237,IF($H237="GP",$I237,"CALIBRAR")),"CALIBRAR")))))</f>
        <v/>
      </c>
      <c r="M237" s="20" t="n"/>
      <c r="N237" s="21">
        <f>IF($C237="","",COUNTIFS(Ocorrências!$B:$B,$C237,Ocorrências!$F:$F,$F237,Ocorrências!$N:$N,$A237))</f>
        <v/>
      </c>
      <c r="O237" s="15">
        <f>IF($M237="","",IF(OR($M237=1,$M237=2,$M237=5),IF($N237&gt;0,"OK","SEM LASTRO"),"OK"))</f>
        <v/>
      </c>
      <c r="P237" s="19" t="n"/>
      <c r="Q237" s="18" t="n"/>
    </row>
    <row r="238">
      <c r="A238" s="19" t="n"/>
      <c r="B238" s="19" t="n"/>
      <c r="C238" s="15">
        <f>IFERROR(INDEX(Colaboradores!$B:$B,MATCH($B238,Colaboradores!$A:$A,0)),"")</f>
        <v/>
      </c>
      <c r="D238" s="15">
        <f>IFERROR(INDEX(Colaboradores!$E:$E,MATCH($B238,Colaboradores!$A:$A,0)),"")</f>
        <v/>
      </c>
      <c r="E238" s="15">
        <f>IFERROR(INDEX(Colaboradores!$D:$D,MATCH($B238,Colaboradores!$A:$A,0)),"")</f>
        <v/>
      </c>
      <c r="F238" s="19" t="n"/>
      <c r="G238" s="15">
        <f>IFERROR(INDEX(Competências!$B:$B,MATCH($F238,Competências!$C:$C,0)),"")</f>
        <v/>
      </c>
      <c r="H238" s="15">
        <f>IFERROR(INDEX(Competências!$E:$E,MATCH($F238,Competências!$C:$C,0)),"")</f>
        <v/>
      </c>
      <c r="I238" s="20" t="n"/>
      <c r="J238" s="20" t="n"/>
      <c r="K238" s="21">
        <f>IF(AND(ISNUMBER($I238),ISNUMBER($J238)),ABS($I238-$J238),"")</f>
        <v/>
      </c>
      <c r="L238" s="21">
        <f>IF(AND(NOT(ISNUMBER($I238)),NOT(ISNUMBER($J238))),"",IF(NOT(ISNUMBER($J238)),$I238,IF(NOT(ISNUMBER($I238)),$J238,IF($K238=0,$I238,IF($K238=1,IF($H238="Líder Técnico",$J238,IF($H238="GP",$I238,"CALIBRAR")),"CALIBRAR")))))</f>
        <v/>
      </c>
      <c r="M238" s="20" t="n"/>
      <c r="N238" s="21">
        <f>IF($C238="","",COUNTIFS(Ocorrências!$B:$B,$C238,Ocorrências!$F:$F,$F238,Ocorrências!$N:$N,$A238))</f>
        <v/>
      </c>
      <c r="O238" s="15">
        <f>IF($M238="","",IF(OR($M238=1,$M238=2,$M238=5),IF($N238&gt;0,"OK","SEM LASTRO"),"OK"))</f>
        <v/>
      </c>
      <c r="P238" s="19" t="n"/>
      <c r="Q238" s="18" t="n"/>
    </row>
    <row r="239">
      <c r="A239" s="19" t="n"/>
      <c r="B239" s="19" t="n"/>
      <c r="C239" s="15">
        <f>IFERROR(INDEX(Colaboradores!$B:$B,MATCH($B239,Colaboradores!$A:$A,0)),"")</f>
        <v/>
      </c>
      <c r="D239" s="15">
        <f>IFERROR(INDEX(Colaboradores!$E:$E,MATCH($B239,Colaboradores!$A:$A,0)),"")</f>
        <v/>
      </c>
      <c r="E239" s="15">
        <f>IFERROR(INDEX(Colaboradores!$D:$D,MATCH($B239,Colaboradores!$A:$A,0)),"")</f>
        <v/>
      </c>
      <c r="F239" s="19" t="n"/>
      <c r="G239" s="15">
        <f>IFERROR(INDEX(Competências!$B:$B,MATCH($F239,Competências!$C:$C,0)),"")</f>
        <v/>
      </c>
      <c r="H239" s="15">
        <f>IFERROR(INDEX(Competências!$E:$E,MATCH($F239,Competências!$C:$C,0)),"")</f>
        <v/>
      </c>
      <c r="I239" s="20" t="n"/>
      <c r="J239" s="20" t="n"/>
      <c r="K239" s="21">
        <f>IF(AND(ISNUMBER($I239),ISNUMBER($J239)),ABS($I239-$J239),"")</f>
        <v/>
      </c>
      <c r="L239" s="21">
        <f>IF(AND(NOT(ISNUMBER($I239)),NOT(ISNUMBER($J239))),"",IF(NOT(ISNUMBER($J239)),$I239,IF(NOT(ISNUMBER($I239)),$J239,IF($K239=0,$I239,IF($K239=1,IF($H239="Líder Técnico",$J239,IF($H239="GP",$I239,"CALIBRAR")),"CALIBRAR")))))</f>
        <v/>
      </c>
      <c r="M239" s="20" t="n"/>
      <c r="N239" s="21">
        <f>IF($C239="","",COUNTIFS(Ocorrências!$B:$B,$C239,Ocorrências!$F:$F,$F239,Ocorrências!$N:$N,$A239))</f>
        <v/>
      </c>
      <c r="O239" s="15">
        <f>IF($M239="","",IF(OR($M239=1,$M239=2,$M239=5),IF($N239&gt;0,"OK","SEM LASTRO"),"OK"))</f>
        <v/>
      </c>
      <c r="P239" s="19" t="n"/>
      <c r="Q239" s="18" t="n"/>
    </row>
    <row r="240">
      <c r="A240" s="19" t="n"/>
      <c r="B240" s="19" t="n"/>
      <c r="C240" s="15">
        <f>IFERROR(INDEX(Colaboradores!$B:$B,MATCH($B240,Colaboradores!$A:$A,0)),"")</f>
        <v/>
      </c>
      <c r="D240" s="15">
        <f>IFERROR(INDEX(Colaboradores!$E:$E,MATCH($B240,Colaboradores!$A:$A,0)),"")</f>
        <v/>
      </c>
      <c r="E240" s="15">
        <f>IFERROR(INDEX(Colaboradores!$D:$D,MATCH($B240,Colaboradores!$A:$A,0)),"")</f>
        <v/>
      </c>
      <c r="F240" s="19" t="n"/>
      <c r="G240" s="15">
        <f>IFERROR(INDEX(Competências!$B:$B,MATCH($F240,Competências!$C:$C,0)),"")</f>
        <v/>
      </c>
      <c r="H240" s="15">
        <f>IFERROR(INDEX(Competências!$E:$E,MATCH($F240,Competências!$C:$C,0)),"")</f>
        <v/>
      </c>
      <c r="I240" s="20" t="n"/>
      <c r="J240" s="20" t="n"/>
      <c r="K240" s="21">
        <f>IF(AND(ISNUMBER($I240),ISNUMBER($J240)),ABS($I240-$J240),"")</f>
        <v/>
      </c>
      <c r="L240" s="21">
        <f>IF(AND(NOT(ISNUMBER($I240)),NOT(ISNUMBER($J240))),"",IF(NOT(ISNUMBER($J240)),$I240,IF(NOT(ISNUMBER($I240)),$J240,IF($K240=0,$I240,IF($K240=1,IF($H240="Líder Técnico",$J240,IF($H240="GP",$I240,"CALIBRAR")),"CALIBRAR")))))</f>
        <v/>
      </c>
      <c r="M240" s="20" t="n"/>
      <c r="N240" s="21">
        <f>IF($C240="","",COUNTIFS(Ocorrências!$B:$B,$C240,Ocorrências!$F:$F,$F240,Ocorrências!$N:$N,$A240))</f>
        <v/>
      </c>
      <c r="O240" s="15">
        <f>IF($M240="","",IF(OR($M240=1,$M240=2,$M240=5),IF($N240&gt;0,"OK","SEM LASTRO"),"OK"))</f>
        <v/>
      </c>
      <c r="P240" s="19" t="n"/>
      <c r="Q240" s="18" t="n"/>
    </row>
    <row r="241">
      <c r="A241" s="19" t="n"/>
      <c r="B241" s="19" t="n"/>
      <c r="C241" s="15">
        <f>IFERROR(INDEX(Colaboradores!$B:$B,MATCH($B241,Colaboradores!$A:$A,0)),"")</f>
        <v/>
      </c>
      <c r="D241" s="15">
        <f>IFERROR(INDEX(Colaboradores!$E:$E,MATCH($B241,Colaboradores!$A:$A,0)),"")</f>
        <v/>
      </c>
      <c r="E241" s="15">
        <f>IFERROR(INDEX(Colaboradores!$D:$D,MATCH($B241,Colaboradores!$A:$A,0)),"")</f>
        <v/>
      </c>
      <c r="F241" s="19" t="n"/>
      <c r="G241" s="15">
        <f>IFERROR(INDEX(Competências!$B:$B,MATCH($F241,Competências!$C:$C,0)),"")</f>
        <v/>
      </c>
      <c r="H241" s="15">
        <f>IFERROR(INDEX(Competências!$E:$E,MATCH($F241,Competências!$C:$C,0)),"")</f>
        <v/>
      </c>
      <c r="I241" s="20" t="n"/>
      <c r="J241" s="20" t="n"/>
      <c r="K241" s="21">
        <f>IF(AND(ISNUMBER($I241),ISNUMBER($J241)),ABS($I241-$J241),"")</f>
        <v/>
      </c>
      <c r="L241" s="21">
        <f>IF(AND(NOT(ISNUMBER($I241)),NOT(ISNUMBER($J241))),"",IF(NOT(ISNUMBER($J241)),$I241,IF(NOT(ISNUMBER($I241)),$J241,IF($K241=0,$I241,IF($K241=1,IF($H241="Líder Técnico",$J241,IF($H241="GP",$I241,"CALIBRAR")),"CALIBRAR")))))</f>
        <v/>
      </c>
      <c r="M241" s="20" t="n"/>
      <c r="N241" s="21">
        <f>IF($C241="","",COUNTIFS(Ocorrências!$B:$B,$C241,Ocorrências!$F:$F,$F241,Ocorrências!$N:$N,$A241))</f>
        <v/>
      </c>
      <c r="O241" s="15">
        <f>IF($M241="","",IF(OR($M241=1,$M241=2,$M241=5),IF($N241&gt;0,"OK","SEM LASTRO"),"OK"))</f>
        <v/>
      </c>
      <c r="P241" s="19" t="n"/>
      <c r="Q241" s="18" t="n"/>
    </row>
    <row r="242">
      <c r="A242" s="19" t="n"/>
      <c r="B242" s="19" t="n"/>
      <c r="C242" s="15">
        <f>IFERROR(INDEX(Colaboradores!$B:$B,MATCH($B242,Colaboradores!$A:$A,0)),"")</f>
        <v/>
      </c>
      <c r="D242" s="15">
        <f>IFERROR(INDEX(Colaboradores!$E:$E,MATCH($B242,Colaboradores!$A:$A,0)),"")</f>
        <v/>
      </c>
      <c r="E242" s="15">
        <f>IFERROR(INDEX(Colaboradores!$D:$D,MATCH($B242,Colaboradores!$A:$A,0)),"")</f>
        <v/>
      </c>
      <c r="F242" s="19" t="n"/>
      <c r="G242" s="15">
        <f>IFERROR(INDEX(Competências!$B:$B,MATCH($F242,Competências!$C:$C,0)),"")</f>
        <v/>
      </c>
      <c r="H242" s="15">
        <f>IFERROR(INDEX(Competências!$E:$E,MATCH($F242,Competências!$C:$C,0)),"")</f>
        <v/>
      </c>
      <c r="I242" s="20" t="n"/>
      <c r="J242" s="20" t="n"/>
      <c r="K242" s="21">
        <f>IF(AND(ISNUMBER($I242),ISNUMBER($J242)),ABS($I242-$J242),"")</f>
        <v/>
      </c>
      <c r="L242" s="21">
        <f>IF(AND(NOT(ISNUMBER($I242)),NOT(ISNUMBER($J242))),"",IF(NOT(ISNUMBER($J242)),$I242,IF(NOT(ISNUMBER($I242)),$J242,IF($K242=0,$I242,IF($K242=1,IF($H242="Líder Técnico",$J242,IF($H242="GP",$I242,"CALIBRAR")),"CALIBRAR")))))</f>
        <v/>
      </c>
      <c r="M242" s="20" t="n"/>
      <c r="N242" s="21">
        <f>IF($C242="","",COUNTIFS(Ocorrências!$B:$B,$C242,Ocorrências!$F:$F,$F242,Ocorrências!$N:$N,$A242))</f>
        <v/>
      </c>
      <c r="O242" s="15">
        <f>IF($M242="","",IF(OR($M242=1,$M242=2,$M242=5),IF($N242&gt;0,"OK","SEM LASTRO"),"OK"))</f>
        <v/>
      </c>
      <c r="P242" s="19" t="n"/>
      <c r="Q242" s="18" t="n"/>
    </row>
    <row r="243">
      <c r="A243" s="19" t="n"/>
      <c r="B243" s="19" t="n"/>
      <c r="C243" s="15">
        <f>IFERROR(INDEX(Colaboradores!$B:$B,MATCH($B243,Colaboradores!$A:$A,0)),"")</f>
        <v/>
      </c>
      <c r="D243" s="15">
        <f>IFERROR(INDEX(Colaboradores!$E:$E,MATCH($B243,Colaboradores!$A:$A,0)),"")</f>
        <v/>
      </c>
      <c r="E243" s="15">
        <f>IFERROR(INDEX(Colaboradores!$D:$D,MATCH($B243,Colaboradores!$A:$A,0)),"")</f>
        <v/>
      </c>
      <c r="F243" s="19" t="n"/>
      <c r="G243" s="15">
        <f>IFERROR(INDEX(Competências!$B:$B,MATCH($F243,Competências!$C:$C,0)),"")</f>
        <v/>
      </c>
      <c r="H243" s="15">
        <f>IFERROR(INDEX(Competências!$E:$E,MATCH($F243,Competências!$C:$C,0)),"")</f>
        <v/>
      </c>
      <c r="I243" s="20" t="n"/>
      <c r="J243" s="20" t="n"/>
      <c r="K243" s="21">
        <f>IF(AND(ISNUMBER($I243),ISNUMBER($J243)),ABS($I243-$J243),"")</f>
        <v/>
      </c>
      <c r="L243" s="21">
        <f>IF(AND(NOT(ISNUMBER($I243)),NOT(ISNUMBER($J243))),"",IF(NOT(ISNUMBER($J243)),$I243,IF(NOT(ISNUMBER($I243)),$J243,IF($K243=0,$I243,IF($K243=1,IF($H243="Líder Técnico",$J243,IF($H243="GP",$I243,"CALIBRAR")),"CALIBRAR")))))</f>
        <v/>
      </c>
      <c r="M243" s="20" t="n"/>
      <c r="N243" s="21">
        <f>IF($C243="","",COUNTIFS(Ocorrências!$B:$B,$C243,Ocorrências!$F:$F,$F243,Ocorrências!$N:$N,$A243))</f>
        <v/>
      </c>
      <c r="O243" s="15">
        <f>IF($M243="","",IF(OR($M243=1,$M243=2,$M243=5),IF($N243&gt;0,"OK","SEM LASTRO"),"OK"))</f>
        <v/>
      </c>
      <c r="P243" s="19" t="n"/>
      <c r="Q243" s="18" t="n"/>
    </row>
    <row r="244">
      <c r="A244" s="19" t="n"/>
      <c r="B244" s="19" t="n"/>
      <c r="C244" s="15">
        <f>IFERROR(INDEX(Colaboradores!$B:$B,MATCH($B244,Colaboradores!$A:$A,0)),"")</f>
        <v/>
      </c>
      <c r="D244" s="15">
        <f>IFERROR(INDEX(Colaboradores!$E:$E,MATCH($B244,Colaboradores!$A:$A,0)),"")</f>
        <v/>
      </c>
      <c r="E244" s="15">
        <f>IFERROR(INDEX(Colaboradores!$D:$D,MATCH($B244,Colaboradores!$A:$A,0)),"")</f>
        <v/>
      </c>
      <c r="F244" s="19" t="n"/>
      <c r="G244" s="15">
        <f>IFERROR(INDEX(Competências!$B:$B,MATCH($F244,Competências!$C:$C,0)),"")</f>
        <v/>
      </c>
      <c r="H244" s="15">
        <f>IFERROR(INDEX(Competências!$E:$E,MATCH($F244,Competências!$C:$C,0)),"")</f>
        <v/>
      </c>
      <c r="I244" s="20" t="n"/>
      <c r="J244" s="20" t="n"/>
      <c r="K244" s="21">
        <f>IF(AND(ISNUMBER($I244),ISNUMBER($J244)),ABS($I244-$J244),"")</f>
        <v/>
      </c>
      <c r="L244" s="21">
        <f>IF(AND(NOT(ISNUMBER($I244)),NOT(ISNUMBER($J244))),"",IF(NOT(ISNUMBER($J244)),$I244,IF(NOT(ISNUMBER($I244)),$J244,IF($K244=0,$I244,IF($K244=1,IF($H244="Líder Técnico",$J244,IF($H244="GP",$I244,"CALIBRAR")),"CALIBRAR")))))</f>
        <v/>
      </c>
      <c r="M244" s="20" t="n"/>
      <c r="N244" s="21">
        <f>IF($C244="","",COUNTIFS(Ocorrências!$B:$B,$C244,Ocorrências!$F:$F,$F244,Ocorrências!$N:$N,$A244))</f>
        <v/>
      </c>
      <c r="O244" s="15">
        <f>IF($M244="","",IF(OR($M244=1,$M244=2,$M244=5),IF($N244&gt;0,"OK","SEM LASTRO"),"OK"))</f>
        <v/>
      </c>
      <c r="P244" s="19" t="n"/>
      <c r="Q244" s="18" t="n"/>
    </row>
    <row r="245">
      <c r="A245" s="19" t="n"/>
      <c r="B245" s="19" t="n"/>
      <c r="C245" s="15">
        <f>IFERROR(INDEX(Colaboradores!$B:$B,MATCH($B245,Colaboradores!$A:$A,0)),"")</f>
        <v/>
      </c>
      <c r="D245" s="15">
        <f>IFERROR(INDEX(Colaboradores!$E:$E,MATCH($B245,Colaboradores!$A:$A,0)),"")</f>
        <v/>
      </c>
      <c r="E245" s="15">
        <f>IFERROR(INDEX(Colaboradores!$D:$D,MATCH($B245,Colaboradores!$A:$A,0)),"")</f>
        <v/>
      </c>
      <c r="F245" s="19" t="n"/>
      <c r="G245" s="15">
        <f>IFERROR(INDEX(Competências!$B:$B,MATCH($F245,Competências!$C:$C,0)),"")</f>
        <v/>
      </c>
      <c r="H245" s="15">
        <f>IFERROR(INDEX(Competências!$E:$E,MATCH($F245,Competências!$C:$C,0)),"")</f>
        <v/>
      </c>
      <c r="I245" s="20" t="n"/>
      <c r="J245" s="20" t="n"/>
      <c r="K245" s="21">
        <f>IF(AND(ISNUMBER($I245),ISNUMBER($J245)),ABS($I245-$J245),"")</f>
        <v/>
      </c>
      <c r="L245" s="21">
        <f>IF(AND(NOT(ISNUMBER($I245)),NOT(ISNUMBER($J245))),"",IF(NOT(ISNUMBER($J245)),$I245,IF(NOT(ISNUMBER($I245)),$J245,IF($K245=0,$I245,IF($K245=1,IF($H245="Líder Técnico",$J245,IF($H245="GP",$I245,"CALIBRAR")),"CALIBRAR")))))</f>
        <v/>
      </c>
      <c r="M245" s="20" t="n"/>
      <c r="N245" s="21">
        <f>IF($C245="","",COUNTIFS(Ocorrências!$B:$B,$C245,Ocorrências!$F:$F,$F245,Ocorrências!$N:$N,$A245))</f>
        <v/>
      </c>
      <c r="O245" s="15">
        <f>IF($M245="","",IF(OR($M245=1,$M245=2,$M245=5),IF($N245&gt;0,"OK","SEM LASTRO"),"OK"))</f>
        <v/>
      </c>
      <c r="P245" s="19" t="n"/>
      <c r="Q245" s="18" t="n"/>
    </row>
    <row r="246">
      <c r="A246" s="19" t="n"/>
      <c r="B246" s="19" t="n"/>
      <c r="C246" s="15">
        <f>IFERROR(INDEX(Colaboradores!$B:$B,MATCH($B246,Colaboradores!$A:$A,0)),"")</f>
        <v/>
      </c>
      <c r="D246" s="15">
        <f>IFERROR(INDEX(Colaboradores!$E:$E,MATCH($B246,Colaboradores!$A:$A,0)),"")</f>
        <v/>
      </c>
      <c r="E246" s="15">
        <f>IFERROR(INDEX(Colaboradores!$D:$D,MATCH($B246,Colaboradores!$A:$A,0)),"")</f>
        <v/>
      </c>
      <c r="F246" s="19" t="n"/>
      <c r="G246" s="15">
        <f>IFERROR(INDEX(Competências!$B:$B,MATCH($F246,Competências!$C:$C,0)),"")</f>
        <v/>
      </c>
      <c r="H246" s="15">
        <f>IFERROR(INDEX(Competências!$E:$E,MATCH($F246,Competências!$C:$C,0)),"")</f>
        <v/>
      </c>
      <c r="I246" s="20" t="n"/>
      <c r="J246" s="20" t="n"/>
      <c r="K246" s="21">
        <f>IF(AND(ISNUMBER($I246),ISNUMBER($J246)),ABS($I246-$J246),"")</f>
        <v/>
      </c>
      <c r="L246" s="21">
        <f>IF(AND(NOT(ISNUMBER($I246)),NOT(ISNUMBER($J246))),"",IF(NOT(ISNUMBER($J246)),$I246,IF(NOT(ISNUMBER($I246)),$J246,IF($K246=0,$I246,IF($K246=1,IF($H246="Líder Técnico",$J246,IF($H246="GP",$I246,"CALIBRAR")),"CALIBRAR")))))</f>
        <v/>
      </c>
      <c r="M246" s="20" t="n"/>
      <c r="N246" s="21">
        <f>IF($C246="","",COUNTIFS(Ocorrências!$B:$B,$C246,Ocorrências!$F:$F,$F246,Ocorrências!$N:$N,$A246))</f>
        <v/>
      </c>
      <c r="O246" s="15">
        <f>IF($M246="","",IF(OR($M246=1,$M246=2,$M246=5),IF($N246&gt;0,"OK","SEM LASTRO"),"OK"))</f>
        <v/>
      </c>
      <c r="P246" s="19" t="n"/>
      <c r="Q246" s="18" t="n"/>
    </row>
    <row r="247">
      <c r="A247" s="19" t="n"/>
      <c r="B247" s="19" t="n"/>
      <c r="C247" s="15">
        <f>IFERROR(INDEX(Colaboradores!$B:$B,MATCH($B247,Colaboradores!$A:$A,0)),"")</f>
        <v/>
      </c>
      <c r="D247" s="15">
        <f>IFERROR(INDEX(Colaboradores!$E:$E,MATCH($B247,Colaboradores!$A:$A,0)),"")</f>
        <v/>
      </c>
      <c r="E247" s="15">
        <f>IFERROR(INDEX(Colaboradores!$D:$D,MATCH($B247,Colaboradores!$A:$A,0)),"")</f>
        <v/>
      </c>
      <c r="F247" s="19" t="n"/>
      <c r="G247" s="15">
        <f>IFERROR(INDEX(Competências!$B:$B,MATCH($F247,Competências!$C:$C,0)),"")</f>
        <v/>
      </c>
      <c r="H247" s="15">
        <f>IFERROR(INDEX(Competências!$E:$E,MATCH($F247,Competências!$C:$C,0)),"")</f>
        <v/>
      </c>
      <c r="I247" s="20" t="n"/>
      <c r="J247" s="20" t="n"/>
      <c r="K247" s="21">
        <f>IF(AND(ISNUMBER($I247),ISNUMBER($J247)),ABS($I247-$J247),"")</f>
        <v/>
      </c>
      <c r="L247" s="21">
        <f>IF(AND(NOT(ISNUMBER($I247)),NOT(ISNUMBER($J247))),"",IF(NOT(ISNUMBER($J247)),$I247,IF(NOT(ISNUMBER($I247)),$J247,IF($K247=0,$I247,IF($K247=1,IF($H247="Líder Técnico",$J247,IF($H247="GP",$I247,"CALIBRAR")),"CALIBRAR")))))</f>
        <v/>
      </c>
      <c r="M247" s="20" t="n"/>
      <c r="N247" s="21">
        <f>IF($C247="","",COUNTIFS(Ocorrências!$B:$B,$C247,Ocorrências!$F:$F,$F247,Ocorrências!$N:$N,$A247))</f>
        <v/>
      </c>
      <c r="O247" s="15">
        <f>IF($M247="","",IF(OR($M247=1,$M247=2,$M247=5),IF($N247&gt;0,"OK","SEM LASTRO"),"OK"))</f>
        <v/>
      </c>
      <c r="P247" s="19" t="n"/>
      <c r="Q247" s="18" t="n"/>
    </row>
    <row r="248">
      <c r="A248" s="19" t="n"/>
      <c r="B248" s="19" t="n"/>
      <c r="C248" s="15">
        <f>IFERROR(INDEX(Colaboradores!$B:$B,MATCH($B248,Colaboradores!$A:$A,0)),"")</f>
        <v/>
      </c>
      <c r="D248" s="15">
        <f>IFERROR(INDEX(Colaboradores!$E:$E,MATCH($B248,Colaboradores!$A:$A,0)),"")</f>
        <v/>
      </c>
      <c r="E248" s="15">
        <f>IFERROR(INDEX(Colaboradores!$D:$D,MATCH($B248,Colaboradores!$A:$A,0)),"")</f>
        <v/>
      </c>
      <c r="F248" s="19" t="n"/>
      <c r="G248" s="15">
        <f>IFERROR(INDEX(Competências!$B:$B,MATCH($F248,Competências!$C:$C,0)),"")</f>
        <v/>
      </c>
      <c r="H248" s="15">
        <f>IFERROR(INDEX(Competências!$E:$E,MATCH($F248,Competências!$C:$C,0)),"")</f>
        <v/>
      </c>
      <c r="I248" s="20" t="n"/>
      <c r="J248" s="20" t="n"/>
      <c r="K248" s="21">
        <f>IF(AND(ISNUMBER($I248),ISNUMBER($J248)),ABS($I248-$J248),"")</f>
        <v/>
      </c>
      <c r="L248" s="21">
        <f>IF(AND(NOT(ISNUMBER($I248)),NOT(ISNUMBER($J248))),"",IF(NOT(ISNUMBER($J248)),$I248,IF(NOT(ISNUMBER($I248)),$J248,IF($K248=0,$I248,IF($K248=1,IF($H248="Líder Técnico",$J248,IF($H248="GP",$I248,"CALIBRAR")),"CALIBRAR")))))</f>
        <v/>
      </c>
      <c r="M248" s="20" t="n"/>
      <c r="N248" s="21">
        <f>IF($C248="","",COUNTIFS(Ocorrências!$B:$B,$C248,Ocorrências!$F:$F,$F248,Ocorrências!$N:$N,$A248))</f>
        <v/>
      </c>
      <c r="O248" s="15">
        <f>IF($M248="","",IF(OR($M248=1,$M248=2,$M248=5),IF($N248&gt;0,"OK","SEM LASTRO"),"OK"))</f>
        <v/>
      </c>
      <c r="P248" s="19" t="n"/>
      <c r="Q248" s="18" t="n"/>
    </row>
    <row r="249">
      <c r="A249" s="19" t="n"/>
      <c r="B249" s="19" t="n"/>
      <c r="C249" s="15">
        <f>IFERROR(INDEX(Colaboradores!$B:$B,MATCH($B249,Colaboradores!$A:$A,0)),"")</f>
        <v/>
      </c>
      <c r="D249" s="15">
        <f>IFERROR(INDEX(Colaboradores!$E:$E,MATCH($B249,Colaboradores!$A:$A,0)),"")</f>
        <v/>
      </c>
      <c r="E249" s="15">
        <f>IFERROR(INDEX(Colaboradores!$D:$D,MATCH($B249,Colaboradores!$A:$A,0)),"")</f>
        <v/>
      </c>
      <c r="F249" s="19" t="n"/>
      <c r="G249" s="15">
        <f>IFERROR(INDEX(Competências!$B:$B,MATCH($F249,Competências!$C:$C,0)),"")</f>
        <v/>
      </c>
      <c r="H249" s="15">
        <f>IFERROR(INDEX(Competências!$E:$E,MATCH($F249,Competências!$C:$C,0)),"")</f>
        <v/>
      </c>
      <c r="I249" s="20" t="n"/>
      <c r="J249" s="20" t="n"/>
      <c r="K249" s="21">
        <f>IF(AND(ISNUMBER($I249),ISNUMBER($J249)),ABS($I249-$J249),"")</f>
        <v/>
      </c>
      <c r="L249" s="21">
        <f>IF(AND(NOT(ISNUMBER($I249)),NOT(ISNUMBER($J249))),"",IF(NOT(ISNUMBER($J249)),$I249,IF(NOT(ISNUMBER($I249)),$J249,IF($K249=0,$I249,IF($K249=1,IF($H249="Líder Técnico",$J249,IF($H249="GP",$I249,"CALIBRAR")),"CALIBRAR")))))</f>
        <v/>
      </c>
      <c r="M249" s="20" t="n"/>
      <c r="N249" s="21">
        <f>IF($C249="","",COUNTIFS(Ocorrências!$B:$B,$C249,Ocorrências!$F:$F,$F249,Ocorrências!$N:$N,$A249))</f>
        <v/>
      </c>
      <c r="O249" s="15">
        <f>IF($M249="","",IF(OR($M249=1,$M249=2,$M249=5),IF($N249&gt;0,"OK","SEM LASTRO"),"OK"))</f>
        <v/>
      </c>
      <c r="P249" s="19" t="n"/>
      <c r="Q249" s="18" t="n"/>
    </row>
    <row r="250">
      <c r="A250" s="19" t="n"/>
      <c r="B250" s="19" t="n"/>
      <c r="C250" s="15">
        <f>IFERROR(INDEX(Colaboradores!$B:$B,MATCH($B250,Colaboradores!$A:$A,0)),"")</f>
        <v/>
      </c>
      <c r="D250" s="15">
        <f>IFERROR(INDEX(Colaboradores!$E:$E,MATCH($B250,Colaboradores!$A:$A,0)),"")</f>
        <v/>
      </c>
      <c r="E250" s="15">
        <f>IFERROR(INDEX(Colaboradores!$D:$D,MATCH($B250,Colaboradores!$A:$A,0)),"")</f>
        <v/>
      </c>
      <c r="F250" s="19" t="n"/>
      <c r="G250" s="15">
        <f>IFERROR(INDEX(Competências!$B:$B,MATCH($F250,Competências!$C:$C,0)),"")</f>
        <v/>
      </c>
      <c r="H250" s="15">
        <f>IFERROR(INDEX(Competências!$E:$E,MATCH($F250,Competências!$C:$C,0)),"")</f>
        <v/>
      </c>
      <c r="I250" s="20" t="n"/>
      <c r="J250" s="20" t="n"/>
      <c r="K250" s="21">
        <f>IF(AND(ISNUMBER($I250),ISNUMBER($J250)),ABS($I250-$J250),"")</f>
        <v/>
      </c>
      <c r="L250" s="21">
        <f>IF(AND(NOT(ISNUMBER($I250)),NOT(ISNUMBER($J250))),"",IF(NOT(ISNUMBER($J250)),$I250,IF(NOT(ISNUMBER($I250)),$J250,IF($K250=0,$I250,IF($K250=1,IF($H250="Líder Técnico",$J250,IF($H250="GP",$I250,"CALIBRAR")),"CALIBRAR")))))</f>
        <v/>
      </c>
      <c r="M250" s="20" t="n"/>
      <c r="N250" s="21">
        <f>IF($C250="","",COUNTIFS(Ocorrências!$B:$B,$C250,Ocorrências!$F:$F,$F250,Ocorrências!$N:$N,$A250))</f>
        <v/>
      </c>
      <c r="O250" s="15">
        <f>IF($M250="","",IF(OR($M250=1,$M250=2,$M250=5),IF($N250&gt;0,"OK","SEM LASTRO"),"OK"))</f>
        <v/>
      </c>
      <c r="P250" s="19" t="n"/>
      <c r="Q250" s="18" t="n"/>
    </row>
    <row r="251">
      <c r="A251" s="19" t="n"/>
      <c r="B251" s="19" t="n"/>
      <c r="C251" s="15">
        <f>IFERROR(INDEX(Colaboradores!$B:$B,MATCH($B251,Colaboradores!$A:$A,0)),"")</f>
        <v/>
      </c>
      <c r="D251" s="15">
        <f>IFERROR(INDEX(Colaboradores!$E:$E,MATCH($B251,Colaboradores!$A:$A,0)),"")</f>
        <v/>
      </c>
      <c r="E251" s="15">
        <f>IFERROR(INDEX(Colaboradores!$D:$D,MATCH($B251,Colaboradores!$A:$A,0)),"")</f>
        <v/>
      </c>
      <c r="F251" s="19" t="n"/>
      <c r="G251" s="15">
        <f>IFERROR(INDEX(Competências!$B:$B,MATCH($F251,Competências!$C:$C,0)),"")</f>
        <v/>
      </c>
      <c r="H251" s="15">
        <f>IFERROR(INDEX(Competências!$E:$E,MATCH($F251,Competências!$C:$C,0)),"")</f>
        <v/>
      </c>
      <c r="I251" s="20" t="n"/>
      <c r="J251" s="20" t="n"/>
      <c r="K251" s="21">
        <f>IF(AND(ISNUMBER($I251),ISNUMBER($J251)),ABS($I251-$J251),"")</f>
        <v/>
      </c>
      <c r="L251" s="21">
        <f>IF(AND(NOT(ISNUMBER($I251)),NOT(ISNUMBER($J251))),"",IF(NOT(ISNUMBER($J251)),$I251,IF(NOT(ISNUMBER($I251)),$J251,IF($K251=0,$I251,IF($K251=1,IF($H251="Líder Técnico",$J251,IF($H251="GP",$I251,"CALIBRAR")),"CALIBRAR")))))</f>
        <v/>
      </c>
      <c r="M251" s="20" t="n"/>
      <c r="N251" s="21">
        <f>IF($C251="","",COUNTIFS(Ocorrências!$B:$B,$C251,Ocorrências!$F:$F,$F251,Ocorrências!$N:$N,$A251))</f>
        <v/>
      </c>
      <c r="O251" s="15">
        <f>IF($M251="","",IF(OR($M251=1,$M251=2,$M251=5),IF($N251&gt;0,"OK","SEM LASTRO"),"OK"))</f>
        <v/>
      </c>
      <c r="P251" s="19" t="n"/>
      <c r="Q251" s="18" t="n"/>
    </row>
    <row r="252">
      <c r="A252" s="19" t="n"/>
      <c r="B252" s="19" t="n"/>
      <c r="C252" s="15">
        <f>IFERROR(INDEX(Colaboradores!$B:$B,MATCH($B252,Colaboradores!$A:$A,0)),"")</f>
        <v/>
      </c>
      <c r="D252" s="15">
        <f>IFERROR(INDEX(Colaboradores!$E:$E,MATCH($B252,Colaboradores!$A:$A,0)),"")</f>
        <v/>
      </c>
      <c r="E252" s="15">
        <f>IFERROR(INDEX(Colaboradores!$D:$D,MATCH($B252,Colaboradores!$A:$A,0)),"")</f>
        <v/>
      </c>
      <c r="F252" s="19" t="n"/>
      <c r="G252" s="15">
        <f>IFERROR(INDEX(Competências!$B:$B,MATCH($F252,Competências!$C:$C,0)),"")</f>
        <v/>
      </c>
      <c r="H252" s="15">
        <f>IFERROR(INDEX(Competências!$E:$E,MATCH($F252,Competências!$C:$C,0)),"")</f>
        <v/>
      </c>
      <c r="I252" s="20" t="n"/>
      <c r="J252" s="20" t="n"/>
      <c r="K252" s="21">
        <f>IF(AND(ISNUMBER($I252),ISNUMBER($J252)),ABS($I252-$J252),"")</f>
        <v/>
      </c>
      <c r="L252" s="21">
        <f>IF(AND(NOT(ISNUMBER($I252)),NOT(ISNUMBER($J252))),"",IF(NOT(ISNUMBER($J252)),$I252,IF(NOT(ISNUMBER($I252)),$J252,IF($K252=0,$I252,IF($K252=1,IF($H252="Líder Técnico",$J252,IF($H252="GP",$I252,"CALIBRAR")),"CALIBRAR")))))</f>
        <v/>
      </c>
      <c r="M252" s="20" t="n"/>
      <c r="N252" s="21">
        <f>IF($C252="","",COUNTIFS(Ocorrências!$B:$B,$C252,Ocorrências!$F:$F,$F252,Ocorrências!$N:$N,$A252))</f>
        <v/>
      </c>
      <c r="O252" s="15">
        <f>IF($M252="","",IF(OR($M252=1,$M252=2,$M252=5),IF($N252&gt;0,"OK","SEM LASTRO"),"OK"))</f>
        <v/>
      </c>
      <c r="P252" s="19" t="n"/>
      <c r="Q252" s="18" t="n"/>
    </row>
    <row r="253">
      <c r="A253" s="19" t="n"/>
      <c r="B253" s="19" t="n"/>
      <c r="C253" s="15">
        <f>IFERROR(INDEX(Colaboradores!$B:$B,MATCH($B253,Colaboradores!$A:$A,0)),"")</f>
        <v/>
      </c>
      <c r="D253" s="15">
        <f>IFERROR(INDEX(Colaboradores!$E:$E,MATCH($B253,Colaboradores!$A:$A,0)),"")</f>
        <v/>
      </c>
      <c r="E253" s="15">
        <f>IFERROR(INDEX(Colaboradores!$D:$D,MATCH($B253,Colaboradores!$A:$A,0)),"")</f>
        <v/>
      </c>
      <c r="F253" s="19" t="n"/>
      <c r="G253" s="15">
        <f>IFERROR(INDEX(Competências!$B:$B,MATCH($F253,Competências!$C:$C,0)),"")</f>
        <v/>
      </c>
      <c r="H253" s="15">
        <f>IFERROR(INDEX(Competências!$E:$E,MATCH($F253,Competências!$C:$C,0)),"")</f>
        <v/>
      </c>
      <c r="I253" s="20" t="n"/>
      <c r="J253" s="20" t="n"/>
      <c r="K253" s="21">
        <f>IF(AND(ISNUMBER($I253),ISNUMBER($J253)),ABS($I253-$J253),"")</f>
        <v/>
      </c>
      <c r="L253" s="21">
        <f>IF(AND(NOT(ISNUMBER($I253)),NOT(ISNUMBER($J253))),"",IF(NOT(ISNUMBER($J253)),$I253,IF(NOT(ISNUMBER($I253)),$J253,IF($K253=0,$I253,IF($K253=1,IF($H253="Líder Técnico",$J253,IF($H253="GP",$I253,"CALIBRAR")),"CALIBRAR")))))</f>
        <v/>
      </c>
      <c r="M253" s="20" t="n"/>
      <c r="N253" s="21">
        <f>IF($C253="","",COUNTIFS(Ocorrências!$B:$B,$C253,Ocorrências!$F:$F,$F253,Ocorrências!$N:$N,$A253))</f>
        <v/>
      </c>
      <c r="O253" s="15">
        <f>IF($M253="","",IF(OR($M253=1,$M253=2,$M253=5),IF($N253&gt;0,"OK","SEM LASTRO"),"OK"))</f>
        <v/>
      </c>
      <c r="P253" s="19" t="n"/>
      <c r="Q253" s="18" t="n"/>
    </row>
    <row r="254">
      <c r="A254" s="19" t="n"/>
      <c r="B254" s="19" t="n"/>
      <c r="C254" s="15">
        <f>IFERROR(INDEX(Colaboradores!$B:$B,MATCH($B254,Colaboradores!$A:$A,0)),"")</f>
        <v/>
      </c>
      <c r="D254" s="15">
        <f>IFERROR(INDEX(Colaboradores!$E:$E,MATCH($B254,Colaboradores!$A:$A,0)),"")</f>
        <v/>
      </c>
      <c r="E254" s="15">
        <f>IFERROR(INDEX(Colaboradores!$D:$D,MATCH($B254,Colaboradores!$A:$A,0)),"")</f>
        <v/>
      </c>
      <c r="F254" s="19" t="n"/>
      <c r="G254" s="15">
        <f>IFERROR(INDEX(Competências!$B:$B,MATCH($F254,Competências!$C:$C,0)),"")</f>
        <v/>
      </c>
      <c r="H254" s="15">
        <f>IFERROR(INDEX(Competências!$E:$E,MATCH($F254,Competências!$C:$C,0)),"")</f>
        <v/>
      </c>
      <c r="I254" s="20" t="n"/>
      <c r="J254" s="20" t="n"/>
      <c r="K254" s="21">
        <f>IF(AND(ISNUMBER($I254),ISNUMBER($J254)),ABS($I254-$J254),"")</f>
        <v/>
      </c>
      <c r="L254" s="21">
        <f>IF(AND(NOT(ISNUMBER($I254)),NOT(ISNUMBER($J254))),"",IF(NOT(ISNUMBER($J254)),$I254,IF(NOT(ISNUMBER($I254)),$J254,IF($K254=0,$I254,IF($K254=1,IF($H254="Líder Técnico",$J254,IF($H254="GP",$I254,"CALIBRAR")),"CALIBRAR")))))</f>
        <v/>
      </c>
      <c r="M254" s="20" t="n"/>
      <c r="N254" s="21">
        <f>IF($C254="","",COUNTIFS(Ocorrências!$B:$B,$C254,Ocorrências!$F:$F,$F254,Ocorrências!$N:$N,$A254))</f>
        <v/>
      </c>
      <c r="O254" s="15">
        <f>IF($M254="","",IF(OR($M254=1,$M254=2,$M254=5),IF($N254&gt;0,"OK","SEM LASTRO"),"OK"))</f>
        <v/>
      </c>
      <c r="P254" s="19" t="n"/>
      <c r="Q254" s="18" t="n"/>
    </row>
    <row r="255">
      <c r="A255" s="19" t="n"/>
      <c r="B255" s="19" t="n"/>
      <c r="C255" s="15">
        <f>IFERROR(INDEX(Colaboradores!$B:$B,MATCH($B255,Colaboradores!$A:$A,0)),"")</f>
        <v/>
      </c>
      <c r="D255" s="15">
        <f>IFERROR(INDEX(Colaboradores!$E:$E,MATCH($B255,Colaboradores!$A:$A,0)),"")</f>
        <v/>
      </c>
      <c r="E255" s="15">
        <f>IFERROR(INDEX(Colaboradores!$D:$D,MATCH($B255,Colaboradores!$A:$A,0)),"")</f>
        <v/>
      </c>
      <c r="F255" s="19" t="n"/>
      <c r="G255" s="15">
        <f>IFERROR(INDEX(Competências!$B:$B,MATCH($F255,Competências!$C:$C,0)),"")</f>
        <v/>
      </c>
      <c r="H255" s="15">
        <f>IFERROR(INDEX(Competências!$E:$E,MATCH($F255,Competências!$C:$C,0)),"")</f>
        <v/>
      </c>
      <c r="I255" s="20" t="n"/>
      <c r="J255" s="20" t="n"/>
      <c r="K255" s="21">
        <f>IF(AND(ISNUMBER($I255),ISNUMBER($J255)),ABS($I255-$J255),"")</f>
        <v/>
      </c>
      <c r="L255" s="21">
        <f>IF(AND(NOT(ISNUMBER($I255)),NOT(ISNUMBER($J255))),"",IF(NOT(ISNUMBER($J255)),$I255,IF(NOT(ISNUMBER($I255)),$J255,IF($K255=0,$I255,IF($K255=1,IF($H255="Líder Técnico",$J255,IF($H255="GP",$I255,"CALIBRAR")),"CALIBRAR")))))</f>
        <v/>
      </c>
      <c r="M255" s="20" t="n"/>
      <c r="N255" s="21">
        <f>IF($C255="","",COUNTIFS(Ocorrências!$B:$B,$C255,Ocorrências!$F:$F,$F255,Ocorrências!$N:$N,$A255))</f>
        <v/>
      </c>
      <c r="O255" s="15">
        <f>IF($M255="","",IF(OR($M255=1,$M255=2,$M255=5),IF($N255&gt;0,"OK","SEM LASTRO"),"OK"))</f>
        <v/>
      </c>
      <c r="P255" s="19" t="n"/>
      <c r="Q255" s="18" t="n"/>
    </row>
    <row r="256">
      <c r="A256" s="19" t="n"/>
      <c r="B256" s="19" t="n"/>
      <c r="C256" s="15">
        <f>IFERROR(INDEX(Colaboradores!$B:$B,MATCH($B256,Colaboradores!$A:$A,0)),"")</f>
        <v/>
      </c>
      <c r="D256" s="15">
        <f>IFERROR(INDEX(Colaboradores!$E:$E,MATCH($B256,Colaboradores!$A:$A,0)),"")</f>
        <v/>
      </c>
      <c r="E256" s="15">
        <f>IFERROR(INDEX(Colaboradores!$D:$D,MATCH($B256,Colaboradores!$A:$A,0)),"")</f>
        <v/>
      </c>
      <c r="F256" s="19" t="n"/>
      <c r="G256" s="15">
        <f>IFERROR(INDEX(Competências!$B:$B,MATCH($F256,Competências!$C:$C,0)),"")</f>
        <v/>
      </c>
      <c r="H256" s="15">
        <f>IFERROR(INDEX(Competências!$E:$E,MATCH($F256,Competências!$C:$C,0)),"")</f>
        <v/>
      </c>
      <c r="I256" s="20" t="n"/>
      <c r="J256" s="20" t="n"/>
      <c r="K256" s="21">
        <f>IF(AND(ISNUMBER($I256),ISNUMBER($J256)),ABS($I256-$J256),"")</f>
        <v/>
      </c>
      <c r="L256" s="21">
        <f>IF(AND(NOT(ISNUMBER($I256)),NOT(ISNUMBER($J256))),"",IF(NOT(ISNUMBER($J256)),$I256,IF(NOT(ISNUMBER($I256)),$J256,IF($K256=0,$I256,IF($K256=1,IF($H256="Líder Técnico",$J256,IF($H256="GP",$I256,"CALIBRAR")),"CALIBRAR")))))</f>
        <v/>
      </c>
      <c r="M256" s="20" t="n"/>
      <c r="N256" s="21">
        <f>IF($C256="","",COUNTIFS(Ocorrências!$B:$B,$C256,Ocorrências!$F:$F,$F256,Ocorrências!$N:$N,$A256))</f>
        <v/>
      </c>
      <c r="O256" s="15">
        <f>IF($M256="","",IF(OR($M256=1,$M256=2,$M256=5),IF($N256&gt;0,"OK","SEM LASTRO"),"OK"))</f>
        <v/>
      </c>
      <c r="P256" s="19" t="n"/>
      <c r="Q256" s="18" t="n"/>
    </row>
    <row r="257">
      <c r="A257" s="19" t="n"/>
      <c r="B257" s="19" t="n"/>
      <c r="C257" s="15">
        <f>IFERROR(INDEX(Colaboradores!$B:$B,MATCH($B257,Colaboradores!$A:$A,0)),"")</f>
        <v/>
      </c>
      <c r="D257" s="15">
        <f>IFERROR(INDEX(Colaboradores!$E:$E,MATCH($B257,Colaboradores!$A:$A,0)),"")</f>
        <v/>
      </c>
      <c r="E257" s="15">
        <f>IFERROR(INDEX(Colaboradores!$D:$D,MATCH($B257,Colaboradores!$A:$A,0)),"")</f>
        <v/>
      </c>
      <c r="F257" s="19" t="n"/>
      <c r="G257" s="15">
        <f>IFERROR(INDEX(Competências!$B:$B,MATCH($F257,Competências!$C:$C,0)),"")</f>
        <v/>
      </c>
      <c r="H257" s="15">
        <f>IFERROR(INDEX(Competências!$E:$E,MATCH($F257,Competências!$C:$C,0)),"")</f>
        <v/>
      </c>
      <c r="I257" s="20" t="n"/>
      <c r="J257" s="20" t="n"/>
      <c r="K257" s="21">
        <f>IF(AND(ISNUMBER($I257),ISNUMBER($J257)),ABS($I257-$J257),"")</f>
        <v/>
      </c>
      <c r="L257" s="21">
        <f>IF(AND(NOT(ISNUMBER($I257)),NOT(ISNUMBER($J257))),"",IF(NOT(ISNUMBER($J257)),$I257,IF(NOT(ISNUMBER($I257)),$J257,IF($K257=0,$I257,IF($K257=1,IF($H257="Líder Técnico",$J257,IF($H257="GP",$I257,"CALIBRAR")),"CALIBRAR")))))</f>
        <v/>
      </c>
      <c r="M257" s="20" t="n"/>
      <c r="N257" s="21">
        <f>IF($C257="","",COUNTIFS(Ocorrências!$B:$B,$C257,Ocorrências!$F:$F,$F257,Ocorrências!$N:$N,$A257))</f>
        <v/>
      </c>
      <c r="O257" s="15">
        <f>IF($M257="","",IF(OR($M257=1,$M257=2,$M257=5),IF($N257&gt;0,"OK","SEM LASTRO"),"OK"))</f>
        <v/>
      </c>
      <c r="P257" s="19" t="n"/>
      <c r="Q257" s="18" t="n"/>
    </row>
    <row r="258">
      <c r="A258" s="19" t="n"/>
      <c r="B258" s="19" t="n"/>
      <c r="C258" s="15">
        <f>IFERROR(INDEX(Colaboradores!$B:$B,MATCH($B258,Colaboradores!$A:$A,0)),"")</f>
        <v/>
      </c>
      <c r="D258" s="15">
        <f>IFERROR(INDEX(Colaboradores!$E:$E,MATCH($B258,Colaboradores!$A:$A,0)),"")</f>
        <v/>
      </c>
      <c r="E258" s="15">
        <f>IFERROR(INDEX(Colaboradores!$D:$D,MATCH($B258,Colaboradores!$A:$A,0)),"")</f>
        <v/>
      </c>
      <c r="F258" s="19" t="n"/>
      <c r="G258" s="15">
        <f>IFERROR(INDEX(Competências!$B:$B,MATCH($F258,Competências!$C:$C,0)),"")</f>
        <v/>
      </c>
      <c r="H258" s="15">
        <f>IFERROR(INDEX(Competências!$E:$E,MATCH($F258,Competências!$C:$C,0)),"")</f>
        <v/>
      </c>
      <c r="I258" s="20" t="n"/>
      <c r="J258" s="20" t="n"/>
      <c r="K258" s="21">
        <f>IF(AND(ISNUMBER($I258),ISNUMBER($J258)),ABS($I258-$J258),"")</f>
        <v/>
      </c>
      <c r="L258" s="21">
        <f>IF(AND(NOT(ISNUMBER($I258)),NOT(ISNUMBER($J258))),"",IF(NOT(ISNUMBER($J258)),$I258,IF(NOT(ISNUMBER($I258)),$J258,IF($K258=0,$I258,IF($K258=1,IF($H258="Líder Técnico",$J258,IF($H258="GP",$I258,"CALIBRAR")),"CALIBRAR")))))</f>
        <v/>
      </c>
      <c r="M258" s="20" t="n"/>
      <c r="N258" s="21">
        <f>IF($C258="","",COUNTIFS(Ocorrências!$B:$B,$C258,Ocorrências!$F:$F,$F258,Ocorrências!$N:$N,$A258))</f>
        <v/>
      </c>
      <c r="O258" s="15">
        <f>IF($M258="","",IF(OR($M258=1,$M258=2,$M258=5),IF($N258&gt;0,"OK","SEM LASTRO"),"OK"))</f>
        <v/>
      </c>
      <c r="P258" s="19" t="n"/>
      <c r="Q258" s="18" t="n"/>
    </row>
    <row r="259">
      <c r="A259" s="19" t="n"/>
      <c r="B259" s="19" t="n"/>
      <c r="C259" s="15">
        <f>IFERROR(INDEX(Colaboradores!$B:$B,MATCH($B259,Colaboradores!$A:$A,0)),"")</f>
        <v/>
      </c>
      <c r="D259" s="15">
        <f>IFERROR(INDEX(Colaboradores!$E:$E,MATCH($B259,Colaboradores!$A:$A,0)),"")</f>
        <v/>
      </c>
      <c r="E259" s="15">
        <f>IFERROR(INDEX(Colaboradores!$D:$D,MATCH($B259,Colaboradores!$A:$A,0)),"")</f>
        <v/>
      </c>
      <c r="F259" s="19" t="n"/>
      <c r="G259" s="15">
        <f>IFERROR(INDEX(Competências!$B:$B,MATCH($F259,Competências!$C:$C,0)),"")</f>
        <v/>
      </c>
      <c r="H259" s="15">
        <f>IFERROR(INDEX(Competências!$E:$E,MATCH($F259,Competências!$C:$C,0)),"")</f>
        <v/>
      </c>
      <c r="I259" s="20" t="n"/>
      <c r="J259" s="20" t="n"/>
      <c r="K259" s="21">
        <f>IF(AND(ISNUMBER($I259),ISNUMBER($J259)),ABS($I259-$J259),"")</f>
        <v/>
      </c>
      <c r="L259" s="21">
        <f>IF(AND(NOT(ISNUMBER($I259)),NOT(ISNUMBER($J259))),"",IF(NOT(ISNUMBER($J259)),$I259,IF(NOT(ISNUMBER($I259)),$J259,IF($K259=0,$I259,IF($K259=1,IF($H259="Líder Técnico",$J259,IF($H259="GP",$I259,"CALIBRAR")),"CALIBRAR")))))</f>
        <v/>
      </c>
      <c r="M259" s="20" t="n"/>
      <c r="N259" s="21">
        <f>IF($C259="","",COUNTIFS(Ocorrências!$B:$B,$C259,Ocorrências!$F:$F,$F259,Ocorrências!$N:$N,$A259))</f>
        <v/>
      </c>
      <c r="O259" s="15">
        <f>IF($M259="","",IF(OR($M259=1,$M259=2,$M259=5),IF($N259&gt;0,"OK","SEM LASTRO"),"OK"))</f>
        <v/>
      </c>
      <c r="P259" s="19" t="n"/>
      <c r="Q259" s="18" t="n"/>
    </row>
    <row r="260">
      <c r="A260" s="19" t="n"/>
      <c r="B260" s="19" t="n"/>
      <c r="C260" s="15">
        <f>IFERROR(INDEX(Colaboradores!$B:$B,MATCH($B260,Colaboradores!$A:$A,0)),"")</f>
        <v/>
      </c>
      <c r="D260" s="15">
        <f>IFERROR(INDEX(Colaboradores!$E:$E,MATCH($B260,Colaboradores!$A:$A,0)),"")</f>
        <v/>
      </c>
      <c r="E260" s="15">
        <f>IFERROR(INDEX(Colaboradores!$D:$D,MATCH($B260,Colaboradores!$A:$A,0)),"")</f>
        <v/>
      </c>
      <c r="F260" s="19" t="n"/>
      <c r="G260" s="15">
        <f>IFERROR(INDEX(Competências!$B:$B,MATCH($F260,Competências!$C:$C,0)),"")</f>
        <v/>
      </c>
      <c r="H260" s="15">
        <f>IFERROR(INDEX(Competências!$E:$E,MATCH($F260,Competências!$C:$C,0)),"")</f>
        <v/>
      </c>
      <c r="I260" s="20" t="n"/>
      <c r="J260" s="20" t="n"/>
      <c r="K260" s="21">
        <f>IF(AND(ISNUMBER($I260),ISNUMBER($J260)),ABS($I260-$J260),"")</f>
        <v/>
      </c>
      <c r="L260" s="21">
        <f>IF(AND(NOT(ISNUMBER($I260)),NOT(ISNUMBER($J260))),"",IF(NOT(ISNUMBER($J260)),$I260,IF(NOT(ISNUMBER($I260)),$J260,IF($K260=0,$I260,IF($K260=1,IF($H260="Líder Técnico",$J260,IF($H260="GP",$I260,"CALIBRAR")),"CALIBRAR")))))</f>
        <v/>
      </c>
      <c r="M260" s="20" t="n"/>
      <c r="N260" s="21">
        <f>IF($C260="","",COUNTIFS(Ocorrências!$B:$B,$C260,Ocorrências!$F:$F,$F260,Ocorrências!$N:$N,$A260))</f>
        <v/>
      </c>
      <c r="O260" s="15">
        <f>IF($M260="","",IF(OR($M260=1,$M260=2,$M260=5),IF($N260&gt;0,"OK","SEM LASTRO"),"OK"))</f>
        <v/>
      </c>
      <c r="P260" s="19" t="n"/>
      <c r="Q260" s="18" t="n"/>
    </row>
    <row r="261">
      <c r="A261" s="19" t="n"/>
      <c r="B261" s="19" t="n"/>
      <c r="C261" s="15">
        <f>IFERROR(INDEX(Colaboradores!$B:$B,MATCH($B261,Colaboradores!$A:$A,0)),"")</f>
        <v/>
      </c>
      <c r="D261" s="15">
        <f>IFERROR(INDEX(Colaboradores!$E:$E,MATCH($B261,Colaboradores!$A:$A,0)),"")</f>
        <v/>
      </c>
      <c r="E261" s="15">
        <f>IFERROR(INDEX(Colaboradores!$D:$D,MATCH($B261,Colaboradores!$A:$A,0)),"")</f>
        <v/>
      </c>
      <c r="F261" s="19" t="n"/>
      <c r="G261" s="15">
        <f>IFERROR(INDEX(Competências!$B:$B,MATCH($F261,Competências!$C:$C,0)),"")</f>
        <v/>
      </c>
      <c r="H261" s="15">
        <f>IFERROR(INDEX(Competências!$E:$E,MATCH($F261,Competências!$C:$C,0)),"")</f>
        <v/>
      </c>
      <c r="I261" s="20" t="n"/>
      <c r="J261" s="20" t="n"/>
      <c r="K261" s="21">
        <f>IF(AND(ISNUMBER($I261),ISNUMBER($J261)),ABS($I261-$J261),"")</f>
        <v/>
      </c>
      <c r="L261" s="21">
        <f>IF(AND(NOT(ISNUMBER($I261)),NOT(ISNUMBER($J261))),"",IF(NOT(ISNUMBER($J261)),$I261,IF(NOT(ISNUMBER($I261)),$J261,IF($K261=0,$I261,IF($K261=1,IF($H261="Líder Técnico",$J261,IF($H261="GP",$I261,"CALIBRAR")),"CALIBRAR")))))</f>
        <v/>
      </c>
      <c r="M261" s="20" t="n"/>
      <c r="N261" s="21">
        <f>IF($C261="","",COUNTIFS(Ocorrências!$B:$B,$C261,Ocorrências!$F:$F,$F261,Ocorrências!$N:$N,$A261))</f>
        <v/>
      </c>
      <c r="O261" s="15">
        <f>IF($M261="","",IF(OR($M261=1,$M261=2,$M261=5),IF($N261&gt;0,"OK","SEM LASTRO"),"OK"))</f>
        <v/>
      </c>
      <c r="P261" s="19" t="n"/>
      <c r="Q261" s="18" t="n"/>
    </row>
    <row r="262">
      <c r="A262" s="19" t="n"/>
      <c r="B262" s="19" t="n"/>
      <c r="C262" s="15">
        <f>IFERROR(INDEX(Colaboradores!$B:$B,MATCH($B262,Colaboradores!$A:$A,0)),"")</f>
        <v/>
      </c>
      <c r="D262" s="15">
        <f>IFERROR(INDEX(Colaboradores!$E:$E,MATCH($B262,Colaboradores!$A:$A,0)),"")</f>
        <v/>
      </c>
      <c r="E262" s="15">
        <f>IFERROR(INDEX(Colaboradores!$D:$D,MATCH($B262,Colaboradores!$A:$A,0)),"")</f>
        <v/>
      </c>
      <c r="F262" s="19" t="n"/>
      <c r="G262" s="15">
        <f>IFERROR(INDEX(Competências!$B:$B,MATCH($F262,Competências!$C:$C,0)),"")</f>
        <v/>
      </c>
      <c r="H262" s="15">
        <f>IFERROR(INDEX(Competências!$E:$E,MATCH($F262,Competências!$C:$C,0)),"")</f>
        <v/>
      </c>
      <c r="I262" s="20" t="n"/>
      <c r="J262" s="20" t="n"/>
      <c r="K262" s="21">
        <f>IF(AND(ISNUMBER($I262),ISNUMBER($J262)),ABS($I262-$J262),"")</f>
        <v/>
      </c>
      <c r="L262" s="21">
        <f>IF(AND(NOT(ISNUMBER($I262)),NOT(ISNUMBER($J262))),"",IF(NOT(ISNUMBER($J262)),$I262,IF(NOT(ISNUMBER($I262)),$J262,IF($K262=0,$I262,IF($K262=1,IF($H262="Líder Técnico",$J262,IF($H262="GP",$I262,"CALIBRAR")),"CALIBRAR")))))</f>
        <v/>
      </c>
      <c r="M262" s="20" t="n"/>
      <c r="N262" s="21">
        <f>IF($C262="","",COUNTIFS(Ocorrências!$B:$B,$C262,Ocorrências!$F:$F,$F262,Ocorrências!$N:$N,$A262))</f>
        <v/>
      </c>
      <c r="O262" s="15">
        <f>IF($M262="","",IF(OR($M262=1,$M262=2,$M262=5),IF($N262&gt;0,"OK","SEM LASTRO"),"OK"))</f>
        <v/>
      </c>
      <c r="P262" s="19" t="n"/>
      <c r="Q262" s="18" t="n"/>
    </row>
    <row r="263">
      <c r="A263" s="19" t="n"/>
      <c r="B263" s="19" t="n"/>
      <c r="C263" s="15">
        <f>IFERROR(INDEX(Colaboradores!$B:$B,MATCH($B263,Colaboradores!$A:$A,0)),"")</f>
        <v/>
      </c>
      <c r="D263" s="15">
        <f>IFERROR(INDEX(Colaboradores!$E:$E,MATCH($B263,Colaboradores!$A:$A,0)),"")</f>
        <v/>
      </c>
      <c r="E263" s="15">
        <f>IFERROR(INDEX(Colaboradores!$D:$D,MATCH($B263,Colaboradores!$A:$A,0)),"")</f>
        <v/>
      </c>
      <c r="F263" s="19" t="n"/>
      <c r="G263" s="15">
        <f>IFERROR(INDEX(Competências!$B:$B,MATCH($F263,Competências!$C:$C,0)),"")</f>
        <v/>
      </c>
      <c r="H263" s="15">
        <f>IFERROR(INDEX(Competências!$E:$E,MATCH($F263,Competências!$C:$C,0)),"")</f>
        <v/>
      </c>
      <c r="I263" s="20" t="n"/>
      <c r="J263" s="20" t="n"/>
      <c r="K263" s="21">
        <f>IF(AND(ISNUMBER($I263),ISNUMBER($J263)),ABS($I263-$J263),"")</f>
        <v/>
      </c>
      <c r="L263" s="21">
        <f>IF(AND(NOT(ISNUMBER($I263)),NOT(ISNUMBER($J263))),"",IF(NOT(ISNUMBER($J263)),$I263,IF(NOT(ISNUMBER($I263)),$J263,IF($K263=0,$I263,IF($K263=1,IF($H263="Líder Técnico",$J263,IF($H263="GP",$I263,"CALIBRAR")),"CALIBRAR")))))</f>
        <v/>
      </c>
      <c r="M263" s="20" t="n"/>
      <c r="N263" s="21">
        <f>IF($C263="","",COUNTIFS(Ocorrências!$B:$B,$C263,Ocorrências!$F:$F,$F263,Ocorrências!$N:$N,$A263))</f>
        <v/>
      </c>
      <c r="O263" s="15">
        <f>IF($M263="","",IF(OR($M263=1,$M263=2,$M263=5),IF($N263&gt;0,"OK","SEM LASTRO"),"OK"))</f>
        <v/>
      </c>
      <c r="P263" s="19" t="n"/>
      <c r="Q263" s="18" t="n"/>
    </row>
    <row r="264">
      <c r="A264" s="19" t="n"/>
      <c r="B264" s="19" t="n"/>
      <c r="C264" s="15">
        <f>IFERROR(INDEX(Colaboradores!$B:$B,MATCH($B264,Colaboradores!$A:$A,0)),"")</f>
        <v/>
      </c>
      <c r="D264" s="15">
        <f>IFERROR(INDEX(Colaboradores!$E:$E,MATCH($B264,Colaboradores!$A:$A,0)),"")</f>
        <v/>
      </c>
      <c r="E264" s="15">
        <f>IFERROR(INDEX(Colaboradores!$D:$D,MATCH($B264,Colaboradores!$A:$A,0)),"")</f>
        <v/>
      </c>
      <c r="F264" s="19" t="n"/>
      <c r="G264" s="15">
        <f>IFERROR(INDEX(Competências!$B:$B,MATCH($F264,Competências!$C:$C,0)),"")</f>
        <v/>
      </c>
      <c r="H264" s="15">
        <f>IFERROR(INDEX(Competências!$E:$E,MATCH($F264,Competências!$C:$C,0)),"")</f>
        <v/>
      </c>
      <c r="I264" s="20" t="n"/>
      <c r="J264" s="20" t="n"/>
      <c r="K264" s="21">
        <f>IF(AND(ISNUMBER($I264),ISNUMBER($J264)),ABS($I264-$J264),"")</f>
        <v/>
      </c>
      <c r="L264" s="21">
        <f>IF(AND(NOT(ISNUMBER($I264)),NOT(ISNUMBER($J264))),"",IF(NOT(ISNUMBER($J264)),$I264,IF(NOT(ISNUMBER($I264)),$J264,IF($K264=0,$I264,IF($K264=1,IF($H264="Líder Técnico",$J264,IF($H264="GP",$I264,"CALIBRAR")),"CALIBRAR")))))</f>
        <v/>
      </c>
      <c r="M264" s="20" t="n"/>
      <c r="N264" s="21">
        <f>IF($C264="","",COUNTIFS(Ocorrências!$B:$B,$C264,Ocorrências!$F:$F,$F264,Ocorrências!$N:$N,$A264))</f>
        <v/>
      </c>
      <c r="O264" s="15">
        <f>IF($M264="","",IF(OR($M264=1,$M264=2,$M264=5),IF($N264&gt;0,"OK","SEM LASTRO"),"OK"))</f>
        <v/>
      </c>
      <c r="P264" s="19" t="n"/>
      <c r="Q264" s="18" t="n"/>
    </row>
    <row r="265">
      <c r="A265" s="19" t="n"/>
      <c r="B265" s="19" t="n"/>
      <c r="C265" s="15">
        <f>IFERROR(INDEX(Colaboradores!$B:$B,MATCH($B265,Colaboradores!$A:$A,0)),"")</f>
        <v/>
      </c>
      <c r="D265" s="15">
        <f>IFERROR(INDEX(Colaboradores!$E:$E,MATCH($B265,Colaboradores!$A:$A,0)),"")</f>
        <v/>
      </c>
      <c r="E265" s="15">
        <f>IFERROR(INDEX(Colaboradores!$D:$D,MATCH($B265,Colaboradores!$A:$A,0)),"")</f>
        <v/>
      </c>
      <c r="F265" s="19" t="n"/>
      <c r="G265" s="15">
        <f>IFERROR(INDEX(Competências!$B:$B,MATCH($F265,Competências!$C:$C,0)),"")</f>
        <v/>
      </c>
      <c r="H265" s="15">
        <f>IFERROR(INDEX(Competências!$E:$E,MATCH($F265,Competências!$C:$C,0)),"")</f>
        <v/>
      </c>
      <c r="I265" s="20" t="n"/>
      <c r="J265" s="20" t="n"/>
      <c r="K265" s="21">
        <f>IF(AND(ISNUMBER($I265),ISNUMBER($J265)),ABS($I265-$J265),"")</f>
        <v/>
      </c>
      <c r="L265" s="21">
        <f>IF(AND(NOT(ISNUMBER($I265)),NOT(ISNUMBER($J265))),"",IF(NOT(ISNUMBER($J265)),$I265,IF(NOT(ISNUMBER($I265)),$J265,IF($K265=0,$I265,IF($K265=1,IF($H265="Líder Técnico",$J265,IF($H265="GP",$I265,"CALIBRAR")),"CALIBRAR")))))</f>
        <v/>
      </c>
      <c r="M265" s="20" t="n"/>
      <c r="N265" s="21">
        <f>IF($C265="","",COUNTIFS(Ocorrências!$B:$B,$C265,Ocorrências!$F:$F,$F265,Ocorrências!$N:$N,$A265))</f>
        <v/>
      </c>
      <c r="O265" s="15">
        <f>IF($M265="","",IF(OR($M265=1,$M265=2,$M265=5),IF($N265&gt;0,"OK","SEM LASTRO"),"OK"))</f>
        <v/>
      </c>
      <c r="P265" s="19" t="n"/>
      <c r="Q265" s="18" t="n"/>
    </row>
    <row r="266">
      <c r="A266" s="19" t="n"/>
      <c r="B266" s="19" t="n"/>
      <c r="C266" s="15">
        <f>IFERROR(INDEX(Colaboradores!$B:$B,MATCH($B266,Colaboradores!$A:$A,0)),"")</f>
        <v/>
      </c>
      <c r="D266" s="15">
        <f>IFERROR(INDEX(Colaboradores!$E:$E,MATCH($B266,Colaboradores!$A:$A,0)),"")</f>
        <v/>
      </c>
      <c r="E266" s="15">
        <f>IFERROR(INDEX(Colaboradores!$D:$D,MATCH($B266,Colaboradores!$A:$A,0)),"")</f>
        <v/>
      </c>
      <c r="F266" s="19" t="n"/>
      <c r="G266" s="15">
        <f>IFERROR(INDEX(Competências!$B:$B,MATCH($F266,Competências!$C:$C,0)),"")</f>
        <v/>
      </c>
      <c r="H266" s="15">
        <f>IFERROR(INDEX(Competências!$E:$E,MATCH($F266,Competências!$C:$C,0)),"")</f>
        <v/>
      </c>
      <c r="I266" s="20" t="n"/>
      <c r="J266" s="20" t="n"/>
      <c r="K266" s="21">
        <f>IF(AND(ISNUMBER($I266),ISNUMBER($J266)),ABS($I266-$J266),"")</f>
        <v/>
      </c>
      <c r="L266" s="21">
        <f>IF(AND(NOT(ISNUMBER($I266)),NOT(ISNUMBER($J266))),"",IF(NOT(ISNUMBER($J266)),$I266,IF(NOT(ISNUMBER($I266)),$J266,IF($K266=0,$I266,IF($K266=1,IF($H266="Líder Técnico",$J266,IF($H266="GP",$I266,"CALIBRAR")),"CALIBRAR")))))</f>
        <v/>
      </c>
      <c r="M266" s="20" t="n"/>
      <c r="N266" s="21">
        <f>IF($C266="","",COUNTIFS(Ocorrências!$B:$B,$C266,Ocorrências!$F:$F,$F266,Ocorrências!$N:$N,$A266))</f>
        <v/>
      </c>
      <c r="O266" s="15">
        <f>IF($M266="","",IF(OR($M266=1,$M266=2,$M266=5),IF($N266&gt;0,"OK","SEM LASTRO"),"OK"))</f>
        <v/>
      </c>
      <c r="P266" s="19" t="n"/>
      <c r="Q266" s="18" t="n"/>
    </row>
    <row r="267">
      <c r="A267" s="19" t="n"/>
      <c r="B267" s="19" t="n"/>
      <c r="C267" s="15">
        <f>IFERROR(INDEX(Colaboradores!$B:$B,MATCH($B267,Colaboradores!$A:$A,0)),"")</f>
        <v/>
      </c>
      <c r="D267" s="15">
        <f>IFERROR(INDEX(Colaboradores!$E:$E,MATCH($B267,Colaboradores!$A:$A,0)),"")</f>
        <v/>
      </c>
      <c r="E267" s="15">
        <f>IFERROR(INDEX(Colaboradores!$D:$D,MATCH($B267,Colaboradores!$A:$A,0)),"")</f>
        <v/>
      </c>
      <c r="F267" s="19" t="n"/>
      <c r="G267" s="15">
        <f>IFERROR(INDEX(Competências!$B:$B,MATCH($F267,Competências!$C:$C,0)),"")</f>
        <v/>
      </c>
      <c r="H267" s="15">
        <f>IFERROR(INDEX(Competências!$E:$E,MATCH($F267,Competências!$C:$C,0)),"")</f>
        <v/>
      </c>
      <c r="I267" s="20" t="n"/>
      <c r="J267" s="20" t="n"/>
      <c r="K267" s="21">
        <f>IF(AND(ISNUMBER($I267),ISNUMBER($J267)),ABS($I267-$J267),"")</f>
        <v/>
      </c>
      <c r="L267" s="21">
        <f>IF(AND(NOT(ISNUMBER($I267)),NOT(ISNUMBER($J267))),"",IF(NOT(ISNUMBER($J267)),$I267,IF(NOT(ISNUMBER($I267)),$J267,IF($K267=0,$I267,IF($K267=1,IF($H267="Líder Técnico",$J267,IF($H267="GP",$I267,"CALIBRAR")),"CALIBRAR")))))</f>
        <v/>
      </c>
      <c r="M267" s="20" t="n"/>
      <c r="N267" s="21">
        <f>IF($C267="","",COUNTIFS(Ocorrências!$B:$B,$C267,Ocorrências!$F:$F,$F267,Ocorrências!$N:$N,$A267))</f>
        <v/>
      </c>
      <c r="O267" s="15">
        <f>IF($M267="","",IF(OR($M267=1,$M267=2,$M267=5),IF($N267&gt;0,"OK","SEM LASTRO"),"OK"))</f>
        <v/>
      </c>
      <c r="P267" s="19" t="n"/>
      <c r="Q267" s="18" t="n"/>
    </row>
    <row r="268">
      <c r="A268" s="19" t="n"/>
      <c r="B268" s="19" t="n"/>
      <c r="C268" s="15">
        <f>IFERROR(INDEX(Colaboradores!$B:$B,MATCH($B268,Colaboradores!$A:$A,0)),"")</f>
        <v/>
      </c>
      <c r="D268" s="15">
        <f>IFERROR(INDEX(Colaboradores!$E:$E,MATCH($B268,Colaboradores!$A:$A,0)),"")</f>
        <v/>
      </c>
      <c r="E268" s="15">
        <f>IFERROR(INDEX(Colaboradores!$D:$D,MATCH($B268,Colaboradores!$A:$A,0)),"")</f>
        <v/>
      </c>
      <c r="F268" s="19" t="n"/>
      <c r="G268" s="15">
        <f>IFERROR(INDEX(Competências!$B:$B,MATCH($F268,Competências!$C:$C,0)),"")</f>
        <v/>
      </c>
      <c r="H268" s="15">
        <f>IFERROR(INDEX(Competências!$E:$E,MATCH($F268,Competências!$C:$C,0)),"")</f>
        <v/>
      </c>
      <c r="I268" s="20" t="n"/>
      <c r="J268" s="20" t="n"/>
      <c r="K268" s="21">
        <f>IF(AND(ISNUMBER($I268),ISNUMBER($J268)),ABS($I268-$J268),"")</f>
        <v/>
      </c>
      <c r="L268" s="21">
        <f>IF(AND(NOT(ISNUMBER($I268)),NOT(ISNUMBER($J268))),"",IF(NOT(ISNUMBER($J268)),$I268,IF(NOT(ISNUMBER($I268)),$J268,IF($K268=0,$I268,IF($K268=1,IF($H268="Líder Técnico",$J268,IF($H268="GP",$I268,"CALIBRAR")),"CALIBRAR")))))</f>
        <v/>
      </c>
      <c r="M268" s="20" t="n"/>
      <c r="N268" s="21">
        <f>IF($C268="","",COUNTIFS(Ocorrências!$B:$B,$C268,Ocorrências!$F:$F,$F268,Ocorrências!$N:$N,$A268))</f>
        <v/>
      </c>
      <c r="O268" s="15">
        <f>IF($M268="","",IF(OR($M268=1,$M268=2,$M268=5),IF($N268&gt;0,"OK","SEM LASTRO"),"OK"))</f>
        <v/>
      </c>
      <c r="P268" s="19" t="n"/>
      <c r="Q268" s="18" t="n"/>
    </row>
    <row r="269">
      <c r="A269" s="19" t="n"/>
      <c r="B269" s="19" t="n"/>
      <c r="C269" s="15">
        <f>IFERROR(INDEX(Colaboradores!$B:$B,MATCH($B269,Colaboradores!$A:$A,0)),"")</f>
        <v/>
      </c>
      <c r="D269" s="15">
        <f>IFERROR(INDEX(Colaboradores!$E:$E,MATCH($B269,Colaboradores!$A:$A,0)),"")</f>
        <v/>
      </c>
      <c r="E269" s="15">
        <f>IFERROR(INDEX(Colaboradores!$D:$D,MATCH($B269,Colaboradores!$A:$A,0)),"")</f>
        <v/>
      </c>
      <c r="F269" s="19" t="n"/>
      <c r="G269" s="15">
        <f>IFERROR(INDEX(Competências!$B:$B,MATCH($F269,Competências!$C:$C,0)),"")</f>
        <v/>
      </c>
      <c r="H269" s="15">
        <f>IFERROR(INDEX(Competências!$E:$E,MATCH($F269,Competências!$C:$C,0)),"")</f>
        <v/>
      </c>
      <c r="I269" s="20" t="n"/>
      <c r="J269" s="20" t="n"/>
      <c r="K269" s="21">
        <f>IF(AND(ISNUMBER($I269),ISNUMBER($J269)),ABS($I269-$J269),"")</f>
        <v/>
      </c>
      <c r="L269" s="21">
        <f>IF(AND(NOT(ISNUMBER($I269)),NOT(ISNUMBER($J269))),"",IF(NOT(ISNUMBER($J269)),$I269,IF(NOT(ISNUMBER($I269)),$J269,IF($K269=0,$I269,IF($K269=1,IF($H269="Líder Técnico",$J269,IF($H269="GP",$I269,"CALIBRAR")),"CALIBRAR")))))</f>
        <v/>
      </c>
      <c r="M269" s="20" t="n"/>
      <c r="N269" s="21">
        <f>IF($C269="","",COUNTIFS(Ocorrências!$B:$B,$C269,Ocorrências!$F:$F,$F269,Ocorrências!$N:$N,$A269))</f>
        <v/>
      </c>
      <c r="O269" s="15">
        <f>IF($M269="","",IF(OR($M269=1,$M269=2,$M269=5),IF($N269&gt;0,"OK","SEM LASTRO"),"OK"))</f>
        <v/>
      </c>
      <c r="P269" s="19" t="n"/>
      <c r="Q269" s="18" t="n"/>
    </row>
    <row r="270">
      <c r="A270" s="19" t="n"/>
      <c r="B270" s="19" t="n"/>
      <c r="C270" s="15">
        <f>IFERROR(INDEX(Colaboradores!$B:$B,MATCH($B270,Colaboradores!$A:$A,0)),"")</f>
        <v/>
      </c>
      <c r="D270" s="15">
        <f>IFERROR(INDEX(Colaboradores!$E:$E,MATCH($B270,Colaboradores!$A:$A,0)),"")</f>
        <v/>
      </c>
      <c r="E270" s="15">
        <f>IFERROR(INDEX(Colaboradores!$D:$D,MATCH($B270,Colaboradores!$A:$A,0)),"")</f>
        <v/>
      </c>
      <c r="F270" s="19" t="n"/>
      <c r="G270" s="15">
        <f>IFERROR(INDEX(Competências!$B:$B,MATCH($F270,Competências!$C:$C,0)),"")</f>
        <v/>
      </c>
      <c r="H270" s="15">
        <f>IFERROR(INDEX(Competências!$E:$E,MATCH($F270,Competências!$C:$C,0)),"")</f>
        <v/>
      </c>
      <c r="I270" s="20" t="n"/>
      <c r="J270" s="20" t="n"/>
      <c r="K270" s="21">
        <f>IF(AND(ISNUMBER($I270),ISNUMBER($J270)),ABS($I270-$J270),"")</f>
        <v/>
      </c>
      <c r="L270" s="21">
        <f>IF(AND(NOT(ISNUMBER($I270)),NOT(ISNUMBER($J270))),"",IF(NOT(ISNUMBER($J270)),$I270,IF(NOT(ISNUMBER($I270)),$J270,IF($K270=0,$I270,IF($K270=1,IF($H270="Líder Técnico",$J270,IF($H270="GP",$I270,"CALIBRAR")),"CALIBRAR")))))</f>
        <v/>
      </c>
      <c r="M270" s="20" t="n"/>
      <c r="N270" s="21">
        <f>IF($C270="","",COUNTIFS(Ocorrências!$B:$B,$C270,Ocorrências!$F:$F,$F270,Ocorrências!$N:$N,$A270))</f>
        <v/>
      </c>
      <c r="O270" s="15">
        <f>IF($M270="","",IF(OR($M270=1,$M270=2,$M270=5),IF($N270&gt;0,"OK","SEM LASTRO"),"OK"))</f>
        <v/>
      </c>
      <c r="P270" s="19" t="n"/>
      <c r="Q270" s="18" t="n"/>
    </row>
    <row r="271">
      <c r="A271" s="19" t="n"/>
      <c r="B271" s="19" t="n"/>
      <c r="C271" s="15">
        <f>IFERROR(INDEX(Colaboradores!$B:$B,MATCH($B271,Colaboradores!$A:$A,0)),"")</f>
        <v/>
      </c>
      <c r="D271" s="15">
        <f>IFERROR(INDEX(Colaboradores!$E:$E,MATCH($B271,Colaboradores!$A:$A,0)),"")</f>
        <v/>
      </c>
      <c r="E271" s="15">
        <f>IFERROR(INDEX(Colaboradores!$D:$D,MATCH($B271,Colaboradores!$A:$A,0)),"")</f>
        <v/>
      </c>
      <c r="F271" s="19" t="n"/>
      <c r="G271" s="15">
        <f>IFERROR(INDEX(Competências!$B:$B,MATCH($F271,Competências!$C:$C,0)),"")</f>
        <v/>
      </c>
      <c r="H271" s="15">
        <f>IFERROR(INDEX(Competências!$E:$E,MATCH($F271,Competências!$C:$C,0)),"")</f>
        <v/>
      </c>
      <c r="I271" s="20" t="n"/>
      <c r="J271" s="20" t="n"/>
      <c r="K271" s="21">
        <f>IF(AND(ISNUMBER($I271),ISNUMBER($J271)),ABS($I271-$J271),"")</f>
        <v/>
      </c>
      <c r="L271" s="21">
        <f>IF(AND(NOT(ISNUMBER($I271)),NOT(ISNUMBER($J271))),"",IF(NOT(ISNUMBER($J271)),$I271,IF(NOT(ISNUMBER($I271)),$J271,IF($K271=0,$I271,IF($K271=1,IF($H271="Líder Técnico",$J271,IF($H271="GP",$I271,"CALIBRAR")),"CALIBRAR")))))</f>
        <v/>
      </c>
      <c r="M271" s="20" t="n"/>
      <c r="N271" s="21">
        <f>IF($C271="","",COUNTIFS(Ocorrências!$B:$B,$C271,Ocorrências!$F:$F,$F271,Ocorrências!$N:$N,$A271))</f>
        <v/>
      </c>
      <c r="O271" s="15">
        <f>IF($M271="","",IF(OR($M271=1,$M271=2,$M271=5),IF($N271&gt;0,"OK","SEM LASTRO"),"OK"))</f>
        <v/>
      </c>
      <c r="P271" s="19" t="n"/>
      <c r="Q271" s="18" t="n"/>
    </row>
    <row r="272">
      <c r="A272" s="19" t="n"/>
      <c r="B272" s="19" t="n"/>
      <c r="C272" s="15">
        <f>IFERROR(INDEX(Colaboradores!$B:$B,MATCH($B272,Colaboradores!$A:$A,0)),"")</f>
        <v/>
      </c>
      <c r="D272" s="15">
        <f>IFERROR(INDEX(Colaboradores!$E:$E,MATCH($B272,Colaboradores!$A:$A,0)),"")</f>
        <v/>
      </c>
      <c r="E272" s="15">
        <f>IFERROR(INDEX(Colaboradores!$D:$D,MATCH($B272,Colaboradores!$A:$A,0)),"")</f>
        <v/>
      </c>
      <c r="F272" s="19" t="n"/>
      <c r="G272" s="15">
        <f>IFERROR(INDEX(Competências!$B:$B,MATCH($F272,Competências!$C:$C,0)),"")</f>
        <v/>
      </c>
      <c r="H272" s="15">
        <f>IFERROR(INDEX(Competências!$E:$E,MATCH($F272,Competências!$C:$C,0)),"")</f>
        <v/>
      </c>
      <c r="I272" s="20" t="n"/>
      <c r="J272" s="20" t="n"/>
      <c r="K272" s="21">
        <f>IF(AND(ISNUMBER($I272),ISNUMBER($J272)),ABS($I272-$J272),"")</f>
        <v/>
      </c>
      <c r="L272" s="21">
        <f>IF(AND(NOT(ISNUMBER($I272)),NOT(ISNUMBER($J272))),"",IF(NOT(ISNUMBER($J272)),$I272,IF(NOT(ISNUMBER($I272)),$J272,IF($K272=0,$I272,IF($K272=1,IF($H272="Líder Técnico",$J272,IF($H272="GP",$I272,"CALIBRAR")),"CALIBRAR")))))</f>
        <v/>
      </c>
      <c r="M272" s="20" t="n"/>
      <c r="N272" s="21">
        <f>IF($C272="","",COUNTIFS(Ocorrências!$B:$B,$C272,Ocorrências!$F:$F,$F272,Ocorrências!$N:$N,$A272))</f>
        <v/>
      </c>
      <c r="O272" s="15">
        <f>IF($M272="","",IF(OR($M272=1,$M272=2,$M272=5),IF($N272&gt;0,"OK","SEM LASTRO"),"OK"))</f>
        <v/>
      </c>
      <c r="P272" s="19" t="n"/>
      <c r="Q272" s="18" t="n"/>
    </row>
    <row r="273">
      <c r="A273" s="19" t="n"/>
      <c r="B273" s="19" t="n"/>
      <c r="C273" s="15">
        <f>IFERROR(INDEX(Colaboradores!$B:$B,MATCH($B273,Colaboradores!$A:$A,0)),"")</f>
        <v/>
      </c>
      <c r="D273" s="15">
        <f>IFERROR(INDEX(Colaboradores!$E:$E,MATCH($B273,Colaboradores!$A:$A,0)),"")</f>
        <v/>
      </c>
      <c r="E273" s="15">
        <f>IFERROR(INDEX(Colaboradores!$D:$D,MATCH($B273,Colaboradores!$A:$A,0)),"")</f>
        <v/>
      </c>
      <c r="F273" s="19" t="n"/>
      <c r="G273" s="15">
        <f>IFERROR(INDEX(Competências!$B:$B,MATCH($F273,Competências!$C:$C,0)),"")</f>
        <v/>
      </c>
      <c r="H273" s="15">
        <f>IFERROR(INDEX(Competências!$E:$E,MATCH($F273,Competências!$C:$C,0)),"")</f>
        <v/>
      </c>
      <c r="I273" s="20" t="n"/>
      <c r="J273" s="20" t="n"/>
      <c r="K273" s="21">
        <f>IF(AND(ISNUMBER($I273),ISNUMBER($J273)),ABS($I273-$J273),"")</f>
        <v/>
      </c>
      <c r="L273" s="21">
        <f>IF(AND(NOT(ISNUMBER($I273)),NOT(ISNUMBER($J273))),"",IF(NOT(ISNUMBER($J273)),$I273,IF(NOT(ISNUMBER($I273)),$J273,IF($K273=0,$I273,IF($K273=1,IF($H273="Líder Técnico",$J273,IF($H273="GP",$I273,"CALIBRAR")),"CALIBRAR")))))</f>
        <v/>
      </c>
      <c r="M273" s="20" t="n"/>
      <c r="N273" s="21">
        <f>IF($C273="","",COUNTIFS(Ocorrências!$B:$B,$C273,Ocorrências!$F:$F,$F273,Ocorrências!$N:$N,$A273))</f>
        <v/>
      </c>
      <c r="O273" s="15">
        <f>IF($M273="","",IF(OR($M273=1,$M273=2,$M273=5),IF($N273&gt;0,"OK","SEM LASTRO"),"OK"))</f>
        <v/>
      </c>
      <c r="P273" s="19" t="n"/>
      <c r="Q273" s="18" t="n"/>
    </row>
    <row r="274">
      <c r="A274" s="19" t="n"/>
      <c r="B274" s="19" t="n"/>
      <c r="C274" s="15">
        <f>IFERROR(INDEX(Colaboradores!$B:$B,MATCH($B274,Colaboradores!$A:$A,0)),"")</f>
        <v/>
      </c>
      <c r="D274" s="15">
        <f>IFERROR(INDEX(Colaboradores!$E:$E,MATCH($B274,Colaboradores!$A:$A,0)),"")</f>
        <v/>
      </c>
      <c r="E274" s="15">
        <f>IFERROR(INDEX(Colaboradores!$D:$D,MATCH($B274,Colaboradores!$A:$A,0)),"")</f>
        <v/>
      </c>
      <c r="F274" s="19" t="n"/>
      <c r="G274" s="15">
        <f>IFERROR(INDEX(Competências!$B:$B,MATCH($F274,Competências!$C:$C,0)),"")</f>
        <v/>
      </c>
      <c r="H274" s="15">
        <f>IFERROR(INDEX(Competências!$E:$E,MATCH($F274,Competências!$C:$C,0)),"")</f>
        <v/>
      </c>
      <c r="I274" s="20" t="n"/>
      <c r="J274" s="20" t="n"/>
      <c r="K274" s="21">
        <f>IF(AND(ISNUMBER($I274),ISNUMBER($J274)),ABS($I274-$J274),"")</f>
        <v/>
      </c>
      <c r="L274" s="21">
        <f>IF(AND(NOT(ISNUMBER($I274)),NOT(ISNUMBER($J274))),"",IF(NOT(ISNUMBER($J274)),$I274,IF(NOT(ISNUMBER($I274)),$J274,IF($K274=0,$I274,IF($K274=1,IF($H274="Líder Técnico",$J274,IF($H274="GP",$I274,"CALIBRAR")),"CALIBRAR")))))</f>
        <v/>
      </c>
      <c r="M274" s="20" t="n"/>
      <c r="N274" s="21">
        <f>IF($C274="","",COUNTIFS(Ocorrências!$B:$B,$C274,Ocorrências!$F:$F,$F274,Ocorrências!$N:$N,$A274))</f>
        <v/>
      </c>
      <c r="O274" s="15">
        <f>IF($M274="","",IF(OR($M274=1,$M274=2,$M274=5),IF($N274&gt;0,"OK","SEM LASTRO"),"OK"))</f>
        <v/>
      </c>
      <c r="P274" s="19" t="n"/>
      <c r="Q274" s="18" t="n"/>
    </row>
    <row r="275">
      <c r="A275" s="19" t="n"/>
      <c r="B275" s="19" t="n"/>
      <c r="C275" s="15">
        <f>IFERROR(INDEX(Colaboradores!$B:$B,MATCH($B275,Colaboradores!$A:$A,0)),"")</f>
        <v/>
      </c>
      <c r="D275" s="15">
        <f>IFERROR(INDEX(Colaboradores!$E:$E,MATCH($B275,Colaboradores!$A:$A,0)),"")</f>
        <v/>
      </c>
      <c r="E275" s="15">
        <f>IFERROR(INDEX(Colaboradores!$D:$D,MATCH($B275,Colaboradores!$A:$A,0)),"")</f>
        <v/>
      </c>
      <c r="F275" s="19" t="n"/>
      <c r="G275" s="15">
        <f>IFERROR(INDEX(Competências!$B:$B,MATCH($F275,Competências!$C:$C,0)),"")</f>
        <v/>
      </c>
      <c r="H275" s="15">
        <f>IFERROR(INDEX(Competências!$E:$E,MATCH($F275,Competências!$C:$C,0)),"")</f>
        <v/>
      </c>
      <c r="I275" s="20" t="n"/>
      <c r="J275" s="20" t="n"/>
      <c r="K275" s="21">
        <f>IF(AND(ISNUMBER($I275),ISNUMBER($J275)),ABS($I275-$J275),"")</f>
        <v/>
      </c>
      <c r="L275" s="21">
        <f>IF(AND(NOT(ISNUMBER($I275)),NOT(ISNUMBER($J275))),"",IF(NOT(ISNUMBER($J275)),$I275,IF(NOT(ISNUMBER($I275)),$J275,IF($K275=0,$I275,IF($K275=1,IF($H275="Líder Técnico",$J275,IF($H275="GP",$I275,"CALIBRAR")),"CALIBRAR")))))</f>
        <v/>
      </c>
      <c r="M275" s="20" t="n"/>
      <c r="N275" s="21">
        <f>IF($C275="","",COUNTIFS(Ocorrências!$B:$B,$C275,Ocorrências!$F:$F,$F275,Ocorrências!$N:$N,$A275))</f>
        <v/>
      </c>
      <c r="O275" s="15">
        <f>IF($M275="","",IF(OR($M275=1,$M275=2,$M275=5),IF($N275&gt;0,"OK","SEM LASTRO"),"OK"))</f>
        <v/>
      </c>
      <c r="P275" s="19" t="n"/>
      <c r="Q275" s="18" t="n"/>
    </row>
    <row r="276">
      <c r="A276" s="19" t="n"/>
      <c r="B276" s="19" t="n"/>
      <c r="C276" s="15">
        <f>IFERROR(INDEX(Colaboradores!$B:$B,MATCH($B276,Colaboradores!$A:$A,0)),"")</f>
        <v/>
      </c>
      <c r="D276" s="15">
        <f>IFERROR(INDEX(Colaboradores!$E:$E,MATCH($B276,Colaboradores!$A:$A,0)),"")</f>
        <v/>
      </c>
      <c r="E276" s="15">
        <f>IFERROR(INDEX(Colaboradores!$D:$D,MATCH($B276,Colaboradores!$A:$A,0)),"")</f>
        <v/>
      </c>
      <c r="F276" s="19" t="n"/>
      <c r="G276" s="15">
        <f>IFERROR(INDEX(Competências!$B:$B,MATCH($F276,Competências!$C:$C,0)),"")</f>
        <v/>
      </c>
      <c r="H276" s="15">
        <f>IFERROR(INDEX(Competências!$E:$E,MATCH($F276,Competências!$C:$C,0)),"")</f>
        <v/>
      </c>
      <c r="I276" s="20" t="n"/>
      <c r="J276" s="20" t="n"/>
      <c r="K276" s="21">
        <f>IF(AND(ISNUMBER($I276),ISNUMBER($J276)),ABS($I276-$J276),"")</f>
        <v/>
      </c>
      <c r="L276" s="21">
        <f>IF(AND(NOT(ISNUMBER($I276)),NOT(ISNUMBER($J276))),"",IF(NOT(ISNUMBER($J276)),$I276,IF(NOT(ISNUMBER($I276)),$J276,IF($K276=0,$I276,IF($K276=1,IF($H276="Líder Técnico",$J276,IF($H276="GP",$I276,"CALIBRAR")),"CALIBRAR")))))</f>
        <v/>
      </c>
      <c r="M276" s="20" t="n"/>
      <c r="N276" s="21">
        <f>IF($C276="","",COUNTIFS(Ocorrências!$B:$B,$C276,Ocorrências!$F:$F,$F276,Ocorrências!$N:$N,$A276))</f>
        <v/>
      </c>
      <c r="O276" s="15">
        <f>IF($M276="","",IF(OR($M276=1,$M276=2,$M276=5),IF($N276&gt;0,"OK","SEM LASTRO"),"OK"))</f>
        <v/>
      </c>
      <c r="P276" s="19" t="n"/>
      <c r="Q276" s="18" t="n"/>
    </row>
    <row r="277">
      <c r="A277" s="19" t="n"/>
      <c r="B277" s="19" t="n"/>
      <c r="C277" s="15">
        <f>IFERROR(INDEX(Colaboradores!$B:$B,MATCH($B277,Colaboradores!$A:$A,0)),"")</f>
        <v/>
      </c>
      <c r="D277" s="15">
        <f>IFERROR(INDEX(Colaboradores!$E:$E,MATCH($B277,Colaboradores!$A:$A,0)),"")</f>
        <v/>
      </c>
      <c r="E277" s="15">
        <f>IFERROR(INDEX(Colaboradores!$D:$D,MATCH($B277,Colaboradores!$A:$A,0)),"")</f>
        <v/>
      </c>
      <c r="F277" s="19" t="n"/>
      <c r="G277" s="15">
        <f>IFERROR(INDEX(Competências!$B:$B,MATCH($F277,Competências!$C:$C,0)),"")</f>
        <v/>
      </c>
      <c r="H277" s="15">
        <f>IFERROR(INDEX(Competências!$E:$E,MATCH($F277,Competências!$C:$C,0)),"")</f>
        <v/>
      </c>
      <c r="I277" s="20" t="n"/>
      <c r="J277" s="20" t="n"/>
      <c r="K277" s="21">
        <f>IF(AND(ISNUMBER($I277),ISNUMBER($J277)),ABS($I277-$J277),"")</f>
        <v/>
      </c>
      <c r="L277" s="21">
        <f>IF(AND(NOT(ISNUMBER($I277)),NOT(ISNUMBER($J277))),"",IF(NOT(ISNUMBER($J277)),$I277,IF(NOT(ISNUMBER($I277)),$J277,IF($K277=0,$I277,IF($K277=1,IF($H277="Líder Técnico",$J277,IF($H277="GP",$I277,"CALIBRAR")),"CALIBRAR")))))</f>
        <v/>
      </c>
      <c r="M277" s="20" t="n"/>
      <c r="N277" s="21">
        <f>IF($C277="","",COUNTIFS(Ocorrências!$B:$B,$C277,Ocorrências!$F:$F,$F277,Ocorrências!$N:$N,$A277))</f>
        <v/>
      </c>
      <c r="O277" s="15">
        <f>IF($M277="","",IF(OR($M277=1,$M277=2,$M277=5),IF($N277&gt;0,"OK","SEM LASTRO"),"OK"))</f>
        <v/>
      </c>
      <c r="P277" s="19" t="n"/>
      <c r="Q277" s="18" t="n"/>
    </row>
    <row r="278">
      <c r="A278" s="19" t="n"/>
      <c r="B278" s="19" t="n"/>
      <c r="C278" s="15">
        <f>IFERROR(INDEX(Colaboradores!$B:$B,MATCH($B278,Colaboradores!$A:$A,0)),"")</f>
        <v/>
      </c>
      <c r="D278" s="15">
        <f>IFERROR(INDEX(Colaboradores!$E:$E,MATCH($B278,Colaboradores!$A:$A,0)),"")</f>
        <v/>
      </c>
      <c r="E278" s="15">
        <f>IFERROR(INDEX(Colaboradores!$D:$D,MATCH($B278,Colaboradores!$A:$A,0)),"")</f>
        <v/>
      </c>
      <c r="F278" s="19" t="n"/>
      <c r="G278" s="15">
        <f>IFERROR(INDEX(Competências!$B:$B,MATCH($F278,Competências!$C:$C,0)),"")</f>
        <v/>
      </c>
      <c r="H278" s="15">
        <f>IFERROR(INDEX(Competências!$E:$E,MATCH($F278,Competências!$C:$C,0)),"")</f>
        <v/>
      </c>
      <c r="I278" s="20" t="n"/>
      <c r="J278" s="20" t="n"/>
      <c r="K278" s="21">
        <f>IF(AND(ISNUMBER($I278),ISNUMBER($J278)),ABS($I278-$J278),"")</f>
        <v/>
      </c>
      <c r="L278" s="21">
        <f>IF(AND(NOT(ISNUMBER($I278)),NOT(ISNUMBER($J278))),"",IF(NOT(ISNUMBER($J278)),$I278,IF(NOT(ISNUMBER($I278)),$J278,IF($K278=0,$I278,IF($K278=1,IF($H278="Líder Técnico",$J278,IF($H278="GP",$I278,"CALIBRAR")),"CALIBRAR")))))</f>
        <v/>
      </c>
      <c r="M278" s="20" t="n"/>
      <c r="N278" s="21">
        <f>IF($C278="","",COUNTIFS(Ocorrências!$B:$B,$C278,Ocorrências!$F:$F,$F278,Ocorrências!$N:$N,$A278))</f>
        <v/>
      </c>
      <c r="O278" s="15">
        <f>IF($M278="","",IF(OR($M278=1,$M278=2,$M278=5),IF($N278&gt;0,"OK","SEM LASTRO"),"OK"))</f>
        <v/>
      </c>
      <c r="P278" s="19" t="n"/>
      <c r="Q278" s="18" t="n"/>
    </row>
    <row r="279">
      <c r="A279" s="19" t="n"/>
      <c r="B279" s="19" t="n"/>
      <c r="C279" s="15">
        <f>IFERROR(INDEX(Colaboradores!$B:$B,MATCH($B279,Colaboradores!$A:$A,0)),"")</f>
        <v/>
      </c>
      <c r="D279" s="15">
        <f>IFERROR(INDEX(Colaboradores!$E:$E,MATCH($B279,Colaboradores!$A:$A,0)),"")</f>
        <v/>
      </c>
      <c r="E279" s="15">
        <f>IFERROR(INDEX(Colaboradores!$D:$D,MATCH($B279,Colaboradores!$A:$A,0)),"")</f>
        <v/>
      </c>
      <c r="F279" s="19" t="n"/>
      <c r="G279" s="15">
        <f>IFERROR(INDEX(Competências!$B:$B,MATCH($F279,Competências!$C:$C,0)),"")</f>
        <v/>
      </c>
      <c r="H279" s="15">
        <f>IFERROR(INDEX(Competências!$E:$E,MATCH($F279,Competências!$C:$C,0)),"")</f>
        <v/>
      </c>
      <c r="I279" s="20" t="n"/>
      <c r="J279" s="20" t="n"/>
      <c r="K279" s="21">
        <f>IF(AND(ISNUMBER($I279),ISNUMBER($J279)),ABS($I279-$J279),"")</f>
        <v/>
      </c>
      <c r="L279" s="21">
        <f>IF(AND(NOT(ISNUMBER($I279)),NOT(ISNUMBER($J279))),"",IF(NOT(ISNUMBER($J279)),$I279,IF(NOT(ISNUMBER($I279)),$J279,IF($K279=0,$I279,IF($K279=1,IF($H279="Líder Técnico",$J279,IF($H279="GP",$I279,"CALIBRAR")),"CALIBRAR")))))</f>
        <v/>
      </c>
      <c r="M279" s="20" t="n"/>
      <c r="N279" s="21">
        <f>IF($C279="","",COUNTIFS(Ocorrências!$B:$B,$C279,Ocorrências!$F:$F,$F279,Ocorrências!$N:$N,$A279))</f>
        <v/>
      </c>
      <c r="O279" s="15">
        <f>IF($M279="","",IF(OR($M279=1,$M279=2,$M279=5),IF($N279&gt;0,"OK","SEM LASTRO"),"OK"))</f>
        <v/>
      </c>
      <c r="P279" s="19" t="n"/>
      <c r="Q279" s="18" t="n"/>
    </row>
    <row r="280">
      <c r="A280" s="19" t="n"/>
      <c r="B280" s="19" t="n"/>
      <c r="C280" s="15">
        <f>IFERROR(INDEX(Colaboradores!$B:$B,MATCH($B280,Colaboradores!$A:$A,0)),"")</f>
        <v/>
      </c>
      <c r="D280" s="15">
        <f>IFERROR(INDEX(Colaboradores!$E:$E,MATCH($B280,Colaboradores!$A:$A,0)),"")</f>
        <v/>
      </c>
      <c r="E280" s="15">
        <f>IFERROR(INDEX(Colaboradores!$D:$D,MATCH($B280,Colaboradores!$A:$A,0)),"")</f>
        <v/>
      </c>
      <c r="F280" s="19" t="n"/>
      <c r="G280" s="15">
        <f>IFERROR(INDEX(Competências!$B:$B,MATCH($F280,Competências!$C:$C,0)),"")</f>
        <v/>
      </c>
      <c r="H280" s="15">
        <f>IFERROR(INDEX(Competências!$E:$E,MATCH($F280,Competências!$C:$C,0)),"")</f>
        <v/>
      </c>
      <c r="I280" s="20" t="n"/>
      <c r="J280" s="20" t="n"/>
      <c r="K280" s="21">
        <f>IF(AND(ISNUMBER($I280),ISNUMBER($J280)),ABS($I280-$J280),"")</f>
        <v/>
      </c>
      <c r="L280" s="21">
        <f>IF(AND(NOT(ISNUMBER($I280)),NOT(ISNUMBER($J280))),"",IF(NOT(ISNUMBER($J280)),$I280,IF(NOT(ISNUMBER($I280)),$J280,IF($K280=0,$I280,IF($K280=1,IF($H280="Líder Técnico",$J280,IF($H280="GP",$I280,"CALIBRAR")),"CALIBRAR")))))</f>
        <v/>
      </c>
      <c r="M280" s="20" t="n"/>
      <c r="N280" s="21">
        <f>IF($C280="","",COUNTIFS(Ocorrências!$B:$B,$C280,Ocorrências!$F:$F,$F280,Ocorrências!$N:$N,$A280))</f>
        <v/>
      </c>
      <c r="O280" s="15">
        <f>IF($M280="","",IF(OR($M280=1,$M280=2,$M280=5),IF($N280&gt;0,"OK","SEM LASTRO"),"OK"))</f>
        <v/>
      </c>
      <c r="P280" s="19" t="n"/>
      <c r="Q280" s="18" t="n"/>
    </row>
    <row r="281">
      <c r="A281" s="19" t="n"/>
      <c r="B281" s="19" t="n"/>
      <c r="C281" s="15">
        <f>IFERROR(INDEX(Colaboradores!$B:$B,MATCH($B281,Colaboradores!$A:$A,0)),"")</f>
        <v/>
      </c>
      <c r="D281" s="15">
        <f>IFERROR(INDEX(Colaboradores!$E:$E,MATCH($B281,Colaboradores!$A:$A,0)),"")</f>
        <v/>
      </c>
      <c r="E281" s="15">
        <f>IFERROR(INDEX(Colaboradores!$D:$D,MATCH($B281,Colaboradores!$A:$A,0)),"")</f>
        <v/>
      </c>
      <c r="F281" s="19" t="n"/>
      <c r="G281" s="15">
        <f>IFERROR(INDEX(Competências!$B:$B,MATCH($F281,Competências!$C:$C,0)),"")</f>
        <v/>
      </c>
      <c r="H281" s="15">
        <f>IFERROR(INDEX(Competências!$E:$E,MATCH($F281,Competências!$C:$C,0)),"")</f>
        <v/>
      </c>
      <c r="I281" s="20" t="n"/>
      <c r="J281" s="20" t="n"/>
      <c r="K281" s="21">
        <f>IF(AND(ISNUMBER($I281),ISNUMBER($J281)),ABS($I281-$J281),"")</f>
        <v/>
      </c>
      <c r="L281" s="21">
        <f>IF(AND(NOT(ISNUMBER($I281)),NOT(ISNUMBER($J281))),"",IF(NOT(ISNUMBER($J281)),$I281,IF(NOT(ISNUMBER($I281)),$J281,IF($K281=0,$I281,IF($K281=1,IF($H281="Líder Técnico",$J281,IF($H281="GP",$I281,"CALIBRAR")),"CALIBRAR")))))</f>
        <v/>
      </c>
      <c r="M281" s="20" t="n"/>
      <c r="N281" s="21">
        <f>IF($C281="","",COUNTIFS(Ocorrências!$B:$B,$C281,Ocorrências!$F:$F,$F281,Ocorrências!$N:$N,$A281))</f>
        <v/>
      </c>
      <c r="O281" s="15">
        <f>IF($M281="","",IF(OR($M281=1,$M281=2,$M281=5),IF($N281&gt;0,"OK","SEM LASTRO"),"OK"))</f>
        <v/>
      </c>
      <c r="P281" s="19" t="n"/>
      <c r="Q281" s="18" t="n"/>
    </row>
    <row r="282">
      <c r="A282" s="19" t="n"/>
      <c r="B282" s="19" t="n"/>
      <c r="C282" s="15">
        <f>IFERROR(INDEX(Colaboradores!$B:$B,MATCH($B282,Colaboradores!$A:$A,0)),"")</f>
        <v/>
      </c>
      <c r="D282" s="15">
        <f>IFERROR(INDEX(Colaboradores!$E:$E,MATCH($B282,Colaboradores!$A:$A,0)),"")</f>
        <v/>
      </c>
      <c r="E282" s="15">
        <f>IFERROR(INDEX(Colaboradores!$D:$D,MATCH($B282,Colaboradores!$A:$A,0)),"")</f>
        <v/>
      </c>
      <c r="F282" s="19" t="n"/>
      <c r="G282" s="15">
        <f>IFERROR(INDEX(Competências!$B:$B,MATCH($F282,Competências!$C:$C,0)),"")</f>
        <v/>
      </c>
      <c r="H282" s="15">
        <f>IFERROR(INDEX(Competências!$E:$E,MATCH($F282,Competências!$C:$C,0)),"")</f>
        <v/>
      </c>
      <c r="I282" s="20" t="n"/>
      <c r="J282" s="20" t="n"/>
      <c r="K282" s="21">
        <f>IF(AND(ISNUMBER($I282),ISNUMBER($J282)),ABS($I282-$J282),"")</f>
        <v/>
      </c>
      <c r="L282" s="21">
        <f>IF(AND(NOT(ISNUMBER($I282)),NOT(ISNUMBER($J282))),"",IF(NOT(ISNUMBER($J282)),$I282,IF(NOT(ISNUMBER($I282)),$J282,IF($K282=0,$I282,IF($K282=1,IF($H282="Líder Técnico",$J282,IF($H282="GP",$I282,"CALIBRAR")),"CALIBRAR")))))</f>
        <v/>
      </c>
      <c r="M282" s="20" t="n"/>
      <c r="N282" s="21">
        <f>IF($C282="","",COUNTIFS(Ocorrências!$B:$B,$C282,Ocorrências!$F:$F,$F282,Ocorrências!$N:$N,$A282))</f>
        <v/>
      </c>
      <c r="O282" s="15">
        <f>IF($M282="","",IF(OR($M282=1,$M282=2,$M282=5),IF($N282&gt;0,"OK","SEM LASTRO"),"OK"))</f>
        <v/>
      </c>
      <c r="P282" s="19" t="n"/>
      <c r="Q282" s="18" t="n"/>
    </row>
    <row r="283">
      <c r="A283" s="19" t="n"/>
      <c r="B283" s="19" t="n"/>
      <c r="C283" s="15">
        <f>IFERROR(INDEX(Colaboradores!$B:$B,MATCH($B283,Colaboradores!$A:$A,0)),"")</f>
        <v/>
      </c>
      <c r="D283" s="15">
        <f>IFERROR(INDEX(Colaboradores!$E:$E,MATCH($B283,Colaboradores!$A:$A,0)),"")</f>
        <v/>
      </c>
      <c r="E283" s="15">
        <f>IFERROR(INDEX(Colaboradores!$D:$D,MATCH($B283,Colaboradores!$A:$A,0)),"")</f>
        <v/>
      </c>
      <c r="F283" s="19" t="n"/>
      <c r="G283" s="15">
        <f>IFERROR(INDEX(Competências!$B:$B,MATCH($F283,Competências!$C:$C,0)),"")</f>
        <v/>
      </c>
      <c r="H283" s="15">
        <f>IFERROR(INDEX(Competências!$E:$E,MATCH($F283,Competências!$C:$C,0)),"")</f>
        <v/>
      </c>
      <c r="I283" s="20" t="n"/>
      <c r="J283" s="20" t="n"/>
      <c r="K283" s="21">
        <f>IF(AND(ISNUMBER($I283),ISNUMBER($J283)),ABS($I283-$J283),"")</f>
        <v/>
      </c>
      <c r="L283" s="21">
        <f>IF(AND(NOT(ISNUMBER($I283)),NOT(ISNUMBER($J283))),"",IF(NOT(ISNUMBER($J283)),$I283,IF(NOT(ISNUMBER($I283)),$J283,IF($K283=0,$I283,IF($K283=1,IF($H283="Líder Técnico",$J283,IF($H283="GP",$I283,"CALIBRAR")),"CALIBRAR")))))</f>
        <v/>
      </c>
      <c r="M283" s="20" t="n"/>
      <c r="N283" s="21">
        <f>IF($C283="","",COUNTIFS(Ocorrências!$B:$B,$C283,Ocorrências!$F:$F,$F283,Ocorrências!$N:$N,$A283))</f>
        <v/>
      </c>
      <c r="O283" s="15">
        <f>IF($M283="","",IF(OR($M283=1,$M283=2,$M283=5),IF($N283&gt;0,"OK","SEM LASTRO"),"OK"))</f>
        <v/>
      </c>
      <c r="P283" s="19" t="n"/>
      <c r="Q283" s="18" t="n"/>
    </row>
    <row r="284">
      <c r="A284" s="19" t="n"/>
      <c r="B284" s="19" t="n"/>
      <c r="C284" s="15">
        <f>IFERROR(INDEX(Colaboradores!$B:$B,MATCH($B284,Colaboradores!$A:$A,0)),"")</f>
        <v/>
      </c>
      <c r="D284" s="15">
        <f>IFERROR(INDEX(Colaboradores!$E:$E,MATCH($B284,Colaboradores!$A:$A,0)),"")</f>
        <v/>
      </c>
      <c r="E284" s="15">
        <f>IFERROR(INDEX(Colaboradores!$D:$D,MATCH($B284,Colaboradores!$A:$A,0)),"")</f>
        <v/>
      </c>
      <c r="F284" s="19" t="n"/>
      <c r="G284" s="15">
        <f>IFERROR(INDEX(Competências!$B:$B,MATCH($F284,Competências!$C:$C,0)),"")</f>
        <v/>
      </c>
      <c r="H284" s="15">
        <f>IFERROR(INDEX(Competências!$E:$E,MATCH($F284,Competências!$C:$C,0)),"")</f>
        <v/>
      </c>
      <c r="I284" s="20" t="n"/>
      <c r="J284" s="20" t="n"/>
      <c r="K284" s="21">
        <f>IF(AND(ISNUMBER($I284),ISNUMBER($J284)),ABS($I284-$J284),"")</f>
        <v/>
      </c>
      <c r="L284" s="21">
        <f>IF(AND(NOT(ISNUMBER($I284)),NOT(ISNUMBER($J284))),"",IF(NOT(ISNUMBER($J284)),$I284,IF(NOT(ISNUMBER($I284)),$J284,IF($K284=0,$I284,IF($K284=1,IF($H284="Líder Técnico",$J284,IF($H284="GP",$I284,"CALIBRAR")),"CALIBRAR")))))</f>
        <v/>
      </c>
      <c r="M284" s="20" t="n"/>
      <c r="N284" s="21">
        <f>IF($C284="","",COUNTIFS(Ocorrências!$B:$B,$C284,Ocorrências!$F:$F,$F284,Ocorrências!$N:$N,$A284))</f>
        <v/>
      </c>
      <c r="O284" s="15">
        <f>IF($M284="","",IF(OR($M284=1,$M284=2,$M284=5),IF($N284&gt;0,"OK","SEM LASTRO"),"OK"))</f>
        <v/>
      </c>
      <c r="P284" s="19" t="n"/>
      <c r="Q284" s="18" t="n"/>
    </row>
    <row r="285">
      <c r="A285" s="19" t="n"/>
      <c r="B285" s="19" t="n"/>
      <c r="C285" s="15">
        <f>IFERROR(INDEX(Colaboradores!$B:$B,MATCH($B285,Colaboradores!$A:$A,0)),"")</f>
        <v/>
      </c>
      <c r="D285" s="15">
        <f>IFERROR(INDEX(Colaboradores!$E:$E,MATCH($B285,Colaboradores!$A:$A,0)),"")</f>
        <v/>
      </c>
      <c r="E285" s="15">
        <f>IFERROR(INDEX(Colaboradores!$D:$D,MATCH($B285,Colaboradores!$A:$A,0)),"")</f>
        <v/>
      </c>
      <c r="F285" s="19" t="n"/>
      <c r="G285" s="15">
        <f>IFERROR(INDEX(Competências!$B:$B,MATCH($F285,Competências!$C:$C,0)),"")</f>
        <v/>
      </c>
      <c r="H285" s="15">
        <f>IFERROR(INDEX(Competências!$E:$E,MATCH($F285,Competências!$C:$C,0)),"")</f>
        <v/>
      </c>
      <c r="I285" s="20" t="n"/>
      <c r="J285" s="20" t="n"/>
      <c r="K285" s="21">
        <f>IF(AND(ISNUMBER($I285),ISNUMBER($J285)),ABS($I285-$J285),"")</f>
        <v/>
      </c>
      <c r="L285" s="21">
        <f>IF(AND(NOT(ISNUMBER($I285)),NOT(ISNUMBER($J285))),"",IF(NOT(ISNUMBER($J285)),$I285,IF(NOT(ISNUMBER($I285)),$J285,IF($K285=0,$I285,IF($K285=1,IF($H285="Líder Técnico",$J285,IF($H285="GP",$I285,"CALIBRAR")),"CALIBRAR")))))</f>
        <v/>
      </c>
      <c r="M285" s="20" t="n"/>
      <c r="N285" s="21">
        <f>IF($C285="","",COUNTIFS(Ocorrências!$B:$B,$C285,Ocorrências!$F:$F,$F285,Ocorrências!$N:$N,$A285))</f>
        <v/>
      </c>
      <c r="O285" s="15">
        <f>IF($M285="","",IF(OR($M285=1,$M285=2,$M285=5),IF($N285&gt;0,"OK","SEM LASTRO"),"OK"))</f>
        <v/>
      </c>
      <c r="P285" s="19" t="n"/>
      <c r="Q285" s="18" t="n"/>
    </row>
    <row r="286">
      <c r="A286" s="19" t="n"/>
      <c r="B286" s="19" t="n"/>
      <c r="C286" s="15">
        <f>IFERROR(INDEX(Colaboradores!$B:$B,MATCH($B286,Colaboradores!$A:$A,0)),"")</f>
        <v/>
      </c>
      <c r="D286" s="15">
        <f>IFERROR(INDEX(Colaboradores!$E:$E,MATCH($B286,Colaboradores!$A:$A,0)),"")</f>
        <v/>
      </c>
      <c r="E286" s="15">
        <f>IFERROR(INDEX(Colaboradores!$D:$D,MATCH($B286,Colaboradores!$A:$A,0)),"")</f>
        <v/>
      </c>
      <c r="F286" s="19" t="n"/>
      <c r="G286" s="15">
        <f>IFERROR(INDEX(Competências!$B:$B,MATCH($F286,Competências!$C:$C,0)),"")</f>
        <v/>
      </c>
      <c r="H286" s="15">
        <f>IFERROR(INDEX(Competências!$E:$E,MATCH($F286,Competências!$C:$C,0)),"")</f>
        <v/>
      </c>
      <c r="I286" s="20" t="n"/>
      <c r="J286" s="20" t="n"/>
      <c r="K286" s="21">
        <f>IF(AND(ISNUMBER($I286),ISNUMBER($J286)),ABS($I286-$J286),"")</f>
        <v/>
      </c>
      <c r="L286" s="21">
        <f>IF(AND(NOT(ISNUMBER($I286)),NOT(ISNUMBER($J286))),"",IF(NOT(ISNUMBER($J286)),$I286,IF(NOT(ISNUMBER($I286)),$J286,IF($K286=0,$I286,IF($K286=1,IF($H286="Líder Técnico",$J286,IF($H286="GP",$I286,"CALIBRAR")),"CALIBRAR")))))</f>
        <v/>
      </c>
      <c r="M286" s="20" t="n"/>
      <c r="N286" s="21">
        <f>IF($C286="","",COUNTIFS(Ocorrências!$B:$B,$C286,Ocorrências!$F:$F,$F286,Ocorrências!$N:$N,$A286))</f>
        <v/>
      </c>
      <c r="O286" s="15">
        <f>IF($M286="","",IF(OR($M286=1,$M286=2,$M286=5),IF($N286&gt;0,"OK","SEM LASTRO"),"OK"))</f>
        <v/>
      </c>
      <c r="P286" s="19" t="n"/>
      <c r="Q286" s="18" t="n"/>
    </row>
    <row r="287">
      <c r="A287" s="19" t="n"/>
      <c r="B287" s="19" t="n"/>
      <c r="C287" s="15">
        <f>IFERROR(INDEX(Colaboradores!$B:$B,MATCH($B287,Colaboradores!$A:$A,0)),"")</f>
        <v/>
      </c>
      <c r="D287" s="15">
        <f>IFERROR(INDEX(Colaboradores!$E:$E,MATCH($B287,Colaboradores!$A:$A,0)),"")</f>
        <v/>
      </c>
      <c r="E287" s="15">
        <f>IFERROR(INDEX(Colaboradores!$D:$D,MATCH($B287,Colaboradores!$A:$A,0)),"")</f>
        <v/>
      </c>
      <c r="F287" s="19" t="n"/>
      <c r="G287" s="15">
        <f>IFERROR(INDEX(Competências!$B:$B,MATCH($F287,Competências!$C:$C,0)),"")</f>
        <v/>
      </c>
      <c r="H287" s="15">
        <f>IFERROR(INDEX(Competências!$E:$E,MATCH($F287,Competências!$C:$C,0)),"")</f>
        <v/>
      </c>
      <c r="I287" s="20" t="n"/>
      <c r="J287" s="20" t="n"/>
      <c r="K287" s="21">
        <f>IF(AND(ISNUMBER($I287),ISNUMBER($J287)),ABS($I287-$J287),"")</f>
        <v/>
      </c>
      <c r="L287" s="21">
        <f>IF(AND(NOT(ISNUMBER($I287)),NOT(ISNUMBER($J287))),"",IF(NOT(ISNUMBER($J287)),$I287,IF(NOT(ISNUMBER($I287)),$J287,IF($K287=0,$I287,IF($K287=1,IF($H287="Líder Técnico",$J287,IF($H287="GP",$I287,"CALIBRAR")),"CALIBRAR")))))</f>
        <v/>
      </c>
      <c r="M287" s="20" t="n"/>
      <c r="N287" s="21">
        <f>IF($C287="","",COUNTIFS(Ocorrências!$B:$B,$C287,Ocorrências!$F:$F,$F287,Ocorrências!$N:$N,$A287))</f>
        <v/>
      </c>
      <c r="O287" s="15">
        <f>IF($M287="","",IF(OR($M287=1,$M287=2,$M287=5),IF($N287&gt;0,"OK","SEM LASTRO"),"OK"))</f>
        <v/>
      </c>
      <c r="P287" s="19" t="n"/>
      <c r="Q287" s="18" t="n"/>
    </row>
    <row r="288">
      <c r="A288" s="19" t="n"/>
      <c r="B288" s="19" t="n"/>
      <c r="C288" s="15">
        <f>IFERROR(INDEX(Colaboradores!$B:$B,MATCH($B288,Colaboradores!$A:$A,0)),"")</f>
        <v/>
      </c>
      <c r="D288" s="15">
        <f>IFERROR(INDEX(Colaboradores!$E:$E,MATCH($B288,Colaboradores!$A:$A,0)),"")</f>
        <v/>
      </c>
      <c r="E288" s="15">
        <f>IFERROR(INDEX(Colaboradores!$D:$D,MATCH($B288,Colaboradores!$A:$A,0)),"")</f>
        <v/>
      </c>
      <c r="F288" s="19" t="n"/>
      <c r="G288" s="15">
        <f>IFERROR(INDEX(Competências!$B:$B,MATCH($F288,Competências!$C:$C,0)),"")</f>
        <v/>
      </c>
      <c r="H288" s="15">
        <f>IFERROR(INDEX(Competências!$E:$E,MATCH($F288,Competências!$C:$C,0)),"")</f>
        <v/>
      </c>
      <c r="I288" s="20" t="n"/>
      <c r="J288" s="20" t="n"/>
      <c r="K288" s="21">
        <f>IF(AND(ISNUMBER($I288),ISNUMBER($J288)),ABS($I288-$J288),"")</f>
        <v/>
      </c>
      <c r="L288" s="21">
        <f>IF(AND(NOT(ISNUMBER($I288)),NOT(ISNUMBER($J288))),"",IF(NOT(ISNUMBER($J288)),$I288,IF(NOT(ISNUMBER($I288)),$J288,IF($K288=0,$I288,IF($K288=1,IF($H288="Líder Técnico",$J288,IF($H288="GP",$I288,"CALIBRAR")),"CALIBRAR")))))</f>
        <v/>
      </c>
      <c r="M288" s="20" t="n"/>
      <c r="N288" s="21">
        <f>IF($C288="","",COUNTIFS(Ocorrências!$B:$B,$C288,Ocorrências!$F:$F,$F288,Ocorrências!$N:$N,$A288))</f>
        <v/>
      </c>
      <c r="O288" s="15">
        <f>IF($M288="","",IF(OR($M288=1,$M288=2,$M288=5),IF($N288&gt;0,"OK","SEM LASTRO"),"OK"))</f>
        <v/>
      </c>
      <c r="P288" s="19" t="n"/>
      <c r="Q288" s="18" t="n"/>
    </row>
    <row r="289">
      <c r="A289" s="19" t="n"/>
      <c r="B289" s="19" t="n"/>
      <c r="C289" s="15">
        <f>IFERROR(INDEX(Colaboradores!$B:$B,MATCH($B289,Colaboradores!$A:$A,0)),"")</f>
        <v/>
      </c>
      <c r="D289" s="15">
        <f>IFERROR(INDEX(Colaboradores!$E:$E,MATCH($B289,Colaboradores!$A:$A,0)),"")</f>
        <v/>
      </c>
      <c r="E289" s="15">
        <f>IFERROR(INDEX(Colaboradores!$D:$D,MATCH($B289,Colaboradores!$A:$A,0)),"")</f>
        <v/>
      </c>
      <c r="F289" s="19" t="n"/>
      <c r="G289" s="15">
        <f>IFERROR(INDEX(Competências!$B:$B,MATCH($F289,Competências!$C:$C,0)),"")</f>
        <v/>
      </c>
      <c r="H289" s="15">
        <f>IFERROR(INDEX(Competências!$E:$E,MATCH($F289,Competências!$C:$C,0)),"")</f>
        <v/>
      </c>
      <c r="I289" s="20" t="n"/>
      <c r="J289" s="20" t="n"/>
      <c r="K289" s="21">
        <f>IF(AND(ISNUMBER($I289),ISNUMBER($J289)),ABS($I289-$J289),"")</f>
        <v/>
      </c>
      <c r="L289" s="21">
        <f>IF(AND(NOT(ISNUMBER($I289)),NOT(ISNUMBER($J289))),"",IF(NOT(ISNUMBER($J289)),$I289,IF(NOT(ISNUMBER($I289)),$J289,IF($K289=0,$I289,IF($K289=1,IF($H289="Líder Técnico",$J289,IF($H289="GP",$I289,"CALIBRAR")),"CALIBRAR")))))</f>
        <v/>
      </c>
      <c r="M289" s="20" t="n"/>
      <c r="N289" s="21">
        <f>IF($C289="","",COUNTIFS(Ocorrências!$B:$B,$C289,Ocorrências!$F:$F,$F289,Ocorrências!$N:$N,$A289))</f>
        <v/>
      </c>
      <c r="O289" s="15">
        <f>IF($M289="","",IF(OR($M289=1,$M289=2,$M289=5),IF($N289&gt;0,"OK","SEM LASTRO"),"OK"))</f>
        <v/>
      </c>
      <c r="P289" s="19" t="n"/>
      <c r="Q289" s="18" t="n"/>
    </row>
    <row r="290">
      <c r="A290" s="19" t="n"/>
      <c r="B290" s="19" t="n"/>
      <c r="C290" s="15">
        <f>IFERROR(INDEX(Colaboradores!$B:$B,MATCH($B290,Colaboradores!$A:$A,0)),"")</f>
        <v/>
      </c>
      <c r="D290" s="15">
        <f>IFERROR(INDEX(Colaboradores!$E:$E,MATCH($B290,Colaboradores!$A:$A,0)),"")</f>
        <v/>
      </c>
      <c r="E290" s="15">
        <f>IFERROR(INDEX(Colaboradores!$D:$D,MATCH($B290,Colaboradores!$A:$A,0)),"")</f>
        <v/>
      </c>
      <c r="F290" s="19" t="n"/>
      <c r="G290" s="15">
        <f>IFERROR(INDEX(Competências!$B:$B,MATCH($F290,Competências!$C:$C,0)),"")</f>
        <v/>
      </c>
      <c r="H290" s="15">
        <f>IFERROR(INDEX(Competências!$E:$E,MATCH($F290,Competências!$C:$C,0)),"")</f>
        <v/>
      </c>
      <c r="I290" s="20" t="n"/>
      <c r="J290" s="20" t="n"/>
      <c r="K290" s="21">
        <f>IF(AND(ISNUMBER($I290),ISNUMBER($J290)),ABS($I290-$J290),"")</f>
        <v/>
      </c>
      <c r="L290" s="21">
        <f>IF(AND(NOT(ISNUMBER($I290)),NOT(ISNUMBER($J290))),"",IF(NOT(ISNUMBER($J290)),$I290,IF(NOT(ISNUMBER($I290)),$J290,IF($K290=0,$I290,IF($K290=1,IF($H290="Líder Técnico",$J290,IF($H290="GP",$I290,"CALIBRAR")),"CALIBRAR")))))</f>
        <v/>
      </c>
      <c r="M290" s="20" t="n"/>
      <c r="N290" s="21">
        <f>IF($C290="","",COUNTIFS(Ocorrências!$B:$B,$C290,Ocorrências!$F:$F,$F290,Ocorrências!$N:$N,$A290))</f>
        <v/>
      </c>
      <c r="O290" s="15">
        <f>IF($M290="","",IF(OR($M290=1,$M290=2,$M290=5),IF($N290&gt;0,"OK","SEM LASTRO"),"OK"))</f>
        <v/>
      </c>
      <c r="P290" s="19" t="n"/>
      <c r="Q290" s="18" t="n"/>
    </row>
    <row r="291">
      <c r="A291" s="19" t="n"/>
      <c r="B291" s="19" t="n"/>
      <c r="C291" s="15">
        <f>IFERROR(INDEX(Colaboradores!$B:$B,MATCH($B291,Colaboradores!$A:$A,0)),"")</f>
        <v/>
      </c>
      <c r="D291" s="15">
        <f>IFERROR(INDEX(Colaboradores!$E:$E,MATCH($B291,Colaboradores!$A:$A,0)),"")</f>
        <v/>
      </c>
      <c r="E291" s="15">
        <f>IFERROR(INDEX(Colaboradores!$D:$D,MATCH($B291,Colaboradores!$A:$A,0)),"")</f>
        <v/>
      </c>
      <c r="F291" s="19" t="n"/>
      <c r="G291" s="15">
        <f>IFERROR(INDEX(Competências!$B:$B,MATCH($F291,Competências!$C:$C,0)),"")</f>
        <v/>
      </c>
      <c r="H291" s="15">
        <f>IFERROR(INDEX(Competências!$E:$E,MATCH($F291,Competências!$C:$C,0)),"")</f>
        <v/>
      </c>
      <c r="I291" s="20" t="n"/>
      <c r="J291" s="20" t="n"/>
      <c r="K291" s="21">
        <f>IF(AND(ISNUMBER($I291),ISNUMBER($J291)),ABS($I291-$J291),"")</f>
        <v/>
      </c>
      <c r="L291" s="21">
        <f>IF(AND(NOT(ISNUMBER($I291)),NOT(ISNUMBER($J291))),"",IF(NOT(ISNUMBER($J291)),$I291,IF(NOT(ISNUMBER($I291)),$J291,IF($K291=0,$I291,IF($K291=1,IF($H291="Líder Técnico",$J291,IF($H291="GP",$I291,"CALIBRAR")),"CALIBRAR")))))</f>
        <v/>
      </c>
      <c r="M291" s="20" t="n"/>
      <c r="N291" s="21">
        <f>IF($C291="","",COUNTIFS(Ocorrências!$B:$B,$C291,Ocorrências!$F:$F,$F291,Ocorrências!$N:$N,$A291))</f>
        <v/>
      </c>
      <c r="O291" s="15">
        <f>IF($M291="","",IF(OR($M291=1,$M291=2,$M291=5),IF($N291&gt;0,"OK","SEM LASTRO"),"OK"))</f>
        <v/>
      </c>
      <c r="P291" s="19" t="n"/>
      <c r="Q291" s="18" t="n"/>
    </row>
    <row r="292">
      <c r="A292" s="19" t="n"/>
      <c r="B292" s="19" t="n"/>
      <c r="C292" s="15">
        <f>IFERROR(INDEX(Colaboradores!$B:$B,MATCH($B292,Colaboradores!$A:$A,0)),"")</f>
        <v/>
      </c>
      <c r="D292" s="15">
        <f>IFERROR(INDEX(Colaboradores!$E:$E,MATCH($B292,Colaboradores!$A:$A,0)),"")</f>
        <v/>
      </c>
      <c r="E292" s="15">
        <f>IFERROR(INDEX(Colaboradores!$D:$D,MATCH($B292,Colaboradores!$A:$A,0)),"")</f>
        <v/>
      </c>
      <c r="F292" s="19" t="n"/>
      <c r="G292" s="15">
        <f>IFERROR(INDEX(Competências!$B:$B,MATCH($F292,Competências!$C:$C,0)),"")</f>
        <v/>
      </c>
      <c r="H292" s="15">
        <f>IFERROR(INDEX(Competências!$E:$E,MATCH($F292,Competências!$C:$C,0)),"")</f>
        <v/>
      </c>
      <c r="I292" s="20" t="n"/>
      <c r="J292" s="20" t="n"/>
      <c r="K292" s="21">
        <f>IF(AND(ISNUMBER($I292),ISNUMBER($J292)),ABS($I292-$J292),"")</f>
        <v/>
      </c>
      <c r="L292" s="21">
        <f>IF(AND(NOT(ISNUMBER($I292)),NOT(ISNUMBER($J292))),"",IF(NOT(ISNUMBER($J292)),$I292,IF(NOT(ISNUMBER($I292)),$J292,IF($K292=0,$I292,IF($K292=1,IF($H292="Líder Técnico",$J292,IF($H292="GP",$I292,"CALIBRAR")),"CALIBRAR")))))</f>
        <v/>
      </c>
      <c r="M292" s="20" t="n"/>
      <c r="N292" s="21">
        <f>IF($C292="","",COUNTIFS(Ocorrências!$B:$B,$C292,Ocorrências!$F:$F,$F292,Ocorrências!$N:$N,$A292))</f>
        <v/>
      </c>
      <c r="O292" s="15">
        <f>IF($M292="","",IF(OR($M292=1,$M292=2,$M292=5),IF($N292&gt;0,"OK","SEM LASTRO"),"OK"))</f>
        <v/>
      </c>
      <c r="P292" s="19" t="n"/>
      <c r="Q292" s="18" t="n"/>
    </row>
    <row r="293">
      <c r="A293" s="19" t="n"/>
      <c r="B293" s="19" t="n"/>
      <c r="C293" s="15">
        <f>IFERROR(INDEX(Colaboradores!$B:$B,MATCH($B293,Colaboradores!$A:$A,0)),"")</f>
        <v/>
      </c>
      <c r="D293" s="15">
        <f>IFERROR(INDEX(Colaboradores!$E:$E,MATCH($B293,Colaboradores!$A:$A,0)),"")</f>
        <v/>
      </c>
      <c r="E293" s="15">
        <f>IFERROR(INDEX(Colaboradores!$D:$D,MATCH($B293,Colaboradores!$A:$A,0)),"")</f>
        <v/>
      </c>
      <c r="F293" s="19" t="n"/>
      <c r="G293" s="15">
        <f>IFERROR(INDEX(Competências!$B:$B,MATCH($F293,Competências!$C:$C,0)),"")</f>
        <v/>
      </c>
      <c r="H293" s="15">
        <f>IFERROR(INDEX(Competências!$E:$E,MATCH($F293,Competências!$C:$C,0)),"")</f>
        <v/>
      </c>
      <c r="I293" s="20" t="n"/>
      <c r="J293" s="20" t="n"/>
      <c r="K293" s="21">
        <f>IF(AND(ISNUMBER($I293),ISNUMBER($J293)),ABS($I293-$J293),"")</f>
        <v/>
      </c>
      <c r="L293" s="21">
        <f>IF(AND(NOT(ISNUMBER($I293)),NOT(ISNUMBER($J293))),"",IF(NOT(ISNUMBER($J293)),$I293,IF(NOT(ISNUMBER($I293)),$J293,IF($K293=0,$I293,IF($K293=1,IF($H293="Líder Técnico",$J293,IF($H293="GP",$I293,"CALIBRAR")),"CALIBRAR")))))</f>
        <v/>
      </c>
      <c r="M293" s="20" t="n"/>
      <c r="N293" s="21">
        <f>IF($C293="","",COUNTIFS(Ocorrências!$B:$B,$C293,Ocorrências!$F:$F,$F293,Ocorrências!$N:$N,$A293))</f>
        <v/>
      </c>
      <c r="O293" s="15">
        <f>IF($M293="","",IF(OR($M293=1,$M293=2,$M293=5),IF($N293&gt;0,"OK","SEM LASTRO"),"OK"))</f>
        <v/>
      </c>
      <c r="P293" s="19" t="n"/>
      <c r="Q293" s="18" t="n"/>
    </row>
    <row r="294">
      <c r="A294" s="19" t="n"/>
      <c r="B294" s="19" t="n"/>
      <c r="C294" s="15">
        <f>IFERROR(INDEX(Colaboradores!$B:$B,MATCH($B294,Colaboradores!$A:$A,0)),"")</f>
        <v/>
      </c>
      <c r="D294" s="15">
        <f>IFERROR(INDEX(Colaboradores!$E:$E,MATCH($B294,Colaboradores!$A:$A,0)),"")</f>
        <v/>
      </c>
      <c r="E294" s="15">
        <f>IFERROR(INDEX(Colaboradores!$D:$D,MATCH($B294,Colaboradores!$A:$A,0)),"")</f>
        <v/>
      </c>
      <c r="F294" s="19" t="n"/>
      <c r="G294" s="15">
        <f>IFERROR(INDEX(Competências!$B:$B,MATCH($F294,Competências!$C:$C,0)),"")</f>
        <v/>
      </c>
      <c r="H294" s="15">
        <f>IFERROR(INDEX(Competências!$E:$E,MATCH($F294,Competências!$C:$C,0)),"")</f>
        <v/>
      </c>
      <c r="I294" s="20" t="n"/>
      <c r="J294" s="20" t="n"/>
      <c r="K294" s="21">
        <f>IF(AND(ISNUMBER($I294),ISNUMBER($J294)),ABS($I294-$J294),"")</f>
        <v/>
      </c>
      <c r="L294" s="21">
        <f>IF(AND(NOT(ISNUMBER($I294)),NOT(ISNUMBER($J294))),"",IF(NOT(ISNUMBER($J294)),$I294,IF(NOT(ISNUMBER($I294)),$J294,IF($K294=0,$I294,IF($K294=1,IF($H294="Líder Técnico",$J294,IF($H294="GP",$I294,"CALIBRAR")),"CALIBRAR")))))</f>
        <v/>
      </c>
      <c r="M294" s="20" t="n"/>
      <c r="N294" s="21">
        <f>IF($C294="","",COUNTIFS(Ocorrências!$B:$B,$C294,Ocorrências!$F:$F,$F294,Ocorrências!$N:$N,$A294))</f>
        <v/>
      </c>
      <c r="O294" s="15">
        <f>IF($M294="","",IF(OR($M294=1,$M294=2,$M294=5),IF($N294&gt;0,"OK","SEM LASTRO"),"OK"))</f>
        <v/>
      </c>
      <c r="P294" s="19" t="n"/>
      <c r="Q294" s="18" t="n"/>
    </row>
    <row r="295">
      <c r="A295" s="19" t="n"/>
      <c r="B295" s="19" t="n"/>
      <c r="C295" s="15">
        <f>IFERROR(INDEX(Colaboradores!$B:$B,MATCH($B295,Colaboradores!$A:$A,0)),"")</f>
        <v/>
      </c>
      <c r="D295" s="15">
        <f>IFERROR(INDEX(Colaboradores!$E:$E,MATCH($B295,Colaboradores!$A:$A,0)),"")</f>
        <v/>
      </c>
      <c r="E295" s="15">
        <f>IFERROR(INDEX(Colaboradores!$D:$D,MATCH($B295,Colaboradores!$A:$A,0)),"")</f>
        <v/>
      </c>
      <c r="F295" s="19" t="n"/>
      <c r="G295" s="15">
        <f>IFERROR(INDEX(Competências!$B:$B,MATCH($F295,Competências!$C:$C,0)),"")</f>
        <v/>
      </c>
      <c r="H295" s="15">
        <f>IFERROR(INDEX(Competências!$E:$E,MATCH($F295,Competências!$C:$C,0)),"")</f>
        <v/>
      </c>
      <c r="I295" s="20" t="n"/>
      <c r="J295" s="20" t="n"/>
      <c r="K295" s="21">
        <f>IF(AND(ISNUMBER($I295),ISNUMBER($J295)),ABS($I295-$J295),"")</f>
        <v/>
      </c>
      <c r="L295" s="21">
        <f>IF(AND(NOT(ISNUMBER($I295)),NOT(ISNUMBER($J295))),"",IF(NOT(ISNUMBER($J295)),$I295,IF(NOT(ISNUMBER($I295)),$J295,IF($K295=0,$I295,IF($K295=1,IF($H295="Líder Técnico",$J295,IF($H295="GP",$I295,"CALIBRAR")),"CALIBRAR")))))</f>
        <v/>
      </c>
      <c r="M295" s="20" t="n"/>
      <c r="N295" s="21">
        <f>IF($C295="","",COUNTIFS(Ocorrências!$B:$B,$C295,Ocorrências!$F:$F,$F295,Ocorrências!$N:$N,$A295))</f>
        <v/>
      </c>
      <c r="O295" s="15">
        <f>IF($M295="","",IF(OR($M295=1,$M295=2,$M295=5),IF($N295&gt;0,"OK","SEM LASTRO"),"OK"))</f>
        <v/>
      </c>
      <c r="P295" s="19" t="n"/>
      <c r="Q295" s="18" t="n"/>
    </row>
    <row r="296">
      <c r="A296" s="19" t="n"/>
      <c r="B296" s="19" t="n"/>
      <c r="C296" s="15">
        <f>IFERROR(INDEX(Colaboradores!$B:$B,MATCH($B296,Colaboradores!$A:$A,0)),"")</f>
        <v/>
      </c>
      <c r="D296" s="15">
        <f>IFERROR(INDEX(Colaboradores!$E:$E,MATCH($B296,Colaboradores!$A:$A,0)),"")</f>
        <v/>
      </c>
      <c r="E296" s="15">
        <f>IFERROR(INDEX(Colaboradores!$D:$D,MATCH($B296,Colaboradores!$A:$A,0)),"")</f>
        <v/>
      </c>
      <c r="F296" s="19" t="n"/>
      <c r="G296" s="15">
        <f>IFERROR(INDEX(Competências!$B:$B,MATCH($F296,Competências!$C:$C,0)),"")</f>
        <v/>
      </c>
      <c r="H296" s="15">
        <f>IFERROR(INDEX(Competências!$E:$E,MATCH($F296,Competências!$C:$C,0)),"")</f>
        <v/>
      </c>
      <c r="I296" s="20" t="n"/>
      <c r="J296" s="20" t="n"/>
      <c r="K296" s="21">
        <f>IF(AND(ISNUMBER($I296),ISNUMBER($J296)),ABS($I296-$J296),"")</f>
        <v/>
      </c>
      <c r="L296" s="21">
        <f>IF(AND(NOT(ISNUMBER($I296)),NOT(ISNUMBER($J296))),"",IF(NOT(ISNUMBER($J296)),$I296,IF(NOT(ISNUMBER($I296)),$J296,IF($K296=0,$I296,IF($K296=1,IF($H296="Líder Técnico",$J296,IF($H296="GP",$I296,"CALIBRAR")),"CALIBRAR")))))</f>
        <v/>
      </c>
      <c r="M296" s="20" t="n"/>
      <c r="N296" s="21">
        <f>IF($C296="","",COUNTIFS(Ocorrências!$B:$B,$C296,Ocorrências!$F:$F,$F296,Ocorrências!$N:$N,$A296))</f>
        <v/>
      </c>
      <c r="O296" s="15">
        <f>IF($M296="","",IF(OR($M296=1,$M296=2,$M296=5),IF($N296&gt;0,"OK","SEM LASTRO"),"OK"))</f>
        <v/>
      </c>
      <c r="P296" s="19" t="n"/>
      <c r="Q296" s="18" t="n"/>
    </row>
    <row r="297">
      <c r="A297" s="19" t="n"/>
      <c r="B297" s="19" t="n"/>
      <c r="C297" s="15">
        <f>IFERROR(INDEX(Colaboradores!$B:$B,MATCH($B297,Colaboradores!$A:$A,0)),"")</f>
        <v/>
      </c>
      <c r="D297" s="15">
        <f>IFERROR(INDEX(Colaboradores!$E:$E,MATCH($B297,Colaboradores!$A:$A,0)),"")</f>
        <v/>
      </c>
      <c r="E297" s="15">
        <f>IFERROR(INDEX(Colaboradores!$D:$D,MATCH($B297,Colaboradores!$A:$A,0)),"")</f>
        <v/>
      </c>
      <c r="F297" s="19" t="n"/>
      <c r="G297" s="15">
        <f>IFERROR(INDEX(Competências!$B:$B,MATCH($F297,Competências!$C:$C,0)),"")</f>
        <v/>
      </c>
      <c r="H297" s="15">
        <f>IFERROR(INDEX(Competências!$E:$E,MATCH($F297,Competências!$C:$C,0)),"")</f>
        <v/>
      </c>
      <c r="I297" s="20" t="n"/>
      <c r="J297" s="20" t="n"/>
      <c r="K297" s="21">
        <f>IF(AND(ISNUMBER($I297),ISNUMBER($J297)),ABS($I297-$J297),"")</f>
        <v/>
      </c>
      <c r="L297" s="21">
        <f>IF(AND(NOT(ISNUMBER($I297)),NOT(ISNUMBER($J297))),"",IF(NOT(ISNUMBER($J297)),$I297,IF(NOT(ISNUMBER($I297)),$J297,IF($K297=0,$I297,IF($K297=1,IF($H297="Líder Técnico",$J297,IF($H297="GP",$I297,"CALIBRAR")),"CALIBRAR")))))</f>
        <v/>
      </c>
      <c r="M297" s="20" t="n"/>
      <c r="N297" s="21">
        <f>IF($C297="","",COUNTIFS(Ocorrências!$B:$B,$C297,Ocorrências!$F:$F,$F297,Ocorrências!$N:$N,$A297))</f>
        <v/>
      </c>
      <c r="O297" s="15">
        <f>IF($M297="","",IF(OR($M297=1,$M297=2,$M297=5),IF($N297&gt;0,"OK","SEM LASTRO"),"OK"))</f>
        <v/>
      </c>
      <c r="P297" s="19" t="n"/>
      <c r="Q297" s="18" t="n"/>
    </row>
    <row r="298">
      <c r="A298" s="19" t="n"/>
      <c r="B298" s="19" t="n"/>
      <c r="C298" s="15">
        <f>IFERROR(INDEX(Colaboradores!$B:$B,MATCH($B298,Colaboradores!$A:$A,0)),"")</f>
        <v/>
      </c>
      <c r="D298" s="15">
        <f>IFERROR(INDEX(Colaboradores!$E:$E,MATCH($B298,Colaboradores!$A:$A,0)),"")</f>
        <v/>
      </c>
      <c r="E298" s="15">
        <f>IFERROR(INDEX(Colaboradores!$D:$D,MATCH($B298,Colaboradores!$A:$A,0)),"")</f>
        <v/>
      </c>
      <c r="F298" s="19" t="n"/>
      <c r="G298" s="15">
        <f>IFERROR(INDEX(Competências!$B:$B,MATCH($F298,Competências!$C:$C,0)),"")</f>
        <v/>
      </c>
      <c r="H298" s="15">
        <f>IFERROR(INDEX(Competências!$E:$E,MATCH($F298,Competências!$C:$C,0)),"")</f>
        <v/>
      </c>
      <c r="I298" s="20" t="n"/>
      <c r="J298" s="20" t="n"/>
      <c r="K298" s="21">
        <f>IF(AND(ISNUMBER($I298),ISNUMBER($J298)),ABS($I298-$J298),"")</f>
        <v/>
      </c>
      <c r="L298" s="21">
        <f>IF(AND(NOT(ISNUMBER($I298)),NOT(ISNUMBER($J298))),"",IF(NOT(ISNUMBER($J298)),$I298,IF(NOT(ISNUMBER($I298)),$J298,IF($K298=0,$I298,IF($K298=1,IF($H298="Líder Técnico",$J298,IF($H298="GP",$I298,"CALIBRAR")),"CALIBRAR")))))</f>
        <v/>
      </c>
      <c r="M298" s="20" t="n"/>
      <c r="N298" s="21">
        <f>IF($C298="","",COUNTIFS(Ocorrências!$B:$B,$C298,Ocorrências!$F:$F,$F298,Ocorrências!$N:$N,$A298))</f>
        <v/>
      </c>
      <c r="O298" s="15">
        <f>IF($M298="","",IF(OR($M298=1,$M298=2,$M298=5),IF($N298&gt;0,"OK","SEM LASTRO"),"OK"))</f>
        <v/>
      </c>
      <c r="P298" s="19" t="n"/>
      <c r="Q298" s="18" t="n"/>
    </row>
    <row r="299">
      <c r="A299" s="19" t="n"/>
      <c r="B299" s="19" t="n"/>
      <c r="C299" s="15">
        <f>IFERROR(INDEX(Colaboradores!$B:$B,MATCH($B299,Colaboradores!$A:$A,0)),"")</f>
        <v/>
      </c>
      <c r="D299" s="15">
        <f>IFERROR(INDEX(Colaboradores!$E:$E,MATCH($B299,Colaboradores!$A:$A,0)),"")</f>
        <v/>
      </c>
      <c r="E299" s="15">
        <f>IFERROR(INDEX(Colaboradores!$D:$D,MATCH($B299,Colaboradores!$A:$A,0)),"")</f>
        <v/>
      </c>
      <c r="F299" s="19" t="n"/>
      <c r="G299" s="15">
        <f>IFERROR(INDEX(Competências!$B:$B,MATCH($F299,Competências!$C:$C,0)),"")</f>
        <v/>
      </c>
      <c r="H299" s="15">
        <f>IFERROR(INDEX(Competências!$E:$E,MATCH($F299,Competências!$C:$C,0)),"")</f>
        <v/>
      </c>
      <c r="I299" s="20" t="n"/>
      <c r="J299" s="20" t="n"/>
      <c r="K299" s="21">
        <f>IF(AND(ISNUMBER($I299),ISNUMBER($J299)),ABS($I299-$J299),"")</f>
        <v/>
      </c>
      <c r="L299" s="21">
        <f>IF(AND(NOT(ISNUMBER($I299)),NOT(ISNUMBER($J299))),"",IF(NOT(ISNUMBER($J299)),$I299,IF(NOT(ISNUMBER($I299)),$J299,IF($K299=0,$I299,IF($K299=1,IF($H299="Líder Técnico",$J299,IF($H299="GP",$I299,"CALIBRAR")),"CALIBRAR")))))</f>
        <v/>
      </c>
      <c r="M299" s="20" t="n"/>
      <c r="N299" s="21">
        <f>IF($C299="","",COUNTIFS(Ocorrências!$B:$B,$C299,Ocorrências!$F:$F,$F299,Ocorrências!$N:$N,$A299))</f>
        <v/>
      </c>
      <c r="O299" s="15">
        <f>IF($M299="","",IF(OR($M299=1,$M299=2,$M299=5),IF($N299&gt;0,"OK","SEM LASTRO"),"OK"))</f>
        <v/>
      </c>
      <c r="P299" s="19" t="n"/>
      <c r="Q299" s="18" t="n"/>
    </row>
    <row r="300">
      <c r="A300" s="19" t="n"/>
      <c r="B300" s="19" t="n"/>
      <c r="C300" s="15">
        <f>IFERROR(INDEX(Colaboradores!$B:$B,MATCH($B300,Colaboradores!$A:$A,0)),"")</f>
        <v/>
      </c>
      <c r="D300" s="15">
        <f>IFERROR(INDEX(Colaboradores!$E:$E,MATCH($B300,Colaboradores!$A:$A,0)),"")</f>
        <v/>
      </c>
      <c r="E300" s="15">
        <f>IFERROR(INDEX(Colaboradores!$D:$D,MATCH($B300,Colaboradores!$A:$A,0)),"")</f>
        <v/>
      </c>
      <c r="F300" s="19" t="n"/>
      <c r="G300" s="15">
        <f>IFERROR(INDEX(Competências!$B:$B,MATCH($F300,Competências!$C:$C,0)),"")</f>
        <v/>
      </c>
      <c r="H300" s="15">
        <f>IFERROR(INDEX(Competências!$E:$E,MATCH($F300,Competências!$C:$C,0)),"")</f>
        <v/>
      </c>
      <c r="I300" s="20" t="n"/>
      <c r="J300" s="20" t="n"/>
      <c r="K300" s="21">
        <f>IF(AND(ISNUMBER($I300),ISNUMBER($J300)),ABS($I300-$J300),"")</f>
        <v/>
      </c>
      <c r="L300" s="21">
        <f>IF(AND(NOT(ISNUMBER($I300)),NOT(ISNUMBER($J300))),"",IF(NOT(ISNUMBER($J300)),$I300,IF(NOT(ISNUMBER($I300)),$J300,IF($K300=0,$I300,IF($K300=1,IF($H300="Líder Técnico",$J300,IF($H300="GP",$I300,"CALIBRAR")),"CALIBRAR")))))</f>
        <v/>
      </c>
      <c r="M300" s="20" t="n"/>
      <c r="N300" s="21">
        <f>IF($C300="","",COUNTIFS(Ocorrências!$B:$B,$C300,Ocorrências!$F:$F,$F300,Ocorrências!$N:$N,$A300))</f>
        <v/>
      </c>
      <c r="O300" s="15">
        <f>IF($M300="","",IF(OR($M300=1,$M300=2,$M300=5),IF($N300&gt;0,"OK","SEM LASTRO"),"OK"))</f>
        <v/>
      </c>
      <c r="P300" s="19" t="n"/>
      <c r="Q300" s="18" t="n"/>
    </row>
    <row r="301">
      <c r="A301" s="19" t="n"/>
      <c r="B301" s="19" t="n"/>
      <c r="C301" s="15">
        <f>IFERROR(INDEX(Colaboradores!$B:$B,MATCH($B301,Colaboradores!$A:$A,0)),"")</f>
        <v/>
      </c>
      <c r="D301" s="15">
        <f>IFERROR(INDEX(Colaboradores!$E:$E,MATCH($B301,Colaboradores!$A:$A,0)),"")</f>
        <v/>
      </c>
      <c r="E301" s="15">
        <f>IFERROR(INDEX(Colaboradores!$D:$D,MATCH($B301,Colaboradores!$A:$A,0)),"")</f>
        <v/>
      </c>
      <c r="F301" s="19" t="n"/>
      <c r="G301" s="15">
        <f>IFERROR(INDEX(Competências!$B:$B,MATCH($F301,Competências!$C:$C,0)),"")</f>
        <v/>
      </c>
      <c r="H301" s="15">
        <f>IFERROR(INDEX(Competências!$E:$E,MATCH($F301,Competências!$C:$C,0)),"")</f>
        <v/>
      </c>
      <c r="I301" s="20" t="n"/>
      <c r="J301" s="20" t="n"/>
      <c r="K301" s="21">
        <f>IF(AND(ISNUMBER($I301),ISNUMBER($J301)),ABS($I301-$J301),"")</f>
        <v/>
      </c>
      <c r="L301" s="21">
        <f>IF(AND(NOT(ISNUMBER($I301)),NOT(ISNUMBER($J301))),"",IF(NOT(ISNUMBER($J301)),$I301,IF(NOT(ISNUMBER($I301)),$J301,IF($K301=0,$I301,IF($K301=1,IF($H301="Líder Técnico",$J301,IF($H301="GP",$I301,"CALIBRAR")),"CALIBRAR")))))</f>
        <v/>
      </c>
      <c r="M301" s="20" t="n"/>
      <c r="N301" s="21">
        <f>IF($C301="","",COUNTIFS(Ocorrências!$B:$B,$C301,Ocorrências!$F:$F,$F301,Ocorrências!$N:$N,$A301))</f>
        <v/>
      </c>
      <c r="O301" s="15">
        <f>IF($M301="","",IF(OR($M301=1,$M301=2,$M301=5),IF($N301&gt;0,"OK","SEM LASTRO"),"OK"))</f>
        <v/>
      </c>
      <c r="P301" s="19" t="n"/>
      <c r="Q301" s="18" t="n"/>
    </row>
    <row r="302">
      <c r="A302" s="19" t="n"/>
      <c r="B302" s="19" t="n"/>
      <c r="C302" s="15">
        <f>IFERROR(INDEX(Colaboradores!$B:$B,MATCH($B302,Colaboradores!$A:$A,0)),"")</f>
        <v/>
      </c>
      <c r="D302" s="15">
        <f>IFERROR(INDEX(Colaboradores!$E:$E,MATCH($B302,Colaboradores!$A:$A,0)),"")</f>
        <v/>
      </c>
      <c r="E302" s="15">
        <f>IFERROR(INDEX(Colaboradores!$D:$D,MATCH($B302,Colaboradores!$A:$A,0)),"")</f>
        <v/>
      </c>
      <c r="F302" s="19" t="n"/>
      <c r="G302" s="15">
        <f>IFERROR(INDEX(Competências!$B:$B,MATCH($F302,Competências!$C:$C,0)),"")</f>
        <v/>
      </c>
      <c r="H302" s="15">
        <f>IFERROR(INDEX(Competências!$E:$E,MATCH($F302,Competências!$C:$C,0)),"")</f>
        <v/>
      </c>
      <c r="I302" s="20" t="n"/>
      <c r="J302" s="20" t="n"/>
      <c r="K302" s="21">
        <f>IF(AND(ISNUMBER($I302),ISNUMBER($J302)),ABS($I302-$J302),"")</f>
        <v/>
      </c>
      <c r="L302" s="21">
        <f>IF(AND(NOT(ISNUMBER($I302)),NOT(ISNUMBER($J302))),"",IF(NOT(ISNUMBER($J302)),$I302,IF(NOT(ISNUMBER($I302)),$J302,IF($K302=0,$I302,IF($K302=1,IF($H302="Líder Técnico",$J302,IF($H302="GP",$I302,"CALIBRAR")),"CALIBRAR")))))</f>
        <v/>
      </c>
      <c r="M302" s="20" t="n"/>
      <c r="N302" s="21">
        <f>IF($C302="","",COUNTIFS(Ocorrências!$B:$B,$C302,Ocorrências!$F:$F,$F302,Ocorrências!$N:$N,$A302))</f>
        <v/>
      </c>
      <c r="O302" s="15">
        <f>IF($M302="","",IF(OR($M302=1,$M302=2,$M302=5),IF($N302&gt;0,"OK","SEM LASTRO"),"OK"))</f>
        <v/>
      </c>
      <c r="P302" s="19" t="n"/>
      <c r="Q302" s="18" t="n"/>
    </row>
    <row r="303">
      <c r="A303" s="19" t="n"/>
      <c r="B303" s="19" t="n"/>
      <c r="C303" s="15">
        <f>IFERROR(INDEX(Colaboradores!$B:$B,MATCH($B303,Colaboradores!$A:$A,0)),"")</f>
        <v/>
      </c>
      <c r="D303" s="15">
        <f>IFERROR(INDEX(Colaboradores!$E:$E,MATCH($B303,Colaboradores!$A:$A,0)),"")</f>
        <v/>
      </c>
      <c r="E303" s="15">
        <f>IFERROR(INDEX(Colaboradores!$D:$D,MATCH($B303,Colaboradores!$A:$A,0)),"")</f>
        <v/>
      </c>
      <c r="F303" s="19" t="n"/>
      <c r="G303" s="15">
        <f>IFERROR(INDEX(Competências!$B:$B,MATCH($F303,Competências!$C:$C,0)),"")</f>
        <v/>
      </c>
      <c r="H303" s="15">
        <f>IFERROR(INDEX(Competências!$E:$E,MATCH($F303,Competências!$C:$C,0)),"")</f>
        <v/>
      </c>
      <c r="I303" s="20" t="n"/>
      <c r="J303" s="20" t="n"/>
      <c r="K303" s="21">
        <f>IF(AND(ISNUMBER($I303),ISNUMBER($J303)),ABS($I303-$J303),"")</f>
        <v/>
      </c>
      <c r="L303" s="21">
        <f>IF(AND(NOT(ISNUMBER($I303)),NOT(ISNUMBER($J303))),"",IF(NOT(ISNUMBER($J303)),$I303,IF(NOT(ISNUMBER($I303)),$J303,IF($K303=0,$I303,IF($K303=1,IF($H303="Líder Técnico",$J303,IF($H303="GP",$I303,"CALIBRAR")),"CALIBRAR")))))</f>
        <v/>
      </c>
      <c r="M303" s="20" t="n"/>
      <c r="N303" s="21">
        <f>IF($C303="","",COUNTIFS(Ocorrências!$B:$B,$C303,Ocorrências!$F:$F,$F303,Ocorrências!$N:$N,$A303))</f>
        <v/>
      </c>
      <c r="O303" s="15">
        <f>IF($M303="","",IF(OR($M303=1,$M303=2,$M303=5),IF($N303&gt;0,"OK","SEM LASTRO"),"OK"))</f>
        <v/>
      </c>
      <c r="P303" s="19" t="n"/>
      <c r="Q303" s="18" t="n"/>
    </row>
    <row r="304">
      <c r="A304" s="19" t="n"/>
      <c r="B304" s="19" t="n"/>
      <c r="C304" s="15">
        <f>IFERROR(INDEX(Colaboradores!$B:$B,MATCH($B304,Colaboradores!$A:$A,0)),"")</f>
        <v/>
      </c>
      <c r="D304" s="15">
        <f>IFERROR(INDEX(Colaboradores!$E:$E,MATCH($B304,Colaboradores!$A:$A,0)),"")</f>
        <v/>
      </c>
      <c r="E304" s="15">
        <f>IFERROR(INDEX(Colaboradores!$D:$D,MATCH($B304,Colaboradores!$A:$A,0)),"")</f>
        <v/>
      </c>
      <c r="F304" s="19" t="n"/>
      <c r="G304" s="15">
        <f>IFERROR(INDEX(Competências!$B:$B,MATCH($F304,Competências!$C:$C,0)),"")</f>
        <v/>
      </c>
      <c r="H304" s="15">
        <f>IFERROR(INDEX(Competências!$E:$E,MATCH($F304,Competências!$C:$C,0)),"")</f>
        <v/>
      </c>
      <c r="I304" s="20" t="n"/>
      <c r="J304" s="20" t="n"/>
      <c r="K304" s="21">
        <f>IF(AND(ISNUMBER($I304),ISNUMBER($J304)),ABS($I304-$J304),"")</f>
        <v/>
      </c>
      <c r="L304" s="21">
        <f>IF(AND(NOT(ISNUMBER($I304)),NOT(ISNUMBER($J304))),"",IF(NOT(ISNUMBER($J304)),$I304,IF(NOT(ISNUMBER($I304)),$J304,IF($K304=0,$I304,IF($K304=1,IF($H304="Líder Técnico",$J304,IF($H304="GP",$I304,"CALIBRAR")),"CALIBRAR")))))</f>
        <v/>
      </c>
      <c r="M304" s="20" t="n"/>
      <c r="N304" s="21">
        <f>IF($C304="","",COUNTIFS(Ocorrências!$B:$B,$C304,Ocorrências!$F:$F,$F304,Ocorrências!$N:$N,$A304))</f>
        <v/>
      </c>
      <c r="O304" s="15">
        <f>IF($M304="","",IF(OR($M304=1,$M304=2,$M304=5),IF($N304&gt;0,"OK","SEM LASTRO"),"OK"))</f>
        <v/>
      </c>
      <c r="P304" s="19" t="n"/>
      <c r="Q304" s="18" t="n"/>
    </row>
  </sheetData>
  <conditionalFormatting sqref="O5:O304">
    <cfRule type="cellIs" priority="1" operator="equal" dxfId="4">
      <formula>"SEM LASTRO"</formula>
    </cfRule>
  </conditionalFormatting>
  <conditionalFormatting sqref="K5:L304">
    <cfRule type="expression" priority="2" dxfId="1">
      <formula>$K5&gt;=2</formula>
    </cfRule>
  </conditionalFormatting>
  <dataValidations count="4">
    <dataValidation sqref="F5:F304" showDropDown="0" showInputMessage="0" showErrorMessage="0" allowBlank="1" type="list">
      <formula1>=Competências!$C$2:$C$12</formula1>
    </dataValidation>
    <dataValidation sqref="I5:I304" showDropDown="0" showInputMessage="0" showErrorMessage="0" allowBlank="1" type="list">
      <formula1>=Config!$Q$8:$Q$13</formula1>
    </dataValidation>
    <dataValidation sqref="J5:J304" showDropDown="0" showInputMessage="0" showErrorMessage="0" allowBlank="1" type="list">
      <formula1>=Config!$Q$8:$Q$13</formula1>
    </dataValidation>
    <dataValidation sqref="M5:M304" showDropDown="0" showInputMessage="0" showErrorMessage="0" allowBlank="1" type="list">
      <formula1>=Config!$Q$8:$Q$13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4" customWidth="1" min="4" max="4"/>
    <col width="46" customWidth="1" min="5" max="5"/>
    <col width="44" customWidth="1" min="6" max="6"/>
    <col width="14" customWidth="1" min="7" max="7"/>
  </cols>
  <sheetData>
    <row r="1" ht="22" customHeight="1">
      <c r="A1" s="1" t="inlineStr">
        <is>
          <t>Pauta de 1:1 — monta sozinha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Escolha o colaborador em B4. Entre na sala sem preparar nada. Reconhecimentos vêm primeiro, de propósito.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2" t="inlineStr">
        <is>
          <t>Colaborador</t>
        </is>
      </c>
      <c r="B4" s="23" t="inlineStr">
        <is>
          <t>Ana Ribeiro</t>
        </is>
      </c>
      <c r="C4" s="3">
        <f>IFERROR("ID "&amp;INDEX(Colaboradores!$A:$A,MATCH($B$4,Colaboradores!$B:$B,0))&amp;" · "&amp;INDEX(Colaboradores!$D:$D,MATCH($B$4,Colaboradores!$B:$B,0))&amp;" "&amp;INDEX(Colaboradores!$E:$E,MATCH($B$4,Colaboradores!$B:$B,0))&amp;" · squad "&amp;INDEX(Colaboradores!$F:$F,MATCH($B$4,Colaboradores!$B:$B,0))&amp;" · "&amp;INDEX(Colaboradores!$G:$G,MATCH($B$4,Colaboradores!$B:$B,0)),"")</f>
        <v/>
      </c>
      <c r="D4" s="2" t="n"/>
      <c r="E4" s="2" t="n"/>
      <c r="F4" s="2" t="n"/>
      <c r="G4" s="2" t="n"/>
    </row>
    <row r="5">
      <c r="A5" s="22" t="inlineStr">
        <is>
          <t>Ciclo</t>
        </is>
      </c>
      <c r="B5" s="24">
        <f>Config!$B$4</f>
        <v/>
      </c>
      <c r="C5" s="8">
        <f>IFERROR("Nota ponderada "&amp;TEXT(INDEX(Painel!$L:$L,MATCH($B$4,Painel!$B:$B,0)),"0.00")&amp;"  ·  expectativa "&amp;TEXT(INDEX(Painel!$M:$M,MATCH($B$4,Painel!$B:$B,0)),"0.0")&amp;"  ·  gap "&amp;TEXT(INDEX(Painel!$N:$N,MATCH($B$4,Painel!$B:$B,0)),"+0.00;-0.00")&amp;"  ·  "&amp;INDEX(Painel!$O:$O,MATCH($B$4,Painel!$B:$B,0)),"Sem avaliação no ciclo")</f>
        <v/>
      </c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4" t="inlineStr">
        <is>
          <t>1. COMPETÊNCIAS — a conversa é sobre a distância entre a nota e a expectativa, não sobre a nota</t>
        </is>
      </c>
      <c r="B7" s="5" t="n"/>
      <c r="C7" s="5" t="n"/>
      <c r="D7" s="5" t="n"/>
      <c r="E7" s="5" t="n"/>
      <c r="F7" s="5" t="n"/>
      <c r="G7" s="5" t="n"/>
    </row>
    <row r="8" ht="30" customHeight="1">
      <c r="A8" s="13" t="inlineStr">
        <is>
          <t>Competência</t>
        </is>
      </c>
      <c r="B8" s="13" t="inlineStr">
        <is>
          <t>Nota GP</t>
        </is>
      </c>
      <c r="C8" s="13" t="inlineStr">
        <is>
          <t>Nota LT</t>
        </is>
      </c>
      <c r="D8" s="13" t="inlineStr">
        <is>
          <t>Nota final</t>
        </is>
      </c>
      <c r="E8" s="13" t="inlineStr">
        <is>
          <t>Âncora do nível em que ela está hoje</t>
        </is>
      </c>
      <c r="F8" s="13" t="inlineStr">
        <is>
          <t>Âncora do nível seguinte (o que falta)</t>
        </is>
      </c>
      <c r="G8" s="13" t="inlineStr">
        <is>
          <t>Gap vs. expectativa</t>
        </is>
      </c>
    </row>
    <row r="9" ht="46" customHeight="1">
      <c r="A9" s="15" t="inlineStr">
        <is>
          <t>Previsibilidade</t>
        </is>
      </c>
      <c r="B9" s="25">
        <f>IFERROR(IF(SUMPRODUCT((Avaliação!$C$5:$C$304=$B$4)*(Avaliação!$A$5:$A$304=$B$5)*(Avaliação!$F$5:$F$304=$A9)*ISNUMBER(Avaliação!$I$5:$I$304))=0,"",SUMIFS(Avaliação!$I$5:$I$304,Avaliação!$C$5:$C$304,$B$4,Avaliação!$A$5:$A$304,$B$5,Avaliação!$F$5:$F$304,$A9)),"")</f>
        <v/>
      </c>
      <c r="C9" s="25">
        <f>IFERROR(IF(SUMPRODUCT((Avaliação!$C$5:$C$304=$B$4)*(Avaliação!$A$5:$A$304=$B$5)*(Avaliação!$F$5:$F$304=$A9)*ISNUMBER(Avaliação!$J$5:$J$304))=0,"",SUMIFS(Avaliação!$J$5:$J$304,Avaliação!$C$5:$C$304,$B$4,Avaliação!$A$5:$A$304,$B$5,Avaliação!$F$5:$F$304,$A9)),"")</f>
        <v/>
      </c>
      <c r="D9" s="25">
        <f>IFERROR(IF(SUMPRODUCT((Avaliação!$C$5:$C$304=$B$4)*(Avaliação!$A$5:$A$304=$B$5)*(Avaliação!$F$5:$F$304=$A9)*ISNUMBER(Avaliação!$M$5:$M$304))=0,"",SUMIFS(Avaliação!$M$5:$M$304,Avaliação!$C$5:$C$304,$B$4,Avaliação!$A$5:$A$304,$B$5,Avaliação!$F$5:$F$304,$A9)),"")</f>
        <v/>
      </c>
      <c r="E9" s="15">
        <f>IFERROR(INDEX(Âncoras!$B$5:$F$15,MATCH($A9,Âncoras!$A$5:$A$15,0),$D9),"")</f>
        <v/>
      </c>
      <c r="F9" s="15">
        <f>IFERROR(IF($D9&gt;=5,"Já é referência.",INDEX(Âncoras!$B$5:$F$15,MATCH($A9,Âncoras!$A$5:$A$15,0),$D9+1)),"")</f>
        <v/>
      </c>
      <c r="G9" s="25">
        <f>IFERROR(IF($D9="","",$D9-INDEX(Painel!$M:$M,MATCH($B$4,Painel!$B:$B,0))),"")</f>
        <v/>
      </c>
    </row>
    <row r="10" ht="46" customHeight="1">
      <c r="A10" s="15" t="inlineStr">
        <is>
          <t>Qualidade da entrega</t>
        </is>
      </c>
      <c r="B10" s="25">
        <f>IFERROR(IF(SUMPRODUCT((Avaliação!$C$5:$C$304=$B$4)*(Avaliação!$A$5:$A$304=$B$5)*(Avaliação!$F$5:$F$304=$A10)*ISNUMBER(Avaliação!$I$5:$I$304))=0,"",SUMIFS(Avaliação!$I$5:$I$304,Avaliação!$C$5:$C$304,$B$4,Avaliação!$A$5:$A$304,$B$5,Avaliação!$F$5:$F$304,$A10)),"")</f>
        <v/>
      </c>
      <c r="C10" s="25">
        <f>IFERROR(IF(SUMPRODUCT((Avaliação!$C$5:$C$304=$B$4)*(Avaliação!$A$5:$A$304=$B$5)*(Avaliação!$F$5:$F$304=$A10)*ISNUMBER(Avaliação!$J$5:$J$304))=0,"",SUMIFS(Avaliação!$J$5:$J$304,Avaliação!$C$5:$C$304,$B$4,Avaliação!$A$5:$A$304,$B$5,Avaliação!$F$5:$F$304,$A10)),"")</f>
        <v/>
      </c>
      <c r="D10" s="25">
        <f>IFERROR(IF(SUMPRODUCT((Avaliação!$C$5:$C$304=$B$4)*(Avaliação!$A$5:$A$304=$B$5)*(Avaliação!$F$5:$F$304=$A10)*ISNUMBER(Avaliação!$M$5:$M$304))=0,"",SUMIFS(Avaliação!$M$5:$M$304,Avaliação!$C$5:$C$304,$B$4,Avaliação!$A$5:$A$304,$B$5,Avaliação!$F$5:$F$304,$A10)),"")</f>
        <v/>
      </c>
      <c r="E10" s="15">
        <f>IFERROR(INDEX(Âncoras!$B$5:$F$15,MATCH($A10,Âncoras!$A$5:$A$15,0),$D10),"")</f>
        <v/>
      </c>
      <c r="F10" s="15">
        <f>IFERROR(IF($D10&gt;=5,"Já é referência.",INDEX(Âncoras!$B$5:$F$15,MATCH($A10,Âncoras!$A$5:$A$15,0),$D10+1)),"")</f>
        <v/>
      </c>
      <c r="G10" s="25">
        <f>IFERROR(IF($D10="","",$D10-INDEX(Painel!$M:$M,MATCH($B$4,Painel!$B:$B,0))),"")</f>
        <v/>
      </c>
    </row>
    <row r="11" ht="46" customHeight="1">
      <c r="A11" s="15" t="inlineStr">
        <is>
          <t>Foco em valor</t>
        </is>
      </c>
      <c r="B11" s="25">
        <f>IFERROR(IF(SUMPRODUCT((Avaliação!$C$5:$C$304=$B$4)*(Avaliação!$A$5:$A$304=$B$5)*(Avaliação!$F$5:$F$304=$A11)*ISNUMBER(Avaliação!$I$5:$I$304))=0,"",SUMIFS(Avaliação!$I$5:$I$304,Avaliação!$C$5:$C$304,$B$4,Avaliação!$A$5:$A$304,$B$5,Avaliação!$F$5:$F$304,$A11)),"")</f>
        <v/>
      </c>
      <c r="C11" s="25">
        <f>IFERROR(IF(SUMPRODUCT((Avaliação!$C$5:$C$304=$B$4)*(Avaliação!$A$5:$A$304=$B$5)*(Avaliação!$F$5:$F$304=$A11)*ISNUMBER(Avaliação!$J$5:$J$304))=0,"",SUMIFS(Avaliação!$J$5:$J$304,Avaliação!$C$5:$C$304,$B$4,Avaliação!$A$5:$A$304,$B$5,Avaliação!$F$5:$F$304,$A11)),"")</f>
        <v/>
      </c>
      <c r="D11" s="25">
        <f>IFERROR(IF(SUMPRODUCT((Avaliação!$C$5:$C$304=$B$4)*(Avaliação!$A$5:$A$304=$B$5)*(Avaliação!$F$5:$F$304=$A11)*ISNUMBER(Avaliação!$M$5:$M$304))=0,"",SUMIFS(Avaliação!$M$5:$M$304,Avaliação!$C$5:$C$304,$B$4,Avaliação!$A$5:$A$304,$B$5,Avaliação!$F$5:$F$304,$A11)),"")</f>
        <v/>
      </c>
      <c r="E11" s="15">
        <f>IFERROR(INDEX(Âncoras!$B$5:$F$15,MATCH($A11,Âncoras!$A$5:$A$15,0),$D11),"")</f>
        <v/>
      </c>
      <c r="F11" s="15">
        <f>IFERROR(IF($D11&gt;=5,"Já é referência.",INDEX(Âncoras!$B$5:$F$15,MATCH($A11,Âncoras!$A$5:$A$15,0),$D11+1)),"")</f>
        <v/>
      </c>
      <c r="G11" s="25">
        <f>IFERROR(IF($D11="","",$D11-INDEX(Painel!$M:$M,MATCH($B$4,Painel!$B:$B,0))),"")</f>
        <v/>
      </c>
    </row>
    <row r="12" ht="46" customHeight="1">
      <c r="A12" s="15" t="inlineStr">
        <is>
          <t>Domínio técnico</t>
        </is>
      </c>
      <c r="B12" s="25">
        <f>IFERROR(IF(SUMPRODUCT((Avaliação!$C$5:$C$304=$B$4)*(Avaliação!$A$5:$A$304=$B$5)*(Avaliação!$F$5:$F$304=$A12)*ISNUMBER(Avaliação!$I$5:$I$304))=0,"",SUMIFS(Avaliação!$I$5:$I$304,Avaliação!$C$5:$C$304,$B$4,Avaliação!$A$5:$A$304,$B$5,Avaliação!$F$5:$F$304,$A12)),"")</f>
        <v/>
      </c>
      <c r="C12" s="25">
        <f>IFERROR(IF(SUMPRODUCT((Avaliação!$C$5:$C$304=$B$4)*(Avaliação!$A$5:$A$304=$B$5)*(Avaliação!$F$5:$F$304=$A12)*ISNUMBER(Avaliação!$J$5:$J$304))=0,"",SUMIFS(Avaliação!$J$5:$J$304,Avaliação!$C$5:$C$304,$B$4,Avaliação!$A$5:$A$304,$B$5,Avaliação!$F$5:$F$304,$A12)),"")</f>
        <v/>
      </c>
      <c r="D12" s="25">
        <f>IFERROR(IF(SUMPRODUCT((Avaliação!$C$5:$C$304=$B$4)*(Avaliação!$A$5:$A$304=$B$5)*(Avaliação!$F$5:$F$304=$A12)*ISNUMBER(Avaliação!$M$5:$M$304))=0,"",SUMIFS(Avaliação!$M$5:$M$304,Avaliação!$C$5:$C$304,$B$4,Avaliação!$A$5:$A$304,$B$5,Avaliação!$F$5:$F$304,$A12)),"")</f>
        <v/>
      </c>
      <c r="E12" s="15">
        <f>IFERROR(INDEX(Âncoras!$B$5:$F$15,MATCH($A12,Âncoras!$A$5:$A$15,0),$D12),"")</f>
        <v/>
      </c>
      <c r="F12" s="15">
        <f>IFERROR(IF($D12&gt;=5,"Já é referência.",INDEX(Âncoras!$B$5:$F$15,MATCH($A12,Âncoras!$A$5:$A$15,0),$D12+1)),"")</f>
        <v/>
      </c>
      <c r="G12" s="25">
        <f>IFERROR(IF($D12="","",$D12-INDEX(Painel!$M:$M,MATCH($B$4,Painel!$B:$B,0))),"")</f>
        <v/>
      </c>
    </row>
    <row r="13" ht="46" customHeight="1">
      <c r="A13" s="15" t="inlineStr">
        <is>
          <t>Design de solução</t>
        </is>
      </c>
      <c r="B13" s="25">
        <f>IFERROR(IF(SUMPRODUCT((Avaliação!$C$5:$C$304=$B$4)*(Avaliação!$A$5:$A$304=$B$5)*(Avaliação!$F$5:$F$304=$A13)*ISNUMBER(Avaliação!$I$5:$I$304))=0,"",SUMIFS(Avaliação!$I$5:$I$304,Avaliação!$C$5:$C$304,$B$4,Avaliação!$A$5:$A$304,$B$5,Avaliação!$F$5:$F$304,$A13)),"")</f>
        <v/>
      </c>
      <c r="C13" s="25">
        <f>IFERROR(IF(SUMPRODUCT((Avaliação!$C$5:$C$304=$B$4)*(Avaliação!$A$5:$A$304=$B$5)*(Avaliação!$F$5:$F$304=$A13)*ISNUMBER(Avaliação!$J$5:$J$304))=0,"",SUMIFS(Avaliação!$J$5:$J$304,Avaliação!$C$5:$C$304,$B$4,Avaliação!$A$5:$A$304,$B$5,Avaliação!$F$5:$F$304,$A13)),"")</f>
        <v/>
      </c>
      <c r="D13" s="25">
        <f>IFERROR(IF(SUMPRODUCT((Avaliação!$C$5:$C$304=$B$4)*(Avaliação!$A$5:$A$304=$B$5)*(Avaliação!$F$5:$F$304=$A13)*ISNUMBER(Avaliação!$M$5:$M$304))=0,"",SUMIFS(Avaliação!$M$5:$M$304,Avaliação!$C$5:$C$304,$B$4,Avaliação!$A$5:$A$304,$B$5,Avaliação!$F$5:$F$304,$A13)),"")</f>
        <v/>
      </c>
      <c r="E13" s="15">
        <f>IFERROR(INDEX(Âncoras!$B$5:$F$15,MATCH($A13,Âncoras!$A$5:$A$15,0),$D13),"")</f>
        <v/>
      </c>
      <c r="F13" s="15">
        <f>IFERROR(IF($D13&gt;=5,"Já é referência.",INDEX(Âncoras!$B$5:$F$15,MATCH($A13,Âncoras!$A$5:$A$15,0),$D13+1)),"")</f>
        <v/>
      </c>
      <c r="G13" s="25">
        <f>IFERROR(IF($D13="","",$D13-INDEX(Painel!$M:$M,MATCH($B$4,Painel!$B:$B,0))),"")</f>
        <v/>
      </c>
    </row>
    <row r="14" ht="46" customHeight="1">
      <c r="A14" s="15" t="inlineStr">
        <is>
          <t>Rigor operacional</t>
        </is>
      </c>
      <c r="B14" s="25">
        <f>IFERROR(IF(SUMPRODUCT((Avaliação!$C$5:$C$304=$B$4)*(Avaliação!$A$5:$A$304=$B$5)*(Avaliação!$F$5:$F$304=$A14)*ISNUMBER(Avaliação!$I$5:$I$304))=0,"",SUMIFS(Avaliação!$I$5:$I$304,Avaliação!$C$5:$C$304,$B$4,Avaliação!$A$5:$A$304,$B$5,Avaliação!$F$5:$F$304,$A14)),"")</f>
        <v/>
      </c>
      <c r="C14" s="25">
        <f>IFERROR(IF(SUMPRODUCT((Avaliação!$C$5:$C$304=$B$4)*(Avaliação!$A$5:$A$304=$B$5)*(Avaliação!$F$5:$F$304=$A14)*ISNUMBER(Avaliação!$J$5:$J$304))=0,"",SUMIFS(Avaliação!$J$5:$J$304,Avaliação!$C$5:$C$304,$B$4,Avaliação!$A$5:$A$304,$B$5,Avaliação!$F$5:$F$304,$A14)),"")</f>
        <v/>
      </c>
      <c r="D14" s="25">
        <f>IFERROR(IF(SUMPRODUCT((Avaliação!$C$5:$C$304=$B$4)*(Avaliação!$A$5:$A$304=$B$5)*(Avaliação!$F$5:$F$304=$A14)*ISNUMBER(Avaliação!$M$5:$M$304))=0,"",SUMIFS(Avaliação!$M$5:$M$304,Avaliação!$C$5:$C$304,$B$4,Avaliação!$A$5:$A$304,$B$5,Avaliação!$F$5:$F$304,$A14)),"")</f>
        <v/>
      </c>
      <c r="E14" s="15">
        <f>IFERROR(INDEX(Âncoras!$B$5:$F$15,MATCH($A14,Âncoras!$A$5:$A$15,0),$D14),"")</f>
        <v/>
      </c>
      <c r="F14" s="15">
        <f>IFERROR(IF($D14&gt;=5,"Já é referência.",INDEX(Âncoras!$B$5:$F$15,MATCH($A14,Âncoras!$A$5:$A$15,0),$D14+1)),"")</f>
        <v/>
      </c>
      <c r="G14" s="25">
        <f>IFERROR(IF($D14="","",$D14-INDEX(Painel!$M:$M,MATCH($B$4,Painel!$B:$B,0))),"")</f>
        <v/>
      </c>
    </row>
    <row r="15" ht="46" customHeight="1">
      <c r="A15" s="15" t="inlineStr">
        <is>
          <t>Comunicação</t>
        </is>
      </c>
      <c r="B15" s="25">
        <f>IFERROR(IF(SUMPRODUCT((Avaliação!$C$5:$C$304=$B$4)*(Avaliação!$A$5:$A$304=$B$5)*(Avaliação!$F$5:$F$304=$A15)*ISNUMBER(Avaliação!$I$5:$I$304))=0,"",SUMIFS(Avaliação!$I$5:$I$304,Avaliação!$C$5:$C$304,$B$4,Avaliação!$A$5:$A$304,$B$5,Avaliação!$F$5:$F$304,$A15)),"")</f>
        <v/>
      </c>
      <c r="C15" s="25">
        <f>IFERROR(IF(SUMPRODUCT((Avaliação!$C$5:$C$304=$B$4)*(Avaliação!$A$5:$A$304=$B$5)*(Avaliação!$F$5:$F$304=$A15)*ISNUMBER(Avaliação!$J$5:$J$304))=0,"",SUMIFS(Avaliação!$J$5:$J$304,Avaliação!$C$5:$C$304,$B$4,Avaliação!$A$5:$A$304,$B$5,Avaliação!$F$5:$F$304,$A15)),"")</f>
        <v/>
      </c>
      <c r="D15" s="25">
        <f>IFERROR(IF(SUMPRODUCT((Avaliação!$C$5:$C$304=$B$4)*(Avaliação!$A$5:$A$304=$B$5)*(Avaliação!$F$5:$F$304=$A15)*ISNUMBER(Avaliação!$M$5:$M$304))=0,"",SUMIFS(Avaliação!$M$5:$M$304,Avaliação!$C$5:$C$304,$B$4,Avaliação!$A$5:$A$304,$B$5,Avaliação!$F$5:$F$304,$A15)),"")</f>
        <v/>
      </c>
      <c r="E15" s="15">
        <f>IFERROR(INDEX(Âncoras!$B$5:$F$15,MATCH($A15,Âncoras!$A$5:$A$15,0),$D15),"")</f>
        <v/>
      </c>
      <c r="F15" s="15">
        <f>IFERROR(IF($D15&gt;=5,"Já é referência.",INDEX(Âncoras!$B$5:$F$15,MATCH($A15,Âncoras!$A$5:$A$15,0),$D15+1)),"")</f>
        <v/>
      </c>
      <c r="G15" s="25">
        <f>IFERROR(IF($D15="","",$D15-INDEX(Painel!$M:$M,MATCH($B$4,Painel!$B:$B,0))),"")</f>
        <v/>
      </c>
    </row>
    <row r="16" ht="46" customHeight="1">
      <c r="A16" s="15" t="inlineStr">
        <is>
          <t>Colaboração e review</t>
        </is>
      </c>
      <c r="B16" s="25">
        <f>IFERROR(IF(SUMPRODUCT((Avaliação!$C$5:$C$304=$B$4)*(Avaliação!$A$5:$A$304=$B$5)*(Avaliação!$F$5:$F$304=$A16)*ISNUMBER(Avaliação!$I$5:$I$304))=0,"",SUMIFS(Avaliação!$I$5:$I$304,Avaliação!$C$5:$C$304,$B$4,Avaliação!$A$5:$A$304,$B$5,Avaliação!$F$5:$F$304,$A16)),"")</f>
        <v/>
      </c>
      <c r="C16" s="25">
        <f>IFERROR(IF(SUMPRODUCT((Avaliação!$C$5:$C$304=$B$4)*(Avaliação!$A$5:$A$304=$B$5)*(Avaliação!$F$5:$F$304=$A16)*ISNUMBER(Avaliação!$J$5:$J$304))=0,"",SUMIFS(Avaliação!$J$5:$J$304,Avaliação!$C$5:$C$304,$B$4,Avaliação!$A$5:$A$304,$B$5,Avaliação!$F$5:$F$304,$A16)),"")</f>
        <v/>
      </c>
      <c r="D16" s="25">
        <f>IFERROR(IF(SUMPRODUCT((Avaliação!$C$5:$C$304=$B$4)*(Avaliação!$A$5:$A$304=$B$5)*(Avaliação!$F$5:$F$304=$A16)*ISNUMBER(Avaliação!$M$5:$M$304))=0,"",SUMIFS(Avaliação!$M$5:$M$304,Avaliação!$C$5:$C$304,$B$4,Avaliação!$A$5:$A$304,$B$5,Avaliação!$F$5:$F$304,$A16)),"")</f>
        <v/>
      </c>
      <c r="E16" s="15">
        <f>IFERROR(INDEX(Âncoras!$B$5:$F$15,MATCH($A16,Âncoras!$A$5:$A$15,0),$D16),"")</f>
        <v/>
      </c>
      <c r="F16" s="15">
        <f>IFERROR(IF($D16&gt;=5,"Já é referência.",INDEX(Âncoras!$B$5:$F$15,MATCH($A16,Âncoras!$A$5:$A$15,0),$D16+1)),"")</f>
        <v/>
      </c>
      <c r="G16" s="25">
        <f>IFERROR(IF($D16="","",$D16-INDEX(Painel!$M:$M,MATCH($B$4,Painel!$B:$B,0))),"")</f>
        <v/>
      </c>
    </row>
    <row r="17" ht="46" customHeight="1">
      <c r="A17" s="15" t="inlineStr">
        <is>
          <t>Confiabilidade e conduta</t>
        </is>
      </c>
      <c r="B17" s="25">
        <f>IFERROR(IF(SUMPRODUCT((Avaliação!$C$5:$C$304=$B$4)*(Avaliação!$A$5:$A$304=$B$5)*(Avaliação!$F$5:$F$304=$A17)*ISNUMBER(Avaliação!$I$5:$I$304))=0,"",SUMIFS(Avaliação!$I$5:$I$304,Avaliação!$C$5:$C$304,$B$4,Avaliação!$A$5:$A$304,$B$5,Avaliação!$F$5:$F$304,$A17)),"")</f>
        <v/>
      </c>
      <c r="C17" s="25">
        <f>IFERROR(IF(SUMPRODUCT((Avaliação!$C$5:$C$304=$B$4)*(Avaliação!$A$5:$A$304=$B$5)*(Avaliação!$F$5:$F$304=$A17)*ISNUMBER(Avaliação!$J$5:$J$304))=0,"",SUMIFS(Avaliação!$J$5:$J$304,Avaliação!$C$5:$C$304,$B$4,Avaliação!$A$5:$A$304,$B$5,Avaliação!$F$5:$F$304,$A17)),"")</f>
        <v/>
      </c>
      <c r="D17" s="25">
        <f>IFERROR(IF(SUMPRODUCT((Avaliação!$C$5:$C$304=$B$4)*(Avaliação!$A$5:$A$304=$B$5)*(Avaliação!$F$5:$F$304=$A17)*ISNUMBER(Avaliação!$M$5:$M$304))=0,"",SUMIFS(Avaliação!$M$5:$M$304,Avaliação!$C$5:$C$304,$B$4,Avaliação!$A$5:$A$304,$B$5,Avaliação!$F$5:$F$304,$A17)),"")</f>
        <v/>
      </c>
      <c r="E17" s="15">
        <f>IFERROR(INDEX(Âncoras!$B$5:$F$15,MATCH($A17,Âncoras!$A$5:$A$15,0),$D17),"")</f>
        <v/>
      </c>
      <c r="F17" s="15">
        <f>IFERROR(IF($D17&gt;=5,"Já é referência.",INDEX(Âncoras!$B$5:$F$15,MATCH($A17,Âncoras!$A$5:$A$15,0),$D17+1)),"")</f>
        <v/>
      </c>
      <c r="G17" s="25">
        <f>IFERROR(IF($D17="","",$D17-INDEX(Painel!$M:$M,MATCH($B$4,Painel!$B:$B,0))),"")</f>
        <v/>
      </c>
    </row>
    <row r="18" ht="46" customHeight="1">
      <c r="A18" s="15" t="inlineStr">
        <is>
          <t>Autonomia e ownership</t>
        </is>
      </c>
      <c r="B18" s="25">
        <f>IFERROR(IF(SUMPRODUCT((Avaliação!$C$5:$C$304=$B$4)*(Avaliação!$A$5:$A$304=$B$5)*(Avaliação!$F$5:$F$304=$A18)*ISNUMBER(Avaliação!$I$5:$I$304))=0,"",SUMIFS(Avaliação!$I$5:$I$304,Avaliação!$C$5:$C$304,$B$4,Avaliação!$A$5:$A$304,$B$5,Avaliação!$F$5:$F$304,$A18)),"")</f>
        <v/>
      </c>
      <c r="C18" s="25">
        <f>IFERROR(IF(SUMPRODUCT((Avaliação!$C$5:$C$304=$B$4)*(Avaliação!$A$5:$A$304=$B$5)*(Avaliação!$F$5:$F$304=$A18)*ISNUMBER(Avaliação!$J$5:$J$304))=0,"",SUMIFS(Avaliação!$J$5:$J$304,Avaliação!$C$5:$C$304,$B$4,Avaliação!$A$5:$A$304,$B$5,Avaliação!$F$5:$F$304,$A18)),"")</f>
        <v/>
      </c>
      <c r="D18" s="25">
        <f>IFERROR(IF(SUMPRODUCT((Avaliação!$C$5:$C$304=$B$4)*(Avaliação!$A$5:$A$304=$B$5)*(Avaliação!$F$5:$F$304=$A18)*ISNUMBER(Avaliação!$M$5:$M$304))=0,"",SUMIFS(Avaliação!$M$5:$M$304,Avaliação!$C$5:$C$304,$B$4,Avaliação!$A$5:$A$304,$B$5,Avaliação!$F$5:$F$304,$A18)),"")</f>
        <v/>
      </c>
      <c r="E18" s="15">
        <f>IFERROR(INDEX(Âncoras!$B$5:$F$15,MATCH($A18,Âncoras!$A$5:$A$15,0),$D18),"")</f>
        <v/>
      </c>
      <c r="F18" s="15">
        <f>IFERROR(IF($D18&gt;=5,"Já é referência.",INDEX(Âncoras!$B$5:$F$15,MATCH($A18,Âncoras!$A$5:$A$15,0),$D18+1)),"")</f>
        <v/>
      </c>
      <c r="G18" s="25">
        <f>IFERROR(IF($D18="","",$D18-INDEX(Painel!$M:$M,MATCH($B$4,Painel!$B:$B,0))),"")</f>
        <v/>
      </c>
    </row>
    <row r="19" ht="46" customHeight="1">
      <c r="A19" s="15" t="inlineStr">
        <is>
          <t>Desenvolvimento de outros</t>
        </is>
      </c>
      <c r="B19" s="25">
        <f>IFERROR(IF(SUMPRODUCT((Avaliação!$C$5:$C$304=$B$4)*(Avaliação!$A$5:$A$304=$B$5)*(Avaliação!$F$5:$F$304=$A19)*ISNUMBER(Avaliação!$I$5:$I$304))=0,"",SUMIFS(Avaliação!$I$5:$I$304,Avaliação!$C$5:$C$304,$B$4,Avaliação!$A$5:$A$304,$B$5,Avaliação!$F$5:$F$304,$A19)),"")</f>
        <v/>
      </c>
      <c r="C19" s="25">
        <f>IFERROR(IF(SUMPRODUCT((Avaliação!$C$5:$C$304=$B$4)*(Avaliação!$A$5:$A$304=$B$5)*(Avaliação!$F$5:$F$304=$A19)*ISNUMBER(Avaliação!$J$5:$J$304))=0,"",SUMIFS(Avaliação!$J$5:$J$304,Avaliação!$C$5:$C$304,$B$4,Avaliação!$A$5:$A$304,$B$5,Avaliação!$F$5:$F$304,$A19)),"")</f>
        <v/>
      </c>
      <c r="D19" s="25">
        <f>IFERROR(IF(SUMPRODUCT((Avaliação!$C$5:$C$304=$B$4)*(Avaliação!$A$5:$A$304=$B$5)*(Avaliação!$F$5:$F$304=$A19)*ISNUMBER(Avaliação!$M$5:$M$304))=0,"",SUMIFS(Avaliação!$M$5:$M$304,Avaliação!$C$5:$C$304,$B$4,Avaliação!$A$5:$A$304,$B$5,Avaliação!$F$5:$F$304,$A19)),"")</f>
        <v/>
      </c>
      <c r="E19" s="15">
        <f>IFERROR(INDEX(Âncoras!$B$5:$F$15,MATCH($A19,Âncoras!$A$5:$A$15,0),$D19),"")</f>
        <v/>
      </c>
      <c r="F19" s="15">
        <f>IFERROR(IF($D19&gt;=5,"Já é referência.",INDEX(Âncoras!$B$5:$F$15,MATCH($A19,Âncoras!$A$5:$A$15,0),$D19+1)),"")</f>
        <v/>
      </c>
      <c r="G19" s="25">
        <f>IFERROR(IF($D19="","",$D19-INDEX(Painel!$M:$M,MATCH($B$4,Painel!$B:$B,0))),"")</f>
        <v/>
      </c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4" t="inlineStr">
        <is>
          <t>2. OCORRÊNCIAS DO CICLO — o antídoto contra o viés de recência (reconhecimentos aparecem primeiro na leitura)</t>
        </is>
      </c>
      <c r="B21" s="5" t="n"/>
      <c r="C21" s="5" t="n"/>
      <c r="D21" s="5" t="n"/>
      <c r="E21" s="5" t="n"/>
      <c r="F21" s="5" t="n"/>
      <c r="G21" s="5" t="n"/>
    </row>
    <row r="22" ht="30" customHeight="1">
      <c r="A22" s="13" t="inlineStr">
        <is>
          <t>Data</t>
        </is>
      </c>
      <c r="B22" s="13" t="inlineStr">
        <is>
          <t>Tipo</t>
        </is>
      </c>
      <c r="C22" s="13" t="inlineStr">
        <is>
          <t>Competência</t>
        </is>
      </c>
      <c r="D22" s="13" t="inlineStr">
        <is>
          <t>Impacto</t>
        </is>
      </c>
      <c r="E22" s="13" t="inlineStr">
        <is>
          <t>Fato observável</t>
        </is>
      </c>
      <c r="F22" s="13" t="inlineStr">
        <is>
          <t>Consequência observada</t>
        </is>
      </c>
      <c r="G22" s="13" t="inlineStr">
        <is>
          <t>Informado?</t>
        </is>
      </c>
    </row>
    <row r="23" ht="32" customHeight="1">
      <c r="A23" s="26">
        <f>IFERROR(INDEX(Ocorrências!$A$5:$A$404,MATCH(1,Ocorrências!$P$5:$P$404,0)),"")</f>
        <v/>
      </c>
      <c r="B23" s="15">
        <f>IFERROR(INDEX(Ocorrências!$E$5:$E$404,MATCH(1,Ocorrências!$P$5:$P$404,0)),"")</f>
        <v/>
      </c>
      <c r="C23" s="15">
        <f>IFERROR(INDEX(Ocorrências!$F$5:$F$404,MATCH(1,Ocorrências!$P$5:$P$404,0)),"")</f>
        <v/>
      </c>
      <c r="D23" s="15">
        <f>IFERROR(INDEX(Ocorrências!$H$5:$H$404,MATCH(1,Ocorrências!$P$5:$P$404,0)),"")</f>
        <v/>
      </c>
      <c r="E23" s="15">
        <f>IFERROR(INDEX(Ocorrências!$G$5:$G$404,MATCH(1,Ocorrências!$P$5:$P$404,0)),"")</f>
        <v/>
      </c>
      <c r="F23" s="15">
        <f>IFERROR(INDEX(Ocorrências!$I$5:$I$404,MATCH(1,Ocorrências!$P$5:$P$404,0)),"")</f>
        <v/>
      </c>
      <c r="G23" s="15">
        <f>IFERROR(INDEX(Ocorrências!$K$5:$K$404,MATCH(1,Ocorrências!$P$5:$P$404,0)),"")</f>
        <v/>
      </c>
    </row>
    <row r="24" ht="32" customHeight="1">
      <c r="A24" s="26">
        <f>IFERROR(INDEX(Ocorrências!$A$5:$A$404,MATCH(2,Ocorrências!$P$5:$P$404,0)),"")</f>
        <v/>
      </c>
      <c r="B24" s="15">
        <f>IFERROR(INDEX(Ocorrências!$E$5:$E$404,MATCH(2,Ocorrências!$P$5:$P$404,0)),"")</f>
        <v/>
      </c>
      <c r="C24" s="15">
        <f>IFERROR(INDEX(Ocorrências!$F$5:$F$404,MATCH(2,Ocorrências!$P$5:$P$404,0)),"")</f>
        <v/>
      </c>
      <c r="D24" s="15">
        <f>IFERROR(INDEX(Ocorrências!$H$5:$H$404,MATCH(2,Ocorrências!$P$5:$P$404,0)),"")</f>
        <v/>
      </c>
      <c r="E24" s="15">
        <f>IFERROR(INDEX(Ocorrências!$G$5:$G$404,MATCH(2,Ocorrências!$P$5:$P$404,0)),"")</f>
        <v/>
      </c>
      <c r="F24" s="15">
        <f>IFERROR(INDEX(Ocorrências!$I$5:$I$404,MATCH(2,Ocorrências!$P$5:$P$404,0)),"")</f>
        <v/>
      </c>
      <c r="G24" s="15">
        <f>IFERROR(INDEX(Ocorrências!$K$5:$K$404,MATCH(2,Ocorrências!$P$5:$P$404,0)),"")</f>
        <v/>
      </c>
    </row>
    <row r="25" ht="32" customHeight="1">
      <c r="A25" s="26">
        <f>IFERROR(INDEX(Ocorrências!$A$5:$A$404,MATCH(3,Ocorrências!$P$5:$P$404,0)),"")</f>
        <v/>
      </c>
      <c r="B25" s="15">
        <f>IFERROR(INDEX(Ocorrências!$E$5:$E$404,MATCH(3,Ocorrências!$P$5:$P$404,0)),"")</f>
        <v/>
      </c>
      <c r="C25" s="15">
        <f>IFERROR(INDEX(Ocorrências!$F$5:$F$404,MATCH(3,Ocorrências!$P$5:$P$404,0)),"")</f>
        <v/>
      </c>
      <c r="D25" s="15">
        <f>IFERROR(INDEX(Ocorrências!$H$5:$H$404,MATCH(3,Ocorrências!$P$5:$P$404,0)),"")</f>
        <v/>
      </c>
      <c r="E25" s="15">
        <f>IFERROR(INDEX(Ocorrências!$G$5:$G$404,MATCH(3,Ocorrências!$P$5:$P$404,0)),"")</f>
        <v/>
      </c>
      <c r="F25" s="15">
        <f>IFERROR(INDEX(Ocorrências!$I$5:$I$404,MATCH(3,Ocorrências!$P$5:$P$404,0)),"")</f>
        <v/>
      </c>
      <c r="G25" s="15">
        <f>IFERROR(INDEX(Ocorrências!$K$5:$K$404,MATCH(3,Ocorrências!$P$5:$P$404,0)),"")</f>
        <v/>
      </c>
    </row>
    <row r="26" ht="32" customHeight="1">
      <c r="A26" s="26">
        <f>IFERROR(INDEX(Ocorrências!$A$5:$A$404,MATCH(4,Ocorrências!$P$5:$P$404,0)),"")</f>
        <v/>
      </c>
      <c r="B26" s="15">
        <f>IFERROR(INDEX(Ocorrências!$E$5:$E$404,MATCH(4,Ocorrências!$P$5:$P$404,0)),"")</f>
        <v/>
      </c>
      <c r="C26" s="15">
        <f>IFERROR(INDEX(Ocorrências!$F$5:$F$404,MATCH(4,Ocorrências!$P$5:$P$404,0)),"")</f>
        <v/>
      </c>
      <c r="D26" s="15">
        <f>IFERROR(INDEX(Ocorrências!$H$5:$H$404,MATCH(4,Ocorrências!$P$5:$P$404,0)),"")</f>
        <v/>
      </c>
      <c r="E26" s="15">
        <f>IFERROR(INDEX(Ocorrências!$G$5:$G$404,MATCH(4,Ocorrências!$P$5:$P$404,0)),"")</f>
        <v/>
      </c>
      <c r="F26" s="15">
        <f>IFERROR(INDEX(Ocorrências!$I$5:$I$404,MATCH(4,Ocorrências!$P$5:$P$404,0)),"")</f>
        <v/>
      </c>
      <c r="G26" s="15">
        <f>IFERROR(INDEX(Ocorrências!$K$5:$K$404,MATCH(4,Ocorrências!$P$5:$P$404,0)),"")</f>
        <v/>
      </c>
    </row>
    <row r="27" ht="32" customHeight="1">
      <c r="A27" s="26">
        <f>IFERROR(INDEX(Ocorrências!$A$5:$A$404,MATCH(5,Ocorrências!$P$5:$P$404,0)),"")</f>
        <v/>
      </c>
      <c r="B27" s="15">
        <f>IFERROR(INDEX(Ocorrências!$E$5:$E$404,MATCH(5,Ocorrências!$P$5:$P$404,0)),"")</f>
        <v/>
      </c>
      <c r="C27" s="15">
        <f>IFERROR(INDEX(Ocorrências!$F$5:$F$404,MATCH(5,Ocorrências!$P$5:$P$404,0)),"")</f>
        <v/>
      </c>
      <c r="D27" s="15">
        <f>IFERROR(INDEX(Ocorrências!$H$5:$H$404,MATCH(5,Ocorrências!$P$5:$P$404,0)),"")</f>
        <v/>
      </c>
      <c r="E27" s="15">
        <f>IFERROR(INDEX(Ocorrências!$G$5:$G$404,MATCH(5,Ocorrências!$P$5:$P$404,0)),"")</f>
        <v/>
      </c>
      <c r="F27" s="15">
        <f>IFERROR(INDEX(Ocorrências!$I$5:$I$404,MATCH(5,Ocorrências!$P$5:$P$404,0)),"")</f>
        <v/>
      </c>
      <c r="G27" s="15">
        <f>IFERROR(INDEX(Ocorrências!$K$5:$K$404,MATCH(5,Ocorrências!$P$5:$P$404,0)),"")</f>
        <v/>
      </c>
    </row>
    <row r="28" ht="32" customHeight="1">
      <c r="A28" s="26">
        <f>IFERROR(INDEX(Ocorrências!$A$5:$A$404,MATCH(6,Ocorrências!$P$5:$P$404,0)),"")</f>
        <v/>
      </c>
      <c r="B28" s="15">
        <f>IFERROR(INDEX(Ocorrências!$E$5:$E$404,MATCH(6,Ocorrências!$P$5:$P$404,0)),"")</f>
        <v/>
      </c>
      <c r="C28" s="15">
        <f>IFERROR(INDEX(Ocorrências!$F$5:$F$404,MATCH(6,Ocorrências!$P$5:$P$404,0)),"")</f>
        <v/>
      </c>
      <c r="D28" s="15">
        <f>IFERROR(INDEX(Ocorrências!$H$5:$H$404,MATCH(6,Ocorrências!$P$5:$P$404,0)),"")</f>
        <v/>
      </c>
      <c r="E28" s="15">
        <f>IFERROR(INDEX(Ocorrências!$G$5:$G$404,MATCH(6,Ocorrências!$P$5:$P$404,0)),"")</f>
        <v/>
      </c>
      <c r="F28" s="15">
        <f>IFERROR(INDEX(Ocorrências!$I$5:$I$404,MATCH(6,Ocorrências!$P$5:$P$404,0)),"")</f>
        <v/>
      </c>
      <c r="G28" s="15">
        <f>IFERROR(INDEX(Ocorrências!$K$5:$K$404,MATCH(6,Ocorrências!$P$5:$P$404,0)),"")</f>
        <v/>
      </c>
    </row>
    <row r="29" ht="32" customHeight="1">
      <c r="A29" s="26">
        <f>IFERROR(INDEX(Ocorrências!$A$5:$A$404,MATCH(7,Ocorrências!$P$5:$P$404,0)),"")</f>
        <v/>
      </c>
      <c r="B29" s="15">
        <f>IFERROR(INDEX(Ocorrências!$E$5:$E$404,MATCH(7,Ocorrências!$P$5:$P$404,0)),"")</f>
        <v/>
      </c>
      <c r="C29" s="15">
        <f>IFERROR(INDEX(Ocorrências!$F$5:$F$404,MATCH(7,Ocorrências!$P$5:$P$404,0)),"")</f>
        <v/>
      </c>
      <c r="D29" s="15">
        <f>IFERROR(INDEX(Ocorrências!$H$5:$H$404,MATCH(7,Ocorrências!$P$5:$P$404,0)),"")</f>
        <v/>
      </c>
      <c r="E29" s="15">
        <f>IFERROR(INDEX(Ocorrências!$G$5:$G$404,MATCH(7,Ocorrências!$P$5:$P$404,0)),"")</f>
        <v/>
      </c>
      <c r="F29" s="15">
        <f>IFERROR(INDEX(Ocorrências!$I$5:$I$404,MATCH(7,Ocorrências!$P$5:$P$404,0)),"")</f>
        <v/>
      </c>
      <c r="G29" s="15">
        <f>IFERROR(INDEX(Ocorrências!$K$5:$K$404,MATCH(7,Ocorrências!$P$5:$P$404,0)),"")</f>
        <v/>
      </c>
    </row>
    <row r="30" ht="32" customHeight="1">
      <c r="A30" s="26">
        <f>IFERROR(INDEX(Ocorrências!$A$5:$A$404,MATCH(8,Ocorrências!$P$5:$P$404,0)),"")</f>
        <v/>
      </c>
      <c r="B30" s="15">
        <f>IFERROR(INDEX(Ocorrências!$E$5:$E$404,MATCH(8,Ocorrências!$P$5:$P$404,0)),"")</f>
        <v/>
      </c>
      <c r="C30" s="15">
        <f>IFERROR(INDEX(Ocorrências!$F$5:$F$404,MATCH(8,Ocorrências!$P$5:$P$404,0)),"")</f>
        <v/>
      </c>
      <c r="D30" s="15">
        <f>IFERROR(INDEX(Ocorrências!$H$5:$H$404,MATCH(8,Ocorrências!$P$5:$P$404,0)),"")</f>
        <v/>
      </c>
      <c r="E30" s="15">
        <f>IFERROR(INDEX(Ocorrências!$G$5:$G$404,MATCH(8,Ocorrências!$P$5:$P$404,0)),"")</f>
        <v/>
      </c>
      <c r="F30" s="15">
        <f>IFERROR(INDEX(Ocorrências!$I$5:$I$404,MATCH(8,Ocorrências!$P$5:$P$404,0)),"")</f>
        <v/>
      </c>
      <c r="G30" s="15">
        <f>IFERROR(INDEX(Ocorrências!$K$5:$K$404,MATCH(8,Ocorrências!$P$5:$P$404,0)),"")</f>
        <v/>
      </c>
    </row>
    <row r="31" ht="32" customHeight="1">
      <c r="A31" s="26">
        <f>IFERROR(INDEX(Ocorrências!$A$5:$A$404,MATCH(9,Ocorrências!$P$5:$P$404,0)),"")</f>
        <v/>
      </c>
      <c r="B31" s="15">
        <f>IFERROR(INDEX(Ocorrências!$E$5:$E$404,MATCH(9,Ocorrências!$P$5:$P$404,0)),"")</f>
        <v/>
      </c>
      <c r="C31" s="15">
        <f>IFERROR(INDEX(Ocorrências!$F$5:$F$404,MATCH(9,Ocorrências!$P$5:$P$404,0)),"")</f>
        <v/>
      </c>
      <c r="D31" s="15">
        <f>IFERROR(INDEX(Ocorrências!$H$5:$H$404,MATCH(9,Ocorrências!$P$5:$P$404,0)),"")</f>
        <v/>
      </c>
      <c r="E31" s="15">
        <f>IFERROR(INDEX(Ocorrências!$G$5:$G$404,MATCH(9,Ocorrências!$P$5:$P$404,0)),"")</f>
        <v/>
      </c>
      <c r="F31" s="15">
        <f>IFERROR(INDEX(Ocorrências!$I$5:$I$404,MATCH(9,Ocorrências!$P$5:$P$404,0)),"")</f>
        <v/>
      </c>
      <c r="G31" s="15">
        <f>IFERROR(INDEX(Ocorrências!$K$5:$K$404,MATCH(9,Ocorrências!$P$5:$P$404,0)),"")</f>
        <v/>
      </c>
    </row>
    <row r="32" ht="32" customHeight="1">
      <c r="A32" s="26">
        <f>IFERROR(INDEX(Ocorrências!$A$5:$A$404,MATCH(10,Ocorrências!$P$5:$P$404,0)),"")</f>
        <v/>
      </c>
      <c r="B32" s="15">
        <f>IFERROR(INDEX(Ocorrências!$E$5:$E$404,MATCH(10,Ocorrências!$P$5:$P$404,0)),"")</f>
        <v/>
      </c>
      <c r="C32" s="15">
        <f>IFERROR(INDEX(Ocorrências!$F$5:$F$404,MATCH(10,Ocorrências!$P$5:$P$404,0)),"")</f>
        <v/>
      </c>
      <c r="D32" s="15">
        <f>IFERROR(INDEX(Ocorrências!$H$5:$H$404,MATCH(10,Ocorrências!$P$5:$P$404,0)),"")</f>
        <v/>
      </c>
      <c r="E32" s="15">
        <f>IFERROR(INDEX(Ocorrências!$G$5:$G$404,MATCH(10,Ocorrências!$P$5:$P$404,0)),"")</f>
        <v/>
      </c>
      <c r="F32" s="15">
        <f>IFERROR(INDEX(Ocorrências!$I$5:$I$404,MATCH(10,Ocorrências!$P$5:$P$404,0)),"")</f>
        <v/>
      </c>
      <c r="G32" s="15">
        <f>IFERROR(INDEX(Ocorrências!$K$5:$K$404,MATCH(10,Ocorrências!$P$5:$P$404,0)),"")</f>
        <v/>
      </c>
    </row>
    <row r="33" ht="32" customHeight="1">
      <c r="A33" s="26">
        <f>IFERROR(INDEX(Ocorrências!$A$5:$A$404,MATCH(11,Ocorrências!$P$5:$P$404,0)),"")</f>
        <v/>
      </c>
      <c r="B33" s="15">
        <f>IFERROR(INDEX(Ocorrências!$E$5:$E$404,MATCH(11,Ocorrências!$P$5:$P$404,0)),"")</f>
        <v/>
      </c>
      <c r="C33" s="15">
        <f>IFERROR(INDEX(Ocorrências!$F$5:$F$404,MATCH(11,Ocorrências!$P$5:$P$404,0)),"")</f>
        <v/>
      </c>
      <c r="D33" s="15">
        <f>IFERROR(INDEX(Ocorrências!$H$5:$H$404,MATCH(11,Ocorrências!$P$5:$P$404,0)),"")</f>
        <v/>
      </c>
      <c r="E33" s="15">
        <f>IFERROR(INDEX(Ocorrências!$G$5:$G$404,MATCH(11,Ocorrências!$P$5:$P$404,0)),"")</f>
        <v/>
      </c>
      <c r="F33" s="15">
        <f>IFERROR(INDEX(Ocorrências!$I$5:$I$404,MATCH(11,Ocorrências!$P$5:$P$404,0)),"")</f>
        <v/>
      </c>
      <c r="G33" s="15">
        <f>IFERROR(INDEX(Ocorrências!$K$5:$K$404,MATCH(11,Ocorrências!$P$5:$P$404,0)),"")</f>
        <v/>
      </c>
    </row>
    <row r="34" ht="32" customHeight="1">
      <c r="A34" s="26">
        <f>IFERROR(INDEX(Ocorrências!$A$5:$A$404,MATCH(12,Ocorrências!$P$5:$P$404,0)),"")</f>
        <v/>
      </c>
      <c r="B34" s="15">
        <f>IFERROR(INDEX(Ocorrências!$E$5:$E$404,MATCH(12,Ocorrências!$P$5:$P$404,0)),"")</f>
        <v/>
      </c>
      <c r="C34" s="15">
        <f>IFERROR(INDEX(Ocorrências!$F$5:$F$404,MATCH(12,Ocorrências!$P$5:$P$404,0)),"")</f>
        <v/>
      </c>
      <c r="D34" s="15">
        <f>IFERROR(INDEX(Ocorrências!$H$5:$H$404,MATCH(12,Ocorrências!$P$5:$P$404,0)),"")</f>
        <v/>
      </c>
      <c r="E34" s="15">
        <f>IFERROR(INDEX(Ocorrências!$G$5:$G$404,MATCH(12,Ocorrências!$P$5:$P$404,0)),"")</f>
        <v/>
      </c>
      <c r="F34" s="15">
        <f>IFERROR(INDEX(Ocorrências!$I$5:$I$404,MATCH(12,Ocorrências!$P$5:$P$404,0)),"")</f>
        <v/>
      </c>
      <c r="G34" s="15">
        <f>IFERROR(INDEX(Ocorrências!$K$5:$K$404,MATCH(12,Ocorrências!$P$5:$P$404,0)),"")</f>
        <v/>
      </c>
    </row>
    <row r="35" ht="32" customHeight="1">
      <c r="A35" s="26">
        <f>IFERROR(INDEX(Ocorrências!$A$5:$A$404,MATCH(13,Ocorrências!$P$5:$P$404,0)),"")</f>
        <v/>
      </c>
      <c r="B35" s="15">
        <f>IFERROR(INDEX(Ocorrências!$E$5:$E$404,MATCH(13,Ocorrências!$P$5:$P$404,0)),"")</f>
        <v/>
      </c>
      <c r="C35" s="15">
        <f>IFERROR(INDEX(Ocorrências!$F$5:$F$404,MATCH(13,Ocorrências!$P$5:$P$404,0)),"")</f>
        <v/>
      </c>
      <c r="D35" s="15">
        <f>IFERROR(INDEX(Ocorrências!$H$5:$H$404,MATCH(13,Ocorrências!$P$5:$P$404,0)),"")</f>
        <v/>
      </c>
      <c r="E35" s="15">
        <f>IFERROR(INDEX(Ocorrências!$G$5:$G$404,MATCH(13,Ocorrências!$P$5:$P$404,0)),"")</f>
        <v/>
      </c>
      <c r="F35" s="15">
        <f>IFERROR(INDEX(Ocorrências!$I$5:$I$404,MATCH(13,Ocorrências!$P$5:$P$404,0)),"")</f>
        <v/>
      </c>
      <c r="G35" s="15">
        <f>IFERROR(INDEX(Ocorrências!$K$5:$K$404,MATCH(13,Ocorrências!$P$5:$P$404,0)),"")</f>
        <v/>
      </c>
    </row>
    <row r="36" ht="32" customHeight="1">
      <c r="A36" s="26">
        <f>IFERROR(INDEX(Ocorrências!$A$5:$A$404,MATCH(14,Ocorrências!$P$5:$P$404,0)),"")</f>
        <v/>
      </c>
      <c r="B36" s="15">
        <f>IFERROR(INDEX(Ocorrências!$E$5:$E$404,MATCH(14,Ocorrências!$P$5:$P$404,0)),"")</f>
        <v/>
      </c>
      <c r="C36" s="15">
        <f>IFERROR(INDEX(Ocorrências!$F$5:$F$404,MATCH(14,Ocorrências!$P$5:$P$404,0)),"")</f>
        <v/>
      </c>
      <c r="D36" s="15">
        <f>IFERROR(INDEX(Ocorrências!$H$5:$H$404,MATCH(14,Ocorrências!$P$5:$P$404,0)),"")</f>
        <v/>
      </c>
      <c r="E36" s="15">
        <f>IFERROR(INDEX(Ocorrências!$G$5:$G$404,MATCH(14,Ocorrências!$P$5:$P$404,0)),"")</f>
        <v/>
      </c>
      <c r="F36" s="15">
        <f>IFERROR(INDEX(Ocorrências!$I$5:$I$404,MATCH(14,Ocorrências!$P$5:$P$404,0)),"")</f>
        <v/>
      </c>
      <c r="G36" s="15">
        <f>IFERROR(INDEX(Ocorrências!$K$5:$K$404,MATCH(14,Ocorrências!$P$5:$P$404,0)),"")</f>
        <v/>
      </c>
    </row>
    <row r="37" ht="32" customHeight="1">
      <c r="A37" s="26">
        <f>IFERROR(INDEX(Ocorrências!$A$5:$A$404,MATCH(15,Ocorrências!$P$5:$P$404,0)),"")</f>
        <v/>
      </c>
      <c r="B37" s="15">
        <f>IFERROR(INDEX(Ocorrências!$E$5:$E$404,MATCH(15,Ocorrências!$P$5:$P$404,0)),"")</f>
        <v/>
      </c>
      <c r="C37" s="15">
        <f>IFERROR(INDEX(Ocorrências!$F$5:$F$404,MATCH(15,Ocorrências!$P$5:$P$404,0)),"")</f>
        <v/>
      </c>
      <c r="D37" s="15">
        <f>IFERROR(INDEX(Ocorrências!$H$5:$H$404,MATCH(15,Ocorrências!$P$5:$P$404,0)),"")</f>
        <v/>
      </c>
      <c r="E37" s="15">
        <f>IFERROR(INDEX(Ocorrências!$G$5:$G$404,MATCH(15,Ocorrências!$P$5:$P$404,0)),"")</f>
        <v/>
      </c>
      <c r="F37" s="15">
        <f>IFERROR(INDEX(Ocorrências!$I$5:$I$404,MATCH(15,Ocorrências!$P$5:$P$404,0)),"")</f>
        <v/>
      </c>
      <c r="G37" s="15">
        <f>IFERROR(INDEX(Ocorrências!$K$5:$K$404,MATCH(15,Ocorrências!$P$5:$P$404,0)),"")</f>
        <v/>
      </c>
    </row>
    <row r="38" ht="32" customHeight="1">
      <c r="A38" s="26">
        <f>IFERROR(INDEX(Ocorrências!$A$5:$A$404,MATCH(16,Ocorrências!$P$5:$P$404,0)),"")</f>
        <v/>
      </c>
      <c r="B38" s="15">
        <f>IFERROR(INDEX(Ocorrências!$E$5:$E$404,MATCH(16,Ocorrências!$P$5:$P$404,0)),"")</f>
        <v/>
      </c>
      <c r="C38" s="15">
        <f>IFERROR(INDEX(Ocorrências!$F$5:$F$404,MATCH(16,Ocorrências!$P$5:$P$404,0)),"")</f>
        <v/>
      </c>
      <c r="D38" s="15">
        <f>IFERROR(INDEX(Ocorrências!$H$5:$H$404,MATCH(16,Ocorrências!$P$5:$P$404,0)),"")</f>
        <v/>
      </c>
      <c r="E38" s="15">
        <f>IFERROR(INDEX(Ocorrências!$G$5:$G$404,MATCH(16,Ocorrências!$P$5:$P$404,0)),"")</f>
        <v/>
      </c>
      <c r="F38" s="15">
        <f>IFERROR(INDEX(Ocorrências!$I$5:$I$404,MATCH(16,Ocorrências!$P$5:$P$404,0)),"")</f>
        <v/>
      </c>
      <c r="G38" s="15">
        <f>IFERROR(INDEX(Ocorrências!$K$5:$K$404,MATCH(16,Ocorrências!$P$5:$P$404,0)),"")</f>
        <v/>
      </c>
    </row>
    <row r="39" ht="32" customHeight="1">
      <c r="A39" s="26">
        <f>IFERROR(INDEX(Ocorrências!$A$5:$A$404,MATCH(17,Ocorrências!$P$5:$P$404,0)),"")</f>
        <v/>
      </c>
      <c r="B39" s="15">
        <f>IFERROR(INDEX(Ocorrências!$E$5:$E$404,MATCH(17,Ocorrências!$P$5:$P$404,0)),"")</f>
        <v/>
      </c>
      <c r="C39" s="15">
        <f>IFERROR(INDEX(Ocorrências!$F$5:$F$404,MATCH(17,Ocorrências!$P$5:$P$404,0)),"")</f>
        <v/>
      </c>
      <c r="D39" s="15">
        <f>IFERROR(INDEX(Ocorrências!$H$5:$H$404,MATCH(17,Ocorrências!$P$5:$P$404,0)),"")</f>
        <v/>
      </c>
      <c r="E39" s="15">
        <f>IFERROR(INDEX(Ocorrências!$G$5:$G$404,MATCH(17,Ocorrências!$P$5:$P$404,0)),"")</f>
        <v/>
      </c>
      <c r="F39" s="15">
        <f>IFERROR(INDEX(Ocorrências!$I$5:$I$404,MATCH(17,Ocorrências!$P$5:$P$404,0)),"")</f>
        <v/>
      </c>
      <c r="G39" s="15">
        <f>IFERROR(INDEX(Ocorrências!$K$5:$K$404,MATCH(17,Ocorrências!$P$5:$P$404,0)),"")</f>
        <v/>
      </c>
    </row>
    <row r="40" ht="32" customHeight="1">
      <c r="A40" s="26">
        <f>IFERROR(INDEX(Ocorrências!$A$5:$A$404,MATCH(18,Ocorrências!$P$5:$P$404,0)),"")</f>
        <v/>
      </c>
      <c r="B40" s="15">
        <f>IFERROR(INDEX(Ocorrências!$E$5:$E$404,MATCH(18,Ocorrências!$P$5:$P$404,0)),"")</f>
        <v/>
      </c>
      <c r="C40" s="15">
        <f>IFERROR(INDEX(Ocorrências!$F$5:$F$404,MATCH(18,Ocorrências!$P$5:$P$404,0)),"")</f>
        <v/>
      </c>
      <c r="D40" s="15">
        <f>IFERROR(INDEX(Ocorrências!$H$5:$H$404,MATCH(18,Ocorrências!$P$5:$P$404,0)),"")</f>
        <v/>
      </c>
      <c r="E40" s="15">
        <f>IFERROR(INDEX(Ocorrências!$G$5:$G$404,MATCH(18,Ocorrências!$P$5:$P$404,0)),"")</f>
        <v/>
      </c>
      <c r="F40" s="15">
        <f>IFERROR(INDEX(Ocorrências!$I$5:$I$404,MATCH(18,Ocorrências!$P$5:$P$404,0)),"")</f>
        <v/>
      </c>
      <c r="G40" s="15">
        <f>IFERROR(INDEX(Ocorrências!$K$5:$K$404,MATCH(18,Ocorrências!$P$5:$P$404,0)),"")</f>
        <v/>
      </c>
    </row>
    <row r="41" ht="32" customHeight="1">
      <c r="A41" s="26">
        <f>IFERROR(INDEX(Ocorrências!$A$5:$A$404,MATCH(19,Ocorrências!$P$5:$P$404,0)),"")</f>
        <v/>
      </c>
      <c r="B41" s="15">
        <f>IFERROR(INDEX(Ocorrências!$E$5:$E$404,MATCH(19,Ocorrências!$P$5:$P$404,0)),"")</f>
        <v/>
      </c>
      <c r="C41" s="15">
        <f>IFERROR(INDEX(Ocorrências!$F$5:$F$404,MATCH(19,Ocorrências!$P$5:$P$404,0)),"")</f>
        <v/>
      </c>
      <c r="D41" s="15">
        <f>IFERROR(INDEX(Ocorrências!$H$5:$H$404,MATCH(19,Ocorrências!$P$5:$P$404,0)),"")</f>
        <v/>
      </c>
      <c r="E41" s="15">
        <f>IFERROR(INDEX(Ocorrências!$G$5:$G$404,MATCH(19,Ocorrências!$P$5:$P$404,0)),"")</f>
        <v/>
      </c>
      <c r="F41" s="15">
        <f>IFERROR(INDEX(Ocorrências!$I$5:$I$404,MATCH(19,Ocorrências!$P$5:$P$404,0)),"")</f>
        <v/>
      </c>
      <c r="G41" s="15">
        <f>IFERROR(INDEX(Ocorrências!$K$5:$K$404,MATCH(19,Ocorrências!$P$5:$P$404,0)),"")</f>
        <v/>
      </c>
    </row>
    <row r="42" ht="32" customHeight="1">
      <c r="A42" s="26">
        <f>IFERROR(INDEX(Ocorrências!$A$5:$A$404,MATCH(20,Ocorrências!$P$5:$P$404,0)),"")</f>
        <v/>
      </c>
      <c r="B42" s="15">
        <f>IFERROR(INDEX(Ocorrências!$E$5:$E$404,MATCH(20,Ocorrências!$P$5:$P$404,0)),"")</f>
        <v/>
      </c>
      <c r="C42" s="15">
        <f>IFERROR(INDEX(Ocorrências!$F$5:$F$404,MATCH(20,Ocorrências!$P$5:$P$404,0)),"")</f>
        <v/>
      </c>
      <c r="D42" s="15">
        <f>IFERROR(INDEX(Ocorrências!$H$5:$H$404,MATCH(20,Ocorrências!$P$5:$P$404,0)),"")</f>
        <v/>
      </c>
      <c r="E42" s="15">
        <f>IFERROR(INDEX(Ocorrências!$G$5:$G$404,MATCH(20,Ocorrências!$P$5:$P$404,0)),"")</f>
        <v/>
      </c>
      <c r="F42" s="15">
        <f>IFERROR(INDEX(Ocorrências!$I$5:$I$404,MATCH(20,Ocorrências!$P$5:$P$404,0)),"")</f>
        <v/>
      </c>
      <c r="G42" s="15">
        <f>IFERROR(INDEX(Ocorrências!$K$5:$K$404,MATCH(20,Ocorrências!$P$5:$P$404,0)),"")</f>
        <v/>
      </c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4" t="inlineStr">
        <is>
          <t>3. PLANO DE DESENVOLVIMENTO EM ANDAMENTO (vem da aba PDI — no máximo 2 focos)</t>
        </is>
      </c>
      <c r="B44" s="5" t="n"/>
      <c r="C44" s="5" t="n"/>
      <c r="D44" s="5" t="n"/>
      <c r="E44" s="5" t="n"/>
      <c r="F44" s="5" t="n"/>
      <c r="G44" s="5" t="n"/>
    </row>
    <row r="45" ht="30" customHeight="1">
      <c r="A45" s="13" t="inlineStr">
        <is>
          <t>Competência</t>
        </is>
      </c>
      <c r="B45" s="13" t="inlineStr">
        <is>
          <t>Nota atual → alvo</t>
        </is>
      </c>
      <c r="C45" s="13" t="inlineStr">
        <is>
          <t>Ação concreta no trabalho real</t>
        </is>
      </c>
      <c r="D45" s="13" t="inlineStr">
        <is>
          <t>Prazo</t>
        </is>
      </c>
      <c r="E45" s="13" t="inlineStr">
        <is>
          <t>Como saberemos que fechou</t>
        </is>
      </c>
      <c r="F45" s="13" t="inlineStr">
        <is>
          <t>Status</t>
        </is>
      </c>
      <c r="G45" s="13" t="inlineStr"/>
    </row>
    <row r="46" ht="34" customHeight="1">
      <c r="A46" s="15">
        <f>IFERROR(INDEX(PDI!$C$5:$C$204,MATCH(1,PDI!$O$5:$O$204,0)),"")</f>
        <v/>
      </c>
      <c r="B46" s="15">
        <f>IFERROR(INDEX(PDI!$D$5:$D$204,MATCH(1,PDI!$O$5:$O$204,0))&amp;" → "&amp;INDEX(PDI!$E$5:$E$204,MATCH(1,PDI!$O$5:$O$204,0)),"")</f>
        <v/>
      </c>
      <c r="C46" s="15">
        <f>IFERROR(INDEX(PDI!$H$5:$H$204,MATCH(1,PDI!$O$5:$O$204,0)),"")</f>
        <v/>
      </c>
      <c r="D46" s="26">
        <f>IFERROR(INDEX(PDI!$K$5:$K$204,MATCH(1,PDI!$O$5:$O$204,0)),"")</f>
        <v/>
      </c>
      <c r="E46" s="15">
        <f>IFERROR(INDEX(PDI!$I$5:$I$204,MATCH(1,PDI!$O$5:$O$204,0)),"")</f>
        <v/>
      </c>
      <c r="F46" s="15">
        <f>IFERROR(INDEX(PDI!$M$5:$M$204,MATCH(1,PDI!$O$5:$O$204,0)),"")</f>
        <v/>
      </c>
      <c r="G46" s="2" t="n"/>
    </row>
    <row r="47" ht="34" customHeight="1">
      <c r="A47" s="15">
        <f>IFERROR(INDEX(PDI!$C$5:$C$204,MATCH(2,PDI!$O$5:$O$204,0)),"")</f>
        <v/>
      </c>
      <c r="B47" s="15">
        <f>IFERROR(INDEX(PDI!$D$5:$D$204,MATCH(2,PDI!$O$5:$O$204,0))&amp;" → "&amp;INDEX(PDI!$E$5:$E$204,MATCH(2,PDI!$O$5:$O$204,0)),"")</f>
        <v/>
      </c>
      <c r="C47" s="15">
        <f>IFERROR(INDEX(PDI!$H$5:$H$204,MATCH(2,PDI!$O$5:$O$204,0)),"")</f>
        <v/>
      </c>
      <c r="D47" s="26">
        <f>IFERROR(INDEX(PDI!$K$5:$K$204,MATCH(2,PDI!$O$5:$O$204,0)),"")</f>
        <v/>
      </c>
      <c r="E47" s="15">
        <f>IFERROR(INDEX(PDI!$I$5:$I$204,MATCH(2,PDI!$O$5:$O$204,0)),"")</f>
        <v/>
      </c>
      <c r="F47" s="15">
        <f>IFERROR(INDEX(PDI!$M$5:$M$204,MATCH(2,PDI!$O$5:$O$204,0)),"")</f>
        <v/>
      </c>
      <c r="G47" s="2" t="n"/>
    </row>
    <row r="48" ht="34" customHeight="1">
      <c r="A48" s="15">
        <f>IFERROR(INDEX(PDI!$C$5:$C$204,MATCH(3,PDI!$O$5:$O$204,0)),"")</f>
        <v/>
      </c>
      <c r="B48" s="15">
        <f>IFERROR(INDEX(PDI!$D$5:$D$204,MATCH(3,PDI!$O$5:$O$204,0))&amp;" → "&amp;INDEX(PDI!$E$5:$E$204,MATCH(3,PDI!$O$5:$O$204,0)),"")</f>
        <v/>
      </c>
      <c r="C48" s="15">
        <f>IFERROR(INDEX(PDI!$H$5:$H$204,MATCH(3,PDI!$O$5:$O$204,0)),"")</f>
        <v/>
      </c>
      <c r="D48" s="26">
        <f>IFERROR(INDEX(PDI!$K$5:$K$204,MATCH(3,PDI!$O$5:$O$204,0)),"")</f>
        <v/>
      </c>
      <c r="E48" s="15">
        <f>IFERROR(INDEX(PDI!$I$5:$I$204,MATCH(3,PDI!$O$5:$O$204,0)),"")</f>
        <v/>
      </c>
      <c r="F48" s="15">
        <f>IFERROR(INDEX(PDI!$M$5:$M$204,MATCH(3,PDI!$O$5:$O$204,0)),"")</f>
        <v/>
      </c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4" t="inlineStr">
        <is>
          <t>4. ESCUTA — as perguntas que o gestor esquece de fazer</t>
        </is>
      </c>
      <c r="B50" s="5" t="n"/>
      <c r="C50" s="5" t="n"/>
      <c r="D50" s="5" t="n"/>
      <c r="E50" s="5" t="n"/>
      <c r="F50" s="5" t="n"/>
      <c r="G50" s="5" t="n"/>
    </row>
    <row r="51" ht="26" customHeight="1">
      <c r="A51" s="27" t="inlineStr">
        <is>
          <t>Como está a sua carga? O que está pesando mais do que deveria?</t>
        </is>
      </c>
      <c r="B51" s="19" t="n"/>
      <c r="C51" s="2" t="n"/>
      <c r="D51" s="2" t="n"/>
      <c r="E51" s="2" t="n"/>
      <c r="F51" s="2" t="n"/>
      <c r="G51" s="2" t="n"/>
    </row>
    <row r="52" ht="26" customHeight="1">
      <c r="A52" s="27" t="inlineStr">
        <is>
          <t>O que te travou neste ciclo e eu não vi?</t>
        </is>
      </c>
      <c r="B52" s="19" t="n"/>
      <c r="C52" s="2" t="n"/>
      <c r="D52" s="2" t="n"/>
      <c r="E52" s="2" t="n"/>
      <c r="F52" s="2" t="n"/>
      <c r="G52" s="2" t="n"/>
    </row>
    <row r="53" ht="26" customHeight="1">
      <c r="A53" s="27" t="inlineStr">
        <is>
          <t>O que você quer estar fazendo daqui a um ano?</t>
        </is>
      </c>
      <c r="B53" s="19" t="n"/>
      <c r="C53" s="2" t="n"/>
      <c r="D53" s="2" t="n"/>
      <c r="E53" s="2" t="n"/>
      <c r="F53" s="2" t="n"/>
      <c r="G53" s="2" t="n"/>
    </row>
    <row r="54" ht="26" customHeight="1">
      <c r="A54" s="27" t="inlineStr">
        <is>
          <t>O que eu preciso fazer diferente como gestor?</t>
        </is>
      </c>
      <c r="B54" s="19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4" t="inlineStr">
        <is>
          <t>5. COMPROMISSOS DESTA 1:1 — reaparecem como pendência na próxima</t>
        </is>
      </c>
      <c r="B56" s="5" t="n"/>
      <c r="C56" s="5" t="n"/>
      <c r="D56" s="5" t="n"/>
      <c r="E56" s="5" t="n"/>
      <c r="F56" s="5" t="n"/>
      <c r="G56" s="5" t="n"/>
    </row>
    <row r="57" ht="30" customHeight="1">
      <c r="A57" s="13" t="inlineStr">
        <is>
          <t>Compromisso</t>
        </is>
      </c>
      <c r="B57" s="13" t="inlineStr">
        <is>
          <t>Dono</t>
        </is>
      </c>
      <c r="C57" s="13" t="inlineStr">
        <is>
          <t>Prazo</t>
        </is>
      </c>
      <c r="D57" s="13" t="inlineStr"/>
      <c r="E57" s="28" t="inlineStr">
        <is>
          <t>Registre a 1:1 na aba 'Reuniões 1a1' — é o que alimenta o alerta de 1:1 atrasada no Painel.</t>
        </is>
      </c>
      <c r="F57" s="13" t="inlineStr"/>
      <c r="G57" s="13" t="inlineStr"/>
    </row>
    <row r="58">
      <c r="A58" s="19" t="n"/>
      <c r="B58" s="19" t="n"/>
      <c r="C58" s="18" t="n"/>
      <c r="D58" s="2" t="n"/>
      <c r="E58" s="2" t="n"/>
      <c r="F58" s="2" t="n"/>
      <c r="G58" s="2" t="n"/>
    </row>
    <row r="59">
      <c r="A59" s="19" t="n"/>
      <c r="B59" s="19" t="n"/>
      <c r="C59" s="18" t="n"/>
      <c r="D59" s="2" t="n"/>
      <c r="E59" s="2" t="n"/>
      <c r="F59" s="2" t="n"/>
      <c r="G59" s="2" t="n"/>
    </row>
    <row r="60">
      <c r="A60" s="19" t="n"/>
      <c r="B60" s="19" t="n"/>
      <c r="C60" s="18" t="n"/>
      <c r="D60" s="2" t="n"/>
      <c r="E60" s="2" t="n"/>
      <c r="F60" s="2" t="n"/>
      <c r="G60" s="2" t="n"/>
    </row>
    <row r="61">
      <c r="A61" s="19" t="n"/>
      <c r="B61" s="19" t="n"/>
      <c r="C61" s="18" t="n"/>
      <c r="D61" s="2" t="n"/>
      <c r="E61" s="2" t="n"/>
      <c r="F61" s="2" t="n"/>
      <c r="G61" s="2" t="n"/>
    </row>
    <row r="62">
      <c r="A62" s="19" t="n"/>
      <c r="B62" s="19" t="n"/>
      <c r="C62" s="18" t="n"/>
      <c r="D62" s="2" t="n"/>
      <c r="E62" s="2" t="n"/>
      <c r="F62" s="2" t="n"/>
      <c r="G62" s="2" t="n"/>
    </row>
  </sheetData>
  <mergeCells count="4">
    <mergeCell ref="B52:G52"/>
    <mergeCell ref="B51:G51"/>
    <mergeCell ref="B53:G53"/>
    <mergeCell ref="B54:G54"/>
  </mergeCells>
  <conditionalFormatting sqref="G9:G19">
    <cfRule type="cellIs" priority="1" operator="lessThan" dxfId="1">
      <formula>0</formula>
    </cfRule>
  </conditionalFormatting>
  <conditionalFormatting sqref="B9:C19">
    <cfRule type="expression" priority="2" dxfId="0">
      <formula>AND(ISNUMBER($B9),ISNUMBER($C9),ABS($B9-$C9)&gt;=2)</formula>
    </cfRule>
  </conditionalFormatting>
  <conditionalFormatting sqref="A23:G42">
    <cfRule type="expression" priority="3" dxfId="2">
      <formula>OR($B23="Reconhecimento",$B23="Positiva")</formula>
    </cfRule>
    <cfRule type="expression" priority="4" dxfId="0">
      <formula>AND($G23="Não",OR($B23="Ponto de atenção",$B23="Incidente"))</formula>
    </cfRule>
  </conditionalFormatting>
  <dataValidations count="1">
    <dataValidation sqref="B4" showDropDown="0" showInputMessage="0" showErrorMessage="0" allowBlank="1" type="list">
      <formula1>=Colaboradores!$B$2:$B$61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10" customWidth="1" min="4" max="4"/>
    <col width="10" customWidth="1" min="5" max="5"/>
    <col width="8" customWidth="1" min="6" max="6"/>
    <col width="34" customWidth="1" min="7" max="7"/>
    <col width="44" customWidth="1" min="8" max="8"/>
    <col width="44" customWidth="1" min="9" max="9"/>
    <col width="22" customWidth="1" min="10" max="10"/>
    <col width="12" customWidth="1" min="11" max="11"/>
    <col width="13" customWidth="1" min="12" max="12"/>
    <col width="14" customWidth="1" min="13" max="13"/>
    <col width="12" customWidth="1" min="14" max="14"/>
    <col width="10" customWidth="1" min="15" max="15"/>
  </cols>
  <sheetData>
    <row r="1" ht="22" customHeight="1">
      <c r="A1" s="1" t="inlineStr">
        <is>
          <t>Plano de desenvolvimento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Máximo 2 focos por colaborador por ciclo. Plano com 6 itens não é plano. Todo foco nasce de uma competência do modelo e de pelo menos uma ocorrência.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2" t="inlineStr">
        <is>
          <t>'Melhorar em testes' não é PDI. 'Nos próximos 3 PRs de rota nova, incluir teste de caminho de erro sem que o review precise pedir — verificado por mim em 30/09' é PDI.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30" customHeight="1">
      <c r="A4" s="13" t="inlineStr">
        <is>
          <t>Ciclo</t>
        </is>
      </c>
      <c r="B4" s="13" t="inlineStr">
        <is>
          <t>Colaborador</t>
        </is>
      </c>
      <c r="C4" s="13" t="inlineStr">
        <is>
          <t>Competência-alvo</t>
        </is>
      </c>
      <c r="D4" s="13" t="inlineStr">
        <is>
          <t>Nota atual</t>
        </is>
      </c>
      <c r="E4" s="13" t="inlineStr">
        <is>
          <t>Nota alvo</t>
        </is>
      </c>
      <c r="F4" s="13" t="inlineStr">
        <is>
          <t>Gap</t>
        </is>
      </c>
      <c r="G4" s="13" t="inlineStr">
        <is>
          <t>Evidência do gap (ocorrência / PR / card)</t>
        </is>
      </c>
      <c r="H4" s="13" t="inlineStr">
        <is>
          <t>Ação concreta no trabalho real</t>
        </is>
      </c>
      <c r="I4" s="13" t="inlineStr">
        <is>
          <t>Como saberemos que fechou (evidência de saída)</t>
        </is>
      </c>
      <c r="J4" s="13" t="inlineStr">
        <is>
          <t>Apoio (quem / o quê)</t>
        </is>
      </c>
      <c r="K4" s="13" t="inlineStr">
        <is>
          <t>Prazo</t>
        </is>
      </c>
      <c r="L4" s="13" t="inlineStr">
        <is>
          <t>Último check-in</t>
        </is>
      </c>
      <c r="M4" s="13" t="inlineStr">
        <is>
          <t>Status</t>
        </is>
      </c>
      <c r="N4" s="13" t="inlineStr">
        <is>
          <t>Ordem do foco</t>
        </is>
      </c>
      <c r="O4" s="13" t="inlineStr">
        <is>
          <t>Chave</t>
        </is>
      </c>
    </row>
    <row r="5">
      <c r="A5" s="19" t="inlineStr">
        <is>
          <t>2026-Q3</t>
        </is>
      </c>
      <c r="B5" s="19" t="inlineStr">
        <is>
          <t>Ana Ribeiro</t>
        </is>
      </c>
      <c r="C5" s="19" t="inlineStr">
        <is>
          <t>Qualidade da entrega</t>
        </is>
      </c>
      <c r="D5" s="15">
        <f>IF($B5="","",IFERROR(IF(SUMPRODUCT((Avaliação!$C$5:$C$304=$B5)*(Avaliação!$A$5:$A$304=$A5)*(Avaliação!$F$5:$F$304=$C5)*ISNUMBER(Avaliação!$M$5:$M$304))=0,"",SUMIFS(Avaliação!$M$5:$M$304,Avaliação!$C$5:$C$304,$B5,Avaliação!$A$5:$A$304,$A5,Avaliação!$F$5:$F$304,$C5)),""))</f>
        <v/>
      </c>
      <c r="E5" s="19" t="n">
        <v>3</v>
      </c>
      <c r="F5" s="15">
        <f>IF(OR($D5="",$E5=""),"",$E5-$D5)</f>
        <v/>
      </c>
      <c r="G5" s="19" t="inlineStr">
        <is>
          <t>PR #857 (3 rodadas por teste de erro ausente) + reprovação de QA na sprint 12</t>
        </is>
      </c>
      <c r="H5" s="19" t="inlineStr">
        <is>
          <t>Ser a dona dos testes da nova rota de resgate — escopo real, com o LT como rede de proteção, não curso.</t>
        </is>
      </c>
      <c r="I5" s="19" t="inlineStr">
        <is>
          <t>Nos próximos 3 PRs de rota nova, teste de caminho de erro presente sem o review precisar pedir.</t>
        </is>
      </c>
      <c r="J5" s="19" t="inlineStr">
        <is>
          <t>Rafael Souza (LT), pareamento de 1h/semana</t>
        </is>
      </c>
      <c r="K5" s="18" t="n">
        <v>46356</v>
      </c>
      <c r="L5" s="18" t="n">
        <v>46295</v>
      </c>
      <c r="M5" s="19" t="inlineStr">
        <is>
          <t>Em andamento</t>
        </is>
      </c>
      <c r="N5" s="19" t="n">
        <v>1</v>
      </c>
      <c r="O5" s="15">
        <f>IF(OR($B5="",$B5&lt;&gt;'Pauta 1a1'!$B$4,$A5&lt;&gt;'Pauta 1a1'!$B$5),"",COUNTIFS($B$5:$B5,'Pauta 1a1'!$B$4,$A$5:$A5,'Pauta 1a1'!$B$5))</f>
        <v/>
      </c>
    </row>
    <row r="6">
      <c r="A6" s="19" t="inlineStr">
        <is>
          <t>2026-Q3</t>
        </is>
      </c>
      <c r="B6" s="19" t="inlineStr">
        <is>
          <t>Ana Ribeiro</t>
        </is>
      </c>
      <c r="C6" s="19" t="inlineStr">
        <is>
          <t>Autonomia e ownership</t>
        </is>
      </c>
      <c r="D6" s="15">
        <f>IF($B6="","",IFERROR(IF(SUMPRODUCT((Avaliação!$C$5:$C$304=$B6)*(Avaliação!$A$5:$A$304=$A6)*(Avaliação!$F$5:$F$304=$C6)*ISNUMBER(Avaliação!$M$5:$M$304))=0,"",SUMIFS(Avaliação!$M$5:$M$304,Avaliação!$C$5:$C$304,$B6,Avaliação!$A$5:$A$304,$A6,Avaliação!$F$5:$F$304,$C6)),""))</f>
        <v/>
      </c>
      <c r="E6" s="19" t="n">
        <v>4</v>
      </c>
      <c r="F6" s="15">
        <f>IF(OR($D6="",$E6=""),"",$E6-$D6)</f>
        <v/>
      </c>
      <c r="G6" s="19" t="inlineStr">
        <is>
          <t>Divergência GP 3 × LT 4 na calibração de 30/09</t>
        </is>
      </c>
      <c r="H6" s="19" t="inlineStr">
        <is>
          <t>Conduzir o refinamento do épico de cupom de ponta a ponta, incluindo a conversa com o PO.</t>
        </is>
      </c>
      <c r="I6" s="19" t="inlineStr">
        <is>
          <t>Dois refinamentos conduzidos sem o GP precisar entrar para destravar.</t>
        </is>
      </c>
      <c r="J6" s="19" t="inlineStr">
        <is>
          <t>Marcos Lima (GP), observando sem intervir</t>
        </is>
      </c>
      <c r="K6" s="18" t="n">
        <v>46371</v>
      </c>
      <c r="L6" s="18" t="n">
        <v>46295</v>
      </c>
      <c r="M6" s="19" t="inlineStr">
        <is>
          <t>Não iniciado</t>
        </is>
      </c>
      <c r="N6" s="19" t="n">
        <v>2</v>
      </c>
      <c r="O6" s="15">
        <f>IF(OR($B6="",$B6&lt;&gt;'Pauta 1a1'!$B$4,$A6&lt;&gt;'Pauta 1a1'!$B$5),"",COUNTIFS($B$5:$B6,'Pauta 1a1'!$B$4,$A$5:$A6,'Pauta 1a1'!$B$5))</f>
        <v/>
      </c>
    </row>
    <row r="7">
      <c r="A7" s="19" t="n"/>
      <c r="B7" s="19" t="n"/>
      <c r="C7" s="19" t="n"/>
      <c r="D7" s="15">
        <f>IF($B7="","",IFERROR(IF(SUMPRODUCT((Avaliação!$C$5:$C$304=$B7)*(Avaliação!$A$5:$A$304=$A7)*(Avaliação!$F$5:$F$304=$C7)*ISNUMBER(Avaliação!$M$5:$M$304))=0,"",SUMIFS(Avaliação!$M$5:$M$304,Avaliação!$C$5:$C$304,$B7,Avaliação!$A$5:$A$304,$A7,Avaliação!$F$5:$F$304,$C7)),""))</f>
        <v/>
      </c>
      <c r="E7" s="19" t="n"/>
      <c r="F7" s="15">
        <f>IF(OR($D7="",$E7=""),"",$E7-$D7)</f>
        <v/>
      </c>
      <c r="G7" s="19" t="n"/>
      <c r="H7" s="19" t="n"/>
      <c r="I7" s="19" t="n"/>
      <c r="J7" s="19" t="n"/>
      <c r="K7" s="18" t="n"/>
      <c r="L7" s="18" t="n"/>
      <c r="M7" s="19" t="n"/>
      <c r="N7" s="19" t="n"/>
      <c r="O7" s="15">
        <f>IF(OR($B7="",$B7&lt;&gt;'Pauta 1a1'!$B$4,$A7&lt;&gt;'Pauta 1a1'!$B$5),"",COUNTIFS($B$5:$B7,'Pauta 1a1'!$B$4,$A$5:$A7,'Pauta 1a1'!$B$5))</f>
        <v/>
      </c>
    </row>
    <row r="8">
      <c r="A8" s="19" t="n"/>
      <c r="B8" s="19" t="n"/>
      <c r="C8" s="19" t="n"/>
      <c r="D8" s="15">
        <f>IF($B8="","",IFERROR(IF(SUMPRODUCT((Avaliação!$C$5:$C$304=$B8)*(Avaliação!$A$5:$A$304=$A8)*(Avaliação!$F$5:$F$304=$C8)*ISNUMBER(Avaliação!$M$5:$M$304))=0,"",SUMIFS(Avaliação!$M$5:$M$304,Avaliação!$C$5:$C$304,$B8,Avaliação!$A$5:$A$304,$A8,Avaliação!$F$5:$F$304,$C8)),""))</f>
        <v/>
      </c>
      <c r="E8" s="19" t="n"/>
      <c r="F8" s="15">
        <f>IF(OR($D8="",$E8=""),"",$E8-$D8)</f>
        <v/>
      </c>
      <c r="G8" s="19" t="n"/>
      <c r="H8" s="19" t="n"/>
      <c r="I8" s="19" t="n"/>
      <c r="J8" s="19" t="n"/>
      <c r="K8" s="18" t="n"/>
      <c r="L8" s="18" t="n"/>
      <c r="M8" s="19" t="n"/>
      <c r="N8" s="19" t="n"/>
      <c r="O8" s="15">
        <f>IF(OR($B8="",$B8&lt;&gt;'Pauta 1a1'!$B$4,$A8&lt;&gt;'Pauta 1a1'!$B$5),"",COUNTIFS($B$5:$B8,'Pauta 1a1'!$B$4,$A$5:$A8,'Pauta 1a1'!$B$5))</f>
        <v/>
      </c>
    </row>
    <row r="9">
      <c r="A9" s="19" t="n"/>
      <c r="B9" s="19" t="n"/>
      <c r="C9" s="19" t="n"/>
      <c r="D9" s="15">
        <f>IF($B9="","",IFERROR(IF(SUMPRODUCT((Avaliação!$C$5:$C$304=$B9)*(Avaliação!$A$5:$A$304=$A9)*(Avaliação!$F$5:$F$304=$C9)*ISNUMBER(Avaliação!$M$5:$M$304))=0,"",SUMIFS(Avaliação!$M$5:$M$304,Avaliação!$C$5:$C$304,$B9,Avaliação!$A$5:$A$304,$A9,Avaliação!$F$5:$F$304,$C9)),""))</f>
        <v/>
      </c>
      <c r="E9" s="19" t="n"/>
      <c r="F9" s="15">
        <f>IF(OR($D9="",$E9=""),"",$E9-$D9)</f>
        <v/>
      </c>
      <c r="G9" s="19" t="n"/>
      <c r="H9" s="19" t="n"/>
      <c r="I9" s="19" t="n"/>
      <c r="J9" s="19" t="n"/>
      <c r="K9" s="18" t="n"/>
      <c r="L9" s="18" t="n"/>
      <c r="M9" s="19" t="n"/>
      <c r="N9" s="19" t="n"/>
      <c r="O9" s="15">
        <f>IF(OR($B9="",$B9&lt;&gt;'Pauta 1a1'!$B$4,$A9&lt;&gt;'Pauta 1a1'!$B$5),"",COUNTIFS($B$5:$B9,'Pauta 1a1'!$B$4,$A$5:$A9,'Pauta 1a1'!$B$5))</f>
        <v/>
      </c>
    </row>
    <row r="10">
      <c r="A10" s="19" t="n"/>
      <c r="B10" s="19" t="n"/>
      <c r="C10" s="19" t="n"/>
      <c r="D10" s="15">
        <f>IF($B10="","",IFERROR(IF(SUMPRODUCT((Avaliação!$C$5:$C$304=$B10)*(Avaliação!$A$5:$A$304=$A10)*(Avaliação!$F$5:$F$304=$C10)*ISNUMBER(Avaliação!$M$5:$M$304))=0,"",SUMIFS(Avaliação!$M$5:$M$304,Avaliação!$C$5:$C$304,$B10,Avaliação!$A$5:$A$304,$A10,Avaliação!$F$5:$F$304,$C10)),""))</f>
        <v/>
      </c>
      <c r="E10" s="19" t="n"/>
      <c r="F10" s="15">
        <f>IF(OR($D10="",$E10=""),"",$E10-$D10)</f>
        <v/>
      </c>
      <c r="G10" s="19" t="n"/>
      <c r="H10" s="19" t="n"/>
      <c r="I10" s="19" t="n"/>
      <c r="J10" s="19" t="n"/>
      <c r="K10" s="18" t="n"/>
      <c r="L10" s="18" t="n"/>
      <c r="M10" s="19" t="n"/>
      <c r="N10" s="19" t="n"/>
      <c r="O10" s="15">
        <f>IF(OR($B10="",$B10&lt;&gt;'Pauta 1a1'!$B$4,$A10&lt;&gt;'Pauta 1a1'!$B$5),"",COUNTIFS($B$5:$B10,'Pauta 1a1'!$B$4,$A$5:$A10,'Pauta 1a1'!$B$5))</f>
        <v/>
      </c>
    </row>
    <row r="11">
      <c r="A11" s="19" t="n"/>
      <c r="B11" s="19" t="n"/>
      <c r="C11" s="19" t="n"/>
      <c r="D11" s="15">
        <f>IF($B11="","",IFERROR(IF(SUMPRODUCT((Avaliação!$C$5:$C$304=$B11)*(Avaliação!$A$5:$A$304=$A11)*(Avaliação!$F$5:$F$304=$C11)*ISNUMBER(Avaliação!$M$5:$M$304))=0,"",SUMIFS(Avaliação!$M$5:$M$304,Avaliação!$C$5:$C$304,$B11,Avaliação!$A$5:$A$304,$A11,Avaliação!$F$5:$F$304,$C11)),""))</f>
        <v/>
      </c>
      <c r="E11" s="19" t="n"/>
      <c r="F11" s="15">
        <f>IF(OR($D11="",$E11=""),"",$E11-$D11)</f>
        <v/>
      </c>
      <c r="G11" s="19" t="n"/>
      <c r="H11" s="19" t="n"/>
      <c r="I11" s="19" t="n"/>
      <c r="J11" s="19" t="n"/>
      <c r="K11" s="18" t="n"/>
      <c r="L11" s="18" t="n"/>
      <c r="M11" s="19" t="n"/>
      <c r="N11" s="19" t="n"/>
      <c r="O11" s="15">
        <f>IF(OR($B11="",$B11&lt;&gt;'Pauta 1a1'!$B$4,$A11&lt;&gt;'Pauta 1a1'!$B$5),"",COUNTIFS($B$5:$B11,'Pauta 1a1'!$B$4,$A$5:$A11,'Pauta 1a1'!$B$5))</f>
        <v/>
      </c>
    </row>
    <row r="12">
      <c r="A12" s="19" t="n"/>
      <c r="B12" s="19" t="n"/>
      <c r="C12" s="19" t="n"/>
      <c r="D12" s="15">
        <f>IF($B12="","",IFERROR(IF(SUMPRODUCT((Avaliação!$C$5:$C$304=$B12)*(Avaliação!$A$5:$A$304=$A12)*(Avaliação!$F$5:$F$304=$C12)*ISNUMBER(Avaliação!$M$5:$M$304))=0,"",SUMIFS(Avaliação!$M$5:$M$304,Avaliação!$C$5:$C$304,$B12,Avaliação!$A$5:$A$304,$A12,Avaliação!$F$5:$F$304,$C12)),""))</f>
        <v/>
      </c>
      <c r="E12" s="19" t="n"/>
      <c r="F12" s="15">
        <f>IF(OR($D12="",$E12=""),"",$E12-$D12)</f>
        <v/>
      </c>
      <c r="G12" s="19" t="n"/>
      <c r="H12" s="19" t="n"/>
      <c r="I12" s="19" t="n"/>
      <c r="J12" s="19" t="n"/>
      <c r="K12" s="18" t="n"/>
      <c r="L12" s="18" t="n"/>
      <c r="M12" s="19" t="n"/>
      <c r="N12" s="19" t="n"/>
      <c r="O12" s="15">
        <f>IF(OR($B12="",$B12&lt;&gt;'Pauta 1a1'!$B$4,$A12&lt;&gt;'Pauta 1a1'!$B$5),"",COUNTIFS($B$5:$B12,'Pauta 1a1'!$B$4,$A$5:$A12,'Pauta 1a1'!$B$5))</f>
        <v/>
      </c>
    </row>
    <row r="13">
      <c r="A13" s="19" t="n"/>
      <c r="B13" s="19" t="n"/>
      <c r="C13" s="19" t="n"/>
      <c r="D13" s="15">
        <f>IF($B13="","",IFERROR(IF(SUMPRODUCT((Avaliação!$C$5:$C$304=$B13)*(Avaliação!$A$5:$A$304=$A13)*(Avaliação!$F$5:$F$304=$C13)*ISNUMBER(Avaliação!$M$5:$M$304))=0,"",SUMIFS(Avaliação!$M$5:$M$304,Avaliação!$C$5:$C$304,$B13,Avaliação!$A$5:$A$304,$A13,Avaliação!$F$5:$F$304,$C13)),""))</f>
        <v/>
      </c>
      <c r="E13" s="19" t="n"/>
      <c r="F13" s="15">
        <f>IF(OR($D13="",$E13=""),"",$E13-$D13)</f>
        <v/>
      </c>
      <c r="G13" s="19" t="n"/>
      <c r="H13" s="19" t="n"/>
      <c r="I13" s="19" t="n"/>
      <c r="J13" s="19" t="n"/>
      <c r="K13" s="18" t="n"/>
      <c r="L13" s="18" t="n"/>
      <c r="M13" s="19" t="n"/>
      <c r="N13" s="19" t="n"/>
      <c r="O13" s="15">
        <f>IF(OR($B13="",$B13&lt;&gt;'Pauta 1a1'!$B$4,$A13&lt;&gt;'Pauta 1a1'!$B$5),"",COUNTIFS($B$5:$B13,'Pauta 1a1'!$B$4,$A$5:$A13,'Pauta 1a1'!$B$5))</f>
        <v/>
      </c>
    </row>
    <row r="14">
      <c r="A14" s="19" t="n"/>
      <c r="B14" s="19" t="n"/>
      <c r="C14" s="19" t="n"/>
      <c r="D14" s="15">
        <f>IF($B14="","",IFERROR(IF(SUMPRODUCT((Avaliação!$C$5:$C$304=$B14)*(Avaliação!$A$5:$A$304=$A14)*(Avaliação!$F$5:$F$304=$C14)*ISNUMBER(Avaliação!$M$5:$M$304))=0,"",SUMIFS(Avaliação!$M$5:$M$304,Avaliação!$C$5:$C$304,$B14,Avaliação!$A$5:$A$304,$A14,Avaliação!$F$5:$F$304,$C14)),""))</f>
        <v/>
      </c>
      <c r="E14" s="19" t="n"/>
      <c r="F14" s="15">
        <f>IF(OR($D14="",$E14=""),"",$E14-$D14)</f>
        <v/>
      </c>
      <c r="G14" s="19" t="n"/>
      <c r="H14" s="19" t="n"/>
      <c r="I14" s="19" t="n"/>
      <c r="J14" s="19" t="n"/>
      <c r="K14" s="18" t="n"/>
      <c r="L14" s="18" t="n"/>
      <c r="M14" s="19" t="n"/>
      <c r="N14" s="19" t="n"/>
      <c r="O14" s="15">
        <f>IF(OR($B14="",$B14&lt;&gt;'Pauta 1a1'!$B$4,$A14&lt;&gt;'Pauta 1a1'!$B$5),"",COUNTIFS($B$5:$B14,'Pauta 1a1'!$B$4,$A$5:$A14,'Pauta 1a1'!$B$5))</f>
        <v/>
      </c>
    </row>
    <row r="15">
      <c r="A15" s="19" t="n"/>
      <c r="B15" s="19" t="n"/>
      <c r="C15" s="19" t="n"/>
      <c r="D15" s="15">
        <f>IF($B15="","",IFERROR(IF(SUMPRODUCT((Avaliação!$C$5:$C$304=$B15)*(Avaliação!$A$5:$A$304=$A15)*(Avaliação!$F$5:$F$304=$C15)*ISNUMBER(Avaliação!$M$5:$M$304))=0,"",SUMIFS(Avaliação!$M$5:$M$304,Avaliação!$C$5:$C$304,$B15,Avaliação!$A$5:$A$304,$A15,Avaliação!$F$5:$F$304,$C15)),""))</f>
        <v/>
      </c>
      <c r="E15" s="19" t="n"/>
      <c r="F15" s="15">
        <f>IF(OR($D15="",$E15=""),"",$E15-$D15)</f>
        <v/>
      </c>
      <c r="G15" s="19" t="n"/>
      <c r="H15" s="19" t="n"/>
      <c r="I15" s="19" t="n"/>
      <c r="J15" s="19" t="n"/>
      <c r="K15" s="18" t="n"/>
      <c r="L15" s="18" t="n"/>
      <c r="M15" s="19" t="n"/>
      <c r="N15" s="19" t="n"/>
      <c r="O15" s="15">
        <f>IF(OR($B15="",$B15&lt;&gt;'Pauta 1a1'!$B$4,$A15&lt;&gt;'Pauta 1a1'!$B$5),"",COUNTIFS($B$5:$B15,'Pauta 1a1'!$B$4,$A$5:$A15,'Pauta 1a1'!$B$5))</f>
        <v/>
      </c>
    </row>
    <row r="16">
      <c r="A16" s="19" t="n"/>
      <c r="B16" s="19" t="n"/>
      <c r="C16" s="19" t="n"/>
      <c r="D16" s="15">
        <f>IF($B16="","",IFERROR(IF(SUMPRODUCT((Avaliação!$C$5:$C$304=$B16)*(Avaliação!$A$5:$A$304=$A16)*(Avaliação!$F$5:$F$304=$C16)*ISNUMBER(Avaliação!$M$5:$M$304))=0,"",SUMIFS(Avaliação!$M$5:$M$304,Avaliação!$C$5:$C$304,$B16,Avaliação!$A$5:$A$304,$A16,Avaliação!$F$5:$F$304,$C16)),""))</f>
        <v/>
      </c>
      <c r="E16" s="19" t="n"/>
      <c r="F16" s="15">
        <f>IF(OR($D16="",$E16=""),"",$E16-$D16)</f>
        <v/>
      </c>
      <c r="G16" s="19" t="n"/>
      <c r="H16" s="19" t="n"/>
      <c r="I16" s="19" t="n"/>
      <c r="J16" s="19" t="n"/>
      <c r="K16" s="18" t="n"/>
      <c r="L16" s="18" t="n"/>
      <c r="M16" s="19" t="n"/>
      <c r="N16" s="19" t="n"/>
      <c r="O16" s="15">
        <f>IF(OR($B16="",$B16&lt;&gt;'Pauta 1a1'!$B$4,$A16&lt;&gt;'Pauta 1a1'!$B$5),"",COUNTIFS($B$5:$B16,'Pauta 1a1'!$B$4,$A$5:$A16,'Pauta 1a1'!$B$5))</f>
        <v/>
      </c>
    </row>
    <row r="17">
      <c r="A17" s="19" t="n"/>
      <c r="B17" s="19" t="n"/>
      <c r="C17" s="19" t="n"/>
      <c r="D17" s="15">
        <f>IF($B17="","",IFERROR(IF(SUMPRODUCT((Avaliação!$C$5:$C$304=$B17)*(Avaliação!$A$5:$A$304=$A17)*(Avaliação!$F$5:$F$304=$C17)*ISNUMBER(Avaliação!$M$5:$M$304))=0,"",SUMIFS(Avaliação!$M$5:$M$304,Avaliação!$C$5:$C$304,$B17,Avaliação!$A$5:$A$304,$A17,Avaliação!$F$5:$F$304,$C17)),""))</f>
        <v/>
      </c>
      <c r="E17" s="19" t="n"/>
      <c r="F17" s="15">
        <f>IF(OR($D17="",$E17=""),"",$E17-$D17)</f>
        <v/>
      </c>
      <c r="G17" s="19" t="n"/>
      <c r="H17" s="19" t="n"/>
      <c r="I17" s="19" t="n"/>
      <c r="J17" s="19" t="n"/>
      <c r="K17" s="18" t="n"/>
      <c r="L17" s="18" t="n"/>
      <c r="M17" s="19" t="n"/>
      <c r="N17" s="19" t="n"/>
      <c r="O17" s="15">
        <f>IF(OR($B17="",$B17&lt;&gt;'Pauta 1a1'!$B$4,$A17&lt;&gt;'Pauta 1a1'!$B$5),"",COUNTIFS($B$5:$B17,'Pauta 1a1'!$B$4,$A$5:$A17,'Pauta 1a1'!$B$5))</f>
        <v/>
      </c>
    </row>
    <row r="18">
      <c r="A18" s="19" t="n"/>
      <c r="B18" s="19" t="n"/>
      <c r="C18" s="19" t="n"/>
      <c r="D18" s="15">
        <f>IF($B18="","",IFERROR(IF(SUMPRODUCT((Avaliação!$C$5:$C$304=$B18)*(Avaliação!$A$5:$A$304=$A18)*(Avaliação!$F$5:$F$304=$C18)*ISNUMBER(Avaliação!$M$5:$M$304))=0,"",SUMIFS(Avaliação!$M$5:$M$304,Avaliação!$C$5:$C$304,$B18,Avaliação!$A$5:$A$304,$A18,Avaliação!$F$5:$F$304,$C18)),""))</f>
        <v/>
      </c>
      <c r="E18" s="19" t="n"/>
      <c r="F18" s="15">
        <f>IF(OR($D18="",$E18=""),"",$E18-$D18)</f>
        <v/>
      </c>
      <c r="G18" s="19" t="n"/>
      <c r="H18" s="19" t="n"/>
      <c r="I18" s="19" t="n"/>
      <c r="J18" s="19" t="n"/>
      <c r="K18" s="18" t="n"/>
      <c r="L18" s="18" t="n"/>
      <c r="M18" s="19" t="n"/>
      <c r="N18" s="19" t="n"/>
      <c r="O18" s="15">
        <f>IF(OR($B18="",$B18&lt;&gt;'Pauta 1a1'!$B$4,$A18&lt;&gt;'Pauta 1a1'!$B$5),"",COUNTIFS($B$5:$B18,'Pauta 1a1'!$B$4,$A$5:$A18,'Pauta 1a1'!$B$5))</f>
        <v/>
      </c>
    </row>
    <row r="19">
      <c r="A19" s="19" t="n"/>
      <c r="B19" s="19" t="n"/>
      <c r="C19" s="19" t="n"/>
      <c r="D19" s="15">
        <f>IF($B19="","",IFERROR(IF(SUMPRODUCT((Avaliação!$C$5:$C$304=$B19)*(Avaliação!$A$5:$A$304=$A19)*(Avaliação!$F$5:$F$304=$C19)*ISNUMBER(Avaliação!$M$5:$M$304))=0,"",SUMIFS(Avaliação!$M$5:$M$304,Avaliação!$C$5:$C$304,$B19,Avaliação!$A$5:$A$304,$A19,Avaliação!$F$5:$F$304,$C19)),""))</f>
        <v/>
      </c>
      <c r="E19" s="19" t="n"/>
      <c r="F19" s="15">
        <f>IF(OR($D19="",$E19=""),"",$E19-$D19)</f>
        <v/>
      </c>
      <c r="G19" s="19" t="n"/>
      <c r="H19" s="19" t="n"/>
      <c r="I19" s="19" t="n"/>
      <c r="J19" s="19" t="n"/>
      <c r="K19" s="18" t="n"/>
      <c r="L19" s="18" t="n"/>
      <c r="M19" s="19" t="n"/>
      <c r="N19" s="19" t="n"/>
      <c r="O19" s="15">
        <f>IF(OR($B19="",$B19&lt;&gt;'Pauta 1a1'!$B$4,$A19&lt;&gt;'Pauta 1a1'!$B$5),"",COUNTIFS($B$5:$B19,'Pauta 1a1'!$B$4,$A$5:$A19,'Pauta 1a1'!$B$5))</f>
        <v/>
      </c>
    </row>
    <row r="20">
      <c r="A20" s="19" t="n"/>
      <c r="B20" s="19" t="n"/>
      <c r="C20" s="19" t="n"/>
      <c r="D20" s="15">
        <f>IF($B20="","",IFERROR(IF(SUMPRODUCT((Avaliação!$C$5:$C$304=$B20)*(Avaliação!$A$5:$A$304=$A20)*(Avaliação!$F$5:$F$304=$C20)*ISNUMBER(Avaliação!$M$5:$M$304))=0,"",SUMIFS(Avaliação!$M$5:$M$304,Avaliação!$C$5:$C$304,$B20,Avaliação!$A$5:$A$304,$A20,Avaliação!$F$5:$F$304,$C20)),""))</f>
        <v/>
      </c>
      <c r="E20" s="19" t="n"/>
      <c r="F20" s="15">
        <f>IF(OR($D20="",$E20=""),"",$E20-$D20)</f>
        <v/>
      </c>
      <c r="G20" s="19" t="n"/>
      <c r="H20" s="19" t="n"/>
      <c r="I20" s="19" t="n"/>
      <c r="J20" s="19" t="n"/>
      <c r="K20" s="18" t="n"/>
      <c r="L20" s="18" t="n"/>
      <c r="M20" s="19" t="n"/>
      <c r="N20" s="19" t="n"/>
      <c r="O20" s="15">
        <f>IF(OR($B20="",$B20&lt;&gt;'Pauta 1a1'!$B$4,$A20&lt;&gt;'Pauta 1a1'!$B$5),"",COUNTIFS($B$5:$B20,'Pauta 1a1'!$B$4,$A$5:$A20,'Pauta 1a1'!$B$5))</f>
        <v/>
      </c>
    </row>
    <row r="21">
      <c r="A21" s="19" t="n"/>
      <c r="B21" s="19" t="n"/>
      <c r="C21" s="19" t="n"/>
      <c r="D21" s="15">
        <f>IF($B21="","",IFERROR(IF(SUMPRODUCT((Avaliação!$C$5:$C$304=$B21)*(Avaliação!$A$5:$A$304=$A21)*(Avaliação!$F$5:$F$304=$C21)*ISNUMBER(Avaliação!$M$5:$M$304))=0,"",SUMIFS(Avaliação!$M$5:$M$304,Avaliação!$C$5:$C$304,$B21,Avaliação!$A$5:$A$304,$A21,Avaliação!$F$5:$F$304,$C21)),""))</f>
        <v/>
      </c>
      <c r="E21" s="19" t="n"/>
      <c r="F21" s="15">
        <f>IF(OR($D21="",$E21=""),"",$E21-$D21)</f>
        <v/>
      </c>
      <c r="G21" s="19" t="n"/>
      <c r="H21" s="19" t="n"/>
      <c r="I21" s="19" t="n"/>
      <c r="J21" s="19" t="n"/>
      <c r="K21" s="18" t="n"/>
      <c r="L21" s="18" t="n"/>
      <c r="M21" s="19" t="n"/>
      <c r="N21" s="19" t="n"/>
      <c r="O21" s="15">
        <f>IF(OR($B21="",$B21&lt;&gt;'Pauta 1a1'!$B$4,$A21&lt;&gt;'Pauta 1a1'!$B$5),"",COUNTIFS($B$5:$B21,'Pauta 1a1'!$B$4,$A$5:$A21,'Pauta 1a1'!$B$5))</f>
        <v/>
      </c>
    </row>
    <row r="22">
      <c r="A22" s="19" t="n"/>
      <c r="B22" s="19" t="n"/>
      <c r="C22" s="19" t="n"/>
      <c r="D22" s="15">
        <f>IF($B22="","",IFERROR(IF(SUMPRODUCT((Avaliação!$C$5:$C$304=$B22)*(Avaliação!$A$5:$A$304=$A22)*(Avaliação!$F$5:$F$304=$C22)*ISNUMBER(Avaliação!$M$5:$M$304))=0,"",SUMIFS(Avaliação!$M$5:$M$304,Avaliação!$C$5:$C$304,$B22,Avaliação!$A$5:$A$304,$A22,Avaliação!$F$5:$F$304,$C22)),""))</f>
        <v/>
      </c>
      <c r="E22" s="19" t="n"/>
      <c r="F22" s="15">
        <f>IF(OR($D22="",$E22=""),"",$E22-$D22)</f>
        <v/>
      </c>
      <c r="G22" s="19" t="n"/>
      <c r="H22" s="19" t="n"/>
      <c r="I22" s="19" t="n"/>
      <c r="J22" s="19" t="n"/>
      <c r="K22" s="18" t="n"/>
      <c r="L22" s="18" t="n"/>
      <c r="M22" s="19" t="n"/>
      <c r="N22" s="19" t="n"/>
      <c r="O22" s="15">
        <f>IF(OR($B22="",$B22&lt;&gt;'Pauta 1a1'!$B$4,$A22&lt;&gt;'Pauta 1a1'!$B$5),"",COUNTIFS($B$5:$B22,'Pauta 1a1'!$B$4,$A$5:$A22,'Pauta 1a1'!$B$5))</f>
        <v/>
      </c>
    </row>
    <row r="23">
      <c r="A23" s="19" t="n"/>
      <c r="B23" s="19" t="n"/>
      <c r="C23" s="19" t="n"/>
      <c r="D23" s="15">
        <f>IF($B23="","",IFERROR(IF(SUMPRODUCT((Avaliação!$C$5:$C$304=$B23)*(Avaliação!$A$5:$A$304=$A23)*(Avaliação!$F$5:$F$304=$C23)*ISNUMBER(Avaliação!$M$5:$M$304))=0,"",SUMIFS(Avaliação!$M$5:$M$304,Avaliação!$C$5:$C$304,$B23,Avaliação!$A$5:$A$304,$A23,Avaliação!$F$5:$F$304,$C23)),""))</f>
        <v/>
      </c>
      <c r="E23" s="19" t="n"/>
      <c r="F23" s="15">
        <f>IF(OR($D23="",$E23=""),"",$E23-$D23)</f>
        <v/>
      </c>
      <c r="G23" s="19" t="n"/>
      <c r="H23" s="19" t="n"/>
      <c r="I23" s="19" t="n"/>
      <c r="J23" s="19" t="n"/>
      <c r="K23" s="18" t="n"/>
      <c r="L23" s="18" t="n"/>
      <c r="M23" s="19" t="n"/>
      <c r="N23" s="19" t="n"/>
      <c r="O23" s="15">
        <f>IF(OR($B23="",$B23&lt;&gt;'Pauta 1a1'!$B$4,$A23&lt;&gt;'Pauta 1a1'!$B$5),"",COUNTIFS($B$5:$B23,'Pauta 1a1'!$B$4,$A$5:$A23,'Pauta 1a1'!$B$5))</f>
        <v/>
      </c>
    </row>
    <row r="24">
      <c r="A24" s="19" t="n"/>
      <c r="B24" s="19" t="n"/>
      <c r="C24" s="19" t="n"/>
      <c r="D24" s="15">
        <f>IF($B24="","",IFERROR(IF(SUMPRODUCT((Avaliação!$C$5:$C$304=$B24)*(Avaliação!$A$5:$A$304=$A24)*(Avaliação!$F$5:$F$304=$C24)*ISNUMBER(Avaliação!$M$5:$M$304))=0,"",SUMIFS(Avaliação!$M$5:$M$304,Avaliação!$C$5:$C$304,$B24,Avaliação!$A$5:$A$304,$A24,Avaliação!$F$5:$F$304,$C24)),""))</f>
        <v/>
      </c>
      <c r="E24" s="19" t="n"/>
      <c r="F24" s="15">
        <f>IF(OR($D24="",$E24=""),"",$E24-$D24)</f>
        <v/>
      </c>
      <c r="G24" s="19" t="n"/>
      <c r="H24" s="19" t="n"/>
      <c r="I24" s="19" t="n"/>
      <c r="J24" s="19" t="n"/>
      <c r="K24" s="18" t="n"/>
      <c r="L24" s="18" t="n"/>
      <c r="M24" s="19" t="n"/>
      <c r="N24" s="19" t="n"/>
      <c r="O24" s="15">
        <f>IF(OR($B24="",$B24&lt;&gt;'Pauta 1a1'!$B$4,$A24&lt;&gt;'Pauta 1a1'!$B$5),"",COUNTIFS($B$5:$B24,'Pauta 1a1'!$B$4,$A$5:$A24,'Pauta 1a1'!$B$5))</f>
        <v/>
      </c>
    </row>
    <row r="25">
      <c r="A25" s="19" t="n"/>
      <c r="B25" s="19" t="n"/>
      <c r="C25" s="19" t="n"/>
      <c r="D25" s="15">
        <f>IF($B25="","",IFERROR(IF(SUMPRODUCT((Avaliação!$C$5:$C$304=$B25)*(Avaliação!$A$5:$A$304=$A25)*(Avaliação!$F$5:$F$304=$C25)*ISNUMBER(Avaliação!$M$5:$M$304))=0,"",SUMIFS(Avaliação!$M$5:$M$304,Avaliação!$C$5:$C$304,$B25,Avaliação!$A$5:$A$304,$A25,Avaliação!$F$5:$F$304,$C25)),""))</f>
        <v/>
      </c>
      <c r="E25" s="19" t="n"/>
      <c r="F25" s="15">
        <f>IF(OR($D25="",$E25=""),"",$E25-$D25)</f>
        <v/>
      </c>
      <c r="G25" s="19" t="n"/>
      <c r="H25" s="19" t="n"/>
      <c r="I25" s="19" t="n"/>
      <c r="J25" s="19" t="n"/>
      <c r="K25" s="18" t="n"/>
      <c r="L25" s="18" t="n"/>
      <c r="M25" s="19" t="n"/>
      <c r="N25" s="19" t="n"/>
      <c r="O25" s="15">
        <f>IF(OR($B25="",$B25&lt;&gt;'Pauta 1a1'!$B$4,$A25&lt;&gt;'Pauta 1a1'!$B$5),"",COUNTIFS($B$5:$B25,'Pauta 1a1'!$B$4,$A$5:$A25,'Pauta 1a1'!$B$5))</f>
        <v/>
      </c>
    </row>
    <row r="26">
      <c r="A26" s="19" t="n"/>
      <c r="B26" s="19" t="n"/>
      <c r="C26" s="19" t="n"/>
      <c r="D26" s="15">
        <f>IF($B26="","",IFERROR(IF(SUMPRODUCT((Avaliação!$C$5:$C$304=$B26)*(Avaliação!$A$5:$A$304=$A26)*(Avaliação!$F$5:$F$304=$C26)*ISNUMBER(Avaliação!$M$5:$M$304))=0,"",SUMIFS(Avaliação!$M$5:$M$304,Avaliação!$C$5:$C$304,$B26,Avaliação!$A$5:$A$304,$A26,Avaliação!$F$5:$F$304,$C26)),""))</f>
        <v/>
      </c>
      <c r="E26" s="19" t="n"/>
      <c r="F26" s="15">
        <f>IF(OR($D26="",$E26=""),"",$E26-$D26)</f>
        <v/>
      </c>
      <c r="G26" s="19" t="n"/>
      <c r="H26" s="19" t="n"/>
      <c r="I26" s="19" t="n"/>
      <c r="J26" s="19" t="n"/>
      <c r="K26" s="18" t="n"/>
      <c r="L26" s="18" t="n"/>
      <c r="M26" s="19" t="n"/>
      <c r="N26" s="19" t="n"/>
      <c r="O26" s="15">
        <f>IF(OR($B26="",$B26&lt;&gt;'Pauta 1a1'!$B$4,$A26&lt;&gt;'Pauta 1a1'!$B$5),"",COUNTIFS($B$5:$B26,'Pauta 1a1'!$B$4,$A$5:$A26,'Pauta 1a1'!$B$5))</f>
        <v/>
      </c>
    </row>
    <row r="27">
      <c r="A27" s="19" t="n"/>
      <c r="B27" s="19" t="n"/>
      <c r="C27" s="19" t="n"/>
      <c r="D27" s="15">
        <f>IF($B27="","",IFERROR(IF(SUMPRODUCT((Avaliação!$C$5:$C$304=$B27)*(Avaliação!$A$5:$A$304=$A27)*(Avaliação!$F$5:$F$304=$C27)*ISNUMBER(Avaliação!$M$5:$M$304))=0,"",SUMIFS(Avaliação!$M$5:$M$304,Avaliação!$C$5:$C$304,$B27,Avaliação!$A$5:$A$304,$A27,Avaliação!$F$5:$F$304,$C27)),""))</f>
        <v/>
      </c>
      <c r="E27" s="19" t="n"/>
      <c r="F27" s="15">
        <f>IF(OR($D27="",$E27=""),"",$E27-$D27)</f>
        <v/>
      </c>
      <c r="G27" s="19" t="n"/>
      <c r="H27" s="19" t="n"/>
      <c r="I27" s="19" t="n"/>
      <c r="J27" s="19" t="n"/>
      <c r="K27" s="18" t="n"/>
      <c r="L27" s="18" t="n"/>
      <c r="M27" s="19" t="n"/>
      <c r="N27" s="19" t="n"/>
      <c r="O27" s="15">
        <f>IF(OR($B27="",$B27&lt;&gt;'Pauta 1a1'!$B$4,$A27&lt;&gt;'Pauta 1a1'!$B$5),"",COUNTIFS($B$5:$B27,'Pauta 1a1'!$B$4,$A$5:$A27,'Pauta 1a1'!$B$5))</f>
        <v/>
      </c>
    </row>
    <row r="28">
      <c r="A28" s="19" t="n"/>
      <c r="B28" s="19" t="n"/>
      <c r="C28" s="19" t="n"/>
      <c r="D28" s="15">
        <f>IF($B28="","",IFERROR(IF(SUMPRODUCT((Avaliação!$C$5:$C$304=$B28)*(Avaliação!$A$5:$A$304=$A28)*(Avaliação!$F$5:$F$304=$C28)*ISNUMBER(Avaliação!$M$5:$M$304))=0,"",SUMIFS(Avaliação!$M$5:$M$304,Avaliação!$C$5:$C$304,$B28,Avaliação!$A$5:$A$304,$A28,Avaliação!$F$5:$F$304,$C28)),""))</f>
        <v/>
      </c>
      <c r="E28" s="19" t="n"/>
      <c r="F28" s="15">
        <f>IF(OR($D28="",$E28=""),"",$E28-$D28)</f>
        <v/>
      </c>
      <c r="G28" s="19" t="n"/>
      <c r="H28" s="19" t="n"/>
      <c r="I28" s="19" t="n"/>
      <c r="J28" s="19" t="n"/>
      <c r="K28" s="18" t="n"/>
      <c r="L28" s="18" t="n"/>
      <c r="M28" s="19" t="n"/>
      <c r="N28" s="19" t="n"/>
      <c r="O28" s="15">
        <f>IF(OR($B28="",$B28&lt;&gt;'Pauta 1a1'!$B$4,$A28&lt;&gt;'Pauta 1a1'!$B$5),"",COUNTIFS($B$5:$B28,'Pauta 1a1'!$B$4,$A$5:$A28,'Pauta 1a1'!$B$5))</f>
        <v/>
      </c>
    </row>
    <row r="29">
      <c r="A29" s="19" t="n"/>
      <c r="B29" s="19" t="n"/>
      <c r="C29" s="19" t="n"/>
      <c r="D29" s="15">
        <f>IF($B29="","",IFERROR(IF(SUMPRODUCT((Avaliação!$C$5:$C$304=$B29)*(Avaliação!$A$5:$A$304=$A29)*(Avaliação!$F$5:$F$304=$C29)*ISNUMBER(Avaliação!$M$5:$M$304))=0,"",SUMIFS(Avaliação!$M$5:$M$304,Avaliação!$C$5:$C$304,$B29,Avaliação!$A$5:$A$304,$A29,Avaliação!$F$5:$F$304,$C29)),""))</f>
        <v/>
      </c>
      <c r="E29" s="19" t="n"/>
      <c r="F29" s="15">
        <f>IF(OR($D29="",$E29=""),"",$E29-$D29)</f>
        <v/>
      </c>
      <c r="G29" s="19" t="n"/>
      <c r="H29" s="19" t="n"/>
      <c r="I29" s="19" t="n"/>
      <c r="J29" s="19" t="n"/>
      <c r="K29" s="18" t="n"/>
      <c r="L29" s="18" t="n"/>
      <c r="M29" s="19" t="n"/>
      <c r="N29" s="19" t="n"/>
      <c r="O29" s="15">
        <f>IF(OR($B29="",$B29&lt;&gt;'Pauta 1a1'!$B$4,$A29&lt;&gt;'Pauta 1a1'!$B$5),"",COUNTIFS($B$5:$B29,'Pauta 1a1'!$B$4,$A$5:$A29,'Pauta 1a1'!$B$5))</f>
        <v/>
      </c>
    </row>
    <row r="30">
      <c r="A30" s="19" t="n"/>
      <c r="B30" s="19" t="n"/>
      <c r="C30" s="19" t="n"/>
      <c r="D30" s="15">
        <f>IF($B30="","",IFERROR(IF(SUMPRODUCT((Avaliação!$C$5:$C$304=$B30)*(Avaliação!$A$5:$A$304=$A30)*(Avaliação!$F$5:$F$304=$C30)*ISNUMBER(Avaliação!$M$5:$M$304))=0,"",SUMIFS(Avaliação!$M$5:$M$304,Avaliação!$C$5:$C$304,$B30,Avaliação!$A$5:$A$304,$A30,Avaliação!$F$5:$F$304,$C30)),""))</f>
        <v/>
      </c>
      <c r="E30" s="19" t="n"/>
      <c r="F30" s="15">
        <f>IF(OR($D30="",$E30=""),"",$E30-$D30)</f>
        <v/>
      </c>
      <c r="G30" s="19" t="n"/>
      <c r="H30" s="19" t="n"/>
      <c r="I30" s="19" t="n"/>
      <c r="J30" s="19" t="n"/>
      <c r="K30" s="18" t="n"/>
      <c r="L30" s="18" t="n"/>
      <c r="M30" s="19" t="n"/>
      <c r="N30" s="19" t="n"/>
      <c r="O30" s="15">
        <f>IF(OR($B30="",$B30&lt;&gt;'Pauta 1a1'!$B$4,$A30&lt;&gt;'Pauta 1a1'!$B$5),"",COUNTIFS($B$5:$B30,'Pauta 1a1'!$B$4,$A$5:$A30,'Pauta 1a1'!$B$5))</f>
        <v/>
      </c>
    </row>
    <row r="31">
      <c r="A31" s="19" t="n"/>
      <c r="B31" s="19" t="n"/>
      <c r="C31" s="19" t="n"/>
      <c r="D31" s="15">
        <f>IF($B31="","",IFERROR(IF(SUMPRODUCT((Avaliação!$C$5:$C$304=$B31)*(Avaliação!$A$5:$A$304=$A31)*(Avaliação!$F$5:$F$304=$C31)*ISNUMBER(Avaliação!$M$5:$M$304))=0,"",SUMIFS(Avaliação!$M$5:$M$304,Avaliação!$C$5:$C$304,$B31,Avaliação!$A$5:$A$304,$A31,Avaliação!$F$5:$F$304,$C31)),""))</f>
        <v/>
      </c>
      <c r="E31" s="19" t="n"/>
      <c r="F31" s="15">
        <f>IF(OR($D31="",$E31=""),"",$E31-$D31)</f>
        <v/>
      </c>
      <c r="G31" s="19" t="n"/>
      <c r="H31" s="19" t="n"/>
      <c r="I31" s="19" t="n"/>
      <c r="J31" s="19" t="n"/>
      <c r="K31" s="18" t="n"/>
      <c r="L31" s="18" t="n"/>
      <c r="M31" s="19" t="n"/>
      <c r="N31" s="19" t="n"/>
      <c r="O31" s="15">
        <f>IF(OR($B31="",$B31&lt;&gt;'Pauta 1a1'!$B$4,$A31&lt;&gt;'Pauta 1a1'!$B$5),"",COUNTIFS($B$5:$B31,'Pauta 1a1'!$B$4,$A$5:$A31,'Pauta 1a1'!$B$5))</f>
        <v/>
      </c>
    </row>
    <row r="32">
      <c r="A32" s="19" t="n"/>
      <c r="B32" s="19" t="n"/>
      <c r="C32" s="19" t="n"/>
      <c r="D32" s="15">
        <f>IF($B32="","",IFERROR(IF(SUMPRODUCT((Avaliação!$C$5:$C$304=$B32)*(Avaliação!$A$5:$A$304=$A32)*(Avaliação!$F$5:$F$304=$C32)*ISNUMBER(Avaliação!$M$5:$M$304))=0,"",SUMIFS(Avaliação!$M$5:$M$304,Avaliação!$C$5:$C$304,$B32,Avaliação!$A$5:$A$304,$A32,Avaliação!$F$5:$F$304,$C32)),""))</f>
        <v/>
      </c>
      <c r="E32" s="19" t="n"/>
      <c r="F32" s="15">
        <f>IF(OR($D32="",$E32=""),"",$E32-$D32)</f>
        <v/>
      </c>
      <c r="G32" s="19" t="n"/>
      <c r="H32" s="19" t="n"/>
      <c r="I32" s="19" t="n"/>
      <c r="J32" s="19" t="n"/>
      <c r="K32" s="18" t="n"/>
      <c r="L32" s="18" t="n"/>
      <c r="M32" s="19" t="n"/>
      <c r="N32" s="19" t="n"/>
      <c r="O32" s="15">
        <f>IF(OR($B32="",$B32&lt;&gt;'Pauta 1a1'!$B$4,$A32&lt;&gt;'Pauta 1a1'!$B$5),"",COUNTIFS($B$5:$B32,'Pauta 1a1'!$B$4,$A$5:$A32,'Pauta 1a1'!$B$5))</f>
        <v/>
      </c>
    </row>
    <row r="33">
      <c r="A33" s="19" t="n"/>
      <c r="B33" s="19" t="n"/>
      <c r="C33" s="19" t="n"/>
      <c r="D33" s="15">
        <f>IF($B33="","",IFERROR(IF(SUMPRODUCT((Avaliação!$C$5:$C$304=$B33)*(Avaliação!$A$5:$A$304=$A33)*(Avaliação!$F$5:$F$304=$C33)*ISNUMBER(Avaliação!$M$5:$M$304))=0,"",SUMIFS(Avaliação!$M$5:$M$304,Avaliação!$C$5:$C$304,$B33,Avaliação!$A$5:$A$304,$A33,Avaliação!$F$5:$F$304,$C33)),""))</f>
        <v/>
      </c>
      <c r="E33" s="19" t="n"/>
      <c r="F33" s="15">
        <f>IF(OR($D33="",$E33=""),"",$E33-$D33)</f>
        <v/>
      </c>
      <c r="G33" s="19" t="n"/>
      <c r="H33" s="19" t="n"/>
      <c r="I33" s="19" t="n"/>
      <c r="J33" s="19" t="n"/>
      <c r="K33" s="18" t="n"/>
      <c r="L33" s="18" t="n"/>
      <c r="M33" s="19" t="n"/>
      <c r="N33" s="19" t="n"/>
      <c r="O33" s="15">
        <f>IF(OR($B33="",$B33&lt;&gt;'Pauta 1a1'!$B$4,$A33&lt;&gt;'Pauta 1a1'!$B$5),"",COUNTIFS($B$5:$B33,'Pauta 1a1'!$B$4,$A$5:$A33,'Pauta 1a1'!$B$5))</f>
        <v/>
      </c>
    </row>
    <row r="34">
      <c r="A34" s="19" t="n"/>
      <c r="B34" s="19" t="n"/>
      <c r="C34" s="19" t="n"/>
      <c r="D34" s="15">
        <f>IF($B34="","",IFERROR(IF(SUMPRODUCT((Avaliação!$C$5:$C$304=$B34)*(Avaliação!$A$5:$A$304=$A34)*(Avaliação!$F$5:$F$304=$C34)*ISNUMBER(Avaliação!$M$5:$M$304))=0,"",SUMIFS(Avaliação!$M$5:$M$304,Avaliação!$C$5:$C$304,$B34,Avaliação!$A$5:$A$304,$A34,Avaliação!$F$5:$F$304,$C34)),""))</f>
        <v/>
      </c>
      <c r="E34" s="19" t="n"/>
      <c r="F34" s="15">
        <f>IF(OR($D34="",$E34=""),"",$E34-$D34)</f>
        <v/>
      </c>
      <c r="G34" s="19" t="n"/>
      <c r="H34" s="19" t="n"/>
      <c r="I34" s="19" t="n"/>
      <c r="J34" s="19" t="n"/>
      <c r="K34" s="18" t="n"/>
      <c r="L34" s="18" t="n"/>
      <c r="M34" s="19" t="n"/>
      <c r="N34" s="19" t="n"/>
      <c r="O34" s="15">
        <f>IF(OR($B34="",$B34&lt;&gt;'Pauta 1a1'!$B$4,$A34&lt;&gt;'Pauta 1a1'!$B$5),"",COUNTIFS($B$5:$B34,'Pauta 1a1'!$B$4,$A$5:$A34,'Pauta 1a1'!$B$5))</f>
        <v/>
      </c>
    </row>
    <row r="35">
      <c r="A35" s="19" t="n"/>
      <c r="B35" s="19" t="n"/>
      <c r="C35" s="19" t="n"/>
      <c r="D35" s="15">
        <f>IF($B35="","",IFERROR(IF(SUMPRODUCT((Avaliação!$C$5:$C$304=$B35)*(Avaliação!$A$5:$A$304=$A35)*(Avaliação!$F$5:$F$304=$C35)*ISNUMBER(Avaliação!$M$5:$M$304))=0,"",SUMIFS(Avaliação!$M$5:$M$304,Avaliação!$C$5:$C$304,$B35,Avaliação!$A$5:$A$304,$A35,Avaliação!$F$5:$F$304,$C35)),""))</f>
        <v/>
      </c>
      <c r="E35" s="19" t="n"/>
      <c r="F35" s="15">
        <f>IF(OR($D35="",$E35=""),"",$E35-$D35)</f>
        <v/>
      </c>
      <c r="G35" s="19" t="n"/>
      <c r="H35" s="19" t="n"/>
      <c r="I35" s="19" t="n"/>
      <c r="J35" s="19" t="n"/>
      <c r="K35" s="18" t="n"/>
      <c r="L35" s="18" t="n"/>
      <c r="M35" s="19" t="n"/>
      <c r="N35" s="19" t="n"/>
      <c r="O35" s="15">
        <f>IF(OR($B35="",$B35&lt;&gt;'Pauta 1a1'!$B$4,$A35&lt;&gt;'Pauta 1a1'!$B$5),"",COUNTIFS($B$5:$B35,'Pauta 1a1'!$B$4,$A$5:$A35,'Pauta 1a1'!$B$5))</f>
        <v/>
      </c>
    </row>
    <row r="36">
      <c r="A36" s="19" t="n"/>
      <c r="B36" s="19" t="n"/>
      <c r="C36" s="19" t="n"/>
      <c r="D36" s="15">
        <f>IF($B36="","",IFERROR(IF(SUMPRODUCT((Avaliação!$C$5:$C$304=$B36)*(Avaliação!$A$5:$A$304=$A36)*(Avaliação!$F$5:$F$304=$C36)*ISNUMBER(Avaliação!$M$5:$M$304))=0,"",SUMIFS(Avaliação!$M$5:$M$304,Avaliação!$C$5:$C$304,$B36,Avaliação!$A$5:$A$304,$A36,Avaliação!$F$5:$F$304,$C36)),""))</f>
        <v/>
      </c>
      <c r="E36" s="19" t="n"/>
      <c r="F36" s="15">
        <f>IF(OR($D36="",$E36=""),"",$E36-$D36)</f>
        <v/>
      </c>
      <c r="G36" s="19" t="n"/>
      <c r="H36" s="19" t="n"/>
      <c r="I36" s="19" t="n"/>
      <c r="J36" s="19" t="n"/>
      <c r="K36" s="18" t="n"/>
      <c r="L36" s="18" t="n"/>
      <c r="M36" s="19" t="n"/>
      <c r="N36" s="19" t="n"/>
      <c r="O36" s="15">
        <f>IF(OR($B36="",$B36&lt;&gt;'Pauta 1a1'!$B$4,$A36&lt;&gt;'Pauta 1a1'!$B$5),"",COUNTIFS($B$5:$B36,'Pauta 1a1'!$B$4,$A$5:$A36,'Pauta 1a1'!$B$5))</f>
        <v/>
      </c>
    </row>
    <row r="37">
      <c r="A37" s="19" t="n"/>
      <c r="B37" s="19" t="n"/>
      <c r="C37" s="19" t="n"/>
      <c r="D37" s="15">
        <f>IF($B37="","",IFERROR(IF(SUMPRODUCT((Avaliação!$C$5:$C$304=$B37)*(Avaliação!$A$5:$A$304=$A37)*(Avaliação!$F$5:$F$304=$C37)*ISNUMBER(Avaliação!$M$5:$M$304))=0,"",SUMIFS(Avaliação!$M$5:$M$304,Avaliação!$C$5:$C$304,$B37,Avaliação!$A$5:$A$304,$A37,Avaliação!$F$5:$F$304,$C37)),""))</f>
        <v/>
      </c>
      <c r="E37" s="19" t="n"/>
      <c r="F37" s="15">
        <f>IF(OR($D37="",$E37=""),"",$E37-$D37)</f>
        <v/>
      </c>
      <c r="G37" s="19" t="n"/>
      <c r="H37" s="19" t="n"/>
      <c r="I37" s="19" t="n"/>
      <c r="J37" s="19" t="n"/>
      <c r="K37" s="18" t="n"/>
      <c r="L37" s="18" t="n"/>
      <c r="M37" s="19" t="n"/>
      <c r="N37" s="19" t="n"/>
      <c r="O37" s="15">
        <f>IF(OR($B37="",$B37&lt;&gt;'Pauta 1a1'!$B$4,$A37&lt;&gt;'Pauta 1a1'!$B$5),"",COUNTIFS($B$5:$B37,'Pauta 1a1'!$B$4,$A$5:$A37,'Pauta 1a1'!$B$5))</f>
        <v/>
      </c>
    </row>
    <row r="38">
      <c r="A38" s="19" t="n"/>
      <c r="B38" s="19" t="n"/>
      <c r="C38" s="19" t="n"/>
      <c r="D38" s="15">
        <f>IF($B38="","",IFERROR(IF(SUMPRODUCT((Avaliação!$C$5:$C$304=$B38)*(Avaliação!$A$5:$A$304=$A38)*(Avaliação!$F$5:$F$304=$C38)*ISNUMBER(Avaliação!$M$5:$M$304))=0,"",SUMIFS(Avaliação!$M$5:$M$304,Avaliação!$C$5:$C$304,$B38,Avaliação!$A$5:$A$304,$A38,Avaliação!$F$5:$F$304,$C38)),""))</f>
        <v/>
      </c>
      <c r="E38" s="19" t="n"/>
      <c r="F38" s="15">
        <f>IF(OR($D38="",$E38=""),"",$E38-$D38)</f>
        <v/>
      </c>
      <c r="G38" s="19" t="n"/>
      <c r="H38" s="19" t="n"/>
      <c r="I38" s="19" t="n"/>
      <c r="J38" s="19" t="n"/>
      <c r="K38" s="18" t="n"/>
      <c r="L38" s="18" t="n"/>
      <c r="M38" s="19" t="n"/>
      <c r="N38" s="19" t="n"/>
      <c r="O38" s="15">
        <f>IF(OR($B38="",$B38&lt;&gt;'Pauta 1a1'!$B$4,$A38&lt;&gt;'Pauta 1a1'!$B$5),"",COUNTIFS($B$5:$B38,'Pauta 1a1'!$B$4,$A$5:$A38,'Pauta 1a1'!$B$5))</f>
        <v/>
      </c>
    </row>
    <row r="39">
      <c r="A39" s="19" t="n"/>
      <c r="B39" s="19" t="n"/>
      <c r="C39" s="19" t="n"/>
      <c r="D39" s="15">
        <f>IF($B39="","",IFERROR(IF(SUMPRODUCT((Avaliação!$C$5:$C$304=$B39)*(Avaliação!$A$5:$A$304=$A39)*(Avaliação!$F$5:$F$304=$C39)*ISNUMBER(Avaliação!$M$5:$M$304))=0,"",SUMIFS(Avaliação!$M$5:$M$304,Avaliação!$C$5:$C$304,$B39,Avaliação!$A$5:$A$304,$A39,Avaliação!$F$5:$F$304,$C39)),""))</f>
        <v/>
      </c>
      <c r="E39" s="19" t="n"/>
      <c r="F39" s="15">
        <f>IF(OR($D39="",$E39=""),"",$E39-$D39)</f>
        <v/>
      </c>
      <c r="G39" s="19" t="n"/>
      <c r="H39" s="19" t="n"/>
      <c r="I39" s="19" t="n"/>
      <c r="J39" s="19" t="n"/>
      <c r="K39" s="18" t="n"/>
      <c r="L39" s="18" t="n"/>
      <c r="M39" s="19" t="n"/>
      <c r="N39" s="19" t="n"/>
      <c r="O39" s="15">
        <f>IF(OR($B39="",$B39&lt;&gt;'Pauta 1a1'!$B$4,$A39&lt;&gt;'Pauta 1a1'!$B$5),"",COUNTIFS($B$5:$B39,'Pauta 1a1'!$B$4,$A$5:$A39,'Pauta 1a1'!$B$5))</f>
        <v/>
      </c>
    </row>
    <row r="40">
      <c r="A40" s="19" t="n"/>
      <c r="B40" s="19" t="n"/>
      <c r="C40" s="19" t="n"/>
      <c r="D40" s="15">
        <f>IF($B40="","",IFERROR(IF(SUMPRODUCT((Avaliação!$C$5:$C$304=$B40)*(Avaliação!$A$5:$A$304=$A40)*(Avaliação!$F$5:$F$304=$C40)*ISNUMBER(Avaliação!$M$5:$M$304))=0,"",SUMIFS(Avaliação!$M$5:$M$304,Avaliação!$C$5:$C$304,$B40,Avaliação!$A$5:$A$304,$A40,Avaliação!$F$5:$F$304,$C40)),""))</f>
        <v/>
      </c>
      <c r="E40" s="19" t="n"/>
      <c r="F40" s="15">
        <f>IF(OR($D40="",$E40=""),"",$E40-$D40)</f>
        <v/>
      </c>
      <c r="G40" s="19" t="n"/>
      <c r="H40" s="19" t="n"/>
      <c r="I40" s="19" t="n"/>
      <c r="J40" s="19" t="n"/>
      <c r="K40" s="18" t="n"/>
      <c r="L40" s="18" t="n"/>
      <c r="M40" s="19" t="n"/>
      <c r="N40" s="19" t="n"/>
      <c r="O40" s="15">
        <f>IF(OR($B40="",$B40&lt;&gt;'Pauta 1a1'!$B$4,$A40&lt;&gt;'Pauta 1a1'!$B$5),"",COUNTIFS($B$5:$B40,'Pauta 1a1'!$B$4,$A$5:$A40,'Pauta 1a1'!$B$5))</f>
        <v/>
      </c>
    </row>
    <row r="41">
      <c r="A41" s="19" t="n"/>
      <c r="B41" s="19" t="n"/>
      <c r="C41" s="19" t="n"/>
      <c r="D41" s="15">
        <f>IF($B41="","",IFERROR(IF(SUMPRODUCT((Avaliação!$C$5:$C$304=$B41)*(Avaliação!$A$5:$A$304=$A41)*(Avaliação!$F$5:$F$304=$C41)*ISNUMBER(Avaliação!$M$5:$M$304))=0,"",SUMIFS(Avaliação!$M$5:$M$304,Avaliação!$C$5:$C$304,$B41,Avaliação!$A$5:$A$304,$A41,Avaliação!$F$5:$F$304,$C41)),""))</f>
        <v/>
      </c>
      <c r="E41" s="19" t="n"/>
      <c r="F41" s="15">
        <f>IF(OR($D41="",$E41=""),"",$E41-$D41)</f>
        <v/>
      </c>
      <c r="G41" s="19" t="n"/>
      <c r="H41" s="19" t="n"/>
      <c r="I41" s="19" t="n"/>
      <c r="J41" s="19" t="n"/>
      <c r="K41" s="18" t="n"/>
      <c r="L41" s="18" t="n"/>
      <c r="M41" s="19" t="n"/>
      <c r="N41" s="19" t="n"/>
      <c r="O41" s="15">
        <f>IF(OR($B41="",$B41&lt;&gt;'Pauta 1a1'!$B$4,$A41&lt;&gt;'Pauta 1a1'!$B$5),"",COUNTIFS($B$5:$B41,'Pauta 1a1'!$B$4,$A$5:$A41,'Pauta 1a1'!$B$5))</f>
        <v/>
      </c>
    </row>
    <row r="42">
      <c r="A42" s="19" t="n"/>
      <c r="B42" s="19" t="n"/>
      <c r="C42" s="19" t="n"/>
      <c r="D42" s="15">
        <f>IF($B42="","",IFERROR(IF(SUMPRODUCT((Avaliação!$C$5:$C$304=$B42)*(Avaliação!$A$5:$A$304=$A42)*(Avaliação!$F$5:$F$304=$C42)*ISNUMBER(Avaliação!$M$5:$M$304))=0,"",SUMIFS(Avaliação!$M$5:$M$304,Avaliação!$C$5:$C$304,$B42,Avaliação!$A$5:$A$304,$A42,Avaliação!$F$5:$F$304,$C42)),""))</f>
        <v/>
      </c>
      <c r="E42" s="19" t="n"/>
      <c r="F42" s="15">
        <f>IF(OR($D42="",$E42=""),"",$E42-$D42)</f>
        <v/>
      </c>
      <c r="G42" s="19" t="n"/>
      <c r="H42" s="19" t="n"/>
      <c r="I42" s="19" t="n"/>
      <c r="J42" s="19" t="n"/>
      <c r="K42" s="18" t="n"/>
      <c r="L42" s="18" t="n"/>
      <c r="M42" s="19" t="n"/>
      <c r="N42" s="19" t="n"/>
      <c r="O42" s="15">
        <f>IF(OR($B42="",$B42&lt;&gt;'Pauta 1a1'!$B$4,$A42&lt;&gt;'Pauta 1a1'!$B$5),"",COUNTIFS($B$5:$B42,'Pauta 1a1'!$B$4,$A$5:$A42,'Pauta 1a1'!$B$5))</f>
        <v/>
      </c>
    </row>
    <row r="43">
      <c r="A43" s="19" t="n"/>
      <c r="B43" s="19" t="n"/>
      <c r="C43" s="19" t="n"/>
      <c r="D43" s="15">
        <f>IF($B43="","",IFERROR(IF(SUMPRODUCT((Avaliação!$C$5:$C$304=$B43)*(Avaliação!$A$5:$A$304=$A43)*(Avaliação!$F$5:$F$304=$C43)*ISNUMBER(Avaliação!$M$5:$M$304))=0,"",SUMIFS(Avaliação!$M$5:$M$304,Avaliação!$C$5:$C$304,$B43,Avaliação!$A$5:$A$304,$A43,Avaliação!$F$5:$F$304,$C43)),""))</f>
        <v/>
      </c>
      <c r="E43" s="19" t="n"/>
      <c r="F43" s="15">
        <f>IF(OR($D43="",$E43=""),"",$E43-$D43)</f>
        <v/>
      </c>
      <c r="G43" s="19" t="n"/>
      <c r="H43" s="19" t="n"/>
      <c r="I43" s="19" t="n"/>
      <c r="J43" s="19" t="n"/>
      <c r="K43" s="18" t="n"/>
      <c r="L43" s="18" t="n"/>
      <c r="M43" s="19" t="n"/>
      <c r="N43" s="19" t="n"/>
      <c r="O43" s="15">
        <f>IF(OR($B43="",$B43&lt;&gt;'Pauta 1a1'!$B$4,$A43&lt;&gt;'Pauta 1a1'!$B$5),"",COUNTIFS($B$5:$B43,'Pauta 1a1'!$B$4,$A$5:$A43,'Pauta 1a1'!$B$5))</f>
        <v/>
      </c>
    </row>
    <row r="44">
      <c r="A44" s="19" t="n"/>
      <c r="B44" s="19" t="n"/>
      <c r="C44" s="19" t="n"/>
      <c r="D44" s="15">
        <f>IF($B44="","",IFERROR(IF(SUMPRODUCT((Avaliação!$C$5:$C$304=$B44)*(Avaliação!$A$5:$A$304=$A44)*(Avaliação!$F$5:$F$304=$C44)*ISNUMBER(Avaliação!$M$5:$M$304))=0,"",SUMIFS(Avaliação!$M$5:$M$304,Avaliação!$C$5:$C$304,$B44,Avaliação!$A$5:$A$304,$A44,Avaliação!$F$5:$F$304,$C44)),""))</f>
        <v/>
      </c>
      <c r="E44" s="19" t="n"/>
      <c r="F44" s="15">
        <f>IF(OR($D44="",$E44=""),"",$E44-$D44)</f>
        <v/>
      </c>
      <c r="G44" s="19" t="n"/>
      <c r="H44" s="19" t="n"/>
      <c r="I44" s="19" t="n"/>
      <c r="J44" s="19" t="n"/>
      <c r="K44" s="18" t="n"/>
      <c r="L44" s="18" t="n"/>
      <c r="M44" s="19" t="n"/>
      <c r="N44" s="19" t="n"/>
      <c r="O44" s="15">
        <f>IF(OR($B44="",$B44&lt;&gt;'Pauta 1a1'!$B$4,$A44&lt;&gt;'Pauta 1a1'!$B$5),"",COUNTIFS($B$5:$B44,'Pauta 1a1'!$B$4,$A$5:$A44,'Pauta 1a1'!$B$5))</f>
        <v/>
      </c>
    </row>
    <row r="45">
      <c r="A45" s="19" t="n"/>
      <c r="B45" s="19" t="n"/>
      <c r="C45" s="19" t="n"/>
      <c r="D45" s="15">
        <f>IF($B45="","",IFERROR(IF(SUMPRODUCT((Avaliação!$C$5:$C$304=$B45)*(Avaliação!$A$5:$A$304=$A45)*(Avaliação!$F$5:$F$304=$C45)*ISNUMBER(Avaliação!$M$5:$M$304))=0,"",SUMIFS(Avaliação!$M$5:$M$304,Avaliação!$C$5:$C$304,$B45,Avaliação!$A$5:$A$304,$A45,Avaliação!$F$5:$F$304,$C45)),""))</f>
        <v/>
      </c>
      <c r="E45" s="19" t="n"/>
      <c r="F45" s="15">
        <f>IF(OR($D45="",$E45=""),"",$E45-$D45)</f>
        <v/>
      </c>
      <c r="G45" s="19" t="n"/>
      <c r="H45" s="19" t="n"/>
      <c r="I45" s="19" t="n"/>
      <c r="J45" s="19" t="n"/>
      <c r="K45" s="18" t="n"/>
      <c r="L45" s="18" t="n"/>
      <c r="M45" s="19" t="n"/>
      <c r="N45" s="19" t="n"/>
      <c r="O45" s="15">
        <f>IF(OR($B45="",$B45&lt;&gt;'Pauta 1a1'!$B$4,$A45&lt;&gt;'Pauta 1a1'!$B$5),"",COUNTIFS($B$5:$B45,'Pauta 1a1'!$B$4,$A$5:$A45,'Pauta 1a1'!$B$5))</f>
        <v/>
      </c>
    </row>
    <row r="46">
      <c r="A46" s="19" t="n"/>
      <c r="B46" s="19" t="n"/>
      <c r="C46" s="19" t="n"/>
      <c r="D46" s="15">
        <f>IF($B46="","",IFERROR(IF(SUMPRODUCT((Avaliação!$C$5:$C$304=$B46)*(Avaliação!$A$5:$A$304=$A46)*(Avaliação!$F$5:$F$304=$C46)*ISNUMBER(Avaliação!$M$5:$M$304))=0,"",SUMIFS(Avaliação!$M$5:$M$304,Avaliação!$C$5:$C$304,$B46,Avaliação!$A$5:$A$304,$A46,Avaliação!$F$5:$F$304,$C46)),""))</f>
        <v/>
      </c>
      <c r="E46" s="19" t="n"/>
      <c r="F46" s="15">
        <f>IF(OR($D46="",$E46=""),"",$E46-$D46)</f>
        <v/>
      </c>
      <c r="G46" s="19" t="n"/>
      <c r="H46" s="19" t="n"/>
      <c r="I46" s="19" t="n"/>
      <c r="J46" s="19" t="n"/>
      <c r="K46" s="18" t="n"/>
      <c r="L46" s="18" t="n"/>
      <c r="M46" s="19" t="n"/>
      <c r="N46" s="19" t="n"/>
      <c r="O46" s="15">
        <f>IF(OR($B46="",$B46&lt;&gt;'Pauta 1a1'!$B$4,$A46&lt;&gt;'Pauta 1a1'!$B$5),"",COUNTIFS($B$5:$B46,'Pauta 1a1'!$B$4,$A$5:$A46,'Pauta 1a1'!$B$5))</f>
        <v/>
      </c>
    </row>
    <row r="47">
      <c r="A47" s="19" t="n"/>
      <c r="B47" s="19" t="n"/>
      <c r="C47" s="19" t="n"/>
      <c r="D47" s="15">
        <f>IF($B47="","",IFERROR(IF(SUMPRODUCT((Avaliação!$C$5:$C$304=$B47)*(Avaliação!$A$5:$A$304=$A47)*(Avaliação!$F$5:$F$304=$C47)*ISNUMBER(Avaliação!$M$5:$M$304))=0,"",SUMIFS(Avaliação!$M$5:$M$304,Avaliação!$C$5:$C$304,$B47,Avaliação!$A$5:$A$304,$A47,Avaliação!$F$5:$F$304,$C47)),""))</f>
        <v/>
      </c>
      <c r="E47" s="19" t="n"/>
      <c r="F47" s="15">
        <f>IF(OR($D47="",$E47=""),"",$E47-$D47)</f>
        <v/>
      </c>
      <c r="G47" s="19" t="n"/>
      <c r="H47" s="19" t="n"/>
      <c r="I47" s="19" t="n"/>
      <c r="J47" s="19" t="n"/>
      <c r="K47" s="18" t="n"/>
      <c r="L47" s="18" t="n"/>
      <c r="M47" s="19" t="n"/>
      <c r="N47" s="19" t="n"/>
      <c r="O47" s="15">
        <f>IF(OR($B47="",$B47&lt;&gt;'Pauta 1a1'!$B$4,$A47&lt;&gt;'Pauta 1a1'!$B$5),"",COUNTIFS($B$5:$B47,'Pauta 1a1'!$B$4,$A$5:$A47,'Pauta 1a1'!$B$5))</f>
        <v/>
      </c>
    </row>
    <row r="48">
      <c r="A48" s="19" t="n"/>
      <c r="B48" s="19" t="n"/>
      <c r="C48" s="19" t="n"/>
      <c r="D48" s="15">
        <f>IF($B48="","",IFERROR(IF(SUMPRODUCT((Avaliação!$C$5:$C$304=$B48)*(Avaliação!$A$5:$A$304=$A48)*(Avaliação!$F$5:$F$304=$C48)*ISNUMBER(Avaliação!$M$5:$M$304))=0,"",SUMIFS(Avaliação!$M$5:$M$304,Avaliação!$C$5:$C$304,$B48,Avaliação!$A$5:$A$304,$A48,Avaliação!$F$5:$F$304,$C48)),""))</f>
        <v/>
      </c>
      <c r="E48" s="19" t="n"/>
      <c r="F48" s="15">
        <f>IF(OR($D48="",$E48=""),"",$E48-$D48)</f>
        <v/>
      </c>
      <c r="G48" s="19" t="n"/>
      <c r="H48" s="19" t="n"/>
      <c r="I48" s="19" t="n"/>
      <c r="J48" s="19" t="n"/>
      <c r="K48" s="18" t="n"/>
      <c r="L48" s="18" t="n"/>
      <c r="M48" s="19" t="n"/>
      <c r="N48" s="19" t="n"/>
      <c r="O48" s="15">
        <f>IF(OR($B48="",$B48&lt;&gt;'Pauta 1a1'!$B$4,$A48&lt;&gt;'Pauta 1a1'!$B$5),"",COUNTIFS($B$5:$B48,'Pauta 1a1'!$B$4,$A$5:$A48,'Pauta 1a1'!$B$5))</f>
        <v/>
      </c>
    </row>
    <row r="49">
      <c r="A49" s="19" t="n"/>
      <c r="B49" s="19" t="n"/>
      <c r="C49" s="19" t="n"/>
      <c r="D49" s="15">
        <f>IF($B49="","",IFERROR(IF(SUMPRODUCT((Avaliação!$C$5:$C$304=$B49)*(Avaliação!$A$5:$A$304=$A49)*(Avaliação!$F$5:$F$304=$C49)*ISNUMBER(Avaliação!$M$5:$M$304))=0,"",SUMIFS(Avaliação!$M$5:$M$304,Avaliação!$C$5:$C$304,$B49,Avaliação!$A$5:$A$304,$A49,Avaliação!$F$5:$F$304,$C49)),""))</f>
        <v/>
      </c>
      <c r="E49" s="19" t="n"/>
      <c r="F49" s="15">
        <f>IF(OR($D49="",$E49=""),"",$E49-$D49)</f>
        <v/>
      </c>
      <c r="G49" s="19" t="n"/>
      <c r="H49" s="19" t="n"/>
      <c r="I49" s="19" t="n"/>
      <c r="J49" s="19" t="n"/>
      <c r="K49" s="18" t="n"/>
      <c r="L49" s="18" t="n"/>
      <c r="M49" s="19" t="n"/>
      <c r="N49" s="19" t="n"/>
      <c r="O49" s="15">
        <f>IF(OR($B49="",$B49&lt;&gt;'Pauta 1a1'!$B$4,$A49&lt;&gt;'Pauta 1a1'!$B$5),"",COUNTIFS($B$5:$B49,'Pauta 1a1'!$B$4,$A$5:$A49,'Pauta 1a1'!$B$5))</f>
        <v/>
      </c>
    </row>
    <row r="50">
      <c r="A50" s="19" t="n"/>
      <c r="B50" s="19" t="n"/>
      <c r="C50" s="19" t="n"/>
      <c r="D50" s="15">
        <f>IF($B50="","",IFERROR(IF(SUMPRODUCT((Avaliação!$C$5:$C$304=$B50)*(Avaliação!$A$5:$A$304=$A50)*(Avaliação!$F$5:$F$304=$C50)*ISNUMBER(Avaliação!$M$5:$M$304))=0,"",SUMIFS(Avaliação!$M$5:$M$304,Avaliação!$C$5:$C$304,$B50,Avaliação!$A$5:$A$304,$A50,Avaliação!$F$5:$F$304,$C50)),""))</f>
        <v/>
      </c>
      <c r="E50" s="19" t="n"/>
      <c r="F50" s="15">
        <f>IF(OR($D50="",$E50=""),"",$E50-$D50)</f>
        <v/>
      </c>
      <c r="G50" s="19" t="n"/>
      <c r="H50" s="19" t="n"/>
      <c r="I50" s="19" t="n"/>
      <c r="J50" s="19" t="n"/>
      <c r="K50" s="18" t="n"/>
      <c r="L50" s="18" t="n"/>
      <c r="M50" s="19" t="n"/>
      <c r="N50" s="19" t="n"/>
      <c r="O50" s="15">
        <f>IF(OR($B50="",$B50&lt;&gt;'Pauta 1a1'!$B$4,$A50&lt;&gt;'Pauta 1a1'!$B$5),"",COUNTIFS($B$5:$B50,'Pauta 1a1'!$B$4,$A$5:$A50,'Pauta 1a1'!$B$5))</f>
        <v/>
      </c>
    </row>
    <row r="51">
      <c r="A51" s="19" t="n"/>
      <c r="B51" s="19" t="n"/>
      <c r="C51" s="19" t="n"/>
      <c r="D51" s="15">
        <f>IF($B51="","",IFERROR(IF(SUMPRODUCT((Avaliação!$C$5:$C$304=$B51)*(Avaliação!$A$5:$A$304=$A51)*(Avaliação!$F$5:$F$304=$C51)*ISNUMBER(Avaliação!$M$5:$M$304))=0,"",SUMIFS(Avaliação!$M$5:$M$304,Avaliação!$C$5:$C$304,$B51,Avaliação!$A$5:$A$304,$A51,Avaliação!$F$5:$F$304,$C51)),""))</f>
        <v/>
      </c>
      <c r="E51" s="19" t="n"/>
      <c r="F51" s="15">
        <f>IF(OR($D51="",$E51=""),"",$E51-$D51)</f>
        <v/>
      </c>
      <c r="G51" s="19" t="n"/>
      <c r="H51" s="19" t="n"/>
      <c r="I51" s="19" t="n"/>
      <c r="J51" s="19" t="n"/>
      <c r="K51" s="18" t="n"/>
      <c r="L51" s="18" t="n"/>
      <c r="M51" s="19" t="n"/>
      <c r="N51" s="19" t="n"/>
      <c r="O51" s="15">
        <f>IF(OR($B51="",$B51&lt;&gt;'Pauta 1a1'!$B$4,$A51&lt;&gt;'Pauta 1a1'!$B$5),"",COUNTIFS($B$5:$B51,'Pauta 1a1'!$B$4,$A$5:$A51,'Pauta 1a1'!$B$5))</f>
        <v/>
      </c>
    </row>
    <row r="52">
      <c r="A52" s="19" t="n"/>
      <c r="B52" s="19" t="n"/>
      <c r="C52" s="19" t="n"/>
      <c r="D52" s="15">
        <f>IF($B52="","",IFERROR(IF(SUMPRODUCT((Avaliação!$C$5:$C$304=$B52)*(Avaliação!$A$5:$A$304=$A52)*(Avaliação!$F$5:$F$304=$C52)*ISNUMBER(Avaliação!$M$5:$M$304))=0,"",SUMIFS(Avaliação!$M$5:$M$304,Avaliação!$C$5:$C$304,$B52,Avaliação!$A$5:$A$304,$A52,Avaliação!$F$5:$F$304,$C52)),""))</f>
        <v/>
      </c>
      <c r="E52" s="19" t="n"/>
      <c r="F52" s="15">
        <f>IF(OR($D52="",$E52=""),"",$E52-$D52)</f>
        <v/>
      </c>
      <c r="G52" s="19" t="n"/>
      <c r="H52" s="19" t="n"/>
      <c r="I52" s="19" t="n"/>
      <c r="J52" s="19" t="n"/>
      <c r="K52" s="18" t="n"/>
      <c r="L52" s="18" t="n"/>
      <c r="M52" s="19" t="n"/>
      <c r="N52" s="19" t="n"/>
      <c r="O52" s="15">
        <f>IF(OR($B52="",$B52&lt;&gt;'Pauta 1a1'!$B$4,$A52&lt;&gt;'Pauta 1a1'!$B$5),"",COUNTIFS($B$5:$B52,'Pauta 1a1'!$B$4,$A$5:$A52,'Pauta 1a1'!$B$5))</f>
        <v/>
      </c>
    </row>
    <row r="53">
      <c r="A53" s="19" t="n"/>
      <c r="B53" s="19" t="n"/>
      <c r="C53" s="19" t="n"/>
      <c r="D53" s="15">
        <f>IF($B53="","",IFERROR(IF(SUMPRODUCT((Avaliação!$C$5:$C$304=$B53)*(Avaliação!$A$5:$A$304=$A53)*(Avaliação!$F$5:$F$304=$C53)*ISNUMBER(Avaliação!$M$5:$M$304))=0,"",SUMIFS(Avaliação!$M$5:$M$304,Avaliação!$C$5:$C$304,$B53,Avaliação!$A$5:$A$304,$A53,Avaliação!$F$5:$F$304,$C53)),""))</f>
        <v/>
      </c>
      <c r="E53" s="19" t="n"/>
      <c r="F53" s="15">
        <f>IF(OR($D53="",$E53=""),"",$E53-$D53)</f>
        <v/>
      </c>
      <c r="G53" s="19" t="n"/>
      <c r="H53" s="19" t="n"/>
      <c r="I53" s="19" t="n"/>
      <c r="J53" s="19" t="n"/>
      <c r="K53" s="18" t="n"/>
      <c r="L53" s="18" t="n"/>
      <c r="M53" s="19" t="n"/>
      <c r="N53" s="19" t="n"/>
      <c r="O53" s="15">
        <f>IF(OR($B53="",$B53&lt;&gt;'Pauta 1a1'!$B$4,$A53&lt;&gt;'Pauta 1a1'!$B$5),"",COUNTIFS($B$5:$B53,'Pauta 1a1'!$B$4,$A$5:$A53,'Pauta 1a1'!$B$5))</f>
        <v/>
      </c>
    </row>
    <row r="54">
      <c r="A54" s="19" t="n"/>
      <c r="B54" s="19" t="n"/>
      <c r="C54" s="19" t="n"/>
      <c r="D54" s="15">
        <f>IF($B54="","",IFERROR(IF(SUMPRODUCT((Avaliação!$C$5:$C$304=$B54)*(Avaliação!$A$5:$A$304=$A54)*(Avaliação!$F$5:$F$304=$C54)*ISNUMBER(Avaliação!$M$5:$M$304))=0,"",SUMIFS(Avaliação!$M$5:$M$304,Avaliação!$C$5:$C$304,$B54,Avaliação!$A$5:$A$304,$A54,Avaliação!$F$5:$F$304,$C54)),""))</f>
        <v/>
      </c>
      <c r="E54" s="19" t="n"/>
      <c r="F54" s="15">
        <f>IF(OR($D54="",$E54=""),"",$E54-$D54)</f>
        <v/>
      </c>
      <c r="G54" s="19" t="n"/>
      <c r="H54" s="19" t="n"/>
      <c r="I54" s="19" t="n"/>
      <c r="J54" s="19" t="n"/>
      <c r="K54" s="18" t="n"/>
      <c r="L54" s="18" t="n"/>
      <c r="M54" s="19" t="n"/>
      <c r="N54" s="19" t="n"/>
      <c r="O54" s="15">
        <f>IF(OR($B54="",$B54&lt;&gt;'Pauta 1a1'!$B$4,$A54&lt;&gt;'Pauta 1a1'!$B$5),"",COUNTIFS($B$5:$B54,'Pauta 1a1'!$B$4,$A$5:$A54,'Pauta 1a1'!$B$5))</f>
        <v/>
      </c>
    </row>
    <row r="55">
      <c r="A55" s="19" t="n"/>
      <c r="B55" s="19" t="n"/>
      <c r="C55" s="19" t="n"/>
      <c r="D55" s="15">
        <f>IF($B55="","",IFERROR(IF(SUMPRODUCT((Avaliação!$C$5:$C$304=$B55)*(Avaliação!$A$5:$A$304=$A55)*(Avaliação!$F$5:$F$304=$C55)*ISNUMBER(Avaliação!$M$5:$M$304))=0,"",SUMIFS(Avaliação!$M$5:$M$304,Avaliação!$C$5:$C$304,$B55,Avaliação!$A$5:$A$304,$A55,Avaliação!$F$5:$F$304,$C55)),""))</f>
        <v/>
      </c>
      <c r="E55" s="19" t="n"/>
      <c r="F55" s="15">
        <f>IF(OR($D55="",$E55=""),"",$E55-$D55)</f>
        <v/>
      </c>
      <c r="G55" s="19" t="n"/>
      <c r="H55" s="19" t="n"/>
      <c r="I55" s="19" t="n"/>
      <c r="J55" s="19" t="n"/>
      <c r="K55" s="18" t="n"/>
      <c r="L55" s="18" t="n"/>
      <c r="M55" s="19" t="n"/>
      <c r="N55" s="19" t="n"/>
      <c r="O55" s="15">
        <f>IF(OR($B55="",$B55&lt;&gt;'Pauta 1a1'!$B$4,$A55&lt;&gt;'Pauta 1a1'!$B$5),"",COUNTIFS($B$5:$B55,'Pauta 1a1'!$B$4,$A$5:$A55,'Pauta 1a1'!$B$5))</f>
        <v/>
      </c>
    </row>
    <row r="56">
      <c r="A56" s="19" t="n"/>
      <c r="B56" s="19" t="n"/>
      <c r="C56" s="19" t="n"/>
      <c r="D56" s="15">
        <f>IF($B56="","",IFERROR(IF(SUMPRODUCT((Avaliação!$C$5:$C$304=$B56)*(Avaliação!$A$5:$A$304=$A56)*(Avaliação!$F$5:$F$304=$C56)*ISNUMBER(Avaliação!$M$5:$M$304))=0,"",SUMIFS(Avaliação!$M$5:$M$304,Avaliação!$C$5:$C$304,$B56,Avaliação!$A$5:$A$304,$A56,Avaliação!$F$5:$F$304,$C56)),""))</f>
        <v/>
      </c>
      <c r="E56" s="19" t="n"/>
      <c r="F56" s="15">
        <f>IF(OR($D56="",$E56=""),"",$E56-$D56)</f>
        <v/>
      </c>
      <c r="G56" s="19" t="n"/>
      <c r="H56" s="19" t="n"/>
      <c r="I56" s="19" t="n"/>
      <c r="J56" s="19" t="n"/>
      <c r="K56" s="18" t="n"/>
      <c r="L56" s="18" t="n"/>
      <c r="M56" s="19" t="n"/>
      <c r="N56" s="19" t="n"/>
      <c r="O56" s="15">
        <f>IF(OR($B56="",$B56&lt;&gt;'Pauta 1a1'!$B$4,$A56&lt;&gt;'Pauta 1a1'!$B$5),"",COUNTIFS($B$5:$B56,'Pauta 1a1'!$B$4,$A$5:$A56,'Pauta 1a1'!$B$5))</f>
        <v/>
      </c>
    </row>
    <row r="57">
      <c r="A57" s="19" t="n"/>
      <c r="B57" s="19" t="n"/>
      <c r="C57" s="19" t="n"/>
      <c r="D57" s="15">
        <f>IF($B57="","",IFERROR(IF(SUMPRODUCT((Avaliação!$C$5:$C$304=$B57)*(Avaliação!$A$5:$A$304=$A57)*(Avaliação!$F$5:$F$304=$C57)*ISNUMBER(Avaliação!$M$5:$M$304))=0,"",SUMIFS(Avaliação!$M$5:$M$304,Avaliação!$C$5:$C$304,$B57,Avaliação!$A$5:$A$304,$A57,Avaliação!$F$5:$F$304,$C57)),""))</f>
        <v/>
      </c>
      <c r="E57" s="19" t="n"/>
      <c r="F57" s="15">
        <f>IF(OR($D57="",$E57=""),"",$E57-$D57)</f>
        <v/>
      </c>
      <c r="G57" s="19" t="n"/>
      <c r="H57" s="19" t="n"/>
      <c r="I57" s="19" t="n"/>
      <c r="J57" s="19" t="n"/>
      <c r="K57" s="18" t="n"/>
      <c r="L57" s="18" t="n"/>
      <c r="M57" s="19" t="n"/>
      <c r="N57" s="19" t="n"/>
      <c r="O57" s="15">
        <f>IF(OR($B57="",$B57&lt;&gt;'Pauta 1a1'!$B$4,$A57&lt;&gt;'Pauta 1a1'!$B$5),"",COUNTIFS($B$5:$B57,'Pauta 1a1'!$B$4,$A$5:$A57,'Pauta 1a1'!$B$5))</f>
        <v/>
      </c>
    </row>
    <row r="58">
      <c r="A58" s="19" t="n"/>
      <c r="B58" s="19" t="n"/>
      <c r="C58" s="19" t="n"/>
      <c r="D58" s="15">
        <f>IF($B58="","",IFERROR(IF(SUMPRODUCT((Avaliação!$C$5:$C$304=$B58)*(Avaliação!$A$5:$A$304=$A58)*(Avaliação!$F$5:$F$304=$C58)*ISNUMBER(Avaliação!$M$5:$M$304))=0,"",SUMIFS(Avaliação!$M$5:$M$304,Avaliação!$C$5:$C$304,$B58,Avaliação!$A$5:$A$304,$A58,Avaliação!$F$5:$F$304,$C58)),""))</f>
        <v/>
      </c>
      <c r="E58" s="19" t="n"/>
      <c r="F58" s="15">
        <f>IF(OR($D58="",$E58=""),"",$E58-$D58)</f>
        <v/>
      </c>
      <c r="G58" s="19" t="n"/>
      <c r="H58" s="19" t="n"/>
      <c r="I58" s="19" t="n"/>
      <c r="J58" s="19" t="n"/>
      <c r="K58" s="18" t="n"/>
      <c r="L58" s="18" t="n"/>
      <c r="M58" s="19" t="n"/>
      <c r="N58" s="19" t="n"/>
      <c r="O58" s="15">
        <f>IF(OR($B58="",$B58&lt;&gt;'Pauta 1a1'!$B$4,$A58&lt;&gt;'Pauta 1a1'!$B$5),"",COUNTIFS($B$5:$B58,'Pauta 1a1'!$B$4,$A$5:$A58,'Pauta 1a1'!$B$5))</f>
        <v/>
      </c>
    </row>
    <row r="59">
      <c r="A59" s="19" t="n"/>
      <c r="B59" s="19" t="n"/>
      <c r="C59" s="19" t="n"/>
      <c r="D59" s="15">
        <f>IF($B59="","",IFERROR(IF(SUMPRODUCT((Avaliação!$C$5:$C$304=$B59)*(Avaliação!$A$5:$A$304=$A59)*(Avaliação!$F$5:$F$304=$C59)*ISNUMBER(Avaliação!$M$5:$M$304))=0,"",SUMIFS(Avaliação!$M$5:$M$304,Avaliação!$C$5:$C$304,$B59,Avaliação!$A$5:$A$304,$A59,Avaliação!$F$5:$F$304,$C59)),""))</f>
        <v/>
      </c>
      <c r="E59" s="19" t="n"/>
      <c r="F59" s="15">
        <f>IF(OR($D59="",$E59=""),"",$E59-$D59)</f>
        <v/>
      </c>
      <c r="G59" s="19" t="n"/>
      <c r="H59" s="19" t="n"/>
      <c r="I59" s="19" t="n"/>
      <c r="J59" s="19" t="n"/>
      <c r="K59" s="18" t="n"/>
      <c r="L59" s="18" t="n"/>
      <c r="M59" s="19" t="n"/>
      <c r="N59" s="19" t="n"/>
      <c r="O59" s="15">
        <f>IF(OR($B59="",$B59&lt;&gt;'Pauta 1a1'!$B$4,$A59&lt;&gt;'Pauta 1a1'!$B$5),"",COUNTIFS($B$5:$B59,'Pauta 1a1'!$B$4,$A$5:$A59,'Pauta 1a1'!$B$5))</f>
        <v/>
      </c>
    </row>
    <row r="60">
      <c r="A60" s="19" t="n"/>
      <c r="B60" s="19" t="n"/>
      <c r="C60" s="19" t="n"/>
      <c r="D60" s="15">
        <f>IF($B60="","",IFERROR(IF(SUMPRODUCT((Avaliação!$C$5:$C$304=$B60)*(Avaliação!$A$5:$A$304=$A60)*(Avaliação!$F$5:$F$304=$C60)*ISNUMBER(Avaliação!$M$5:$M$304))=0,"",SUMIFS(Avaliação!$M$5:$M$304,Avaliação!$C$5:$C$304,$B60,Avaliação!$A$5:$A$304,$A60,Avaliação!$F$5:$F$304,$C60)),""))</f>
        <v/>
      </c>
      <c r="E60" s="19" t="n"/>
      <c r="F60" s="15">
        <f>IF(OR($D60="",$E60=""),"",$E60-$D60)</f>
        <v/>
      </c>
      <c r="G60" s="19" t="n"/>
      <c r="H60" s="19" t="n"/>
      <c r="I60" s="19" t="n"/>
      <c r="J60" s="19" t="n"/>
      <c r="K60" s="18" t="n"/>
      <c r="L60" s="18" t="n"/>
      <c r="M60" s="19" t="n"/>
      <c r="N60" s="19" t="n"/>
      <c r="O60" s="15">
        <f>IF(OR($B60="",$B60&lt;&gt;'Pauta 1a1'!$B$4,$A60&lt;&gt;'Pauta 1a1'!$B$5),"",COUNTIFS($B$5:$B60,'Pauta 1a1'!$B$4,$A$5:$A60,'Pauta 1a1'!$B$5))</f>
        <v/>
      </c>
    </row>
    <row r="61">
      <c r="A61" s="19" t="n"/>
      <c r="B61" s="19" t="n"/>
      <c r="C61" s="19" t="n"/>
      <c r="D61" s="15">
        <f>IF($B61="","",IFERROR(IF(SUMPRODUCT((Avaliação!$C$5:$C$304=$B61)*(Avaliação!$A$5:$A$304=$A61)*(Avaliação!$F$5:$F$304=$C61)*ISNUMBER(Avaliação!$M$5:$M$304))=0,"",SUMIFS(Avaliação!$M$5:$M$304,Avaliação!$C$5:$C$304,$B61,Avaliação!$A$5:$A$304,$A61,Avaliação!$F$5:$F$304,$C61)),""))</f>
        <v/>
      </c>
      <c r="E61" s="19" t="n"/>
      <c r="F61" s="15">
        <f>IF(OR($D61="",$E61=""),"",$E61-$D61)</f>
        <v/>
      </c>
      <c r="G61" s="19" t="n"/>
      <c r="H61" s="19" t="n"/>
      <c r="I61" s="19" t="n"/>
      <c r="J61" s="19" t="n"/>
      <c r="K61" s="18" t="n"/>
      <c r="L61" s="18" t="n"/>
      <c r="M61" s="19" t="n"/>
      <c r="N61" s="19" t="n"/>
      <c r="O61" s="15">
        <f>IF(OR($B61="",$B61&lt;&gt;'Pauta 1a1'!$B$4,$A61&lt;&gt;'Pauta 1a1'!$B$5),"",COUNTIFS($B$5:$B61,'Pauta 1a1'!$B$4,$A$5:$A61,'Pauta 1a1'!$B$5))</f>
        <v/>
      </c>
    </row>
    <row r="62">
      <c r="A62" s="19" t="n"/>
      <c r="B62" s="19" t="n"/>
      <c r="C62" s="19" t="n"/>
      <c r="D62" s="15">
        <f>IF($B62="","",IFERROR(IF(SUMPRODUCT((Avaliação!$C$5:$C$304=$B62)*(Avaliação!$A$5:$A$304=$A62)*(Avaliação!$F$5:$F$304=$C62)*ISNUMBER(Avaliação!$M$5:$M$304))=0,"",SUMIFS(Avaliação!$M$5:$M$304,Avaliação!$C$5:$C$304,$B62,Avaliação!$A$5:$A$304,$A62,Avaliação!$F$5:$F$304,$C62)),""))</f>
        <v/>
      </c>
      <c r="E62" s="19" t="n"/>
      <c r="F62" s="15">
        <f>IF(OR($D62="",$E62=""),"",$E62-$D62)</f>
        <v/>
      </c>
      <c r="G62" s="19" t="n"/>
      <c r="H62" s="19" t="n"/>
      <c r="I62" s="19" t="n"/>
      <c r="J62" s="19" t="n"/>
      <c r="K62" s="18" t="n"/>
      <c r="L62" s="18" t="n"/>
      <c r="M62" s="19" t="n"/>
      <c r="N62" s="19" t="n"/>
      <c r="O62" s="15">
        <f>IF(OR($B62="",$B62&lt;&gt;'Pauta 1a1'!$B$4,$A62&lt;&gt;'Pauta 1a1'!$B$5),"",COUNTIFS($B$5:$B62,'Pauta 1a1'!$B$4,$A$5:$A62,'Pauta 1a1'!$B$5))</f>
        <v/>
      </c>
    </row>
    <row r="63">
      <c r="A63" s="19" t="n"/>
      <c r="B63" s="19" t="n"/>
      <c r="C63" s="19" t="n"/>
      <c r="D63" s="15">
        <f>IF($B63="","",IFERROR(IF(SUMPRODUCT((Avaliação!$C$5:$C$304=$B63)*(Avaliação!$A$5:$A$304=$A63)*(Avaliação!$F$5:$F$304=$C63)*ISNUMBER(Avaliação!$M$5:$M$304))=0,"",SUMIFS(Avaliação!$M$5:$M$304,Avaliação!$C$5:$C$304,$B63,Avaliação!$A$5:$A$304,$A63,Avaliação!$F$5:$F$304,$C63)),""))</f>
        <v/>
      </c>
      <c r="E63" s="19" t="n"/>
      <c r="F63" s="15">
        <f>IF(OR($D63="",$E63=""),"",$E63-$D63)</f>
        <v/>
      </c>
      <c r="G63" s="19" t="n"/>
      <c r="H63" s="19" t="n"/>
      <c r="I63" s="19" t="n"/>
      <c r="J63" s="19" t="n"/>
      <c r="K63" s="18" t="n"/>
      <c r="L63" s="18" t="n"/>
      <c r="M63" s="19" t="n"/>
      <c r="N63" s="19" t="n"/>
      <c r="O63" s="15">
        <f>IF(OR($B63="",$B63&lt;&gt;'Pauta 1a1'!$B$4,$A63&lt;&gt;'Pauta 1a1'!$B$5),"",COUNTIFS($B$5:$B63,'Pauta 1a1'!$B$4,$A$5:$A63,'Pauta 1a1'!$B$5))</f>
        <v/>
      </c>
    </row>
    <row r="64">
      <c r="A64" s="19" t="n"/>
      <c r="B64" s="19" t="n"/>
      <c r="C64" s="19" t="n"/>
      <c r="D64" s="15">
        <f>IF($B64="","",IFERROR(IF(SUMPRODUCT((Avaliação!$C$5:$C$304=$B64)*(Avaliação!$A$5:$A$304=$A64)*(Avaliação!$F$5:$F$304=$C64)*ISNUMBER(Avaliação!$M$5:$M$304))=0,"",SUMIFS(Avaliação!$M$5:$M$304,Avaliação!$C$5:$C$304,$B64,Avaliação!$A$5:$A$304,$A64,Avaliação!$F$5:$F$304,$C64)),""))</f>
        <v/>
      </c>
      <c r="E64" s="19" t="n"/>
      <c r="F64" s="15">
        <f>IF(OR($D64="",$E64=""),"",$E64-$D64)</f>
        <v/>
      </c>
      <c r="G64" s="19" t="n"/>
      <c r="H64" s="19" t="n"/>
      <c r="I64" s="19" t="n"/>
      <c r="J64" s="19" t="n"/>
      <c r="K64" s="18" t="n"/>
      <c r="L64" s="18" t="n"/>
      <c r="M64" s="19" t="n"/>
      <c r="N64" s="19" t="n"/>
      <c r="O64" s="15">
        <f>IF(OR($B64="",$B64&lt;&gt;'Pauta 1a1'!$B$4,$A64&lt;&gt;'Pauta 1a1'!$B$5),"",COUNTIFS($B$5:$B64,'Pauta 1a1'!$B$4,$A$5:$A64,'Pauta 1a1'!$B$5))</f>
        <v/>
      </c>
    </row>
    <row r="65">
      <c r="A65" s="19" t="n"/>
      <c r="B65" s="19" t="n"/>
      <c r="C65" s="19" t="n"/>
      <c r="D65" s="15">
        <f>IF($B65="","",IFERROR(IF(SUMPRODUCT((Avaliação!$C$5:$C$304=$B65)*(Avaliação!$A$5:$A$304=$A65)*(Avaliação!$F$5:$F$304=$C65)*ISNUMBER(Avaliação!$M$5:$M$304))=0,"",SUMIFS(Avaliação!$M$5:$M$304,Avaliação!$C$5:$C$304,$B65,Avaliação!$A$5:$A$304,$A65,Avaliação!$F$5:$F$304,$C65)),""))</f>
        <v/>
      </c>
      <c r="E65" s="19" t="n"/>
      <c r="F65" s="15">
        <f>IF(OR($D65="",$E65=""),"",$E65-$D65)</f>
        <v/>
      </c>
      <c r="G65" s="19" t="n"/>
      <c r="H65" s="19" t="n"/>
      <c r="I65" s="19" t="n"/>
      <c r="J65" s="19" t="n"/>
      <c r="K65" s="18" t="n"/>
      <c r="L65" s="18" t="n"/>
      <c r="M65" s="19" t="n"/>
      <c r="N65" s="19" t="n"/>
      <c r="O65" s="15">
        <f>IF(OR($B65="",$B65&lt;&gt;'Pauta 1a1'!$B$4,$A65&lt;&gt;'Pauta 1a1'!$B$5),"",COUNTIFS($B$5:$B65,'Pauta 1a1'!$B$4,$A$5:$A65,'Pauta 1a1'!$B$5))</f>
        <v/>
      </c>
    </row>
    <row r="66">
      <c r="A66" s="19" t="n"/>
      <c r="B66" s="19" t="n"/>
      <c r="C66" s="19" t="n"/>
      <c r="D66" s="15">
        <f>IF($B66="","",IFERROR(IF(SUMPRODUCT((Avaliação!$C$5:$C$304=$B66)*(Avaliação!$A$5:$A$304=$A66)*(Avaliação!$F$5:$F$304=$C66)*ISNUMBER(Avaliação!$M$5:$M$304))=0,"",SUMIFS(Avaliação!$M$5:$M$304,Avaliação!$C$5:$C$304,$B66,Avaliação!$A$5:$A$304,$A66,Avaliação!$F$5:$F$304,$C66)),""))</f>
        <v/>
      </c>
      <c r="E66" s="19" t="n"/>
      <c r="F66" s="15">
        <f>IF(OR($D66="",$E66=""),"",$E66-$D66)</f>
        <v/>
      </c>
      <c r="G66" s="19" t="n"/>
      <c r="H66" s="19" t="n"/>
      <c r="I66" s="19" t="n"/>
      <c r="J66" s="19" t="n"/>
      <c r="K66" s="18" t="n"/>
      <c r="L66" s="18" t="n"/>
      <c r="M66" s="19" t="n"/>
      <c r="N66" s="19" t="n"/>
      <c r="O66" s="15">
        <f>IF(OR($B66="",$B66&lt;&gt;'Pauta 1a1'!$B$4,$A66&lt;&gt;'Pauta 1a1'!$B$5),"",COUNTIFS($B$5:$B66,'Pauta 1a1'!$B$4,$A$5:$A66,'Pauta 1a1'!$B$5))</f>
        <v/>
      </c>
    </row>
    <row r="67">
      <c r="A67" s="19" t="n"/>
      <c r="B67" s="19" t="n"/>
      <c r="C67" s="19" t="n"/>
      <c r="D67" s="15">
        <f>IF($B67="","",IFERROR(IF(SUMPRODUCT((Avaliação!$C$5:$C$304=$B67)*(Avaliação!$A$5:$A$304=$A67)*(Avaliação!$F$5:$F$304=$C67)*ISNUMBER(Avaliação!$M$5:$M$304))=0,"",SUMIFS(Avaliação!$M$5:$M$304,Avaliação!$C$5:$C$304,$B67,Avaliação!$A$5:$A$304,$A67,Avaliação!$F$5:$F$304,$C67)),""))</f>
        <v/>
      </c>
      <c r="E67" s="19" t="n"/>
      <c r="F67" s="15">
        <f>IF(OR($D67="",$E67=""),"",$E67-$D67)</f>
        <v/>
      </c>
      <c r="G67" s="19" t="n"/>
      <c r="H67" s="19" t="n"/>
      <c r="I67" s="19" t="n"/>
      <c r="J67" s="19" t="n"/>
      <c r="K67" s="18" t="n"/>
      <c r="L67" s="18" t="n"/>
      <c r="M67" s="19" t="n"/>
      <c r="N67" s="19" t="n"/>
      <c r="O67" s="15">
        <f>IF(OR($B67="",$B67&lt;&gt;'Pauta 1a1'!$B$4,$A67&lt;&gt;'Pauta 1a1'!$B$5),"",COUNTIFS($B$5:$B67,'Pauta 1a1'!$B$4,$A$5:$A67,'Pauta 1a1'!$B$5))</f>
        <v/>
      </c>
    </row>
    <row r="68">
      <c r="A68" s="19" t="n"/>
      <c r="B68" s="19" t="n"/>
      <c r="C68" s="19" t="n"/>
      <c r="D68" s="15">
        <f>IF($B68="","",IFERROR(IF(SUMPRODUCT((Avaliação!$C$5:$C$304=$B68)*(Avaliação!$A$5:$A$304=$A68)*(Avaliação!$F$5:$F$304=$C68)*ISNUMBER(Avaliação!$M$5:$M$304))=0,"",SUMIFS(Avaliação!$M$5:$M$304,Avaliação!$C$5:$C$304,$B68,Avaliação!$A$5:$A$304,$A68,Avaliação!$F$5:$F$304,$C68)),""))</f>
        <v/>
      </c>
      <c r="E68" s="19" t="n"/>
      <c r="F68" s="15">
        <f>IF(OR($D68="",$E68=""),"",$E68-$D68)</f>
        <v/>
      </c>
      <c r="G68" s="19" t="n"/>
      <c r="H68" s="19" t="n"/>
      <c r="I68" s="19" t="n"/>
      <c r="J68" s="19" t="n"/>
      <c r="K68" s="18" t="n"/>
      <c r="L68" s="18" t="n"/>
      <c r="M68" s="19" t="n"/>
      <c r="N68" s="19" t="n"/>
      <c r="O68" s="15">
        <f>IF(OR($B68="",$B68&lt;&gt;'Pauta 1a1'!$B$4,$A68&lt;&gt;'Pauta 1a1'!$B$5),"",COUNTIFS($B$5:$B68,'Pauta 1a1'!$B$4,$A$5:$A68,'Pauta 1a1'!$B$5))</f>
        <v/>
      </c>
    </row>
    <row r="69">
      <c r="A69" s="19" t="n"/>
      <c r="B69" s="19" t="n"/>
      <c r="C69" s="19" t="n"/>
      <c r="D69" s="15">
        <f>IF($B69="","",IFERROR(IF(SUMPRODUCT((Avaliação!$C$5:$C$304=$B69)*(Avaliação!$A$5:$A$304=$A69)*(Avaliação!$F$5:$F$304=$C69)*ISNUMBER(Avaliação!$M$5:$M$304))=0,"",SUMIFS(Avaliação!$M$5:$M$304,Avaliação!$C$5:$C$304,$B69,Avaliação!$A$5:$A$304,$A69,Avaliação!$F$5:$F$304,$C69)),""))</f>
        <v/>
      </c>
      <c r="E69" s="19" t="n"/>
      <c r="F69" s="15">
        <f>IF(OR($D69="",$E69=""),"",$E69-$D69)</f>
        <v/>
      </c>
      <c r="G69" s="19" t="n"/>
      <c r="H69" s="19" t="n"/>
      <c r="I69" s="19" t="n"/>
      <c r="J69" s="19" t="n"/>
      <c r="K69" s="18" t="n"/>
      <c r="L69" s="18" t="n"/>
      <c r="M69" s="19" t="n"/>
      <c r="N69" s="19" t="n"/>
      <c r="O69" s="15">
        <f>IF(OR($B69="",$B69&lt;&gt;'Pauta 1a1'!$B$4,$A69&lt;&gt;'Pauta 1a1'!$B$5),"",COUNTIFS($B$5:$B69,'Pauta 1a1'!$B$4,$A$5:$A69,'Pauta 1a1'!$B$5))</f>
        <v/>
      </c>
    </row>
    <row r="70">
      <c r="A70" s="19" t="n"/>
      <c r="B70" s="19" t="n"/>
      <c r="C70" s="19" t="n"/>
      <c r="D70" s="15">
        <f>IF($B70="","",IFERROR(IF(SUMPRODUCT((Avaliação!$C$5:$C$304=$B70)*(Avaliação!$A$5:$A$304=$A70)*(Avaliação!$F$5:$F$304=$C70)*ISNUMBER(Avaliação!$M$5:$M$304))=0,"",SUMIFS(Avaliação!$M$5:$M$304,Avaliação!$C$5:$C$304,$B70,Avaliação!$A$5:$A$304,$A70,Avaliação!$F$5:$F$304,$C70)),""))</f>
        <v/>
      </c>
      <c r="E70" s="19" t="n"/>
      <c r="F70" s="15">
        <f>IF(OR($D70="",$E70=""),"",$E70-$D70)</f>
        <v/>
      </c>
      <c r="G70" s="19" t="n"/>
      <c r="H70" s="19" t="n"/>
      <c r="I70" s="19" t="n"/>
      <c r="J70" s="19" t="n"/>
      <c r="K70" s="18" t="n"/>
      <c r="L70" s="18" t="n"/>
      <c r="M70" s="19" t="n"/>
      <c r="N70" s="19" t="n"/>
      <c r="O70" s="15">
        <f>IF(OR($B70="",$B70&lt;&gt;'Pauta 1a1'!$B$4,$A70&lt;&gt;'Pauta 1a1'!$B$5),"",COUNTIFS($B$5:$B70,'Pauta 1a1'!$B$4,$A$5:$A70,'Pauta 1a1'!$B$5))</f>
        <v/>
      </c>
    </row>
    <row r="71">
      <c r="A71" s="19" t="n"/>
      <c r="B71" s="19" t="n"/>
      <c r="C71" s="19" t="n"/>
      <c r="D71" s="15">
        <f>IF($B71="","",IFERROR(IF(SUMPRODUCT((Avaliação!$C$5:$C$304=$B71)*(Avaliação!$A$5:$A$304=$A71)*(Avaliação!$F$5:$F$304=$C71)*ISNUMBER(Avaliação!$M$5:$M$304))=0,"",SUMIFS(Avaliação!$M$5:$M$304,Avaliação!$C$5:$C$304,$B71,Avaliação!$A$5:$A$304,$A71,Avaliação!$F$5:$F$304,$C71)),""))</f>
        <v/>
      </c>
      <c r="E71" s="19" t="n"/>
      <c r="F71" s="15">
        <f>IF(OR($D71="",$E71=""),"",$E71-$D71)</f>
        <v/>
      </c>
      <c r="G71" s="19" t="n"/>
      <c r="H71" s="19" t="n"/>
      <c r="I71" s="19" t="n"/>
      <c r="J71" s="19" t="n"/>
      <c r="K71" s="18" t="n"/>
      <c r="L71" s="18" t="n"/>
      <c r="M71" s="19" t="n"/>
      <c r="N71" s="19" t="n"/>
      <c r="O71" s="15">
        <f>IF(OR($B71="",$B71&lt;&gt;'Pauta 1a1'!$B$4,$A71&lt;&gt;'Pauta 1a1'!$B$5),"",COUNTIFS($B$5:$B71,'Pauta 1a1'!$B$4,$A$5:$A71,'Pauta 1a1'!$B$5))</f>
        <v/>
      </c>
    </row>
    <row r="72">
      <c r="A72" s="19" t="n"/>
      <c r="B72" s="19" t="n"/>
      <c r="C72" s="19" t="n"/>
      <c r="D72" s="15">
        <f>IF($B72="","",IFERROR(IF(SUMPRODUCT((Avaliação!$C$5:$C$304=$B72)*(Avaliação!$A$5:$A$304=$A72)*(Avaliação!$F$5:$F$304=$C72)*ISNUMBER(Avaliação!$M$5:$M$304))=0,"",SUMIFS(Avaliação!$M$5:$M$304,Avaliação!$C$5:$C$304,$B72,Avaliação!$A$5:$A$304,$A72,Avaliação!$F$5:$F$304,$C72)),""))</f>
        <v/>
      </c>
      <c r="E72" s="19" t="n"/>
      <c r="F72" s="15">
        <f>IF(OR($D72="",$E72=""),"",$E72-$D72)</f>
        <v/>
      </c>
      <c r="G72" s="19" t="n"/>
      <c r="H72" s="19" t="n"/>
      <c r="I72" s="19" t="n"/>
      <c r="J72" s="19" t="n"/>
      <c r="K72" s="18" t="n"/>
      <c r="L72" s="18" t="n"/>
      <c r="M72" s="19" t="n"/>
      <c r="N72" s="19" t="n"/>
      <c r="O72" s="15">
        <f>IF(OR($B72="",$B72&lt;&gt;'Pauta 1a1'!$B$4,$A72&lt;&gt;'Pauta 1a1'!$B$5),"",COUNTIFS($B$5:$B72,'Pauta 1a1'!$B$4,$A$5:$A72,'Pauta 1a1'!$B$5))</f>
        <v/>
      </c>
    </row>
    <row r="73">
      <c r="A73" s="19" t="n"/>
      <c r="B73" s="19" t="n"/>
      <c r="C73" s="19" t="n"/>
      <c r="D73" s="15">
        <f>IF($B73="","",IFERROR(IF(SUMPRODUCT((Avaliação!$C$5:$C$304=$B73)*(Avaliação!$A$5:$A$304=$A73)*(Avaliação!$F$5:$F$304=$C73)*ISNUMBER(Avaliação!$M$5:$M$304))=0,"",SUMIFS(Avaliação!$M$5:$M$304,Avaliação!$C$5:$C$304,$B73,Avaliação!$A$5:$A$304,$A73,Avaliação!$F$5:$F$304,$C73)),""))</f>
        <v/>
      </c>
      <c r="E73" s="19" t="n"/>
      <c r="F73" s="15">
        <f>IF(OR($D73="",$E73=""),"",$E73-$D73)</f>
        <v/>
      </c>
      <c r="G73" s="19" t="n"/>
      <c r="H73" s="19" t="n"/>
      <c r="I73" s="19" t="n"/>
      <c r="J73" s="19" t="n"/>
      <c r="K73" s="18" t="n"/>
      <c r="L73" s="18" t="n"/>
      <c r="M73" s="19" t="n"/>
      <c r="N73" s="19" t="n"/>
      <c r="O73" s="15">
        <f>IF(OR($B73="",$B73&lt;&gt;'Pauta 1a1'!$B$4,$A73&lt;&gt;'Pauta 1a1'!$B$5),"",COUNTIFS($B$5:$B73,'Pauta 1a1'!$B$4,$A$5:$A73,'Pauta 1a1'!$B$5))</f>
        <v/>
      </c>
    </row>
    <row r="74">
      <c r="A74" s="19" t="n"/>
      <c r="B74" s="19" t="n"/>
      <c r="C74" s="19" t="n"/>
      <c r="D74" s="15">
        <f>IF($B74="","",IFERROR(IF(SUMPRODUCT((Avaliação!$C$5:$C$304=$B74)*(Avaliação!$A$5:$A$304=$A74)*(Avaliação!$F$5:$F$304=$C74)*ISNUMBER(Avaliação!$M$5:$M$304))=0,"",SUMIFS(Avaliação!$M$5:$M$304,Avaliação!$C$5:$C$304,$B74,Avaliação!$A$5:$A$304,$A74,Avaliação!$F$5:$F$304,$C74)),""))</f>
        <v/>
      </c>
      <c r="E74" s="19" t="n"/>
      <c r="F74" s="15">
        <f>IF(OR($D74="",$E74=""),"",$E74-$D74)</f>
        <v/>
      </c>
      <c r="G74" s="19" t="n"/>
      <c r="H74" s="19" t="n"/>
      <c r="I74" s="19" t="n"/>
      <c r="J74" s="19" t="n"/>
      <c r="K74" s="18" t="n"/>
      <c r="L74" s="18" t="n"/>
      <c r="M74" s="19" t="n"/>
      <c r="N74" s="19" t="n"/>
      <c r="O74" s="15">
        <f>IF(OR($B74="",$B74&lt;&gt;'Pauta 1a1'!$B$4,$A74&lt;&gt;'Pauta 1a1'!$B$5),"",COUNTIFS($B$5:$B74,'Pauta 1a1'!$B$4,$A$5:$A74,'Pauta 1a1'!$B$5))</f>
        <v/>
      </c>
    </row>
    <row r="75">
      <c r="A75" s="19" t="n"/>
      <c r="B75" s="19" t="n"/>
      <c r="C75" s="19" t="n"/>
      <c r="D75" s="15">
        <f>IF($B75="","",IFERROR(IF(SUMPRODUCT((Avaliação!$C$5:$C$304=$B75)*(Avaliação!$A$5:$A$304=$A75)*(Avaliação!$F$5:$F$304=$C75)*ISNUMBER(Avaliação!$M$5:$M$304))=0,"",SUMIFS(Avaliação!$M$5:$M$304,Avaliação!$C$5:$C$304,$B75,Avaliação!$A$5:$A$304,$A75,Avaliação!$F$5:$F$304,$C75)),""))</f>
        <v/>
      </c>
      <c r="E75" s="19" t="n"/>
      <c r="F75" s="15">
        <f>IF(OR($D75="",$E75=""),"",$E75-$D75)</f>
        <v/>
      </c>
      <c r="G75" s="19" t="n"/>
      <c r="H75" s="19" t="n"/>
      <c r="I75" s="19" t="n"/>
      <c r="J75" s="19" t="n"/>
      <c r="K75" s="18" t="n"/>
      <c r="L75" s="18" t="n"/>
      <c r="M75" s="19" t="n"/>
      <c r="N75" s="19" t="n"/>
      <c r="O75" s="15">
        <f>IF(OR($B75="",$B75&lt;&gt;'Pauta 1a1'!$B$4,$A75&lt;&gt;'Pauta 1a1'!$B$5),"",COUNTIFS($B$5:$B75,'Pauta 1a1'!$B$4,$A$5:$A75,'Pauta 1a1'!$B$5))</f>
        <v/>
      </c>
    </row>
    <row r="76">
      <c r="A76" s="19" t="n"/>
      <c r="B76" s="19" t="n"/>
      <c r="C76" s="19" t="n"/>
      <c r="D76" s="15">
        <f>IF($B76="","",IFERROR(IF(SUMPRODUCT((Avaliação!$C$5:$C$304=$B76)*(Avaliação!$A$5:$A$304=$A76)*(Avaliação!$F$5:$F$304=$C76)*ISNUMBER(Avaliação!$M$5:$M$304))=0,"",SUMIFS(Avaliação!$M$5:$M$304,Avaliação!$C$5:$C$304,$B76,Avaliação!$A$5:$A$304,$A76,Avaliação!$F$5:$F$304,$C76)),""))</f>
        <v/>
      </c>
      <c r="E76" s="19" t="n"/>
      <c r="F76" s="15">
        <f>IF(OR($D76="",$E76=""),"",$E76-$D76)</f>
        <v/>
      </c>
      <c r="G76" s="19" t="n"/>
      <c r="H76" s="19" t="n"/>
      <c r="I76" s="19" t="n"/>
      <c r="J76" s="19" t="n"/>
      <c r="K76" s="18" t="n"/>
      <c r="L76" s="18" t="n"/>
      <c r="M76" s="19" t="n"/>
      <c r="N76" s="19" t="n"/>
      <c r="O76" s="15">
        <f>IF(OR($B76="",$B76&lt;&gt;'Pauta 1a1'!$B$4,$A76&lt;&gt;'Pauta 1a1'!$B$5),"",COUNTIFS($B$5:$B76,'Pauta 1a1'!$B$4,$A$5:$A76,'Pauta 1a1'!$B$5))</f>
        <v/>
      </c>
    </row>
    <row r="77">
      <c r="A77" s="19" t="n"/>
      <c r="B77" s="19" t="n"/>
      <c r="C77" s="19" t="n"/>
      <c r="D77" s="15">
        <f>IF($B77="","",IFERROR(IF(SUMPRODUCT((Avaliação!$C$5:$C$304=$B77)*(Avaliação!$A$5:$A$304=$A77)*(Avaliação!$F$5:$F$304=$C77)*ISNUMBER(Avaliação!$M$5:$M$304))=0,"",SUMIFS(Avaliação!$M$5:$M$304,Avaliação!$C$5:$C$304,$B77,Avaliação!$A$5:$A$304,$A77,Avaliação!$F$5:$F$304,$C77)),""))</f>
        <v/>
      </c>
      <c r="E77" s="19" t="n"/>
      <c r="F77" s="15">
        <f>IF(OR($D77="",$E77=""),"",$E77-$D77)</f>
        <v/>
      </c>
      <c r="G77" s="19" t="n"/>
      <c r="H77" s="19" t="n"/>
      <c r="I77" s="19" t="n"/>
      <c r="J77" s="19" t="n"/>
      <c r="K77" s="18" t="n"/>
      <c r="L77" s="18" t="n"/>
      <c r="M77" s="19" t="n"/>
      <c r="N77" s="19" t="n"/>
      <c r="O77" s="15">
        <f>IF(OR($B77="",$B77&lt;&gt;'Pauta 1a1'!$B$4,$A77&lt;&gt;'Pauta 1a1'!$B$5),"",COUNTIFS($B$5:$B77,'Pauta 1a1'!$B$4,$A$5:$A77,'Pauta 1a1'!$B$5))</f>
        <v/>
      </c>
    </row>
    <row r="78">
      <c r="A78" s="19" t="n"/>
      <c r="B78" s="19" t="n"/>
      <c r="C78" s="19" t="n"/>
      <c r="D78" s="15">
        <f>IF($B78="","",IFERROR(IF(SUMPRODUCT((Avaliação!$C$5:$C$304=$B78)*(Avaliação!$A$5:$A$304=$A78)*(Avaliação!$F$5:$F$304=$C78)*ISNUMBER(Avaliação!$M$5:$M$304))=0,"",SUMIFS(Avaliação!$M$5:$M$304,Avaliação!$C$5:$C$304,$B78,Avaliação!$A$5:$A$304,$A78,Avaliação!$F$5:$F$304,$C78)),""))</f>
        <v/>
      </c>
      <c r="E78" s="19" t="n"/>
      <c r="F78" s="15">
        <f>IF(OR($D78="",$E78=""),"",$E78-$D78)</f>
        <v/>
      </c>
      <c r="G78" s="19" t="n"/>
      <c r="H78" s="19" t="n"/>
      <c r="I78" s="19" t="n"/>
      <c r="J78" s="19" t="n"/>
      <c r="K78" s="18" t="n"/>
      <c r="L78" s="18" t="n"/>
      <c r="M78" s="19" t="n"/>
      <c r="N78" s="19" t="n"/>
      <c r="O78" s="15">
        <f>IF(OR($B78="",$B78&lt;&gt;'Pauta 1a1'!$B$4,$A78&lt;&gt;'Pauta 1a1'!$B$5),"",COUNTIFS($B$5:$B78,'Pauta 1a1'!$B$4,$A$5:$A78,'Pauta 1a1'!$B$5))</f>
        <v/>
      </c>
    </row>
    <row r="79">
      <c r="A79" s="19" t="n"/>
      <c r="B79" s="19" t="n"/>
      <c r="C79" s="19" t="n"/>
      <c r="D79" s="15">
        <f>IF($B79="","",IFERROR(IF(SUMPRODUCT((Avaliação!$C$5:$C$304=$B79)*(Avaliação!$A$5:$A$304=$A79)*(Avaliação!$F$5:$F$304=$C79)*ISNUMBER(Avaliação!$M$5:$M$304))=0,"",SUMIFS(Avaliação!$M$5:$M$304,Avaliação!$C$5:$C$304,$B79,Avaliação!$A$5:$A$304,$A79,Avaliação!$F$5:$F$304,$C79)),""))</f>
        <v/>
      </c>
      <c r="E79" s="19" t="n"/>
      <c r="F79" s="15">
        <f>IF(OR($D79="",$E79=""),"",$E79-$D79)</f>
        <v/>
      </c>
      <c r="G79" s="19" t="n"/>
      <c r="H79" s="19" t="n"/>
      <c r="I79" s="19" t="n"/>
      <c r="J79" s="19" t="n"/>
      <c r="K79" s="18" t="n"/>
      <c r="L79" s="18" t="n"/>
      <c r="M79" s="19" t="n"/>
      <c r="N79" s="19" t="n"/>
      <c r="O79" s="15">
        <f>IF(OR($B79="",$B79&lt;&gt;'Pauta 1a1'!$B$4,$A79&lt;&gt;'Pauta 1a1'!$B$5),"",COUNTIFS($B$5:$B79,'Pauta 1a1'!$B$4,$A$5:$A79,'Pauta 1a1'!$B$5))</f>
        <v/>
      </c>
    </row>
    <row r="80">
      <c r="A80" s="19" t="n"/>
      <c r="B80" s="19" t="n"/>
      <c r="C80" s="19" t="n"/>
      <c r="D80" s="15">
        <f>IF($B80="","",IFERROR(IF(SUMPRODUCT((Avaliação!$C$5:$C$304=$B80)*(Avaliação!$A$5:$A$304=$A80)*(Avaliação!$F$5:$F$304=$C80)*ISNUMBER(Avaliação!$M$5:$M$304))=0,"",SUMIFS(Avaliação!$M$5:$M$304,Avaliação!$C$5:$C$304,$B80,Avaliação!$A$5:$A$304,$A80,Avaliação!$F$5:$F$304,$C80)),""))</f>
        <v/>
      </c>
      <c r="E80" s="19" t="n"/>
      <c r="F80" s="15">
        <f>IF(OR($D80="",$E80=""),"",$E80-$D80)</f>
        <v/>
      </c>
      <c r="G80" s="19" t="n"/>
      <c r="H80" s="19" t="n"/>
      <c r="I80" s="19" t="n"/>
      <c r="J80" s="19" t="n"/>
      <c r="K80" s="18" t="n"/>
      <c r="L80" s="18" t="n"/>
      <c r="M80" s="19" t="n"/>
      <c r="N80" s="19" t="n"/>
      <c r="O80" s="15">
        <f>IF(OR($B80="",$B80&lt;&gt;'Pauta 1a1'!$B$4,$A80&lt;&gt;'Pauta 1a1'!$B$5),"",COUNTIFS($B$5:$B80,'Pauta 1a1'!$B$4,$A$5:$A80,'Pauta 1a1'!$B$5))</f>
        <v/>
      </c>
    </row>
    <row r="81">
      <c r="A81" s="19" t="n"/>
      <c r="B81" s="19" t="n"/>
      <c r="C81" s="19" t="n"/>
      <c r="D81" s="15">
        <f>IF($B81="","",IFERROR(IF(SUMPRODUCT((Avaliação!$C$5:$C$304=$B81)*(Avaliação!$A$5:$A$304=$A81)*(Avaliação!$F$5:$F$304=$C81)*ISNUMBER(Avaliação!$M$5:$M$304))=0,"",SUMIFS(Avaliação!$M$5:$M$304,Avaliação!$C$5:$C$304,$B81,Avaliação!$A$5:$A$304,$A81,Avaliação!$F$5:$F$304,$C81)),""))</f>
        <v/>
      </c>
      <c r="E81" s="19" t="n"/>
      <c r="F81" s="15">
        <f>IF(OR($D81="",$E81=""),"",$E81-$D81)</f>
        <v/>
      </c>
      <c r="G81" s="19" t="n"/>
      <c r="H81" s="19" t="n"/>
      <c r="I81" s="19" t="n"/>
      <c r="J81" s="19" t="n"/>
      <c r="K81" s="18" t="n"/>
      <c r="L81" s="18" t="n"/>
      <c r="M81" s="19" t="n"/>
      <c r="N81" s="19" t="n"/>
      <c r="O81" s="15">
        <f>IF(OR($B81="",$B81&lt;&gt;'Pauta 1a1'!$B$4,$A81&lt;&gt;'Pauta 1a1'!$B$5),"",COUNTIFS($B$5:$B81,'Pauta 1a1'!$B$4,$A$5:$A81,'Pauta 1a1'!$B$5))</f>
        <v/>
      </c>
    </row>
    <row r="82">
      <c r="A82" s="19" t="n"/>
      <c r="B82" s="19" t="n"/>
      <c r="C82" s="19" t="n"/>
      <c r="D82" s="15">
        <f>IF($B82="","",IFERROR(IF(SUMPRODUCT((Avaliação!$C$5:$C$304=$B82)*(Avaliação!$A$5:$A$304=$A82)*(Avaliação!$F$5:$F$304=$C82)*ISNUMBER(Avaliação!$M$5:$M$304))=0,"",SUMIFS(Avaliação!$M$5:$M$304,Avaliação!$C$5:$C$304,$B82,Avaliação!$A$5:$A$304,$A82,Avaliação!$F$5:$F$304,$C82)),""))</f>
        <v/>
      </c>
      <c r="E82" s="19" t="n"/>
      <c r="F82" s="15">
        <f>IF(OR($D82="",$E82=""),"",$E82-$D82)</f>
        <v/>
      </c>
      <c r="G82" s="19" t="n"/>
      <c r="H82" s="19" t="n"/>
      <c r="I82" s="19" t="n"/>
      <c r="J82" s="19" t="n"/>
      <c r="K82" s="18" t="n"/>
      <c r="L82" s="18" t="n"/>
      <c r="M82" s="19" t="n"/>
      <c r="N82" s="19" t="n"/>
      <c r="O82" s="15">
        <f>IF(OR($B82="",$B82&lt;&gt;'Pauta 1a1'!$B$4,$A82&lt;&gt;'Pauta 1a1'!$B$5),"",COUNTIFS($B$5:$B82,'Pauta 1a1'!$B$4,$A$5:$A82,'Pauta 1a1'!$B$5))</f>
        <v/>
      </c>
    </row>
    <row r="83">
      <c r="A83" s="19" t="n"/>
      <c r="B83" s="19" t="n"/>
      <c r="C83" s="19" t="n"/>
      <c r="D83" s="15">
        <f>IF($B83="","",IFERROR(IF(SUMPRODUCT((Avaliação!$C$5:$C$304=$B83)*(Avaliação!$A$5:$A$304=$A83)*(Avaliação!$F$5:$F$304=$C83)*ISNUMBER(Avaliação!$M$5:$M$304))=0,"",SUMIFS(Avaliação!$M$5:$M$304,Avaliação!$C$5:$C$304,$B83,Avaliação!$A$5:$A$304,$A83,Avaliação!$F$5:$F$304,$C83)),""))</f>
        <v/>
      </c>
      <c r="E83" s="19" t="n"/>
      <c r="F83" s="15">
        <f>IF(OR($D83="",$E83=""),"",$E83-$D83)</f>
        <v/>
      </c>
      <c r="G83" s="19" t="n"/>
      <c r="H83" s="19" t="n"/>
      <c r="I83" s="19" t="n"/>
      <c r="J83" s="19" t="n"/>
      <c r="K83" s="18" t="n"/>
      <c r="L83" s="18" t="n"/>
      <c r="M83" s="19" t="n"/>
      <c r="N83" s="19" t="n"/>
      <c r="O83" s="15">
        <f>IF(OR($B83="",$B83&lt;&gt;'Pauta 1a1'!$B$4,$A83&lt;&gt;'Pauta 1a1'!$B$5),"",COUNTIFS($B$5:$B83,'Pauta 1a1'!$B$4,$A$5:$A83,'Pauta 1a1'!$B$5))</f>
        <v/>
      </c>
    </row>
    <row r="84">
      <c r="A84" s="19" t="n"/>
      <c r="B84" s="19" t="n"/>
      <c r="C84" s="19" t="n"/>
      <c r="D84" s="15">
        <f>IF($B84="","",IFERROR(IF(SUMPRODUCT((Avaliação!$C$5:$C$304=$B84)*(Avaliação!$A$5:$A$304=$A84)*(Avaliação!$F$5:$F$304=$C84)*ISNUMBER(Avaliação!$M$5:$M$304))=0,"",SUMIFS(Avaliação!$M$5:$M$304,Avaliação!$C$5:$C$304,$B84,Avaliação!$A$5:$A$304,$A84,Avaliação!$F$5:$F$304,$C84)),""))</f>
        <v/>
      </c>
      <c r="E84" s="19" t="n"/>
      <c r="F84" s="15">
        <f>IF(OR($D84="",$E84=""),"",$E84-$D84)</f>
        <v/>
      </c>
      <c r="G84" s="19" t="n"/>
      <c r="H84" s="19" t="n"/>
      <c r="I84" s="19" t="n"/>
      <c r="J84" s="19" t="n"/>
      <c r="K84" s="18" t="n"/>
      <c r="L84" s="18" t="n"/>
      <c r="M84" s="19" t="n"/>
      <c r="N84" s="19" t="n"/>
      <c r="O84" s="15">
        <f>IF(OR($B84="",$B84&lt;&gt;'Pauta 1a1'!$B$4,$A84&lt;&gt;'Pauta 1a1'!$B$5),"",COUNTIFS($B$5:$B84,'Pauta 1a1'!$B$4,$A$5:$A84,'Pauta 1a1'!$B$5))</f>
        <v/>
      </c>
    </row>
    <row r="85">
      <c r="A85" s="19" t="n"/>
      <c r="B85" s="19" t="n"/>
      <c r="C85" s="19" t="n"/>
      <c r="D85" s="15">
        <f>IF($B85="","",IFERROR(IF(SUMPRODUCT((Avaliação!$C$5:$C$304=$B85)*(Avaliação!$A$5:$A$304=$A85)*(Avaliação!$F$5:$F$304=$C85)*ISNUMBER(Avaliação!$M$5:$M$304))=0,"",SUMIFS(Avaliação!$M$5:$M$304,Avaliação!$C$5:$C$304,$B85,Avaliação!$A$5:$A$304,$A85,Avaliação!$F$5:$F$304,$C85)),""))</f>
        <v/>
      </c>
      <c r="E85" s="19" t="n"/>
      <c r="F85" s="15">
        <f>IF(OR($D85="",$E85=""),"",$E85-$D85)</f>
        <v/>
      </c>
      <c r="G85" s="19" t="n"/>
      <c r="H85" s="19" t="n"/>
      <c r="I85" s="19" t="n"/>
      <c r="J85" s="19" t="n"/>
      <c r="K85" s="18" t="n"/>
      <c r="L85" s="18" t="n"/>
      <c r="M85" s="19" t="n"/>
      <c r="N85" s="19" t="n"/>
      <c r="O85" s="15">
        <f>IF(OR($B85="",$B85&lt;&gt;'Pauta 1a1'!$B$4,$A85&lt;&gt;'Pauta 1a1'!$B$5),"",COUNTIFS($B$5:$B85,'Pauta 1a1'!$B$4,$A$5:$A85,'Pauta 1a1'!$B$5))</f>
        <v/>
      </c>
    </row>
    <row r="86">
      <c r="A86" s="19" t="n"/>
      <c r="B86" s="19" t="n"/>
      <c r="C86" s="19" t="n"/>
      <c r="D86" s="15">
        <f>IF($B86="","",IFERROR(IF(SUMPRODUCT((Avaliação!$C$5:$C$304=$B86)*(Avaliação!$A$5:$A$304=$A86)*(Avaliação!$F$5:$F$304=$C86)*ISNUMBER(Avaliação!$M$5:$M$304))=0,"",SUMIFS(Avaliação!$M$5:$M$304,Avaliação!$C$5:$C$304,$B86,Avaliação!$A$5:$A$304,$A86,Avaliação!$F$5:$F$304,$C86)),""))</f>
        <v/>
      </c>
      <c r="E86" s="19" t="n"/>
      <c r="F86" s="15">
        <f>IF(OR($D86="",$E86=""),"",$E86-$D86)</f>
        <v/>
      </c>
      <c r="G86" s="19" t="n"/>
      <c r="H86" s="19" t="n"/>
      <c r="I86" s="19" t="n"/>
      <c r="J86" s="19" t="n"/>
      <c r="K86" s="18" t="n"/>
      <c r="L86" s="18" t="n"/>
      <c r="M86" s="19" t="n"/>
      <c r="N86" s="19" t="n"/>
      <c r="O86" s="15">
        <f>IF(OR($B86="",$B86&lt;&gt;'Pauta 1a1'!$B$4,$A86&lt;&gt;'Pauta 1a1'!$B$5),"",COUNTIFS($B$5:$B86,'Pauta 1a1'!$B$4,$A$5:$A86,'Pauta 1a1'!$B$5))</f>
        <v/>
      </c>
    </row>
    <row r="87">
      <c r="A87" s="19" t="n"/>
      <c r="B87" s="19" t="n"/>
      <c r="C87" s="19" t="n"/>
      <c r="D87" s="15">
        <f>IF($B87="","",IFERROR(IF(SUMPRODUCT((Avaliação!$C$5:$C$304=$B87)*(Avaliação!$A$5:$A$304=$A87)*(Avaliação!$F$5:$F$304=$C87)*ISNUMBER(Avaliação!$M$5:$M$304))=0,"",SUMIFS(Avaliação!$M$5:$M$304,Avaliação!$C$5:$C$304,$B87,Avaliação!$A$5:$A$304,$A87,Avaliação!$F$5:$F$304,$C87)),""))</f>
        <v/>
      </c>
      <c r="E87" s="19" t="n"/>
      <c r="F87" s="15">
        <f>IF(OR($D87="",$E87=""),"",$E87-$D87)</f>
        <v/>
      </c>
      <c r="G87" s="19" t="n"/>
      <c r="H87" s="19" t="n"/>
      <c r="I87" s="19" t="n"/>
      <c r="J87" s="19" t="n"/>
      <c r="K87" s="18" t="n"/>
      <c r="L87" s="18" t="n"/>
      <c r="M87" s="19" t="n"/>
      <c r="N87" s="19" t="n"/>
      <c r="O87" s="15">
        <f>IF(OR($B87="",$B87&lt;&gt;'Pauta 1a1'!$B$4,$A87&lt;&gt;'Pauta 1a1'!$B$5),"",COUNTIFS($B$5:$B87,'Pauta 1a1'!$B$4,$A$5:$A87,'Pauta 1a1'!$B$5))</f>
        <v/>
      </c>
    </row>
    <row r="88">
      <c r="A88" s="19" t="n"/>
      <c r="B88" s="19" t="n"/>
      <c r="C88" s="19" t="n"/>
      <c r="D88" s="15">
        <f>IF($B88="","",IFERROR(IF(SUMPRODUCT((Avaliação!$C$5:$C$304=$B88)*(Avaliação!$A$5:$A$304=$A88)*(Avaliação!$F$5:$F$304=$C88)*ISNUMBER(Avaliação!$M$5:$M$304))=0,"",SUMIFS(Avaliação!$M$5:$M$304,Avaliação!$C$5:$C$304,$B88,Avaliação!$A$5:$A$304,$A88,Avaliação!$F$5:$F$304,$C88)),""))</f>
        <v/>
      </c>
      <c r="E88" s="19" t="n"/>
      <c r="F88" s="15">
        <f>IF(OR($D88="",$E88=""),"",$E88-$D88)</f>
        <v/>
      </c>
      <c r="G88" s="19" t="n"/>
      <c r="H88" s="19" t="n"/>
      <c r="I88" s="19" t="n"/>
      <c r="J88" s="19" t="n"/>
      <c r="K88" s="18" t="n"/>
      <c r="L88" s="18" t="n"/>
      <c r="M88" s="19" t="n"/>
      <c r="N88" s="19" t="n"/>
      <c r="O88" s="15">
        <f>IF(OR($B88="",$B88&lt;&gt;'Pauta 1a1'!$B$4,$A88&lt;&gt;'Pauta 1a1'!$B$5),"",COUNTIFS($B$5:$B88,'Pauta 1a1'!$B$4,$A$5:$A88,'Pauta 1a1'!$B$5))</f>
        <v/>
      </c>
    </row>
    <row r="89">
      <c r="A89" s="19" t="n"/>
      <c r="B89" s="19" t="n"/>
      <c r="C89" s="19" t="n"/>
      <c r="D89" s="15">
        <f>IF($B89="","",IFERROR(IF(SUMPRODUCT((Avaliação!$C$5:$C$304=$B89)*(Avaliação!$A$5:$A$304=$A89)*(Avaliação!$F$5:$F$304=$C89)*ISNUMBER(Avaliação!$M$5:$M$304))=0,"",SUMIFS(Avaliação!$M$5:$M$304,Avaliação!$C$5:$C$304,$B89,Avaliação!$A$5:$A$304,$A89,Avaliação!$F$5:$F$304,$C89)),""))</f>
        <v/>
      </c>
      <c r="E89" s="19" t="n"/>
      <c r="F89" s="15">
        <f>IF(OR($D89="",$E89=""),"",$E89-$D89)</f>
        <v/>
      </c>
      <c r="G89" s="19" t="n"/>
      <c r="H89" s="19" t="n"/>
      <c r="I89" s="19" t="n"/>
      <c r="J89" s="19" t="n"/>
      <c r="K89" s="18" t="n"/>
      <c r="L89" s="18" t="n"/>
      <c r="M89" s="19" t="n"/>
      <c r="N89" s="19" t="n"/>
      <c r="O89" s="15">
        <f>IF(OR($B89="",$B89&lt;&gt;'Pauta 1a1'!$B$4,$A89&lt;&gt;'Pauta 1a1'!$B$5),"",COUNTIFS($B$5:$B89,'Pauta 1a1'!$B$4,$A$5:$A89,'Pauta 1a1'!$B$5))</f>
        <v/>
      </c>
    </row>
    <row r="90">
      <c r="A90" s="19" t="n"/>
      <c r="B90" s="19" t="n"/>
      <c r="C90" s="19" t="n"/>
      <c r="D90" s="15">
        <f>IF($B90="","",IFERROR(IF(SUMPRODUCT((Avaliação!$C$5:$C$304=$B90)*(Avaliação!$A$5:$A$304=$A90)*(Avaliação!$F$5:$F$304=$C90)*ISNUMBER(Avaliação!$M$5:$M$304))=0,"",SUMIFS(Avaliação!$M$5:$M$304,Avaliação!$C$5:$C$304,$B90,Avaliação!$A$5:$A$304,$A90,Avaliação!$F$5:$F$304,$C90)),""))</f>
        <v/>
      </c>
      <c r="E90" s="19" t="n"/>
      <c r="F90" s="15">
        <f>IF(OR($D90="",$E90=""),"",$E90-$D90)</f>
        <v/>
      </c>
      <c r="G90" s="19" t="n"/>
      <c r="H90" s="19" t="n"/>
      <c r="I90" s="19" t="n"/>
      <c r="J90" s="19" t="n"/>
      <c r="K90" s="18" t="n"/>
      <c r="L90" s="18" t="n"/>
      <c r="M90" s="19" t="n"/>
      <c r="N90" s="19" t="n"/>
      <c r="O90" s="15">
        <f>IF(OR($B90="",$B90&lt;&gt;'Pauta 1a1'!$B$4,$A90&lt;&gt;'Pauta 1a1'!$B$5),"",COUNTIFS($B$5:$B90,'Pauta 1a1'!$B$4,$A$5:$A90,'Pauta 1a1'!$B$5))</f>
        <v/>
      </c>
    </row>
    <row r="91">
      <c r="A91" s="19" t="n"/>
      <c r="B91" s="19" t="n"/>
      <c r="C91" s="19" t="n"/>
      <c r="D91" s="15">
        <f>IF($B91="","",IFERROR(IF(SUMPRODUCT((Avaliação!$C$5:$C$304=$B91)*(Avaliação!$A$5:$A$304=$A91)*(Avaliação!$F$5:$F$304=$C91)*ISNUMBER(Avaliação!$M$5:$M$304))=0,"",SUMIFS(Avaliação!$M$5:$M$304,Avaliação!$C$5:$C$304,$B91,Avaliação!$A$5:$A$304,$A91,Avaliação!$F$5:$F$304,$C91)),""))</f>
        <v/>
      </c>
      <c r="E91" s="19" t="n"/>
      <c r="F91" s="15">
        <f>IF(OR($D91="",$E91=""),"",$E91-$D91)</f>
        <v/>
      </c>
      <c r="G91" s="19" t="n"/>
      <c r="H91" s="19" t="n"/>
      <c r="I91" s="19" t="n"/>
      <c r="J91" s="19" t="n"/>
      <c r="K91" s="18" t="n"/>
      <c r="L91" s="18" t="n"/>
      <c r="M91" s="19" t="n"/>
      <c r="N91" s="19" t="n"/>
      <c r="O91" s="15">
        <f>IF(OR($B91="",$B91&lt;&gt;'Pauta 1a1'!$B$4,$A91&lt;&gt;'Pauta 1a1'!$B$5),"",COUNTIFS($B$5:$B91,'Pauta 1a1'!$B$4,$A$5:$A91,'Pauta 1a1'!$B$5))</f>
        <v/>
      </c>
    </row>
    <row r="92">
      <c r="A92" s="19" t="n"/>
      <c r="B92" s="19" t="n"/>
      <c r="C92" s="19" t="n"/>
      <c r="D92" s="15">
        <f>IF($B92="","",IFERROR(IF(SUMPRODUCT((Avaliação!$C$5:$C$304=$B92)*(Avaliação!$A$5:$A$304=$A92)*(Avaliação!$F$5:$F$304=$C92)*ISNUMBER(Avaliação!$M$5:$M$304))=0,"",SUMIFS(Avaliação!$M$5:$M$304,Avaliação!$C$5:$C$304,$B92,Avaliação!$A$5:$A$304,$A92,Avaliação!$F$5:$F$304,$C92)),""))</f>
        <v/>
      </c>
      <c r="E92" s="19" t="n"/>
      <c r="F92" s="15">
        <f>IF(OR($D92="",$E92=""),"",$E92-$D92)</f>
        <v/>
      </c>
      <c r="G92" s="19" t="n"/>
      <c r="H92" s="19" t="n"/>
      <c r="I92" s="19" t="n"/>
      <c r="J92" s="19" t="n"/>
      <c r="K92" s="18" t="n"/>
      <c r="L92" s="18" t="n"/>
      <c r="M92" s="19" t="n"/>
      <c r="N92" s="19" t="n"/>
      <c r="O92" s="15">
        <f>IF(OR($B92="",$B92&lt;&gt;'Pauta 1a1'!$B$4,$A92&lt;&gt;'Pauta 1a1'!$B$5),"",COUNTIFS($B$5:$B92,'Pauta 1a1'!$B$4,$A$5:$A92,'Pauta 1a1'!$B$5))</f>
        <v/>
      </c>
    </row>
    <row r="93">
      <c r="A93" s="19" t="n"/>
      <c r="B93" s="19" t="n"/>
      <c r="C93" s="19" t="n"/>
      <c r="D93" s="15">
        <f>IF($B93="","",IFERROR(IF(SUMPRODUCT((Avaliação!$C$5:$C$304=$B93)*(Avaliação!$A$5:$A$304=$A93)*(Avaliação!$F$5:$F$304=$C93)*ISNUMBER(Avaliação!$M$5:$M$304))=0,"",SUMIFS(Avaliação!$M$5:$M$304,Avaliação!$C$5:$C$304,$B93,Avaliação!$A$5:$A$304,$A93,Avaliação!$F$5:$F$304,$C93)),""))</f>
        <v/>
      </c>
      <c r="E93" s="19" t="n"/>
      <c r="F93" s="15">
        <f>IF(OR($D93="",$E93=""),"",$E93-$D93)</f>
        <v/>
      </c>
      <c r="G93" s="19" t="n"/>
      <c r="H93" s="19" t="n"/>
      <c r="I93" s="19" t="n"/>
      <c r="J93" s="19" t="n"/>
      <c r="K93" s="18" t="n"/>
      <c r="L93" s="18" t="n"/>
      <c r="M93" s="19" t="n"/>
      <c r="N93" s="19" t="n"/>
      <c r="O93" s="15">
        <f>IF(OR($B93="",$B93&lt;&gt;'Pauta 1a1'!$B$4,$A93&lt;&gt;'Pauta 1a1'!$B$5),"",COUNTIFS($B$5:$B93,'Pauta 1a1'!$B$4,$A$5:$A93,'Pauta 1a1'!$B$5))</f>
        <v/>
      </c>
    </row>
    <row r="94">
      <c r="A94" s="19" t="n"/>
      <c r="B94" s="19" t="n"/>
      <c r="C94" s="19" t="n"/>
      <c r="D94" s="15">
        <f>IF($B94="","",IFERROR(IF(SUMPRODUCT((Avaliação!$C$5:$C$304=$B94)*(Avaliação!$A$5:$A$304=$A94)*(Avaliação!$F$5:$F$304=$C94)*ISNUMBER(Avaliação!$M$5:$M$304))=0,"",SUMIFS(Avaliação!$M$5:$M$304,Avaliação!$C$5:$C$304,$B94,Avaliação!$A$5:$A$304,$A94,Avaliação!$F$5:$F$304,$C94)),""))</f>
        <v/>
      </c>
      <c r="E94" s="19" t="n"/>
      <c r="F94" s="15">
        <f>IF(OR($D94="",$E94=""),"",$E94-$D94)</f>
        <v/>
      </c>
      <c r="G94" s="19" t="n"/>
      <c r="H94" s="19" t="n"/>
      <c r="I94" s="19" t="n"/>
      <c r="J94" s="19" t="n"/>
      <c r="K94" s="18" t="n"/>
      <c r="L94" s="18" t="n"/>
      <c r="M94" s="19" t="n"/>
      <c r="N94" s="19" t="n"/>
      <c r="O94" s="15">
        <f>IF(OR($B94="",$B94&lt;&gt;'Pauta 1a1'!$B$4,$A94&lt;&gt;'Pauta 1a1'!$B$5),"",COUNTIFS($B$5:$B94,'Pauta 1a1'!$B$4,$A$5:$A94,'Pauta 1a1'!$B$5))</f>
        <v/>
      </c>
    </row>
    <row r="95">
      <c r="A95" s="19" t="n"/>
      <c r="B95" s="19" t="n"/>
      <c r="C95" s="19" t="n"/>
      <c r="D95" s="15">
        <f>IF($B95="","",IFERROR(IF(SUMPRODUCT((Avaliação!$C$5:$C$304=$B95)*(Avaliação!$A$5:$A$304=$A95)*(Avaliação!$F$5:$F$304=$C95)*ISNUMBER(Avaliação!$M$5:$M$304))=0,"",SUMIFS(Avaliação!$M$5:$M$304,Avaliação!$C$5:$C$304,$B95,Avaliação!$A$5:$A$304,$A95,Avaliação!$F$5:$F$304,$C95)),""))</f>
        <v/>
      </c>
      <c r="E95" s="19" t="n"/>
      <c r="F95" s="15">
        <f>IF(OR($D95="",$E95=""),"",$E95-$D95)</f>
        <v/>
      </c>
      <c r="G95" s="19" t="n"/>
      <c r="H95" s="19" t="n"/>
      <c r="I95" s="19" t="n"/>
      <c r="J95" s="19" t="n"/>
      <c r="K95" s="18" t="n"/>
      <c r="L95" s="18" t="n"/>
      <c r="M95" s="19" t="n"/>
      <c r="N95" s="19" t="n"/>
      <c r="O95" s="15">
        <f>IF(OR($B95="",$B95&lt;&gt;'Pauta 1a1'!$B$4,$A95&lt;&gt;'Pauta 1a1'!$B$5),"",COUNTIFS($B$5:$B95,'Pauta 1a1'!$B$4,$A$5:$A95,'Pauta 1a1'!$B$5))</f>
        <v/>
      </c>
    </row>
    <row r="96">
      <c r="A96" s="19" t="n"/>
      <c r="B96" s="19" t="n"/>
      <c r="C96" s="19" t="n"/>
      <c r="D96" s="15">
        <f>IF($B96="","",IFERROR(IF(SUMPRODUCT((Avaliação!$C$5:$C$304=$B96)*(Avaliação!$A$5:$A$304=$A96)*(Avaliação!$F$5:$F$304=$C96)*ISNUMBER(Avaliação!$M$5:$M$304))=0,"",SUMIFS(Avaliação!$M$5:$M$304,Avaliação!$C$5:$C$304,$B96,Avaliação!$A$5:$A$304,$A96,Avaliação!$F$5:$F$304,$C96)),""))</f>
        <v/>
      </c>
      <c r="E96" s="19" t="n"/>
      <c r="F96" s="15">
        <f>IF(OR($D96="",$E96=""),"",$E96-$D96)</f>
        <v/>
      </c>
      <c r="G96" s="19" t="n"/>
      <c r="H96" s="19" t="n"/>
      <c r="I96" s="19" t="n"/>
      <c r="J96" s="19" t="n"/>
      <c r="K96" s="18" t="n"/>
      <c r="L96" s="18" t="n"/>
      <c r="M96" s="19" t="n"/>
      <c r="N96" s="19" t="n"/>
      <c r="O96" s="15">
        <f>IF(OR($B96="",$B96&lt;&gt;'Pauta 1a1'!$B$4,$A96&lt;&gt;'Pauta 1a1'!$B$5),"",COUNTIFS($B$5:$B96,'Pauta 1a1'!$B$4,$A$5:$A96,'Pauta 1a1'!$B$5))</f>
        <v/>
      </c>
    </row>
    <row r="97">
      <c r="A97" s="19" t="n"/>
      <c r="B97" s="19" t="n"/>
      <c r="C97" s="19" t="n"/>
      <c r="D97" s="15">
        <f>IF($B97="","",IFERROR(IF(SUMPRODUCT((Avaliação!$C$5:$C$304=$B97)*(Avaliação!$A$5:$A$304=$A97)*(Avaliação!$F$5:$F$304=$C97)*ISNUMBER(Avaliação!$M$5:$M$304))=0,"",SUMIFS(Avaliação!$M$5:$M$304,Avaliação!$C$5:$C$304,$B97,Avaliação!$A$5:$A$304,$A97,Avaliação!$F$5:$F$304,$C97)),""))</f>
        <v/>
      </c>
      <c r="E97" s="19" t="n"/>
      <c r="F97" s="15">
        <f>IF(OR($D97="",$E97=""),"",$E97-$D97)</f>
        <v/>
      </c>
      <c r="G97" s="19" t="n"/>
      <c r="H97" s="19" t="n"/>
      <c r="I97" s="19" t="n"/>
      <c r="J97" s="19" t="n"/>
      <c r="K97" s="18" t="n"/>
      <c r="L97" s="18" t="n"/>
      <c r="M97" s="19" t="n"/>
      <c r="N97" s="19" t="n"/>
      <c r="O97" s="15">
        <f>IF(OR($B97="",$B97&lt;&gt;'Pauta 1a1'!$B$4,$A97&lt;&gt;'Pauta 1a1'!$B$5),"",COUNTIFS($B$5:$B97,'Pauta 1a1'!$B$4,$A$5:$A97,'Pauta 1a1'!$B$5))</f>
        <v/>
      </c>
    </row>
    <row r="98">
      <c r="A98" s="19" t="n"/>
      <c r="B98" s="19" t="n"/>
      <c r="C98" s="19" t="n"/>
      <c r="D98" s="15">
        <f>IF($B98="","",IFERROR(IF(SUMPRODUCT((Avaliação!$C$5:$C$304=$B98)*(Avaliação!$A$5:$A$304=$A98)*(Avaliação!$F$5:$F$304=$C98)*ISNUMBER(Avaliação!$M$5:$M$304))=0,"",SUMIFS(Avaliação!$M$5:$M$304,Avaliação!$C$5:$C$304,$B98,Avaliação!$A$5:$A$304,$A98,Avaliação!$F$5:$F$304,$C98)),""))</f>
        <v/>
      </c>
      <c r="E98" s="19" t="n"/>
      <c r="F98" s="15">
        <f>IF(OR($D98="",$E98=""),"",$E98-$D98)</f>
        <v/>
      </c>
      <c r="G98" s="19" t="n"/>
      <c r="H98" s="19" t="n"/>
      <c r="I98" s="19" t="n"/>
      <c r="J98" s="19" t="n"/>
      <c r="K98" s="18" t="n"/>
      <c r="L98" s="18" t="n"/>
      <c r="M98" s="19" t="n"/>
      <c r="N98" s="19" t="n"/>
      <c r="O98" s="15">
        <f>IF(OR($B98="",$B98&lt;&gt;'Pauta 1a1'!$B$4,$A98&lt;&gt;'Pauta 1a1'!$B$5),"",COUNTIFS($B$5:$B98,'Pauta 1a1'!$B$4,$A$5:$A98,'Pauta 1a1'!$B$5))</f>
        <v/>
      </c>
    </row>
    <row r="99">
      <c r="A99" s="19" t="n"/>
      <c r="B99" s="19" t="n"/>
      <c r="C99" s="19" t="n"/>
      <c r="D99" s="15">
        <f>IF($B99="","",IFERROR(IF(SUMPRODUCT((Avaliação!$C$5:$C$304=$B99)*(Avaliação!$A$5:$A$304=$A99)*(Avaliação!$F$5:$F$304=$C99)*ISNUMBER(Avaliação!$M$5:$M$304))=0,"",SUMIFS(Avaliação!$M$5:$M$304,Avaliação!$C$5:$C$304,$B99,Avaliação!$A$5:$A$304,$A99,Avaliação!$F$5:$F$304,$C99)),""))</f>
        <v/>
      </c>
      <c r="E99" s="19" t="n"/>
      <c r="F99" s="15">
        <f>IF(OR($D99="",$E99=""),"",$E99-$D99)</f>
        <v/>
      </c>
      <c r="G99" s="19" t="n"/>
      <c r="H99" s="19" t="n"/>
      <c r="I99" s="19" t="n"/>
      <c r="J99" s="19" t="n"/>
      <c r="K99" s="18" t="n"/>
      <c r="L99" s="18" t="n"/>
      <c r="M99" s="19" t="n"/>
      <c r="N99" s="19" t="n"/>
      <c r="O99" s="15">
        <f>IF(OR($B99="",$B99&lt;&gt;'Pauta 1a1'!$B$4,$A99&lt;&gt;'Pauta 1a1'!$B$5),"",COUNTIFS($B$5:$B99,'Pauta 1a1'!$B$4,$A$5:$A99,'Pauta 1a1'!$B$5))</f>
        <v/>
      </c>
    </row>
    <row r="100">
      <c r="A100" s="19" t="n"/>
      <c r="B100" s="19" t="n"/>
      <c r="C100" s="19" t="n"/>
      <c r="D100" s="15">
        <f>IF($B100="","",IFERROR(IF(SUMPRODUCT((Avaliação!$C$5:$C$304=$B100)*(Avaliação!$A$5:$A$304=$A100)*(Avaliação!$F$5:$F$304=$C100)*ISNUMBER(Avaliação!$M$5:$M$304))=0,"",SUMIFS(Avaliação!$M$5:$M$304,Avaliação!$C$5:$C$304,$B100,Avaliação!$A$5:$A$304,$A100,Avaliação!$F$5:$F$304,$C100)),""))</f>
        <v/>
      </c>
      <c r="E100" s="19" t="n"/>
      <c r="F100" s="15">
        <f>IF(OR($D100="",$E100=""),"",$E100-$D100)</f>
        <v/>
      </c>
      <c r="G100" s="19" t="n"/>
      <c r="H100" s="19" t="n"/>
      <c r="I100" s="19" t="n"/>
      <c r="J100" s="19" t="n"/>
      <c r="K100" s="18" t="n"/>
      <c r="L100" s="18" t="n"/>
      <c r="M100" s="19" t="n"/>
      <c r="N100" s="19" t="n"/>
      <c r="O100" s="15">
        <f>IF(OR($B100="",$B100&lt;&gt;'Pauta 1a1'!$B$4,$A100&lt;&gt;'Pauta 1a1'!$B$5),"",COUNTIFS($B$5:$B100,'Pauta 1a1'!$B$4,$A$5:$A100,'Pauta 1a1'!$B$5))</f>
        <v/>
      </c>
    </row>
    <row r="101">
      <c r="A101" s="19" t="n"/>
      <c r="B101" s="19" t="n"/>
      <c r="C101" s="19" t="n"/>
      <c r="D101" s="15">
        <f>IF($B101="","",IFERROR(IF(SUMPRODUCT((Avaliação!$C$5:$C$304=$B101)*(Avaliação!$A$5:$A$304=$A101)*(Avaliação!$F$5:$F$304=$C101)*ISNUMBER(Avaliação!$M$5:$M$304))=0,"",SUMIFS(Avaliação!$M$5:$M$304,Avaliação!$C$5:$C$304,$B101,Avaliação!$A$5:$A$304,$A101,Avaliação!$F$5:$F$304,$C101)),""))</f>
        <v/>
      </c>
      <c r="E101" s="19" t="n"/>
      <c r="F101" s="15">
        <f>IF(OR($D101="",$E101=""),"",$E101-$D101)</f>
        <v/>
      </c>
      <c r="G101" s="19" t="n"/>
      <c r="H101" s="19" t="n"/>
      <c r="I101" s="19" t="n"/>
      <c r="J101" s="19" t="n"/>
      <c r="K101" s="18" t="n"/>
      <c r="L101" s="18" t="n"/>
      <c r="M101" s="19" t="n"/>
      <c r="N101" s="19" t="n"/>
      <c r="O101" s="15">
        <f>IF(OR($B101="",$B101&lt;&gt;'Pauta 1a1'!$B$4,$A101&lt;&gt;'Pauta 1a1'!$B$5),"",COUNTIFS($B$5:$B101,'Pauta 1a1'!$B$4,$A$5:$A101,'Pauta 1a1'!$B$5))</f>
        <v/>
      </c>
    </row>
    <row r="102">
      <c r="A102" s="19" t="n"/>
      <c r="B102" s="19" t="n"/>
      <c r="C102" s="19" t="n"/>
      <c r="D102" s="15">
        <f>IF($B102="","",IFERROR(IF(SUMPRODUCT((Avaliação!$C$5:$C$304=$B102)*(Avaliação!$A$5:$A$304=$A102)*(Avaliação!$F$5:$F$304=$C102)*ISNUMBER(Avaliação!$M$5:$M$304))=0,"",SUMIFS(Avaliação!$M$5:$M$304,Avaliação!$C$5:$C$304,$B102,Avaliação!$A$5:$A$304,$A102,Avaliação!$F$5:$F$304,$C102)),""))</f>
        <v/>
      </c>
      <c r="E102" s="19" t="n"/>
      <c r="F102" s="15">
        <f>IF(OR($D102="",$E102=""),"",$E102-$D102)</f>
        <v/>
      </c>
      <c r="G102" s="19" t="n"/>
      <c r="H102" s="19" t="n"/>
      <c r="I102" s="19" t="n"/>
      <c r="J102" s="19" t="n"/>
      <c r="K102" s="18" t="n"/>
      <c r="L102" s="18" t="n"/>
      <c r="M102" s="19" t="n"/>
      <c r="N102" s="19" t="n"/>
      <c r="O102" s="15">
        <f>IF(OR($B102="",$B102&lt;&gt;'Pauta 1a1'!$B$4,$A102&lt;&gt;'Pauta 1a1'!$B$5),"",COUNTIFS($B$5:$B102,'Pauta 1a1'!$B$4,$A$5:$A102,'Pauta 1a1'!$B$5))</f>
        <v/>
      </c>
    </row>
    <row r="103">
      <c r="A103" s="19" t="n"/>
      <c r="B103" s="19" t="n"/>
      <c r="C103" s="19" t="n"/>
      <c r="D103" s="15">
        <f>IF($B103="","",IFERROR(IF(SUMPRODUCT((Avaliação!$C$5:$C$304=$B103)*(Avaliação!$A$5:$A$304=$A103)*(Avaliação!$F$5:$F$304=$C103)*ISNUMBER(Avaliação!$M$5:$M$304))=0,"",SUMIFS(Avaliação!$M$5:$M$304,Avaliação!$C$5:$C$304,$B103,Avaliação!$A$5:$A$304,$A103,Avaliação!$F$5:$F$304,$C103)),""))</f>
        <v/>
      </c>
      <c r="E103" s="19" t="n"/>
      <c r="F103" s="15">
        <f>IF(OR($D103="",$E103=""),"",$E103-$D103)</f>
        <v/>
      </c>
      <c r="G103" s="19" t="n"/>
      <c r="H103" s="19" t="n"/>
      <c r="I103" s="19" t="n"/>
      <c r="J103" s="19" t="n"/>
      <c r="K103" s="18" t="n"/>
      <c r="L103" s="18" t="n"/>
      <c r="M103" s="19" t="n"/>
      <c r="N103" s="19" t="n"/>
      <c r="O103" s="15">
        <f>IF(OR($B103="",$B103&lt;&gt;'Pauta 1a1'!$B$4,$A103&lt;&gt;'Pauta 1a1'!$B$5),"",COUNTIFS($B$5:$B103,'Pauta 1a1'!$B$4,$A$5:$A103,'Pauta 1a1'!$B$5))</f>
        <v/>
      </c>
    </row>
    <row r="104">
      <c r="A104" s="19" t="n"/>
      <c r="B104" s="19" t="n"/>
      <c r="C104" s="19" t="n"/>
      <c r="D104" s="15">
        <f>IF($B104="","",IFERROR(IF(SUMPRODUCT((Avaliação!$C$5:$C$304=$B104)*(Avaliação!$A$5:$A$304=$A104)*(Avaliação!$F$5:$F$304=$C104)*ISNUMBER(Avaliação!$M$5:$M$304))=0,"",SUMIFS(Avaliação!$M$5:$M$304,Avaliação!$C$5:$C$304,$B104,Avaliação!$A$5:$A$304,$A104,Avaliação!$F$5:$F$304,$C104)),""))</f>
        <v/>
      </c>
      <c r="E104" s="19" t="n"/>
      <c r="F104" s="15">
        <f>IF(OR($D104="",$E104=""),"",$E104-$D104)</f>
        <v/>
      </c>
      <c r="G104" s="19" t="n"/>
      <c r="H104" s="19" t="n"/>
      <c r="I104" s="19" t="n"/>
      <c r="J104" s="19" t="n"/>
      <c r="K104" s="18" t="n"/>
      <c r="L104" s="18" t="n"/>
      <c r="M104" s="19" t="n"/>
      <c r="N104" s="19" t="n"/>
      <c r="O104" s="15">
        <f>IF(OR($B104="",$B104&lt;&gt;'Pauta 1a1'!$B$4,$A104&lt;&gt;'Pauta 1a1'!$B$5),"",COUNTIFS($B$5:$B104,'Pauta 1a1'!$B$4,$A$5:$A104,'Pauta 1a1'!$B$5))</f>
        <v/>
      </c>
    </row>
    <row r="105">
      <c r="A105" s="19" t="n"/>
      <c r="B105" s="19" t="n"/>
      <c r="C105" s="19" t="n"/>
      <c r="D105" s="15">
        <f>IF($B105="","",IFERROR(IF(SUMPRODUCT((Avaliação!$C$5:$C$304=$B105)*(Avaliação!$A$5:$A$304=$A105)*(Avaliação!$F$5:$F$304=$C105)*ISNUMBER(Avaliação!$M$5:$M$304))=0,"",SUMIFS(Avaliação!$M$5:$M$304,Avaliação!$C$5:$C$304,$B105,Avaliação!$A$5:$A$304,$A105,Avaliação!$F$5:$F$304,$C105)),""))</f>
        <v/>
      </c>
      <c r="E105" s="19" t="n"/>
      <c r="F105" s="15">
        <f>IF(OR($D105="",$E105=""),"",$E105-$D105)</f>
        <v/>
      </c>
      <c r="G105" s="19" t="n"/>
      <c r="H105" s="19" t="n"/>
      <c r="I105" s="19" t="n"/>
      <c r="J105" s="19" t="n"/>
      <c r="K105" s="18" t="n"/>
      <c r="L105" s="18" t="n"/>
      <c r="M105" s="19" t="n"/>
      <c r="N105" s="19" t="n"/>
      <c r="O105" s="15">
        <f>IF(OR($B105="",$B105&lt;&gt;'Pauta 1a1'!$B$4,$A105&lt;&gt;'Pauta 1a1'!$B$5),"",COUNTIFS($B$5:$B105,'Pauta 1a1'!$B$4,$A$5:$A105,'Pauta 1a1'!$B$5))</f>
        <v/>
      </c>
    </row>
    <row r="106">
      <c r="A106" s="19" t="n"/>
      <c r="B106" s="19" t="n"/>
      <c r="C106" s="19" t="n"/>
      <c r="D106" s="15">
        <f>IF($B106="","",IFERROR(IF(SUMPRODUCT((Avaliação!$C$5:$C$304=$B106)*(Avaliação!$A$5:$A$304=$A106)*(Avaliação!$F$5:$F$304=$C106)*ISNUMBER(Avaliação!$M$5:$M$304))=0,"",SUMIFS(Avaliação!$M$5:$M$304,Avaliação!$C$5:$C$304,$B106,Avaliação!$A$5:$A$304,$A106,Avaliação!$F$5:$F$304,$C106)),""))</f>
        <v/>
      </c>
      <c r="E106" s="19" t="n"/>
      <c r="F106" s="15">
        <f>IF(OR($D106="",$E106=""),"",$E106-$D106)</f>
        <v/>
      </c>
      <c r="G106" s="19" t="n"/>
      <c r="H106" s="19" t="n"/>
      <c r="I106" s="19" t="n"/>
      <c r="J106" s="19" t="n"/>
      <c r="K106" s="18" t="n"/>
      <c r="L106" s="18" t="n"/>
      <c r="M106" s="19" t="n"/>
      <c r="N106" s="19" t="n"/>
      <c r="O106" s="15">
        <f>IF(OR($B106="",$B106&lt;&gt;'Pauta 1a1'!$B$4,$A106&lt;&gt;'Pauta 1a1'!$B$5),"",COUNTIFS($B$5:$B106,'Pauta 1a1'!$B$4,$A$5:$A106,'Pauta 1a1'!$B$5))</f>
        <v/>
      </c>
    </row>
    <row r="107">
      <c r="A107" s="19" t="n"/>
      <c r="B107" s="19" t="n"/>
      <c r="C107" s="19" t="n"/>
      <c r="D107" s="15">
        <f>IF($B107="","",IFERROR(IF(SUMPRODUCT((Avaliação!$C$5:$C$304=$B107)*(Avaliação!$A$5:$A$304=$A107)*(Avaliação!$F$5:$F$304=$C107)*ISNUMBER(Avaliação!$M$5:$M$304))=0,"",SUMIFS(Avaliação!$M$5:$M$304,Avaliação!$C$5:$C$304,$B107,Avaliação!$A$5:$A$304,$A107,Avaliação!$F$5:$F$304,$C107)),""))</f>
        <v/>
      </c>
      <c r="E107" s="19" t="n"/>
      <c r="F107" s="15">
        <f>IF(OR($D107="",$E107=""),"",$E107-$D107)</f>
        <v/>
      </c>
      <c r="G107" s="19" t="n"/>
      <c r="H107" s="19" t="n"/>
      <c r="I107" s="19" t="n"/>
      <c r="J107" s="19" t="n"/>
      <c r="K107" s="18" t="n"/>
      <c r="L107" s="18" t="n"/>
      <c r="M107" s="19" t="n"/>
      <c r="N107" s="19" t="n"/>
      <c r="O107" s="15">
        <f>IF(OR($B107="",$B107&lt;&gt;'Pauta 1a1'!$B$4,$A107&lt;&gt;'Pauta 1a1'!$B$5),"",COUNTIFS($B$5:$B107,'Pauta 1a1'!$B$4,$A$5:$A107,'Pauta 1a1'!$B$5))</f>
        <v/>
      </c>
    </row>
    <row r="108">
      <c r="A108" s="19" t="n"/>
      <c r="B108" s="19" t="n"/>
      <c r="C108" s="19" t="n"/>
      <c r="D108" s="15">
        <f>IF($B108="","",IFERROR(IF(SUMPRODUCT((Avaliação!$C$5:$C$304=$B108)*(Avaliação!$A$5:$A$304=$A108)*(Avaliação!$F$5:$F$304=$C108)*ISNUMBER(Avaliação!$M$5:$M$304))=0,"",SUMIFS(Avaliação!$M$5:$M$304,Avaliação!$C$5:$C$304,$B108,Avaliação!$A$5:$A$304,$A108,Avaliação!$F$5:$F$304,$C108)),""))</f>
        <v/>
      </c>
      <c r="E108" s="19" t="n"/>
      <c r="F108" s="15">
        <f>IF(OR($D108="",$E108=""),"",$E108-$D108)</f>
        <v/>
      </c>
      <c r="G108" s="19" t="n"/>
      <c r="H108" s="19" t="n"/>
      <c r="I108" s="19" t="n"/>
      <c r="J108" s="19" t="n"/>
      <c r="K108" s="18" t="n"/>
      <c r="L108" s="18" t="n"/>
      <c r="M108" s="19" t="n"/>
      <c r="N108" s="19" t="n"/>
      <c r="O108" s="15">
        <f>IF(OR($B108="",$B108&lt;&gt;'Pauta 1a1'!$B$4,$A108&lt;&gt;'Pauta 1a1'!$B$5),"",COUNTIFS($B$5:$B108,'Pauta 1a1'!$B$4,$A$5:$A108,'Pauta 1a1'!$B$5))</f>
        <v/>
      </c>
    </row>
    <row r="109">
      <c r="A109" s="19" t="n"/>
      <c r="B109" s="19" t="n"/>
      <c r="C109" s="19" t="n"/>
      <c r="D109" s="15">
        <f>IF($B109="","",IFERROR(IF(SUMPRODUCT((Avaliação!$C$5:$C$304=$B109)*(Avaliação!$A$5:$A$304=$A109)*(Avaliação!$F$5:$F$304=$C109)*ISNUMBER(Avaliação!$M$5:$M$304))=0,"",SUMIFS(Avaliação!$M$5:$M$304,Avaliação!$C$5:$C$304,$B109,Avaliação!$A$5:$A$304,$A109,Avaliação!$F$5:$F$304,$C109)),""))</f>
        <v/>
      </c>
      <c r="E109" s="19" t="n"/>
      <c r="F109" s="15">
        <f>IF(OR($D109="",$E109=""),"",$E109-$D109)</f>
        <v/>
      </c>
      <c r="G109" s="19" t="n"/>
      <c r="H109" s="19" t="n"/>
      <c r="I109" s="19" t="n"/>
      <c r="J109" s="19" t="n"/>
      <c r="K109" s="18" t="n"/>
      <c r="L109" s="18" t="n"/>
      <c r="M109" s="19" t="n"/>
      <c r="N109" s="19" t="n"/>
      <c r="O109" s="15">
        <f>IF(OR($B109="",$B109&lt;&gt;'Pauta 1a1'!$B$4,$A109&lt;&gt;'Pauta 1a1'!$B$5),"",COUNTIFS($B$5:$B109,'Pauta 1a1'!$B$4,$A$5:$A109,'Pauta 1a1'!$B$5))</f>
        <v/>
      </c>
    </row>
    <row r="110">
      <c r="A110" s="19" t="n"/>
      <c r="B110" s="19" t="n"/>
      <c r="C110" s="19" t="n"/>
      <c r="D110" s="15">
        <f>IF($B110="","",IFERROR(IF(SUMPRODUCT((Avaliação!$C$5:$C$304=$B110)*(Avaliação!$A$5:$A$304=$A110)*(Avaliação!$F$5:$F$304=$C110)*ISNUMBER(Avaliação!$M$5:$M$304))=0,"",SUMIFS(Avaliação!$M$5:$M$304,Avaliação!$C$5:$C$304,$B110,Avaliação!$A$5:$A$304,$A110,Avaliação!$F$5:$F$304,$C110)),""))</f>
        <v/>
      </c>
      <c r="E110" s="19" t="n"/>
      <c r="F110" s="15">
        <f>IF(OR($D110="",$E110=""),"",$E110-$D110)</f>
        <v/>
      </c>
      <c r="G110" s="19" t="n"/>
      <c r="H110" s="19" t="n"/>
      <c r="I110" s="19" t="n"/>
      <c r="J110" s="19" t="n"/>
      <c r="K110" s="18" t="n"/>
      <c r="L110" s="18" t="n"/>
      <c r="M110" s="19" t="n"/>
      <c r="N110" s="19" t="n"/>
      <c r="O110" s="15">
        <f>IF(OR($B110="",$B110&lt;&gt;'Pauta 1a1'!$B$4,$A110&lt;&gt;'Pauta 1a1'!$B$5),"",COUNTIFS($B$5:$B110,'Pauta 1a1'!$B$4,$A$5:$A110,'Pauta 1a1'!$B$5))</f>
        <v/>
      </c>
    </row>
    <row r="111">
      <c r="A111" s="19" t="n"/>
      <c r="B111" s="19" t="n"/>
      <c r="C111" s="19" t="n"/>
      <c r="D111" s="15">
        <f>IF($B111="","",IFERROR(IF(SUMPRODUCT((Avaliação!$C$5:$C$304=$B111)*(Avaliação!$A$5:$A$304=$A111)*(Avaliação!$F$5:$F$304=$C111)*ISNUMBER(Avaliação!$M$5:$M$304))=0,"",SUMIFS(Avaliação!$M$5:$M$304,Avaliação!$C$5:$C$304,$B111,Avaliação!$A$5:$A$304,$A111,Avaliação!$F$5:$F$304,$C111)),""))</f>
        <v/>
      </c>
      <c r="E111" s="19" t="n"/>
      <c r="F111" s="15">
        <f>IF(OR($D111="",$E111=""),"",$E111-$D111)</f>
        <v/>
      </c>
      <c r="G111" s="19" t="n"/>
      <c r="H111" s="19" t="n"/>
      <c r="I111" s="19" t="n"/>
      <c r="J111" s="19" t="n"/>
      <c r="K111" s="18" t="n"/>
      <c r="L111" s="18" t="n"/>
      <c r="M111" s="19" t="n"/>
      <c r="N111" s="19" t="n"/>
      <c r="O111" s="15">
        <f>IF(OR($B111="",$B111&lt;&gt;'Pauta 1a1'!$B$4,$A111&lt;&gt;'Pauta 1a1'!$B$5),"",COUNTIFS($B$5:$B111,'Pauta 1a1'!$B$4,$A$5:$A111,'Pauta 1a1'!$B$5))</f>
        <v/>
      </c>
    </row>
    <row r="112">
      <c r="A112" s="19" t="n"/>
      <c r="B112" s="19" t="n"/>
      <c r="C112" s="19" t="n"/>
      <c r="D112" s="15">
        <f>IF($B112="","",IFERROR(IF(SUMPRODUCT((Avaliação!$C$5:$C$304=$B112)*(Avaliação!$A$5:$A$304=$A112)*(Avaliação!$F$5:$F$304=$C112)*ISNUMBER(Avaliação!$M$5:$M$304))=0,"",SUMIFS(Avaliação!$M$5:$M$304,Avaliação!$C$5:$C$304,$B112,Avaliação!$A$5:$A$304,$A112,Avaliação!$F$5:$F$304,$C112)),""))</f>
        <v/>
      </c>
      <c r="E112" s="19" t="n"/>
      <c r="F112" s="15">
        <f>IF(OR($D112="",$E112=""),"",$E112-$D112)</f>
        <v/>
      </c>
      <c r="G112" s="19" t="n"/>
      <c r="H112" s="19" t="n"/>
      <c r="I112" s="19" t="n"/>
      <c r="J112" s="19" t="n"/>
      <c r="K112" s="18" t="n"/>
      <c r="L112" s="18" t="n"/>
      <c r="M112" s="19" t="n"/>
      <c r="N112" s="19" t="n"/>
      <c r="O112" s="15">
        <f>IF(OR($B112="",$B112&lt;&gt;'Pauta 1a1'!$B$4,$A112&lt;&gt;'Pauta 1a1'!$B$5),"",COUNTIFS($B$5:$B112,'Pauta 1a1'!$B$4,$A$5:$A112,'Pauta 1a1'!$B$5))</f>
        <v/>
      </c>
    </row>
    <row r="113">
      <c r="A113" s="19" t="n"/>
      <c r="B113" s="19" t="n"/>
      <c r="C113" s="19" t="n"/>
      <c r="D113" s="15">
        <f>IF($B113="","",IFERROR(IF(SUMPRODUCT((Avaliação!$C$5:$C$304=$B113)*(Avaliação!$A$5:$A$304=$A113)*(Avaliação!$F$5:$F$304=$C113)*ISNUMBER(Avaliação!$M$5:$M$304))=0,"",SUMIFS(Avaliação!$M$5:$M$304,Avaliação!$C$5:$C$304,$B113,Avaliação!$A$5:$A$304,$A113,Avaliação!$F$5:$F$304,$C113)),""))</f>
        <v/>
      </c>
      <c r="E113" s="19" t="n"/>
      <c r="F113" s="15">
        <f>IF(OR($D113="",$E113=""),"",$E113-$D113)</f>
        <v/>
      </c>
      <c r="G113" s="19" t="n"/>
      <c r="H113" s="19" t="n"/>
      <c r="I113" s="19" t="n"/>
      <c r="J113" s="19" t="n"/>
      <c r="K113" s="18" t="n"/>
      <c r="L113" s="18" t="n"/>
      <c r="M113" s="19" t="n"/>
      <c r="N113" s="19" t="n"/>
      <c r="O113" s="15">
        <f>IF(OR($B113="",$B113&lt;&gt;'Pauta 1a1'!$B$4,$A113&lt;&gt;'Pauta 1a1'!$B$5),"",COUNTIFS($B$5:$B113,'Pauta 1a1'!$B$4,$A$5:$A113,'Pauta 1a1'!$B$5))</f>
        <v/>
      </c>
    </row>
    <row r="114">
      <c r="A114" s="19" t="n"/>
      <c r="B114" s="19" t="n"/>
      <c r="C114" s="19" t="n"/>
      <c r="D114" s="15">
        <f>IF($B114="","",IFERROR(IF(SUMPRODUCT((Avaliação!$C$5:$C$304=$B114)*(Avaliação!$A$5:$A$304=$A114)*(Avaliação!$F$5:$F$304=$C114)*ISNUMBER(Avaliação!$M$5:$M$304))=0,"",SUMIFS(Avaliação!$M$5:$M$304,Avaliação!$C$5:$C$304,$B114,Avaliação!$A$5:$A$304,$A114,Avaliação!$F$5:$F$304,$C114)),""))</f>
        <v/>
      </c>
      <c r="E114" s="19" t="n"/>
      <c r="F114" s="15">
        <f>IF(OR($D114="",$E114=""),"",$E114-$D114)</f>
        <v/>
      </c>
      <c r="G114" s="19" t="n"/>
      <c r="H114" s="19" t="n"/>
      <c r="I114" s="19" t="n"/>
      <c r="J114" s="19" t="n"/>
      <c r="K114" s="18" t="n"/>
      <c r="L114" s="18" t="n"/>
      <c r="M114" s="19" t="n"/>
      <c r="N114" s="19" t="n"/>
      <c r="O114" s="15">
        <f>IF(OR($B114="",$B114&lt;&gt;'Pauta 1a1'!$B$4,$A114&lt;&gt;'Pauta 1a1'!$B$5),"",COUNTIFS($B$5:$B114,'Pauta 1a1'!$B$4,$A$5:$A114,'Pauta 1a1'!$B$5))</f>
        <v/>
      </c>
    </row>
    <row r="115">
      <c r="A115" s="19" t="n"/>
      <c r="B115" s="19" t="n"/>
      <c r="C115" s="19" t="n"/>
      <c r="D115" s="15">
        <f>IF($B115="","",IFERROR(IF(SUMPRODUCT((Avaliação!$C$5:$C$304=$B115)*(Avaliação!$A$5:$A$304=$A115)*(Avaliação!$F$5:$F$304=$C115)*ISNUMBER(Avaliação!$M$5:$M$304))=0,"",SUMIFS(Avaliação!$M$5:$M$304,Avaliação!$C$5:$C$304,$B115,Avaliação!$A$5:$A$304,$A115,Avaliação!$F$5:$F$304,$C115)),""))</f>
        <v/>
      </c>
      <c r="E115" s="19" t="n"/>
      <c r="F115" s="15">
        <f>IF(OR($D115="",$E115=""),"",$E115-$D115)</f>
        <v/>
      </c>
      <c r="G115" s="19" t="n"/>
      <c r="H115" s="19" t="n"/>
      <c r="I115" s="19" t="n"/>
      <c r="J115" s="19" t="n"/>
      <c r="K115" s="18" t="n"/>
      <c r="L115" s="18" t="n"/>
      <c r="M115" s="19" t="n"/>
      <c r="N115" s="19" t="n"/>
      <c r="O115" s="15">
        <f>IF(OR($B115="",$B115&lt;&gt;'Pauta 1a1'!$B$4,$A115&lt;&gt;'Pauta 1a1'!$B$5),"",COUNTIFS($B$5:$B115,'Pauta 1a1'!$B$4,$A$5:$A115,'Pauta 1a1'!$B$5))</f>
        <v/>
      </c>
    </row>
    <row r="116">
      <c r="A116" s="19" t="n"/>
      <c r="B116" s="19" t="n"/>
      <c r="C116" s="19" t="n"/>
      <c r="D116" s="15">
        <f>IF($B116="","",IFERROR(IF(SUMPRODUCT((Avaliação!$C$5:$C$304=$B116)*(Avaliação!$A$5:$A$304=$A116)*(Avaliação!$F$5:$F$304=$C116)*ISNUMBER(Avaliação!$M$5:$M$304))=0,"",SUMIFS(Avaliação!$M$5:$M$304,Avaliação!$C$5:$C$304,$B116,Avaliação!$A$5:$A$304,$A116,Avaliação!$F$5:$F$304,$C116)),""))</f>
        <v/>
      </c>
      <c r="E116" s="19" t="n"/>
      <c r="F116" s="15">
        <f>IF(OR($D116="",$E116=""),"",$E116-$D116)</f>
        <v/>
      </c>
      <c r="G116" s="19" t="n"/>
      <c r="H116" s="19" t="n"/>
      <c r="I116" s="19" t="n"/>
      <c r="J116" s="19" t="n"/>
      <c r="K116" s="18" t="n"/>
      <c r="L116" s="18" t="n"/>
      <c r="M116" s="19" t="n"/>
      <c r="N116" s="19" t="n"/>
      <c r="O116" s="15">
        <f>IF(OR($B116="",$B116&lt;&gt;'Pauta 1a1'!$B$4,$A116&lt;&gt;'Pauta 1a1'!$B$5),"",COUNTIFS($B$5:$B116,'Pauta 1a1'!$B$4,$A$5:$A116,'Pauta 1a1'!$B$5))</f>
        <v/>
      </c>
    </row>
    <row r="117">
      <c r="A117" s="19" t="n"/>
      <c r="B117" s="19" t="n"/>
      <c r="C117" s="19" t="n"/>
      <c r="D117" s="15">
        <f>IF($B117="","",IFERROR(IF(SUMPRODUCT((Avaliação!$C$5:$C$304=$B117)*(Avaliação!$A$5:$A$304=$A117)*(Avaliação!$F$5:$F$304=$C117)*ISNUMBER(Avaliação!$M$5:$M$304))=0,"",SUMIFS(Avaliação!$M$5:$M$304,Avaliação!$C$5:$C$304,$B117,Avaliação!$A$5:$A$304,$A117,Avaliação!$F$5:$F$304,$C117)),""))</f>
        <v/>
      </c>
      <c r="E117" s="19" t="n"/>
      <c r="F117" s="15">
        <f>IF(OR($D117="",$E117=""),"",$E117-$D117)</f>
        <v/>
      </c>
      <c r="G117" s="19" t="n"/>
      <c r="H117" s="19" t="n"/>
      <c r="I117" s="19" t="n"/>
      <c r="J117" s="19" t="n"/>
      <c r="K117" s="18" t="n"/>
      <c r="L117" s="18" t="n"/>
      <c r="M117" s="19" t="n"/>
      <c r="N117" s="19" t="n"/>
      <c r="O117" s="15">
        <f>IF(OR($B117="",$B117&lt;&gt;'Pauta 1a1'!$B$4,$A117&lt;&gt;'Pauta 1a1'!$B$5),"",COUNTIFS($B$5:$B117,'Pauta 1a1'!$B$4,$A$5:$A117,'Pauta 1a1'!$B$5))</f>
        <v/>
      </c>
    </row>
    <row r="118">
      <c r="A118" s="19" t="n"/>
      <c r="B118" s="19" t="n"/>
      <c r="C118" s="19" t="n"/>
      <c r="D118" s="15">
        <f>IF($B118="","",IFERROR(IF(SUMPRODUCT((Avaliação!$C$5:$C$304=$B118)*(Avaliação!$A$5:$A$304=$A118)*(Avaliação!$F$5:$F$304=$C118)*ISNUMBER(Avaliação!$M$5:$M$304))=0,"",SUMIFS(Avaliação!$M$5:$M$304,Avaliação!$C$5:$C$304,$B118,Avaliação!$A$5:$A$304,$A118,Avaliação!$F$5:$F$304,$C118)),""))</f>
        <v/>
      </c>
      <c r="E118" s="19" t="n"/>
      <c r="F118" s="15">
        <f>IF(OR($D118="",$E118=""),"",$E118-$D118)</f>
        <v/>
      </c>
      <c r="G118" s="19" t="n"/>
      <c r="H118" s="19" t="n"/>
      <c r="I118" s="19" t="n"/>
      <c r="J118" s="19" t="n"/>
      <c r="K118" s="18" t="n"/>
      <c r="L118" s="18" t="n"/>
      <c r="M118" s="19" t="n"/>
      <c r="N118" s="19" t="n"/>
      <c r="O118" s="15">
        <f>IF(OR($B118="",$B118&lt;&gt;'Pauta 1a1'!$B$4,$A118&lt;&gt;'Pauta 1a1'!$B$5),"",COUNTIFS($B$5:$B118,'Pauta 1a1'!$B$4,$A$5:$A118,'Pauta 1a1'!$B$5))</f>
        <v/>
      </c>
    </row>
    <row r="119">
      <c r="A119" s="19" t="n"/>
      <c r="B119" s="19" t="n"/>
      <c r="C119" s="19" t="n"/>
      <c r="D119" s="15">
        <f>IF($B119="","",IFERROR(IF(SUMPRODUCT((Avaliação!$C$5:$C$304=$B119)*(Avaliação!$A$5:$A$304=$A119)*(Avaliação!$F$5:$F$304=$C119)*ISNUMBER(Avaliação!$M$5:$M$304))=0,"",SUMIFS(Avaliação!$M$5:$M$304,Avaliação!$C$5:$C$304,$B119,Avaliação!$A$5:$A$304,$A119,Avaliação!$F$5:$F$304,$C119)),""))</f>
        <v/>
      </c>
      <c r="E119" s="19" t="n"/>
      <c r="F119" s="15">
        <f>IF(OR($D119="",$E119=""),"",$E119-$D119)</f>
        <v/>
      </c>
      <c r="G119" s="19" t="n"/>
      <c r="H119" s="19" t="n"/>
      <c r="I119" s="19" t="n"/>
      <c r="J119" s="19" t="n"/>
      <c r="K119" s="18" t="n"/>
      <c r="L119" s="18" t="n"/>
      <c r="M119" s="19" t="n"/>
      <c r="N119" s="19" t="n"/>
      <c r="O119" s="15">
        <f>IF(OR($B119="",$B119&lt;&gt;'Pauta 1a1'!$B$4,$A119&lt;&gt;'Pauta 1a1'!$B$5),"",COUNTIFS($B$5:$B119,'Pauta 1a1'!$B$4,$A$5:$A119,'Pauta 1a1'!$B$5))</f>
        <v/>
      </c>
    </row>
    <row r="120">
      <c r="A120" s="19" t="n"/>
      <c r="B120" s="19" t="n"/>
      <c r="C120" s="19" t="n"/>
      <c r="D120" s="15">
        <f>IF($B120="","",IFERROR(IF(SUMPRODUCT((Avaliação!$C$5:$C$304=$B120)*(Avaliação!$A$5:$A$304=$A120)*(Avaliação!$F$5:$F$304=$C120)*ISNUMBER(Avaliação!$M$5:$M$304))=0,"",SUMIFS(Avaliação!$M$5:$M$304,Avaliação!$C$5:$C$304,$B120,Avaliação!$A$5:$A$304,$A120,Avaliação!$F$5:$F$304,$C120)),""))</f>
        <v/>
      </c>
      <c r="E120" s="19" t="n"/>
      <c r="F120" s="15">
        <f>IF(OR($D120="",$E120=""),"",$E120-$D120)</f>
        <v/>
      </c>
      <c r="G120" s="19" t="n"/>
      <c r="H120" s="19" t="n"/>
      <c r="I120" s="19" t="n"/>
      <c r="J120" s="19" t="n"/>
      <c r="K120" s="18" t="n"/>
      <c r="L120" s="18" t="n"/>
      <c r="M120" s="19" t="n"/>
      <c r="N120" s="19" t="n"/>
      <c r="O120" s="15">
        <f>IF(OR($B120="",$B120&lt;&gt;'Pauta 1a1'!$B$4,$A120&lt;&gt;'Pauta 1a1'!$B$5),"",COUNTIFS($B$5:$B120,'Pauta 1a1'!$B$4,$A$5:$A120,'Pauta 1a1'!$B$5))</f>
        <v/>
      </c>
    </row>
    <row r="121">
      <c r="A121" s="19" t="n"/>
      <c r="B121" s="19" t="n"/>
      <c r="C121" s="19" t="n"/>
      <c r="D121" s="15">
        <f>IF($B121="","",IFERROR(IF(SUMPRODUCT((Avaliação!$C$5:$C$304=$B121)*(Avaliação!$A$5:$A$304=$A121)*(Avaliação!$F$5:$F$304=$C121)*ISNUMBER(Avaliação!$M$5:$M$304))=0,"",SUMIFS(Avaliação!$M$5:$M$304,Avaliação!$C$5:$C$304,$B121,Avaliação!$A$5:$A$304,$A121,Avaliação!$F$5:$F$304,$C121)),""))</f>
        <v/>
      </c>
      <c r="E121" s="19" t="n"/>
      <c r="F121" s="15">
        <f>IF(OR($D121="",$E121=""),"",$E121-$D121)</f>
        <v/>
      </c>
      <c r="G121" s="19" t="n"/>
      <c r="H121" s="19" t="n"/>
      <c r="I121" s="19" t="n"/>
      <c r="J121" s="19" t="n"/>
      <c r="K121" s="18" t="n"/>
      <c r="L121" s="18" t="n"/>
      <c r="M121" s="19" t="n"/>
      <c r="N121" s="19" t="n"/>
      <c r="O121" s="15">
        <f>IF(OR($B121="",$B121&lt;&gt;'Pauta 1a1'!$B$4,$A121&lt;&gt;'Pauta 1a1'!$B$5),"",COUNTIFS($B$5:$B121,'Pauta 1a1'!$B$4,$A$5:$A121,'Pauta 1a1'!$B$5))</f>
        <v/>
      </c>
    </row>
    <row r="122">
      <c r="A122" s="19" t="n"/>
      <c r="B122" s="19" t="n"/>
      <c r="C122" s="19" t="n"/>
      <c r="D122" s="15">
        <f>IF($B122="","",IFERROR(IF(SUMPRODUCT((Avaliação!$C$5:$C$304=$B122)*(Avaliação!$A$5:$A$304=$A122)*(Avaliação!$F$5:$F$304=$C122)*ISNUMBER(Avaliação!$M$5:$M$304))=0,"",SUMIFS(Avaliação!$M$5:$M$304,Avaliação!$C$5:$C$304,$B122,Avaliação!$A$5:$A$304,$A122,Avaliação!$F$5:$F$304,$C122)),""))</f>
        <v/>
      </c>
      <c r="E122" s="19" t="n"/>
      <c r="F122" s="15">
        <f>IF(OR($D122="",$E122=""),"",$E122-$D122)</f>
        <v/>
      </c>
      <c r="G122" s="19" t="n"/>
      <c r="H122" s="19" t="n"/>
      <c r="I122" s="19" t="n"/>
      <c r="J122" s="19" t="n"/>
      <c r="K122" s="18" t="n"/>
      <c r="L122" s="18" t="n"/>
      <c r="M122" s="19" t="n"/>
      <c r="N122" s="19" t="n"/>
      <c r="O122" s="15">
        <f>IF(OR($B122="",$B122&lt;&gt;'Pauta 1a1'!$B$4,$A122&lt;&gt;'Pauta 1a1'!$B$5),"",COUNTIFS($B$5:$B122,'Pauta 1a1'!$B$4,$A$5:$A122,'Pauta 1a1'!$B$5))</f>
        <v/>
      </c>
    </row>
    <row r="123">
      <c r="A123" s="19" t="n"/>
      <c r="B123" s="19" t="n"/>
      <c r="C123" s="19" t="n"/>
      <c r="D123" s="15">
        <f>IF($B123="","",IFERROR(IF(SUMPRODUCT((Avaliação!$C$5:$C$304=$B123)*(Avaliação!$A$5:$A$304=$A123)*(Avaliação!$F$5:$F$304=$C123)*ISNUMBER(Avaliação!$M$5:$M$304))=0,"",SUMIFS(Avaliação!$M$5:$M$304,Avaliação!$C$5:$C$304,$B123,Avaliação!$A$5:$A$304,$A123,Avaliação!$F$5:$F$304,$C123)),""))</f>
        <v/>
      </c>
      <c r="E123" s="19" t="n"/>
      <c r="F123" s="15">
        <f>IF(OR($D123="",$E123=""),"",$E123-$D123)</f>
        <v/>
      </c>
      <c r="G123" s="19" t="n"/>
      <c r="H123" s="19" t="n"/>
      <c r="I123" s="19" t="n"/>
      <c r="J123" s="19" t="n"/>
      <c r="K123" s="18" t="n"/>
      <c r="L123" s="18" t="n"/>
      <c r="M123" s="19" t="n"/>
      <c r="N123" s="19" t="n"/>
      <c r="O123" s="15">
        <f>IF(OR($B123="",$B123&lt;&gt;'Pauta 1a1'!$B$4,$A123&lt;&gt;'Pauta 1a1'!$B$5),"",COUNTIFS($B$5:$B123,'Pauta 1a1'!$B$4,$A$5:$A123,'Pauta 1a1'!$B$5))</f>
        <v/>
      </c>
    </row>
    <row r="124">
      <c r="A124" s="19" t="n"/>
      <c r="B124" s="19" t="n"/>
      <c r="C124" s="19" t="n"/>
      <c r="D124" s="15">
        <f>IF($B124="","",IFERROR(IF(SUMPRODUCT((Avaliação!$C$5:$C$304=$B124)*(Avaliação!$A$5:$A$304=$A124)*(Avaliação!$F$5:$F$304=$C124)*ISNUMBER(Avaliação!$M$5:$M$304))=0,"",SUMIFS(Avaliação!$M$5:$M$304,Avaliação!$C$5:$C$304,$B124,Avaliação!$A$5:$A$304,$A124,Avaliação!$F$5:$F$304,$C124)),""))</f>
        <v/>
      </c>
      <c r="E124" s="19" t="n"/>
      <c r="F124" s="15">
        <f>IF(OR($D124="",$E124=""),"",$E124-$D124)</f>
        <v/>
      </c>
      <c r="G124" s="19" t="n"/>
      <c r="H124" s="19" t="n"/>
      <c r="I124" s="19" t="n"/>
      <c r="J124" s="19" t="n"/>
      <c r="K124" s="18" t="n"/>
      <c r="L124" s="18" t="n"/>
      <c r="M124" s="19" t="n"/>
      <c r="N124" s="19" t="n"/>
      <c r="O124" s="15">
        <f>IF(OR($B124="",$B124&lt;&gt;'Pauta 1a1'!$B$4,$A124&lt;&gt;'Pauta 1a1'!$B$5),"",COUNTIFS($B$5:$B124,'Pauta 1a1'!$B$4,$A$5:$A124,'Pauta 1a1'!$B$5))</f>
        <v/>
      </c>
    </row>
    <row r="125">
      <c r="A125" s="19" t="n"/>
      <c r="B125" s="19" t="n"/>
      <c r="C125" s="19" t="n"/>
      <c r="D125" s="15">
        <f>IF($B125="","",IFERROR(IF(SUMPRODUCT((Avaliação!$C$5:$C$304=$B125)*(Avaliação!$A$5:$A$304=$A125)*(Avaliação!$F$5:$F$304=$C125)*ISNUMBER(Avaliação!$M$5:$M$304))=0,"",SUMIFS(Avaliação!$M$5:$M$304,Avaliação!$C$5:$C$304,$B125,Avaliação!$A$5:$A$304,$A125,Avaliação!$F$5:$F$304,$C125)),""))</f>
        <v/>
      </c>
      <c r="E125" s="19" t="n"/>
      <c r="F125" s="15">
        <f>IF(OR($D125="",$E125=""),"",$E125-$D125)</f>
        <v/>
      </c>
      <c r="G125" s="19" t="n"/>
      <c r="H125" s="19" t="n"/>
      <c r="I125" s="19" t="n"/>
      <c r="J125" s="19" t="n"/>
      <c r="K125" s="18" t="n"/>
      <c r="L125" s="18" t="n"/>
      <c r="M125" s="19" t="n"/>
      <c r="N125" s="19" t="n"/>
      <c r="O125" s="15">
        <f>IF(OR($B125="",$B125&lt;&gt;'Pauta 1a1'!$B$4,$A125&lt;&gt;'Pauta 1a1'!$B$5),"",COUNTIFS($B$5:$B125,'Pauta 1a1'!$B$4,$A$5:$A125,'Pauta 1a1'!$B$5))</f>
        <v/>
      </c>
    </row>
    <row r="126">
      <c r="A126" s="19" t="n"/>
      <c r="B126" s="19" t="n"/>
      <c r="C126" s="19" t="n"/>
      <c r="D126" s="15">
        <f>IF($B126="","",IFERROR(IF(SUMPRODUCT((Avaliação!$C$5:$C$304=$B126)*(Avaliação!$A$5:$A$304=$A126)*(Avaliação!$F$5:$F$304=$C126)*ISNUMBER(Avaliação!$M$5:$M$304))=0,"",SUMIFS(Avaliação!$M$5:$M$304,Avaliação!$C$5:$C$304,$B126,Avaliação!$A$5:$A$304,$A126,Avaliação!$F$5:$F$304,$C126)),""))</f>
        <v/>
      </c>
      <c r="E126" s="19" t="n"/>
      <c r="F126" s="15">
        <f>IF(OR($D126="",$E126=""),"",$E126-$D126)</f>
        <v/>
      </c>
      <c r="G126" s="19" t="n"/>
      <c r="H126" s="19" t="n"/>
      <c r="I126" s="19" t="n"/>
      <c r="J126" s="19" t="n"/>
      <c r="K126" s="18" t="n"/>
      <c r="L126" s="18" t="n"/>
      <c r="M126" s="19" t="n"/>
      <c r="N126" s="19" t="n"/>
      <c r="O126" s="15">
        <f>IF(OR($B126="",$B126&lt;&gt;'Pauta 1a1'!$B$4,$A126&lt;&gt;'Pauta 1a1'!$B$5),"",COUNTIFS($B$5:$B126,'Pauta 1a1'!$B$4,$A$5:$A126,'Pauta 1a1'!$B$5))</f>
        <v/>
      </c>
    </row>
    <row r="127">
      <c r="A127" s="19" t="n"/>
      <c r="B127" s="19" t="n"/>
      <c r="C127" s="19" t="n"/>
      <c r="D127" s="15">
        <f>IF($B127="","",IFERROR(IF(SUMPRODUCT((Avaliação!$C$5:$C$304=$B127)*(Avaliação!$A$5:$A$304=$A127)*(Avaliação!$F$5:$F$304=$C127)*ISNUMBER(Avaliação!$M$5:$M$304))=0,"",SUMIFS(Avaliação!$M$5:$M$304,Avaliação!$C$5:$C$304,$B127,Avaliação!$A$5:$A$304,$A127,Avaliação!$F$5:$F$304,$C127)),""))</f>
        <v/>
      </c>
      <c r="E127" s="19" t="n"/>
      <c r="F127" s="15">
        <f>IF(OR($D127="",$E127=""),"",$E127-$D127)</f>
        <v/>
      </c>
      <c r="G127" s="19" t="n"/>
      <c r="H127" s="19" t="n"/>
      <c r="I127" s="19" t="n"/>
      <c r="J127" s="19" t="n"/>
      <c r="K127" s="18" t="n"/>
      <c r="L127" s="18" t="n"/>
      <c r="M127" s="19" t="n"/>
      <c r="N127" s="19" t="n"/>
      <c r="O127" s="15">
        <f>IF(OR($B127="",$B127&lt;&gt;'Pauta 1a1'!$B$4,$A127&lt;&gt;'Pauta 1a1'!$B$5),"",COUNTIFS($B$5:$B127,'Pauta 1a1'!$B$4,$A$5:$A127,'Pauta 1a1'!$B$5))</f>
        <v/>
      </c>
    </row>
    <row r="128">
      <c r="A128" s="19" t="n"/>
      <c r="B128" s="19" t="n"/>
      <c r="C128" s="19" t="n"/>
      <c r="D128" s="15">
        <f>IF($B128="","",IFERROR(IF(SUMPRODUCT((Avaliação!$C$5:$C$304=$B128)*(Avaliação!$A$5:$A$304=$A128)*(Avaliação!$F$5:$F$304=$C128)*ISNUMBER(Avaliação!$M$5:$M$304))=0,"",SUMIFS(Avaliação!$M$5:$M$304,Avaliação!$C$5:$C$304,$B128,Avaliação!$A$5:$A$304,$A128,Avaliação!$F$5:$F$304,$C128)),""))</f>
        <v/>
      </c>
      <c r="E128" s="19" t="n"/>
      <c r="F128" s="15">
        <f>IF(OR($D128="",$E128=""),"",$E128-$D128)</f>
        <v/>
      </c>
      <c r="G128" s="19" t="n"/>
      <c r="H128" s="19" t="n"/>
      <c r="I128" s="19" t="n"/>
      <c r="J128" s="19" t="n"/>
      <c r="K128" s="18" t="n"/>
      <c r="L128" s="18" t="n"/>
      <c r="M128" s="19" t="n"/>
      <c r="N128" s="19" t="n"/>
      <c r="O128" s="15">
        <f>IF(OR($B128="",$B128&lt;&gt;'Pauta 1a1'!$B$4,$A128&lt;&gt;'Pauta 1a1'!$B$5),"",COUNTIFS($B$5:$B128,'Pauta 1a1'!$B$4,$A$5:$A128,'Pauta 1a1'!$B$5))</f>
        <v/>
      </c>
    </row>
    <row r="129">
      <c r="A129" s="19" t="n"/>
      <c r="B129" s="19" t="n"/>
      <c r="C129" s="19" t="n"/>
      <c r="D129" s="15">
        <f>IF($B129="","",IFERROR(IF(SUMPRODUCT((Avaliação!$C$5:$C$304=$B129)*(Avaliação!$A$5:$A$304=$A129)*(Avaliação!$F$5:$F$304=$C129)*ISNUMBER(Avaliação!$M$5:$M$304))=0,"",SUMIFS(Avaliação!$M$5:$M$304,Avaliação!$C$5:$C$304,$B129,Avaliação!$A$5:$A$304,$A129,Avaliação!$F$5:$F$304,$C129)),""))</f>
        <v/>
      </c>
      <c r="E129" s="19" t="n"/>
      <c r="F129" s="15">
        <f>IF(OR($D129="",$E129=""),"",$E129-$D129)</f>
        <v/>
      </c>
      <c r="G129" s="19" t="n"/>
      <c r="H129" s="19" t="n"/>
      <c r="I129" s="19" t="n"/>
      <c r="J129" s="19" t="n"/>
      <c r="K129" s="18" t="n"/>
      <c r="L129" s="18" t="n"/>
      <c r="M129" s="19" t="n"/>
      <c r="N129" s="19" t="n"/>
      <c r="O129" s="15">
        <f>IF(OR($B129="",$B129&lt;&gt;'Pauta 1a1'!$B$4,$A129&lt;&gt;'Pauta 1a1'!$B$5),"",COUNTIFS($B$5:$B129,'Pauta 1a1'!$B$4,$A$5:$A129,'Pauta 1a1'!$B$5))</f>
        <v/>
      </c>
    </row>
    <row r="130">
      <c r="A130" s="19" t="n"/>
      <c r="B130" s="19" t="n"/>
      <c r="C130" s="19" t="n"/>
      <c r="D130" s="15">
        <f>IF($B130="","",IFERROR(IF(SUMPRODUCT((Avaliação!$C$5:$C$304=$B130)*(Avaliação!$A$5:$A$304=$A130)*(Avaliação!$F$5:$F$304=$C130)*ISNUMBER(Avaliação!$M$5:$M$304))=0,"",SUMIFS(Avaliação!$M$5:$M$304,Avaliação!$C$5:$C$304,$B130,Avaliação!$A$5:$A$304,$A130,Avaliação!$F$5:$F$304,$C130)),""))</f>
        <v/>
      </c>
      <c r="E130" s="19" t="n"/>
      <c r="F130" s="15">
        <f>IF(OR($D130="",$E130=""),"",$E130-$D130)</f>
        <v/>
      </c>
      <c r="G130" s="19" t="n"/>
      <c r="H130" s="19" t="n"/>
      <c r="I130" s="19" t="n"/>
      <c r="J130" s="19" t="n"/>
      <c r="K130" s="18" t="n"/>
      <c r="L130" s="18" t="n"/>
      <c r="M130" s="19" t="n"/>
      <c r="N130" s="19" t="n"/>
      <c r="O130" s="15">
        <f>IF(OR($B130="",$B130&lt;&gt;'Pauta 1a1'!$B$4,$A130&lt;&gt;'Pauta 1a1'!$B$5),"",COUNTIFS($B$5:$B130,'Pauta 1a1'!$B$4,$A$5:$A130,'Pauta 1a1'!$B$5))</f>
        <v/>
      </c>
    </row>
    <row r="131">
      <c r="A131" s="19" t="n"/>
      <c r="B131" s="19" t="n"/>
      <c r="C131" s="19" t="n"/>
      <c r="D131" s="15">
        <f>IF($B131="","",IFERROR(IF(SUMPRODUCT((Avaliação!$C$5:$C$304=$B131)*(Avaliação!$A$5:$A$304=$A131)*(Avaliação!$F$5:$F$304=$C131)*ISNUMBER(Avaliação!$M$5:$M$304))=0,"",SUMIFS(Avaliação!$M$5:$M$304,Avaliação!$C$5:$C$304,$B131,Avaliação!$A$5:$A$304,$A131,Avaliação!$F$5:$F$304,$C131)),""))</f>
        <v/>
      </c>
      <c r="E131" s="19" t="n"/>
      <c r="F131" s="15">
        <f>IF(OR($D131="",$E131=""),"",$E131-$D131)</f>
        <v/>
      </c>
      <c r="G131" s="19" t="n"/>
      <c r="H131" s="19" t="n"/>
      <c r="I131" s="19" t="n"/>
      <c r="J131" s="19" t="n"/>
      <c r="K131" s="18" t="n"/>
      <c r="L131" s="18" t="n"/>
      <c r="M131" s="19" t="n"/>
      <c r="N131" s="19" t="n"/>
      <c r="O131" s="15">
        <f>IF(OR($B131="",$B131&lt;&gt;'Pauta 1a1'!$B$4,$A131&lt;&gt;'Pauta 1a1'!$B$5),"",COUNTIFS($B$5:$B131,'Pauta 1a1'!$B$4,$A$5:$A131,'Pauta 1a1'!$B$5))</f>
        <v/>
      </c>
    </row>
    <row r="132">
      <c r="A132" s="19" t="n"/>
      <c r="B132" s="19" t="n"/>
      <c r="C132" s="19" t="n"/>
      <c r="D132" s="15">
        <f>IF($B132="","",IFERROR(IF(SUMPRODUCT((Avaliação!$C$5:$C$304=$B132)*(Avaliação!$A$5:$A$304=$A132)*(Avaliação!$F$5:$F$304=$C132)*ISNUMBER(Avaliação!$M$5:$M$304))=0,"",SUMIFS(Avaliação!$M$5:$M$304,Avaliação!$C$5:$C$304,$B132,Avaliação!$A$5:$A$304,$A132,Avaliação!$F$5:$F$304,$C132)),""))</f>
        <v/>
      </c>
      <c r="E132" s="19" t="n"/>
      <c r="F132" s="15">
        <f>IF(OR($D132="",$E132=""),"",$E132-$D132)</f>
        <v/>
      </c>
      <c r="G132" s="19" t="n"/>
      <c r="H132" s="19" t="n"/>
      <c r="I132" s="19" t="n"/>
      <c r="J132" s="19" t="n"/>
      <c r="K132" s="18" t="n"/>
      <c r="L132" s="18" t="n"/>
      <c r="M132" s="19" t="n"/>
      <c r="N132" s="19" t="n"/>
      <c r="O132" s="15">
        <f>IF(OR($B132="",$B132&lt;&gt;'Pauta 1a1'!$B$4,$A132&lt;&gt;'Pauta 1a1'!$B$5),"",COUNTIFS($B$5:$B132,'Pauta 1a1'!$B$4,$A$5:$A132,'Pauta 1a1'!$B$5))</f>
        <v/>
      </c>
    </row>
    <row r="133">
      <c r="A133" s="19" t="n"/>
      <c r="B133" s="19" t="n"/>
      <c r="C133" s="19" t="n"/>
      <c r="D133" s="15">
        <f>IF($B133="","",IFERROR(IF(SUMPRODUCT((Avaliação!$C$5:$C$304=$B133)*(Avaliação!$A$5:$A$304=$A133)*(Avaliação!$F$5:$F$304=$C133)*ISNUMBER(Avaliação!$M$5:$M$304))=0,"",SUMIFS(Avaliação!$M$5:$M$304,Avaliação!$C$5:$C$304,$B133,Avaliação!$A$5:$A$304,$A133,Avaliação!$F$5:$F$304,$C133)),""))</f>
        <v/>
      </c>
      <c r="E133" s="19" t="n"/>
      <c r="F133" s="15">
        <f>IF(OR($D133="",$E133=""),"",$E133-$D133)</f>
        <v/>
      </c>
      <c r="G133" s="19" t="n"/>
      <c r="H133" s="19" t="n"/>
      <c r="I133" s="19" t="n"/>
      <c r="J133" s="19" t="n"/>
      <c r="K133" s="18" t="n"/>
      <c r="L133" s="18" t="n"/>
      <c r="M133" s="19" t="n"/>
      <c r="N133" s="19" t="n"/>
      <c r="O133" s="15">
        <f>IF(OR($B133="",$B133&lt;&gt;'Pauta 1a1'!$B$4,$A133&lt;&gt;'Pauta 1a1'!$B$5),"",COUNTIFS($B$5:$B133,'Pauta 1a1'!$B$4,$A$5:$A133,'Pauta 1a1'!$B$5))</f>
        <v/>
      </c>
    </row>
    <row r="134">
      <c r="A134" s="19" t="n"/>
      <c r="B134" s="19" t="n"/>
      <c r="C134" s="19" t="n"/>
      <c r="D134" s="15">
        <f>IF($B134="","",IFERROR(IF(SUMPRODUCT((Avaliação!$C$5:$C$304=$B134)*(Avaliação!$A$5:$A$304=$A134)*(Avaliação!$F$5:$F$304=$C134)*ISNUMBER(Avaliação!$M$5:$M$304))=0,"",SUMIFS(Avaliação!$M$5:$M$304,Avaliação!$C$5:$C$304,$B134,Avaliação!$A$5:$A$304,$A134,Avaliação!$F$5:$F$304,$C134)),""))</f>
        <v/>
      </c>
      <c r="E134" s="19" t="n"/>
      <c r="F134" s="15">
        <f>IF(OR($D134="",$E134=""),"",$E134-$D134)</f>
        <v/>
      </c>
      <c r="G134" s="19" t="n"/>
      <c r="H134" s="19" t="n"/>
      <c r="I134" s="19" t="n"/>
      <c r="J134" s="19" t="n"/>
      <c r="K134" s="18" t="n"/>
      <c r="L134" s="18" t="n"/>
      <c r="M134" s="19" t="n"/>
      <c r="N134" s="19" t="n"/>
      <c r="O134" s="15">
        <f>IF(OR($B134="",$B134&lt;&gt;'Pauta 1a1'!$B$4,$A134&lt;&gt;'Pauta 1a1'!$B$5),"",COUNTIFS($B$5:$B134,'Pauta 1a1'!$B$4,$A$5:$A134,'Pauta 1a1'!$B$5))</f>
        <v/>
      </c>
    </row>
    <row r="135">
      <c r="A135" s="19" t="n"/>
      <c r="B135" s="19" t="n"/>
      <c r="C135" s="19" t="n"/>
      <c r="D135" s="15">
        <f>IF($B135="","",IFERROR(IF(SUMPRODUCT((Avaliação!$C$5:$C$304=$B135)*(Avaliação!$A$5:$A$304=$A135)*(Avaliação!$F$5:$F$304=$C135)*ISNUMBER(Avaliação!$M$5:$M$304))=0,"",SUMIFS(Avaliação!$M$5:$M$304,Avaliação!$C$5:$C$304,$B135,Avaliação!$A$5:$A$304,$A135,Avaliação!$F$5:$F$304,$C135)),""))</f>
        <v/>
      </c>
      <c r="E135" s="19" t="n"/>
      <c r="F135" s="15">
        <f>IF(OR($D135="",$E135=""),"",$E135-$D135)</f>
        <v/>
      </c>
      <c r="G135" s="19" t="n"/>
      <c r="H135" s="19" t="n"/>
      <c r="I135" s="19" t="n"/>
      <c r="J135" s="19" t="n"/>
      <c r="K135" s="18" t="n"/>
      <c r="L135" s="18" t="n"/>
      <c r="M135" s="19" t="n"/>
      <c r="N135" s="19" t="n"/>
      <c r="O135" s="15">
        <f>IF(OR($B135="",$B135&lt;&gt;'Pauta 1a1'!$B$4,$A135&lt;&gt;'Pauta 1a1'!$B$5),"",COUNTIFS($B$5:$B135,'Pauta 1a1'!$B$4,$A$5:$A135,'Pauta 1a1'!$B$5))</f>
        <v/>
      </c>
    </row>
    <row r="136">
      <c r="A136" s="19" t="n"/>
      <c r="B136" s="19" t="n"/>
      <c r="C136" s="19" t="n"/>
      <c r="D136" s="15">
        <f>IF($B136="","",IFERROR(IF(SUMPRODUCT((Avaliação!$C$5:$C$304=$B136)*(Avaliação!$A$5:$A$304=$A136)*(Avaliação!$F$5:$F$304=$C136)*ISNUMBER(Avaliação!$M$5:$M$304))=0,"",SUMIFS(Avaliação!$M$5:$M$304,Avaliação!$C$5:$C$304,$B136,Avaliação!$A$5:$A$304,$A136,Avaliação!$F$5:$F$304,$C136)),""))</f>
        <v/>
      </c>
      <c r="E136" s="19" t="n"/>
      <c r="F136" s="15">
        <f>IF(OR($D136="",$E136=""),"",$E136-$D136)</f>
        <v/>
      </c>
      <c r="G136" s="19" t="n"/>
      <c r="H136" s="19" t="n"/>
      <c r="I136" s="19" t="n"/>
      <c r="J136" s="19" t="n"/>
      <c r="K136" s="18" t="n"/>
      <c r="L136" s="18" t="n"/>
      <c r="M136" s="19" t="n"/>
      <c r="N136" s="19" t="n"/>
      <c r="O136" s="15">
        <f>IF(OR($B136="",$B136&lt;&gt;'Pauta 1a1'!$B$4,$A136&lt;&gt;'Pauta 1a1'!$B$5),"",COUNTIFS($B$5:$B136,'Pauta 1a1'!$B$4,$A$5:$A136,'Pauta 1a1'!$B$5))</f>
        <v/>
      </c>
    </row>
    <row r="137">
      <c r="A137" s="19" t="n"/>
      <c r="B137" s="19" t="n"/>
      <c r="C137" s="19" t="n"/>
      <c r="D137" s="15">
        <f>IF($B137="","",IFERROR(IF(SUMPRODUCT((Avaliação!$C$5:$C$304=$B137)*(Avaliação!$A$5:$A$304=$A137)*(Avaliação!$F$5:$F$304=$C137)*ISNUMBER(Avaliação!$M$5:$M$304))=0,"",SUMIFS(Avaliação!$M$5:$M$304,Avaliação!$C$5:$C$304,$B137,Avaliação!$A$5:$A$304,$A137,Avaliação!$F$5:$F$304,$C137)),""))</f>
        <v/>
      </c>
      <c r="E137" s="19" t="n"/>
      <c r="F137" s="15">
        <f>IF(OR($D137="",$E137=""),"",$E137-$D137)</f>
        <v/>
      </c>
      <c r="G137" s="19" t="n"/>
      <c r="H137" s="19" t="n"/>
      <c r="I137" s="19" t="n"/>
      <c r="J137" s="19" t="n"/>
      <c r="K137" s="18" t="n"/>
      <c r="L137" s="18" t="n"/>
      <c r="M137" s="19" t="n"/>
      <c r="N137" s="19" t="n"/>
      <c r="O137" s="15">
        <f>IF(OR($B137="",$B137&lt;&gt;'Pauta 1a1'!$B$4,$A137&lt;&gt;'Pauta 1a1'!$B$5),"",COUNTIFS($B$5:$B137,'Pauta 1a1'!$B$4,$A$5:$A137,'Pauta 1a1'!$B$5))</f>
        <v/>
      </c>
    </row>
    <row r="138">
      <c r="A138" s="19" t="n"/>
      <c r="B138" s="19" t="n"/>
      <c r="C138" s="19" t="n"/>
      <c r="D138" s="15">
        <f>IF($B138="","",IFERROR(IF(SUMPRODUCT((Avaliação!$C$5:$C$304=$B138)*(Avaliação!$A$5:$A$304=$A138)*(Avaliação!$F$5:$F$304=$C138)*ISNUMBER(Avaliação!$M$5:$M$304))=0,"",SUMIFS(Avaliação!$M$5:$M$304,Avaliação!$C$5:$C$304,$B138,Avaliação!$A$5:$A$304,$A138,Avaliação!$F$5:$F$304,$C138)),""))</f>
        <v/>
      </c>
      <c r="E138" s="19" t="n"/>
      <c r="F138" s="15">
        <f>IF(OR($D138="",$E138=""),"",$E138-$D138)</f>
        <v/>
      </c>
      <c r="G138" s="19" t="n"/>
      <c r="H138" s="19" t="n"/>
      <c r="I138" s="19" t="n"/>
      <c r="J138" s="19" t="n"/>
      <c r="K138" s="18" t="n"/>
      <c r="L138" s="18" t="n"/>
      <c r="M138" s="19" t="n"/>
      <c r="N138" s="19" t="n"/>
      <c r="O138" s="15">
        <f>IF(OR($B138="",$B138&lt;&gt;'Pauta 1a1'!$B$4,$A138&lt;&gt;'Pauta 1a1'!$B$5),"",COUNTIFS($B$5:$B138,'Pauta 1a1'!$B$4,$A$5:$A138,'Pauta 1a1'!$B$5))</f>
        <v/>
      </c>
    </row>
    <row r="139">
      <c r="A139" s="19" t="n"/>
      <c r="B139" s="19" t="n"/>
      <c r="C139" s="19" t="n"/>
      <c r="D139" s="15">
        <f>IF($B139="","",IFERROR(IF(SUMPRODUCT((Avaliação!$C$5:$C$304=$B139)*(Avaliação!$A$5:$A$304=$A139)*(Avaliação!$F$5:$F$304=$C139)*ISNUMBER(Avaliação!$M$5:$M$304))=0,"",SUMIFS(Avaliação!$M$5:$M$304,Avaliação!$C$5:$C$304,$B139,Avaliação!$A$5:$A$304,$A139,Avaliação!$F$5:$F$304,$C139)),""))</f>
        <v/>
      </c>
      <c r="E139" s="19" t="n"/>
      <c r="F139" s="15">
        <f>IF(OR($D139="",$E139=""),"",$E139-$D139)</f>
        <v/>
      </c>
      <c r="G139" s="19" t="n"/>
      <c r="H139" s="19" t="n"/>
      <c r="I139" s="19" t="n"/>
      <c r="J139" s="19" t="n"/>
      <c r="K139" s="18" t="n"/>
      <c r="L139" s="18" t="n"/>
      <c r="M139" s="19" t="n"/>
      <c r="N139" s="19" t="n"/>
      <c r="O139" s="15">
        <f>IF(OR($B139="",$B139&lt;&gt;'Pauta 1a1'!$B$4,$A139&lt;&gt;'Pauta 1a1'!$B$5),"",COUNTIFS($B$5:$B139,'Pauta 1a1'!$B$4,$A$5:$A139,'Pauta 1a1'!$B$5))</f>
        <v/>
      </c>
    </row>
    <row r="140">
      <c r="A140" s="19" t="n"/>
      <c r="B140" s="19" t="n"/>
      <c r="C140" s="19" t="n"/>
      <c r="D140" s="15">
        <f>IF($B140="","",IFERROR(IF(SUMPRODUCT((Avaliação!$C$5:$C$304=$B140)*(Avaliação!$A$5:$A$304=$A140)*(Avaliação!$F$5:$F$304=$C140)*ISNUMBER(Avaliação!$M$5:$M$304))=0,"",SUMIFS(Avaliação!$M$5:$M$304,Avaliação!$C$5:$C$304,$B140,Avaliação!$A$5:$A$304,$A140,Avaliação!$F$5:$F$304,$C140)),""))</f>
        <v/>
      </c>
      <c r="E140" s="19" t="n"/>
      <c r="F140" s="15">
        <f>IF(OR($D140="",$E140=""),"",$E140-$D140)</f>
        <v/>
      </c>
      <c r="G140" s="19" t="n"/>
      <c r="H140" s="19" t="n"/>
      <c r="I140" s="19" t="n"/>
      <c r="J140" s="19" t="n"/>
      <c r="K140" s="18" t="n"/>
      <c r="L140" s="18" t="n"/>
      <c r="M140" s="19" t="n"/>
      <c r="N140" s="19" t="n"/>
      <c r="O140" s="15">
        <f>IF(OR($B140="",$B140&lt;&gt;'Pauta 1a1'!$B$4,$A140&lt;&gt;'Pauta 1a1'!$B$5),"",COUNTIFS($B$5:$B140,'Pauta 1a1'!$B$4,$A$5:$A140,'Pauta 1a1'!$B$5))</f>
        <v/>
      </c>
    </row>
    <row r="141">
      <c r="A141" s="19" t="n"/>
      <c r="B141" s="19" t="n"/>
      <c r="C141" s="19" t="n"/>
      <c r="D141" s="15">
        <f>IF($B141="","",IFERROR(IF(SUMPRODUCT((Avaliação!$C$5:$C$304=$B141)*(Avaliação!$A$5:$A$304=$A141)*(Avaliação!$F$5:$F$304=$C141)*ISNUMBER(Avaliação!$M$5:$M$304))=0,"",SUMIFS(Avaliação!$M$5:$M$304,Avaliação!$C$5:$C$304,$B141,Avaliação!$A$5:$A$304,$A141,Avaliação!$F$5:$F$304,$C141)),""))</f>
        <v/>
      </c>
      <c r="E141" s="19" t="n"/>
      <c r="F141" s="15">
        <f>IF(OR($D141="",$E141=""),"",$E141-$D141)</f>
        <v/>
      </c>
      <c r="G141" s="19" t="n"/>
      <c r="H141" s="19" t="n"/>
      <c r="I141" s="19" t="n"/>
      <c r="J141" s="19" t="n"/>
      <c r="K141" s="18" t="n"/>
      <c r="L141" s="18" t="n"/>
      <c r="M141" s="19" t="n"/>
      <c r="N141" s="19" t="n"/>
      <c r="O141" s="15">
        <f>IF(OR($B141="",$B141&lt;&gt;'Pauta 1a1'!$B$4,$A141&lt;&gt;'Pauta 1a1'!$B$5),"",COUNTIFS($B$5:$B141,'Pauta 1a1'!$B$4,$A$5:$A141,'Pauta 1a1'!$B$5))</f>
        <v/>
      </c>
    </row>
    <row r="142">
      <c r="A142" s="19" t="n"/>
      <c r="B142" s="19" t="n"/>
      <c r="C142" s="19" t="n"/>
      <c r="D142" s="15">
        <f>IF($B142="","",IFERROR(IF(SUMPRODUCT((Avaliação!$C$5:$C$304=$B142)*(Avaliação!$A$5:$A$304=$A142)*(Avaliação!$F$5:$F$304=$C142)*ISNUMBER(Avaliação!$M$5:$M$304))=0,"",SUMIFS(Avaliação!$M$5:$M$304,Avaliação!$C$5:$C$304,$B142,Avaliação!$A$5:$A$304,$A142,Avaliação!$F$5:$F$304,$C142)),""))</f>
        <v/>
      </c>
      <c r="E142" s="19" t="n"/>
      <c r="F142" s="15">
        <f>IF(OR($D142="",$E142=""),"",$E142-$D142)</f>
        <v/>
      </c>
      <c r="G142" s="19" t="n"/>
      <c r="H142" s="19" t="n"/>
      <c r="I142" s="19" t="n"/>
      <c r="J142" s="19" t="n"/>
      <c r="K142" s="18" t="n"/>
      <c r="L142" s="18" t="n"/>
      <c r="M142" s="19" t="n"/>
      <c r="N142" s="19" t="n"/>
      <c r="O142" s="15">
        <f>IF(OR($B142="",$B142&lt;&gt;'Pauta 1a1'!$B$4,$A142&lt;&gt;'Pauta 1a1'!$B$5),"",COUNTIFS($B$5:$B142,'Pauta 1a1'!$B$4,$A$5:$A142,'Pauta 1a1'!$B$5))</f>
        <v/>
      </c>
    </row>
    <row r="143">
      <c r="A143" s="19" t="n"/>
      <c r="B143" s="19" t="n"/>
      <c r="C143" s="19" t="n"/>
      <c r="D143" s="15">
        <f>IF($B143="","",IFERROR(IF(SUMPRODUCT((Avaliação!$C$5:$C$304=$B143)*(Avaliação!$A$5:$A$304=$A143)*(Avaliação!$F$5:$F$304=$C143)*ISNUMBER(Avaliação!$M$5:$M$304))=0,"",SUMIFS(Avaliação!$M$5:$M$304,Avaliação!$C$5:$C$304,$B143,Avaliação!$A$5:$A$304,$A143,Avaliação!$F$5:$F$304,$C143)),""))</f>
        <v/>
      </c>
      <c r="E143" s="19" t="n"/>
      <c r="F143" s="15">
        <f>IF(OR($D143="",$E143=""),"",$E143-$D143)</f>
        <v/>
      </c>
      <c r="G143" s="19" t="n"/>
      <c r="H143" s="19" t="n"/>
      <c r="I143" s="19" t="n"/>
      <c r="J143" s="19" t="n"/>
      <c r="K143" s="18" t="n"/>
      <c r="L143" s="18" t="n"/>
      <c r="M143" s="19" t="n"/>
      <c r="N143" s="19" t="n"/>
      <c r="O143" s="15">
        <f>IF(OR($B143="",$B143&lt;&gt;'Pauta 1a1'!$B$4,$A143&lt;&gt;'Pauta 1a1'!$B$5),"",COUNTIFS($B$5:$B143,'Pauta 1a1'!$B$4,$A$5:$A143,'Pauta 1a1'!$B$5))</f>
        <v/>
      </c>
    </row>
    <row r="144">
      <c r="A144" s="19" t="n"/>
      <c r="B144" s="19" t="n"/>
      <c r="C144" s="19" t="n"/>
      <c r="D144" s="15">
        <f>IF($B144="","",IFERROR(IF(SUMPRODUCT((Avaliação!$C$5:$C$304=$B144)*(Avaliação!$A$5:$A$304=$A144)*(Avaliação!$F$5:$F$304=$C144)*ISNUMBER(Avaliação!$M$5:$M$304))=0,"",SUMIFS(Avaliação!$M$5:$M$304,Avaliação!$C$5:$C$304,$B144,Avaliação!$A$5:$A$304,$A144,Avaliação!$F$5:$F$304,$C144)),""))</f>
        <v/>
      </c>
      <c r="E144" s="19" t="n"/>
      <c r="F144" s="15">
        <f>IF(OR($D144="",$E144=""),"",$E144-$D144)</f>
        <v/>
      </c>
      <c r="G144" s="19" t="n"/>
      <c r="H144" s="19" t="n"/>
      <c r="I144" s="19" t="n"/>
      <c r="J144" s="19" t="n"/>
      <c r="K144" s="18" t="n"/>
      <c r="L144" s="18" t="n"/>
      <c r="M144" s="19" t="n"/>
      <c r="N144" s="19" t="n"/>
      <c r="O144" s="15">
        <f>IF(OR($B144="",$B144&lt;&gt;'Pauta 1a1'!$B$4,$A144&lt;&gt;'Pauta 1a1'!$B$5),"",COUNTIFS($B$5:$B144,'Pauta 1a1'!$B$4,$A$5:$A144,'Pauta 1a1'!$B$5))</f>
        <v/>
      </c>
    </row>
    <row r="145">
      <c r="A145" s="19" t="n"/>
      <c r="B145" s="19" t="n"/>
      <c r="C145" s="19" t="n"/>
      <c r="D145" s="15">
        <f>IF($B145="","",IFERROR(IF(SUMPRODUCT((Avaliação!$C$5:$C$304=$B145)*(Avaliação!$A$5:$A$304=$A145)*(Avaliação!$F$5:$F$304=$C145)*ISNUMBER(Avaliação!$M$5:$M$304))=0,"",SUMIFS(Avaliação!$M$5:$M$304,Avaliação!$C$5:$C$304,$B145,Avaliação!$A$5:$A$304,$A145,Avaliação!$F$5:$F$304,$C145)),""))</f>
        <v/>
      </c>
      <c r="E145" s="19" t="n"/>
      <c r="F145" s="15">
        <f>IF(OR($D145="",$E145=""),"",$E145-$D145)</f>
        <v/>
      </c>
      <c r="G145" s="19" t="n"/>
      <c r="H145" s="19" t="n"/>
      <c r="I145" s="19" t="n"/>
      <c r="J145" s="19" t="n"/>
      <c r="K145" s="18" t="n"/>
      <c r="L145" s="18" t="n"/>
      <c r="M145" s="19" t="n"/>
      <c r="N145" s="19" t="n"/>
      <c r="O145" s="15">
        <f>IF(OR($B145="",$B145&lt;&gt;'Pauta 1a1'!$B$4,$A145&lt;&gt;'Pauta 1a1'!$B$5),"",COUNTIFS($B$5:$B145,'Pauta 1a1'!$B$4,$A$5:$A145,'Pauta 1a1'!$B$5))</f>
        <v/>
      </c>
    </row>
    <row r="146">
      <c r="A146" s="19" t="n"/>
      <c r="B146" s="19" t="n"/>
      <c r="C146" s="19" t="n"/>
      <c r="D146" s="15">
        <f>IF($B146="","",IFERROR(IF(SUMPRODUCT((Avaliação!$C$5:$C$304=$B146)*(Avaliação!$A$5:$A$304=$A146)*(Avaliação!$F$5:$F$304=$C146)*ISNUMBER(Avaliação!$M$5:$M$304))=0,"",SUMIFS(Avaliação!$M$5:$M$304,Avaliação!$C$5:$C$304,$B146,Avaliação!$A$5:$A$304,$A146,Avaliação!$F$5:$F$304,$C146)),""))</f>
        <v/>
      </c>
      <c r="E146" s="19" t="n"/>
      <c r="F146" s="15">
        <f>IF(OR($D146="",$E146=""),"",$E146-$D146)</f>
        <v/>
      </c>
      <c r="G146" s="19" t="n"/>
      <c r="H146" s="19" t="n"/>
      <c r="I146" s="19" t="n"/>
      <c r="J146" s="19" t="n"/>
      <c r="K146" s="18" t="n"/>
      <c r="L146" s="18" t="n"/>
      <c r="M146" s="19" t="n"/>
      <c r="N146" s="19" t="n"/>
      <c r="O146" s="15">
        <f>IF(OR($B146="",$B146&lt;&gt;'Pauta 1a1'!$B$4,$A146&lt;&gt;'Pauta 1a1'!$B$5),"",COUNTIFS($B$5:$B146,'Pauta 1a1'!$B$4,$A$5:$A146,'Pauta 1a1'!$B$5))</f>
        <v/>
      </c>
    </row>
    <row r="147">
      <c r="A147" s="19" t="n"/>
      <c r="B147" s="19" t="n"/>
      <c r="C147" s="19" t="n"/>
      <c r="D147" s="15">
        <f>IF($B147="","",IFERROR(IF(SUMPRODUCT((Avaliação!$C$5:$C$304=$B147)*(Avaliação!$A$5:$A$304=$A147)*(Avaliação!$F$5:$F$304=$C147)*ISNUMBER(Avaliação!$M$5:$M$304))=0,"",SUMIFS(Avaliação!$M$5:$M$304,Avaliação!$C$5:$C$304,$B147,Avaliação!$A$5:$A$304,$A147,Avaliação!$F$5:$F$304,$C147)),""))</f>
        <v/>
      </c>
      <c r="E147" s="19" t="n"/>
      <c r="F147" s="15">
        <f>IF(OR($D147="",$E147=""),"",$E147-$D147)</f>
        <v/>
      </c>
      <c r="G147" s="19" t="n"/>
      <c r="H147" s="19" t="n"/>
      <c r="I147" s="19" t="n"/>
      <c r="J147" s="19" t="n"/>
      <c r="K147" s="18" t="n"/>
      <c r="L147" s="18" t="n"/>
      <c r="M147" s="19" t="n"/>
      <c r="N147" s="19" t="n"/>
      <c r="O147" s="15">
        <f>IF(OR($B147="",$B147&lt;&gt;'Pauta 1a1'!$B$4,$A147&lt;&gt;'Pauta 1a1'!$B$5),"",COUNTIFS($B$5:$B147,'Pauta 1a1'!$B$4,$A$5:$A147,'Pauta 1a1'!$B$5))</f>
        <v/>
      </c>
    </row>
    <row r="148">
      <c r="A148" s="19" t="n"/>
      <c r="B148" s="19" t="n"/>
      <c r="C148" s="19" t="n"/>
      <c r="D148" s="15">
        <f>IF($B148="","",IFERROR(IF(SUMPRODUCT((Avaliação!$C$5:$C$304=$B148)*(Avaliação!$A$5:$A$304=$A148)*(Avaliação!$F$5:$F$304=$C148)*ISNUMBER(Avaliação!$M$5:$M$304))=0,"",SUMIFS(Avaliação!$M$5:$M$304,Avaliação!$C$5:$C$304,$B148,Avaliação!$A$5:$A$304,$A148,Avaliação!$F$5:$F$304,$C148)),""))</f>
        <v/>
      </c>
      <c r="E148" s="19" t="n"/>
      <c r="F148" s="15">
        <f>IF(OR($D148="",$E148=""),"",$E148-$D148)</f>
        <v/>
      </c>
      <c r="G148" s="19" t="n"/>
      <c r="H148" s="19" t="n"/>
      <c r="I148" s="19" t="n"/>
      <c r="J148" s="19" t="n"/>
      <c r="K148" s="18" t="n"/>
      <c r="L148" s="18" t="n"/>
      <c r="M148" s="19" t="n"/>
      <c r="N148" s="19" t="n"/>
      <c r="O148" s="15">
        <f>IF(OR($B148="",$B148&lt;&gt;'Pauta 1a1'!$B$4,$A148&lt;&gt;'Pauta 1a1'!$B$5),"",COUNTIFS($B$5:$B148,'Pauta 1a1'!$B$4,$A$5:$A148,'Pauta 1a1'!$B$5))</f>
        <v/>
      </c>
    </row>
    <row r="149">
      <c r="A149" s="19" t="n"/>
      <c r="B149" s="19" t="n"/>
      <c r="C149" s="19" t="n"/>
      <c r="D149" s="15">
        <f>IF($B149="","",IFERROR(IF(SUMPRODUCT((Avaliação!$C$5:$C$304=$B149)*(Avaliação!$A$5:$A$304=$A149)*(Avaliação!$F$5:$F$304=$C149)*ISNUMBER(Avaliação!$M$5:$M$304))=0,"",SUMIFS(Avaliação!$M$5:$M$304,Avaliação!$C$5:$C$304,$B149,Avaliação!$A$5:$A$304,$A149,Avaliação!$F$5:$F$304,$C149)),""))</f>
        <v/>
      </c>
      <c r="E149" s="19" t="n"/>
      <c r="F149" s="15">
        <f>IF(OR($D149="",$E149=""),"",$E149-$D149)</f>
        <v/>
      </c>
      <c r="G149" s="19" t="n"/>
      <c r="H149" s="19" t="n"/>
      <c r="I149" s="19" t="n"/>
      <c r="J149" s="19" t="n"/>
      <c r="K149" s="18" t="n"/>
      <c r="L149" s="18" t="n"/>
      <c r="M149" s="19" t="n"/>
      <c r="N149" s="19" t="n"/>
      <c r="O149" s="15">
        <f>IF(OR($B149="",$B149&lt;&gt;'Pauta 1a1'!$B$4,$A149&lt;&gt;'Pauta 1a1'!$B$5),"",COUNTIFS($B$5:$B149,'Pauta 1a1'!$B$4,$A$5:$A149,'Pauta 1a1'!$B$5))</f>
        <v/>
      </c>
    </row>
    <row r="150">
      <c r="A150" s="19" t="n"/>
      <c r="B150" s="19" t="n"/>
      <c r="C150" s="19" t="n"/>
      <c r="D150" s="15">
        <f>IF($B150="","",IFERROR(IF(SUMPRODUCT((Avaliação!$C$5:$C$304=$B150)*(Avaliação!$A$5:$A$304=$A150)*(Avaliação!$F$5:$F$304=$C150)*ISNUMBER(Avaliação!$M$5:$M$304))=0,"",SUMIFS(Avaliação!$M$5:$M$304,Avaliação!$C$5:$C$304,$B150,Avaliação!$A$5:$A$304,$A150,Avaliação!$F$5:$F$304,$C150)),""))</f>
        <v/>
      </c>
      <c r="E150" s="19" t="n"/>
      <c r="F150" s="15">
        <f>IF(OR($D150="",$E150=""),"",$E150-$D150)</f>
        <v/>
      </c>
      <c r="G150" s="19" t="n"/>
      <c r="H150" s="19" t="n"/>
      <c r="I150" s="19" t="n"/>
      <c r="J150" s="19" t="n"/>
      <c r="K150" s="18" t="n"/>
      <c r="L150" s="18" t="n"/>
      <c r="M150" s="19" t="n"/>
      <c r="N150" s="19" t="n"/>
      <c r="O150" s="15">
        <f>IF(OR($B150="",$B150&lt;&gt;'Pauta 1a1'!$B$4,$A150&lt;&gt;'Pauta 1a1'!$B$5),"",COUNTIFS($B$5:$B150,'Pauta 1a1'!$B$4,$A$5:$A150,'Pauta 1a1'!$B$5))</f>
        <v/>
      </c>
    </row>
    <row r="151">
      <c r="A151" s="19" t="n"/>
      <c r="B151" s="19" t="n"/>
      <c r="C151" s="19" t="n"/>
      <c r="D151" s="15">
        <f>IF($B151="","",IFERROR(IF(SUMPRODUCT((Avaliação!$C$5:$C$304=$B151)*(Avaliação!$A$5:$A$304=$A151)*(Avaliação!$F$5:$F$304=$C151)*ISNUMBER(Avaliação!$M$5:$M$304))=0,"",SUMIFS(Avaliação!$M$5:$M$304,Avaliação!$C$5:$C$304,$B151,Avaliação!$A$5:$A$304,$A151,Avaliação!$F$5:$F$304,$C151)),""))</f>
        <v/>
      </c>
      <c r="E151" s="19" t="n"/>
      <c r="F151" s="15">
        <f>IF(OR($D151="",$E151=""),"",$E151-$D151)</f>
        <v/>
      </c>
      <c r="G151" s="19" t="n"/>
      <c r="H151" s="19" t="n"/>
      <c r="I151" s="19" t="n"/>
      <c r="J151" s="19" t="n"/>
      <c r="K151" s="18" t="n"/>
      <c r="L151" s="18" t="n"/>
      <c r="M151" s="19" t="n"/>
      <c r="N151" s="19" t="n"/>
      <c r="O151" s="15">
        <f>IF(OR($B151="",$B151&lt;&gt;'Pauta 1a1'!$B$4,$A151&lt;&gt;'Pauta 1a1'!$B$5),"",COUNTIFS($B$5:$B151,'Pauta 1a1'!$B$4,$A$5:$A151,'Pauta 1a1'!$B$5))</f>
        <v/>
      </c>
    </row>
    <row r="152">
      <c r="A152" s="19" t="n"/>
      <c r="B152" s="19" t="n"/>
      <c r="C152" s="19" t="n"/>
      <c r="D152" s="15">
        <f>IF($B152="","",IFERROR(IF(SUMPRODUCT((Avaliação!$C$5:$C$304=$B152)*(Avaliação!$A$5:$A$304=$A152)*(Avaliação!$F$5:$F$304=$C152)*ISNUMBER(Avaliação!$M$5:$M$304))=0,"",SUMIFS(Avaliação!$M$5:$M$304,Avaliação!$C$5:$C$304,$B152,Avaliação!$A$5:$A$304,$A152,Avaliação!$F$5:$F$304,$C152)),""))</f>
        <v/>
      </c>
      <c r="E152" s="19" t="n"/>
      <c r="F152" s="15">
        <f>IF(OR($D152="",$E152=""),"",$E152-$D152)</f>
        <v/>
      </c>
      <c r="G152" s="19" t="n"/>
      <c r="H152" s="19" t="n"/>
      <c r="I152" s="19" t="n"/>
      <c r="J152" s="19" t="n"/>
      <c r="K152" s="18" t="n"/>
      <c r="L152" s="18" t="n"/>
      <c r="M152" s="19" t="n"/>
      <c r="N152" s="19" t="n"/>
      <c r="O152" s="15">
        <f>IF(OR($B152="",$B152&lt;&gt;'Pauta 1a1'!$B$4,$A152&lt;&gt;'Pauta 1a1'!$B$5),"",COUNTIFS($B$5:$B152,'Pauta 1a1'!$B$4,$A$5:$A152,'Pauta 1a1'!$B$5))</f>
        <v/>
      </c>
    </row>
    <row r="153">
      <c r="A153" s="19" t="n"/>
      <c r="B153" s="19" t="n"/>
      <c r="C153" s="19" t="n"/>
      <c r="D153" s="15">
        <f>IF($B153="","",IFERROR(IF(SUMPRODUCT((Avaliação!$C$5:$C$304=$B153)*(Avaliação!$A$5:$A$304=$A153)*(Avaliação!$F$5:$F$304=$C153)*ISNUMBER(Avaliação!$M$5:$M$304))=0,"",SUMIFS(Avaliação!$M$5:$M$304,Avaliação!$C$5:$C$304,$B153,Avaliação!$A$5:$A$304,$A153,Avaliação!$F$5:$F$304,$C153)),""))</f>
        <v/>
      </c>
      <c r="E153" s="19" t="n"/>
      <c r="F153" s="15">
        <f>IF(OR($D153="",$E153=""),"",$E153-$D153)</f>
        <v/>
      </c>
      <c r="G153" s="19" t="n"/>
      <c r="H153" s="19" t="n"/>
      <c r="I153" s="19" t="n"/>
      <c r="J153" s="19" t="n"/>
      <c r="K153" s="18" t="n"/>
      <c r="L153" s="18" t="n"/>
      <c r="M153" s="19" t="n"/>
      <c r="N153" s="19" t="n"/>
      <c r="O153" s="15">
        <f>IF(OR($B153="",$B153&lt;&gt;'Pauta 1a1'!$B$4,$A153&lt;&gt;'Pauta 1a1'!$B$5),"",COUNTIFS($B$5:$B153,'Pauta 1a1'!$B$4,$A$5:$A153,'Pauta 1a1'!$B$5))</f>
        <v/>
      </c>
    </row>
    <row r="154">
      <c r="A154" s="19" t="n"/>
      <c r="B154" s="19" t="n"/>
      <c r="C154" s="19" t="n"/>
      <c r="D154" s="15">
        <f>IF($B154="","",IFERROR(IF(SUMPRODUCT((Avaliação!$C$5:$C$304=$B154)*(Avaliação!$A$5:$A$304=$A154)*(Avaliação!$F$5:$F$304=$C154)*ISNUMBER(Avaliação!$M$5:$M$304))=0,"",SUMIFS(Avaliação!$M$5:$M$304,Avaliação!$C$5:$C$304,$B154,Avaliação!$A$5:$A$304,$A154,Avaliação!$F$5:$F$304,$C154)),""))</f>
        <v/>
      </c>
      <c r="E154" s="19" t="n"/>
      <c r="F154" s="15">
        <f>IF(OR($D154="",$E154=""),"",$E154-$D154)</f>
        <v/>
      </c>
      <c r="G154" s="19" t="n"/>
      <c r="H154" s="19" t="n"/>
      <c r="I154" s="19" t="n"/>
      <c r="J154" s="19" t="n"/>
      <c r="K154" s="18" t="n"/>
      <c r="L154" s="18" t="n"/>
      <c r="M154" s="19" t="n"/>
      <c r="N154" s="19" t="n"/>
      <c r="O154" s="15">
        <f>IF(OR($B154="",$B154&lt;&gt;'Pauta 1a1'!$B$4,$A154&lt;&gt;'Pauta 1a1'!$B$5),"",COUNTIFS($B$5:$B154,'Pauta 1a1'!$B$4,$A$5:$A154,'Pauta 1a1'!$B$5))</f>
        <v/>
      </c>
    </row>
    <row r="155">
      <c r="A155" s="19" t="n"/>
      <c r="B155" s="19" t="n"/>
      <c r="C155" s="19" t="n"/>
      <c r="D155" s="15">
        <f>IF($B155="","",IFERROR(IF(SUMPRODUCT((Avaliação!$C$5:$C$304=$B155)*(Avaliação!$A$5:$A$304=$A155)*(Avaliação!$F$5:$F$304=$C155)*ISNUMBER(Avaliação!$M$5:$M$304))=0,"",SUMIFS(Avaliação!$M$5:$M$304,Avaliação!$C$5:$C$304,$B155,Avaliação!$A$5:$A$304,$A155,Avaliação!$F$5:$F$304,$C155)),""))</f>
        <v/>
      </c>
      <c r="E155" s="19" t="n"/>
      <c r="F155" s="15">
        <f>IF(OR($D155="",$E155=""),"",$E155-$D155)</f>
        <v/>
      </c>
      <c r="G155" s="19" t="n"/>
      <c r="H155" s="19" t="n"/>
      <c r="I155" s="19" t="n"/>
      <c r="J155" s="19" t="n"/>
      <c r="K155" s="18" t="n"/>
      <c r="L155" s="18" t="n"/>
      <c r="M155" s="19" t="n"/>
      <c r="N155" s="19" t="n"/>
      <c r="O155" s="15">
        <f>IF(OR($B155="",$B155&lt;&gt;'Pauta 1a1'!$B$4,$A155&lt;&gt;'Pauta 1a1'!$B$5),"",COUNTIFS($B$5:$B155,'Pauta 1a1'!$B$4,$A$5:$A155,'Pauta 1a1'!$B$5))</f>
        <v/>
      </c>
    </row>
    <row r="156">
      <c r="A156" s="19" t="n"/>
      <c r="B156" s="19" t="n"/>
      <c r="C156" s="19" t="n"/>
      <c r="D156" s="15">
        <f>IF($B156="","",IFERROR(IF(SUMPRODUCT((Avaliação!$C$5:$C$304=$B156)*(Avaliação!$A$5:$A$304=$A156)*(Avaliação!$F$5:$F$304=$C156)*ISNUMBER(Avaliação!$M$5:$M$304))=0,"",SUMIFS(Avaliação!$M$5:$M$304,Avaliação!$C$5:$C$304,$B156,Avaliação!$A$5:$A$304,$A156,Avaliação!$F$5:$F$304,$C156)),""))</f>
        <v/>
      </c>
      <c r="E156" s="19" t="n"/>
      <c r="F156" s="15">
        <f>IF(OR($D156="",$E156=""),"",$E156-$D156)</f>
        <v/>
      </c>
      <c r="G156" s="19" t="n"/>
      <c r="H156" s="19" t="n"/>
      <c r="I156" s="19" t="n"/>
      <c r="J156" s="19" t="n"/>
      <c r="K156" s="18" t="n"/>
      <c r="L156" s="18" t="n"/>
      <c r="M156" s="19" t="n"/>
      <c r="N156" s="19" t="n"/>
      <c r="O156" s="15">
        <f>IF(OR($B156="",$B156&lt;&gt;'Pauta 1a1'!$B$4,$A156&lt;&gt;'Pauta 1a1'!$B$5),"",COUNTIFS($B$5:$B156,'Pauta 1a1'!$B$4,$A$5:$A156,'Pauta 1a1'!$B$5))</f>
        <v/>
      </c>
    </row>
    <row r="157">
      <c r="A157" s="19" t="n"/>
      <c r="B157" s="19" t="n"/>
      <c r="C157" s="19" t="n"/>
      <c r="D157" s="15">
        <f>IF($B157="","",IFERROR(IF(SUMPRODUCT((Avaliação!$C$5:$C$304=$B157)*(Avaliação!$A$5:$A$304=$A157)*(Avaliação!$F$5:$F$304=$C157)*ISNUMBER(Avaliação!$M$5:$M$304))=0,"",SUMIFS(Avaliação!$M$5:$M$304,Avaliação!$C$5:$C$304,$B157,Avaliação!$A$5:$A$304,$A157,Avaliação!$F$5:$F$304,$C157)),""))</f>
        <v/>
      </c>
      <c r="E157" s="19" t="n"/>
      <c r="F157" s="15">
        <f>IF(OR($D157="",$E157=""),"",$E157-$D157)</f>
        <v/>
      </c>
      <c r="G157" s="19" t="n"/>
      <c r="H157" s="19" t="n"/>
      <c r="I157" s="19" t="n"/>
      <c r="J157" s="19" t="n"/>
      <c r="K157" s="18" t="n"/>
      <c r="L157" s="18" t="n"/>
      <c r="M157" s="19" t="n"/>
      <c r="N157" s="19" t="n"/>
      <c r="O157" s="15">
        <f>IF(OR($B157="",$B157&lt;&gt;'Pauta 1a1'!$B$4,$A157&lt;&gt;'Pauta 1a1'!$B$5),"",COUNTIFS($B$5:$B157,'Pauta 1a1'!$B$4,$A$5:$A157,'Pauta 1a1'!$B$5))</f>
        <v/>
      </c>
    </row>
    <row r="158">
      <c r="A158" s="19" t="n"/>
      <c r="B158" s="19" t="n"/>
      <c r="C158" s="19" t="n"/>
      <c r="D158" s="15">
        <f>IF($B158="","",IFERROR(IF(SUMPRODUCT((Avaliação!$C$5:$C$304=$B158)*(Avaliação!$A$5:$A$304=$A158)*(Avaliação!$F$5:$F$304=$C158)*ISNUMBER(Avaliação!$M$5:$M$304))=0,"",SUMIFS(Avaliação!$M$5:$M$304,Avaliação!$C$5:$C$304,$B158,Avaliação!$A$5:$A$304,$A158,Avaliação!$F$5:$F$304,$C158)),""))</f>
        <v/>
      </c>
      <c r="E158" s="19" t="n"/>
      <c r="F158" s="15">
        <f>IF(OR($D158="",$E158=""),"",$E158-$D158)</f>
        <v/>
      </c>
      <c r="G158" s="19" t="n"/>
      <c r="H158" s="19" t="n"/>
      <c r="I158" s="19" t="n"/>
      <c r="J158" s="19" t="n"/>
      <c r="K158" s="18" t="n"/>
      <c r="L158" s="18" t="n"/>
      <c r="M158" s="19" t="n"/>
      <c r="N158" s="19" t="n"/>
      <c r="O158" s="15">
        <f>IF(OR($B158="",$B158&lt;&gt;'Pauta 1a1'!$B$4,$A158&lt;&gt;'Pauta 1a1'!$B$5),"",COUNTIFS($B$5:$B158,'Pauta 1a1'!$B$4,$A$5:$A158,'Pauta 1a1'!$B$5))</f>
        <v/>
      </c>
    </row>
    <row r="159">
      <c r="A159" s="19" t="n"/>
      <c r="B159" s="19" t="n"/>
      <c r="C159" s="19" t="n"/>
      <c r="D159" s="15">
        <f>IF($B159="","",IFERROR(IF(SUMPRODUCT((Avaliação!$C$5:$C$304=$B159)*(Avaliação!$A$5:$A$304=$A159)*(Avaliação!$F$5:$F$304=$C159)*ISNUMBER(Avaliação!$M$5:$M$304))=0,"",SUMIFS(Avaliação!$M$5:$M$304,Avaliação!$C$5:$C$304,$B159,Avaliação!$A$5:$A$304,$A159,Avaliação!$F$5:$F$304,$C159)),""))</f>
        <v/>
      </c>
      <c r="E159" s="19" t="n"/>
      <c r="F159" s="15">
        <f>IF(OR($D159="",$E159=""),"",$E159-$D159)</f>
        <v/>
      </c>
      <c r="G159" s="19" t="n"/>
      <c r="H159" s="19" t="n"/>
      <c r="I159" s="19" t="n"/>
      <c r="J159" s="19" t="n"/>
      <c r="K159" s="18" t="n"/>
      <c r="L159" s="18" t="n"/>
      <c r="M159" s="19" t="n"/>
      <c r="N159" s="19" t="n"/>
      <c r="O159" s="15">
        <f>IF(OR($B159="",$B159&lt;&gt;'Pauta 1a1'!$B$4,$A159&lt;&gt;'Pauta 1a1'!$B$5),"",COUNTIFS($B$5:$B159,'Pauta 1a1'!$B$4,$A$5:$A159,'Pauta 1a1'!$B$5))</f>
        <v/>
      </c>
    </row>
    <row r="160">
      <c r="A160" s="19" t="n"/>
      <c r="B160" s="19" t="n"/>
      <c r="C160" s="19" t="n"/>
      <c r="D160" s="15">
        <f>IF($B160="","",IFERROR(IF(SUMPRODUCT((Avaliação!$C$5:$C$304=$B160)*(Avaliação!$A$5:$A$304=$A160)*(Avaliação!$F$5:$F$304=$C160)*ISNUMBER(Avaliação!$M$5:$M$304))=0,"",SUMIFS(Avaliação!$M$5:$M$304,Avaliação!$C$5:$C$304,$B160,Avaliação!$A$5:$A$304,$A160,Avaliação!$F$5:$F$304,$C160)),""))</f>
        <v/>
      </c>
      <c r="E160" s="19" t="n"/>
      <c r="F160" s="15">
        <f>IF(OR($D160="",$E160=""),"",$E160-$D160)</f>
        <v/>
      </c>
      <c r="G160" s="19" t="n"/>
      <c r="H160" s="19" t="n"/>
      <c r="I160" s="19" t="n"/>
      <c r="J160" s="19" t="n"/>
      <c r="K160" s="18" t="n"/>
      <c r="L160" s="18" t="n"/>
      <c r="M160" s="19" t="n"/>
      <c r="N160" s="19" t="n"/>
      <c r="O160" s="15">
        <f>IF(OR($B160="",$B160&lt;&gt;'Pauta 1a1'!$B$4,$A160&lt;&gt;'Pauta 1a1'!$B$5),"",COUNTIFS($B$5:$B160,'Pauta 1a1'!$B$4,$A$5:$A160,'Pauta 1a1'!$B$5))</f>
        <v/>
      </c>
    </row>
    <row r="161">
      <c r="A161" s="19" t="n"/>
      <c r="B161" s="19" t="n"/>
      <c r="C161" s="19" t="n"/>
      <c r="D161" s="15">
        <f>IF($B161="","",IFERROR(IF(SUMPRODUCT((Avaliação!$C$5:$C$304=$B161)*(Avaliação!$A$5:$A$304=$A161)*(Avaliação!$F$5:$F$304=$C161)*ISNUMBER(Avaliação!$M$5:$M$304))=0,"",SUMIFS(Avaliação!$M$5:$M$304,Avaliação!$C$5:$C$304,$B161,Avaliação!$A$5:$A$304,$A161,Avaliação!$F$5:$F$304,$C161)),""))</f>
        <v/>
      </c>
      <c r="E161" s="19" t="n"/>
      <c r="F161" s="15">
        <f>IF(OR($D161="",$E161=""),"",$E161-$D161)</f>
        <v/>
      </c>
      <c r="G161" s="19" t="n"/>
      <c r="H161" s="19" t="n"/>
      <c r="I161" s="19" t="n"/>
      <c r="J161" s="19" t="n"/>
      <c r="K161" s="18" t="n"/>
      <c r="L161" s="18" t="n"/>
      <c r="M161" s="19" t="n"/>
      <c r="N161" s="19" t="n"/>
      <c r="O161" s="15">
        <f>IF(OR($B161="",$B161&lt;&gt;'Pauta 1a1'!$B$4,$A161&lt;&gt;'Pauta 1a1'!$B$5),"",COUNTIFS($B$5:$B161,'Pauta 1a1'!$B$4,$A$5:$A161,'Pauta 1a1'!$B$5))</f>
        <v/>
      </c>
    </row>
    <row r="162">
      <c r="A162" s="19" t="n"/>
      <c r="B162" s="19" t="n"/>
      <c r="C162" s="19" t="n"/>
      <c r="D162" s="15">
        <f>IF($B162="","",IFERROR(IF(SUMPRODUCT((Avaliação!$C$5:$C$304=$B162)*(Avaliação!$A$5:$A$304=$A162)*(Avaliação!$F$5:$F$304=$C162)*ISNUMBER(Avaliação!$M$5:$M$304))=0,"",SUMIFS(Avaliação!$M$5:$M$304,Avaliação!$C$5:$C$304,$B162,Avaliação!$A$5:$A$304,$A162,Avaliação!$F$5:$F$304,$C162)),""))</f>
        <v/>
      </c>
      <c r="E162" s="19" t="n"/>
      <c r="F162" s="15">
        <f>IF(OR($D162="",$E162=""),"",$E162-$D162)</f>
        <v/>
      </c>
      <c r="G162" s="19" t="n"/>
      <c r="H162" s="19" t="n"/>
      <c r="I162" s="19" t="n"/>
      <c r="J162" s="19" t="n"/>
      <c r="K162" s="18" t="n"/>
      <c r="L162" s="18" t="n"/>
      <c r="M162" s="19" t="n"/>
      <c r="N162" s="19" t="n"/>
      <c r="O162" s="15">
        <f>IF(OR($B162="",$B162&lt;&gt;'Pauta 1a1'!$B$4,$A162&lt;&gt;'Pauta 1a1'!$B$5),"",COUNTIFS($B$5:$B162,'Pauta 1a1'!$B$4,$A$5:$A162,'Pauta 1a1'!$B$5))</f>
        <v/>
      </c>
    </row>
    <row r="163">
      <c r="A163" s="19" t="n"/>
      <c r="B163" s="19" t="n"/>
      <c r="C163" s="19" t="n"/>
      <c r="D163" s="15">
        <f>IF($B163="","",IFERROR(IF(SUMPRODUCT((Avaliação!$C$5:$C$304=$B163)*(Avaliação!$A$5:$A$304=$A163)*(Avaliação!$F$5:$F$304=$C163)*ISNUMBER(Avaliação!$M$5:$M$304))=0,"",SUMIFS(Avaliação!$M$5:$M$304,Avaliação!$C$5:$C$304,$B163,Avaliação!$A$5:$A$304,$A163,Avaliação!$F$5:$F$304,$C163)),""))</f>
        <v/>
      </c>
      <c r="E163" s="19" t="n"/>
      <c r="F163" s="15">
        <f>IF(OR($D163="",$E163=""),"",$E163-$D163)</f>
        <v/>
      </c>
      <c r="G163" s="19" t="n"/>
      <c r="H163" s="19" t="n"/>
      <c r="I163" s="19" t="n"/>
      <c r="J163" s="19" t="n"/>
      <c r="K163" s="18" t="n"/>
      <c r="L163" s="18" t="n"/>
      <c r="M163" s="19" t="n"/>
      <c r="N163" s="19" t="n"/>
      <c r="O163" s="15">
        <f>IF(OR($B163="",$B163&lt;&gt;'Pauta 1a1'!$B$4,$A163&lt;&gt;'Pauta 1a1'!$B$5),"",COUNTIFS($B$5:$B163,'Pauta 1a1'!$B$4,$A$5:$A163,'Pauta 1a1'!$B$5))</f>
        <v/>
      </c>
    </row>
    <row r="164">
      <c r="A164" s="19" t="n"/>
      <c r="B164" s="19" t="n"/>
      <c r="C164" s="19" t="n"/>
      <c r="D164" s="15">
        <f>IF($B164="","",IFERROR(IF(SUMPRODUCT((Avaliação!$C$5:$C$304=$B164)*(Avaliação!$A$5:$A$304=$A164)*(Avaliação!$F$5:$F$304=$C164)*ISNUMBER(Avaliação!$M$5:$M$304))=0,"",SUMIFS(Avaliação!$M$5:$M$304,Avaliação!$C$5:$C$304,$B164,Avaliação!$A$5:$A$304,$A164,Avaliação!$F$5:$F$304,$C164)),""))</f>
        <v/>
      </c>
      <c r="E164" s="19" t="n"/>
      <c r="F164" s="15">
        <f>IF(OR($D164="",$E164=""),"",$E164-$D164)</f>
        <v/>
      </c>
      <c r="G164" s="19" t="n"/>
      <c r="H164" s="19" t="n"/>
      <c r="I164" s="19" t="n"/>
      <c r="J164" s="19" t="n"/>
      <c r="K164" s="18" t="n"/>
      <c r="L164" s="18" t="n"/>
      <c r="M164" s="19" t="n"/>
      <c r="N164" s="19" t="n"/>
      <c r="O164" s="15">
        <f>IF(OR($B164="",$B164&lt;&gt;'Pauta 1a1'!$B$4,$A164&lt;&gt;'Pauta 1a1'!$B$5),"",COUNTIFS($B$5:$B164,'Pauta 1a1'!$B$4,$A$5:$A164,'Pauta 1a1'!$B$5))</f>
        <v/>
      </c>
    </row>
    <row r="165">
      <c r="A165" s="19" t="n"/>
      <c r="B165" s="19" t="n"/>
      <c r="C165" s="19" t="n"/>
      <c r="D165" s="15">
        <f>IF($B165="","",IFERROR(IF(SUMPRODUCT((Avaliação!$C$5:$C$304=$B165)*(Avaliação!$A$5:$A$304=$A165)*(Avaliação!$F$5:$F$304=$C165)*ISNUMBER(Avaliação!$M$5:$M$304))=0,"",SUMIFS(Avaliação!$M$5:$M$304,Avaliação!$C$5:$C$304,$B165,Avaliação!$A$5:$A$304,$A165,Avaliação!$F$5:$F$304,$C165)),""))</f>
        <v/>
      </c>
      <c r="E165" s="19" t="n"/>
      <c r="F165" s="15">
        <f>IF(OR($D165="",$E165=""),"",$E165-$D165)</f>
        <v/>
      </c>
      <c r="G165" s="19" t="n"/>
      <c r="H165" s="19" t="n"/>
      <c r="I165" s="19" t="n"/>
      <c r="J165" s="19" t="n"/>
      <c r="K165" s="18" t="n"/>
      <c r="L165" s="18" t="n"/>
      <c r="M165" s="19" t="n"/>
      <c r="N165" s="19" t="n"/>
      <c r="O165" s="15">
        <f>IF(OR($B165="",$B165&lt;&gt;'Pauta 1a1'!$B$4,$A165&lt;&gt;'Pauta 1a1'!$B$5),"",COUNTIFS($B$5:$B165,'Pauta 1a1'!$B$4,$A$5:$A165,'Pauta 1a1'!$B$5))</f>
        <v/>
      </c>
    </row>
    <row r="166">
      <c r="A166" s="19" t="n"/>
      <c r="B166" s="19" t="n"/>
      <c r="C166" s="19" t="n"/>
      <c r="D166" s="15">
        <f>IF($B166="","",IFERROR(IF(SUMPRODUCT((Avaliação!$C$5:$C$304=$B166)*(Avaliação!$A$5:$A$304=$A166)*(Avaliação!$F$5:$F$304=$C166)*ISNUMBER(Avaliação!$M$5:$M$304))=0,"",SUMIFS(Avaliação!$M$5:$M$304,Avaliação!$C$5:$C$304,$B166,Avaliação!$A$5:$A$304,$A166,Avaliação!$F$5:$F$304,$C166)),""))</f>
        <v/>
      </c>
      <c r="E166" s="19" t="n"/>
      <c r="F166" s="15">
        <f>IF(OR($D166="",$E166=""),"",$E166-$D166)</f>
        <v/>
      </c>
      <c r="G166" s="19" t="n"/>
      <c r="H166" s="19" t="n"/>
      <c r="I166" s="19" t="n"/>
      <c r="J166" s="19" t="n"/>
      <c r="K166" s="18" t="n"/>
      <c r="L166" s="18" t="n"/>
      <c r="M166" s="19" t="n"/>
      <c r="N166" s="19" t="n"/>
      <c r="O166" s="15">
        <f>IF(OR($B166="",$B166&lt;&gt;'Pauta 1a1'!$B$4,$A166&lt;&gt;'Pauta 1a1'!$B$5),"",COUNTIFS($B$5:$B166,'Pauta 1a1'!$B$4,$A$5:$A166,'Pauta 1a1'!$B$5))</f>
        <v/>
      </c>
    </row>
    <row r="167">
      <c r="A167" s="19" t="n"/>
      <c r="B167" s="19" t="n"/>
      <c r="C167" s="19" t="n"/>
      <c r="D167" s="15">
        <f>IF($B167="","",IFERROR(IF(SUMPRODUCT((Avaliação!$C$5:$C$304=$B167)*(Avaliação!$A$5:$A$304=$A167)*(Avaliação!$F$5:$F$304=$C167)*ISNUMBER(Avaliação!$M$5:$M$304))=0,"",SUMIFS(Avaliação!$M$5:$M$304,Avaliação!$C$5:$C$304,$B167,Avaliação!$A$5:$A$304,$A167,Avaliação!$F$5:$F$304,$C167)),""))</f>
        <v/>
      </c>
      <c r="E167" s="19" t="n"/>
      <c r="F167" s="15">
        <f>IF(OR($D167="",$E167=""),"",$E167-$D167)</f>
        <v/>
      </c>
      <c r="G167" s="19" t="n"/>
      <c r="H167" s="19" t="n"/>
      <c r="I167" s="19" t="n"/>
      <c r="J167" s="19" t="n"/>
      <c r="K167" s="18" t="n"/>
      <c r="L167" s="18" t="n"/>
      <c r="M167" s="19" t="n"/>
      <c r="N167" s="19" t="n"/>
      <c r="O167" s="15">
        <f>IF(OR($B167="",$B167&lt;&gt;'Pauta 1a1'!$B$4,$A167&lt;&gt;'Pauta 1a1'!$B$5),"",COUNTIFS($B$5:$B167,'Pauta 1a1'!$B$4,$A$5:$A167,'Pauta 1a1'!$B$5))</f>
        <v/>
      </c>
    </row>
    <row r="168">
      <c r="A168" s="19" t="n"/>
      <c r="B168" s="19" t="n"/>
      <c r="C168" s="19" t="n"/>
      <c r="D168" s="15">
        <f>IF($B168="","",IFERROR(IF(SUMPRODUCT((Avaliação!$C$5:$C$304=$B168)*(Avaliação!$A$5:$A$304=$A168)*(Avaliação!$F$5:$F$304=$C168)*ISNUMBER(Avaliação!$M$5:$M$304))=0,"",SUMIFS(Avaliação!$M$5:$M$304,Avaliação!$C$5:$C$304,$B168,Avaliação!$A$5:$A$304,$A168,Avaliação!$F$5:$F$304,$C168)),""))</f>
        <v/>
      </c>
      <c r="E168" s="19" t="n"/>
      <c r="F168" s="15">
        <f>IF(OR($D168="",$E168=""),"",$E168-$D168)</f>
        <v/>
      </c>
      <c r="G168" s="19" t="n"/>
      <c r="H168" s="19" t="n"/>
      <c r="I168" s="19" t="n"/>
      <c r="J168" s="19" t="n"/>
      <c r="K168" s="18" t="n"/>
      <c r="L168" s="18" t="n"/>
      <c r="M168" s="19" t="n"/>
      <c r="N168" s="19" t="n"/>
      <c r="O168" s="15">
        <f>IF(OR($B168="",$B168&lt;&gt;'Pauta 1a1'!$B$4,$A168&lt;&gt;'Pauta 1a1'!$B$5),"",COUNTIFS($B$5:$B168,'Pauta 1a1'!$B$4,$A$5:$A168,'Pauta 1a1'!$B$5))</f>
        <v/>
      </c>
    </row>
    <row r="169">
      <c r="A169" s="19" t="n"/>
      <c r="B169" s="19" t="n"/>
      <c r="C169" s="19" t="n"/>
      <c r="D169" s="15">
        <f>IF($B169="","",IFERROR(IF(SUMPRODUCT((Avaliação!$C$5:$C$304=$B169)*(Avaliação!$A$5:$A$304=$A169)*(Avaliação!$F$5:$F$304=$C169)*ISNUMBER(Avaliação!$M$5:$M$304))=0,"",SUMIFS(Avaliação!$M$5:$M$304,Avaliação!$C$5:$C$304,$B169,Avaliação!$A$5:$A$304,$A169,Avaliação!$F$5:$F$304,$C169)),""))</f>
        <v/>
      </c>
      <c r="E169" s="19" t="n"/>
      <c r="F169" s="15">
        <f>IF(OR($D169="",$E169=""),"",$E169-$D169)</f>
        <v/>
      </c>
      <c r="G169" s="19" t="n"/>
      <c r="H169" s="19" t="n"/>
      <c r="I169" s="19" t="n"/>
      <c r="J169" s="19" t="n"/>
      <c r="K169" s="18" t="n"/>
      <c r="L169" s="18" t="n"/>
      <c r="M169" s="19" t="n"/>
      <c r="N169" s="19" t="n"/>
      <c r="O169" s="15">
        <f>IF(OR($B169="",$B169&lt;&gt;'Pauta 1a1'!$B$4,$A169&lt;&gt;'Pauta 1a1'!$B$5),"",COUNTIFS($B$5:$B169,'Pauta 1a1'!$B$4,$A$5:$A169,'Pauta 1a1'!$B$5))</f>
        <v/>
      </c>
    </row>
    <row r="170">
      <c r="A170" s="19" t="n"/>
      <c r="B170" s="19" t="n"/>
      <c r="C170" s="19" t="n"/>
      <c r="D170" s="15">
        <f>IF($B170="","",IFERROR(IF(SUMPRODUCT((Avaliação!$C$5:$C$304=$B170)*(Avaliação!$A$5:$A$304=$A170)*(Avaliação!$F$5:$F$304=$C170)*ISNUMBER(Avaliação!$M$5:$M$304))=0,"",SUMIFS(Avaliação!$M$5:$M$304,Avaliação!$C$5:$C$304,$B170,Avaliação!$A$5:$A$304,$A170,Avaliação!$F$5:$F$304,$C170)),""))</f>
        <v/>
      </c>
      <c r="E170" s="19" t="n"/>
      <c r="F170" s="15">
        <f>IF(OR($D170="",$E170=""),"",$E170-$D170)</f>
        <v/>
      </c>
      <c r="G170" s="19" t="n"/>
      <c r="H170" s="19" t="n"/>
      <c r="I170" s="19" t="n"/>
      <c r="J170" s="19" t="n"/>
      <c r="K170" s="18" t="n"/>
      <c r="L170" s="18" t="n"/>
      <c r="M170" s="19" t="n"/>
      <c r="N170" s="19" t="n"/>
      <c r="O170" s="15">
        <f>IF(OR($B170="",$B170&lt;&gt;'Pauta 1a1'!$B$4,$A170&lt;&gt;'Pauta 1a1'!$B$5),"",COUNTIFS($B$5:$B170,'Pauta 1a1'!$B$4,$A$5:$A170,'Pauta 1a1'!$B$5))</f>
        <v/>
      </c>
    </row>
    <row r="171">
      <c r="A171" s="19" t="n"/>
      <c r="B171" s="19" t="n"/>
      <c r="C171" s="19" t="n"/>
      <c r="D171" s="15">
        <f>IF($B171="","",IFERROR(IF(SUMPRODUCT((Avaliação!$C$5:$C$304=$B171)*(Avaliação!$A$5:$A$304=$A171)*(Avaliação!$F$5:$F$304=$C171)*ISNUMBER(Avaliação!$M$5:$M$304))=0,"",SUMIFS(Avaliação!$M$5:$M$304,Avaliação!$C$5:$C$304,$B171,Avaliação!$A$5:$A$304,$A171,Avaliação!$F$5:$F$304,$C171)),""))</f>
        <v/>
      </c>
      <c r="E171" s="19" t="n"/>
      <c r="F171" s="15">
        <f>IF(OR($D171="",$E171=""),"",$E171-$D171)</f>
        <v/>
      </c>
      <c r="G171" s="19" t="n"/>
      <c r="H171" s="19" t="n"/>
      <c r="I171" s="19" t="n"/>
      <c r="J171" s="19" t="n"/>
      <c r="K171" s="18" t="n"/>
      <c r="L171" s="18" t="n"/>
      <c r="M171" s="19" t="n"/>
      <c r="N171" s="19" t="n"/>
      <c r="O171" s="15">
        <f>IF(OR($B171="",$B171&lt;&gt;'Pauta 1a1'!$B$4,$A171&lt;&gt;'Pauta 1a1'!$B$5),"",COUNTIFS($B$5:$B171,'Pauta 1a1'!$B$4,$A$5:$A171,'Pauta 1a1'!$B$5))</f>
        <v/>
      </c>
    </row>
    <row r="172">
      <c r="A172" s="19" t="n"/>
      <c r="B172" s="19" t="n"/>
      <c r="C172" s="19" t="n"/>
      <c r="D172" s="15">
        <f>IF($B172="","",IFERROR(IF(SUMPRODUCT((Avaliação!$C$5:$C$304=$B172)*(Avaliação!$A$5:$A$304=$A172)*(Avaliação!$F$5:$F$304=$C172)*ISNUMBER(Avaliação!$M$5:$M$304))=0,"",SUMIFS(Avaliação!$M$5:$M$304,Avaliação!$C$5:$C$304,$B172,Avaliação!$A$5:$A$304,$A172,Avaliação!$F$5:$F$304,$C172)),""))</f>
        <v/>
      </c>
      <c r="E172" s="19" t="n"/>
      <c r="F172" s="15">
        <f>IF(OR($D172="",$E172=""),"",$E172-$D172)</f>
        <v/>
      </c>
      <c r="G172" s="19" t="n"/>
      <c r="H172" s="19" t="n"/>
      <c r="I172" s="19" t="n"/>
      <c r="J172" s="19" t="n"/>
      <c r="K172" s="18" t="n"/>
      <c r="L172" s="18" t="n"/>
      <c r="M172" s="19" t="n"/>
      <c r="N172" s="19" t="n"/>
      <c r="O172" s="15">
        <f>IF(OR($B172="",$B172&lt;&gt;'Pauta 1a1'!$B$4,$A172&lt;&gt;'Pauta 1a1'!$B$5),"",COUNTIFS($B$5:$B172,'Pauta 1a1'!$B$4,$A$5:$A172,'Pauta 1a1'!$B$5))</f>
        <v/>
      </c>
    </row>
    <row r="173">
      <c r="A173" s="19" t="n"/>
      <c r="B173" s="19" t="n"/>
      <c r="C173" s="19" t="n"/>
      <c r="D173" s="15">
        <f>IF($B173="","",IFERROR(IF(SUMPRODUCT((Avaliação!$C$5:$C$304=$B173)*(Avaliação!$A$5:$A$304=$A173)*(Avaliação!$F$5:$F$304=$C173)*ISNUMBER(Avaliação!$M$5:$M$304))=0,"",SUMIFS(Avaliação!$M$5:$M$304,Avaliação!$C$5:$C$304,$B173,Avaliação!$A$5:$A$304,$A173,Avaliação!$F$5:$F$304,$C173)),""))</f>
        <v/>
      </c>
      <c r="E173" s="19" t="n"/>
      <c r="F173" s="15">
        <f>IF(OR($D173="",$E173=""),"",$E173-$D173)</f>
        <v/>
      </c>
      <c r="G173" s="19" t="n"/>
      <c r="H173" s="19" t="n"/>
      <c r="I173" s="19" t="n"/>
      <c r="J173" s="19" t="n"/>
      <c r="K173" s="18" t="n"/>
      <c r="L173" s="18" t="n"/>
      <c r="M173" s="19" t="n"/>
      <c r="N173" s="19" t="n"/>
      <c r="O173" s="15">
        <f>IF(OR($B173="",$B173&lt;&gt;'Pauta 1a1'!$B$4,$A173&lt;&gt;'Pauta 1a1'!$B$5),"",COUNTIFS($B$5:$B173,'Pauta 1a1'!$B$4,$A$5:$A173,'Pauta 1a1'!$B$5))</f>
        <v/>
      </c>
    </row>
    <row r="174">
      <c r="A174" s="19" t="n"/>
      <c r="B174" s="19" t="n"/>
      <c r="C174" s="19" t="n"/>
      <c r="D174" s="15">
        <f>IF($B174="","",IFERROR(IF(SUMPRODUCT((Avaliação!$C$5:$C$304=$B174)*(Avaliação!$A$5:$A$304=$A174)*(Avaliação!$F$5:$F$304=$C174)*ISNUMBER(Avaliação!$M$5:$M$304))=0,"",SUMIFS(Avaliação!$M$5:$M$304,Avaliação!$C$5:$C$304,$B174,Avaliação!$A$5:$A$304,$A174,Avaliação!$F$5:$F$304,$C174)),""))</f>
        <v/>
      </c>
      <c r="E174" s="19" t="n"/>
      <c r="F174" s="15">
        <f>IF(OR($D174="",$E174=""),"",$E174-$D174)</f>
        <v/>
      </c>
      <c r="G174" s="19" t="n"/>
      <c r="H174" s="19" t="n"/>
      <c r="I174" s="19" t="n"/>
      <c r="J174" s="19" t="n"/>
      <c r="K174" s="18" t="n"/>
      <c r="L174" s="18" t="n"/>
      <c r="M174" s="19" t="n"/>
      <c r="N174" s="19" t="n"/>
      <c r="O174" s="15">
        <f>IF(OR($B174="",$B174&lt;&gt;'Pauta 1a1'!$B$4,$A174&lt;&gt;'Pauta 1a1'!$B$5),"",COUNTIFS($B$5:$B174,'Pauta 1a1'!$B$4,$A$5:$A174,'Pauta 1a1'!$B$5))</f>
        <v/>
      </c>
    </row>
    <row r="175">
      <c r="A175" s="19" t="n"/>
      <c r="B175" s="19" t="n"/>
      <c r="C175" s="19" t="n"/>
      <c r="D175" s="15">
        <f>IF($B175="","",IFERROR(IF(SUMPRODUCT((Avaliação!$C$5:$C$304=$B175)*(Avaliação!$A$5:$A$304=$A175)*(Avaliação!$F$5:$F$304=$C175)*ISNUMBER(Avaliação!$M$5:$M$304))=0,"",SUMIFS(Avaliação!$M$5:$M$304,Avaliação!$C$5:$C$304,$B175,Avaliação!$A$5:$A$304,$A175,Avaliação!$F$5:$F$304,$C175)),""))</f>
        <v/>
      </c>
      <c r="E175" s="19" t="n"/>
      <c r="F175" s="15">
        <f>IF(OR($D175="",$E175=""),"",$E175-$D175)</f>
        <v/>
      </c>
      <c r="G175" s="19" t="n"/>
      <c r="H175" s="19" t="n"/>
      <c r="I175" s="19" t="n"/>
      <c r="J175" s="19" t="n"/>
      <c r="K175" s="18" t="n"/>
      <c r="L175" s="18" t="n"/>
      <c r="M175" s="19" t="n"/>
      <c r="N175" s="19" t="n"/>
      <c r="O175" s="15">
        <f>IF(OR($B175="",$B175&lt;&gt;'Pauta 1a1'!$B$4,$A175&lt;&gt;'Pauta 1a1'!$B$5),"",COUNTIFS($B$5:$B175,'Pauta 1a1'!$B$4,$A$5:$A175,'Pauta 1a1'!$B$5))</f>
        <v/>
      </c>
    </row>
    <row r="176">
      <c r="A176" s="19" t="n"/>
      <c r="B176" s="19" t="n"/>
      <c r="C176" s="19" t="n"/>
      <c r="D176" s="15">
        <f>IF($B176="","",IFERROR(IF(SUMPRODUCT((Avaliação!$C$5:$C$304=$B176)*(Avaliação!$A$5:$A$304=$A176)*(Avaliação!$F$5:$F$304=$C176)*ISNUMBER(Avaliação!$M$5:$M$304))=0,"",SUMIFS(Avaliação!$M$5:$M$304,Avaliação!$C$5:$C$304,$B176,Avaliação!$A$5:$A$304,$A176,Avaliação!$F$5:$F$304,$C176)),""))</f>
        <v/>
      </c>
      <c r="E176" s="19" t="n"/>
      <c r="F176" s="15">
        <f>IF(OR($D176="",$E176=""),"",$E176-$D176)</f>
        <v/>
      </c>
      <c r="G176" s="19" t="n"/>
      <c r="H176" s="19" t="n"/>
      <c r="I176" s="19" t="n"/>
      <c r="J176" s="19" t="n"/>
      <c r="K176" s="18" t="n"/>
      <c r="L176" s="18" t="n"/>
      <c r="M176" s="19" t="n"/>
      <c r="N176" s="19" t="n"/>
      <c r="O176" s="15">
        <f>IF(OR($B176="",$B176&lt;&gt;'Pauta 1a1'!$B$4,$A176&lt;&gt;'Pauta 1a1'!$B$5),"",COUNTIFS($B$5:$B176,'Pauta 1a1'!$B$4,$A$5:$A176,'Pauta 1a1'!$B$5))</f>
        <v/>
      </c>
    </row>
    <row r="177">
      <c r="A177" s="19" t="n"/>
      <c r="B177" s="19" t="n"/>
      <c r="C177" s="19" t="n"/>
      <c r="D177" s="15">
        <f>IF($B177="","",IFERROR(IF(SUMPRODUCT((Avaliação!$C$5:$C$304=$B177)*(Avaliação!$A$5:$A$304=$A177)*(Avaliação!$F$5:$F$304=$C177)*ISNUMBER(Avaliação!$M$5:$M$304))=0,"",SUMIFS(Avaliação!$M$5:$M$304,Avaliação!$C$5:$C$304,$B177,Avaliação!$A$5:$A$304,$A177,Avaliação!$F$5:$F$304,$C177)),""))</f>
        <v/>
      </c>
      <c r="E177" s="19" t="n"/>
      <c r="F177" s="15">
        <f>IF(OR($D177="",$E177=""),"",$E177-$D177)</f>
        <v/>
      </c>
      <c r="G177" s="19" t="n"/>
      <c r="H177" s="19" t="n"/>
      <c r="I177" s="19" t="n"/>
      <c r="J177" s="19" t="n"/>
      <c r="K177" s="18" t="n"/>
      <c r="L177" s="18" t="n"/>
      <c r="M177" s="19" t="n"/>
      <c r="N177" s="19" t="n"/>
      <c r="O177" s="15">
        <f>IF(OR($B177="",$B177&lt;&gt;'Pauta 1a1'!$B$4,$A177&lt;&gt;'Pauta 1a1'!$B$5),"",COUNTIFS($B$5:$B177,'Pauta 1a1'!$B$4,$A$5:$A177,'Pauta 1a1'!$B$5))</f>
        <v/>
      </c>
    </row>
    <row r="178">
      <c r="A178" s="19" t="n"/>
      <c r="B178" s="19" t="n"/>
      <c r="C178" s="19" t="n"/>
      <c r="D178" s="15">
        <f>IF($B178="","",IFERROR(IF(SUMPRODUCT((Avaliação!$C$5:$C$304=$B178)*(Avaliação!$A$5:$A$304=$A178)*(Avaliação!$F$5:$F$304=$C178)*ISNUMBER(Avaliação!$M$5:$M$304))=0,"",SUMIFS(Avaliação!$M$5:$M$304,Avaliação!$C$5:$C$304,$B178,Avaliação!$A$5:$A$304,$A178,Avaliação!$F$5:$F$304,$C178)),""))</f>
        <v/>
      </c>
      <c r="E178" s="19" t="n"/>
      <c r="F178" s="15">
        <f>IF(OR($D178="",$E178=""),"",$E178-$D178)</f>
        <v/>
      </c>
      <c r="G178" s="19" t="n"/>
      <c r="H178" s="19" t="n"/>
      <c r="I178" s="19" t="n"/>
      <c r="J178" s="19" t="n"/>
      <c r="K178" s="18" t="n"/>
      <c r="L178" s="18" t="n"/>
      <c r="M178" s="19" t="n"/>
      <c r="N178" s="19" t="n"/>
      <c r="O178" s="15">
        <f>IF(OR($B178="",$B178&lt;&gt;'Pauta 1a1'!$B$4,$A178&lt;&gt;'Pauta 1a1'!$B$5),"",COUNTIFS($B$5:$B178,'Pauta 1a1'!$B$4,$A$5:$A178,'Pauta 1a1'!$B$5))</f>
        <v/>
      </c>
    </row>
    <row r="179">
      <c r="A179" s="19" t="n"/>
      <c r="B179" s="19" t="n"/>
      <c r="C179" s="19" t="n"/>
      <c r="D179" s="15">
        <f>IF($B179="","",IFERROR(IF(SUMPRODUCT((Avaliação!$C$5:$C$304=$B179)*(Avaliação!$A$5:$A$304=$A179)*(Avaliação!$F$5:$F$304=$C179)*ISNUMBER(Avaliação!$M$5:$M$304))=0,"",SUMIFS(Avaliação!$M$5:$M$304,Avaliação!$C$5:$C$304,$B179,Avaliação!$A$5:$A$304,$A179,Avaliação!$F$5:$F$304,$C179)),""))</f>
        <v/>
      </c>
      <c r="E179" s="19" t="n"/>
      <c r="F179" s="15">
        <f>IF(OR($D179="",$E179=""),"",$E179-$D179)</f>
        <v/>
      </c>
      <c r="G179" s="19" t="n"/>
      <c r="H179" s="19" t="n"/>
      <c r="I179" s="19" t="n"/>
      <c r="J179" s="19" t="n"/>
      <c r="K179" s="18" t="n"/>
      <c r="L179" s="18" t="n"/>
      <c r="M179" s="19" t="n"/>
      <c r="N179" s="19" t="n"/>
      <c r="O179" s="15">
        <f>IF(OR($B179="",$B179&lt;&gt;'Pauta 1a1'!$B$4,$A179&lt;&gt;'Pauta 1a1'!$B$5),"",COUNTIFS($B$5:$B179,'Pauta 1a1'!$B$4,$A$5:$A179,'Pauta 1a1'!$B$5))</f>
        <v/>
      </c>
    </row>
    <row r="180">
      <c r="A180" s="19" t="n"/>
      <c r="B180" s="19" t="n"/>
      <c r="C180" s="19" t="n"/>
      <c r="D180" s="15">
        <f>IF($B180="","",IFERROR(IF(SUMPRODUCT((Avaliação!$C$5:$C$304=$B180)*(Avaliação!$A$5:$A$304=$A180)*(Avaliação!$F$5:$F$304=$C180)*ISNUMBER(Avaliação!$M$5:$M$304))=0,"",SUMIFS(Avaliação!$M$5:$M$304,Avaliação!$C$5:$C$304,$B180,Avaliação!$A$5:$A$304,$A180,Avaliação!$F$5:$F$304,$C180)),""))</f>
        <v/>
      </c>
      <c r="E180" s="19" t="n"/>
      <c r="F180" s="15">
        <f>IF(OR($D180="",$E180=""),"",$E180-$D180)</f>
        <v/>
      </c>
      <c r="G180" s="19" t="n"/>
      <c r="H180" s="19" t="n"/>
      <c r="I180" s="19" t="n"/>
      <c r="J180" s="19" t="n"/>
      <c r="K180" s="18" t="n"/>
      <c r="L180" s="18" t="n"/>
      <c r="M180" s="19" t="n"/>
      <c r="N180" s="19" t="n"/>
      <c r="O180" s="15">
        <f>IF(OR($B180="",$B180&lt;&gt;'Pauta 1a1'!$B$4,$A180&lt;&gt;'Pauta 1a1'!$B$5),"",COUNTIFS($B$5:$B180,'Pauta 1a1'!$B$4,$A$5:$A180,'Pauta 1a1'!$B$5))</f>
        <v/>
      </c>
    </row>
    <row r="181">
      <c r="A181" s="19" t="n"/>
      <c r="B181" s="19" t="n"/>
      <c r="C181" s="19" t="n"/>
      <c r="D181" s="15">
        <f>IF($B181="","",IFERROR(IF(SUMPRODUCT((Avaliação!$C$5:$C$304=$B181)*(Avaliação!$A$5:$A$304=$A181)*(Avaliação!$F$5:$F$304=$C181)*ISNUMBER(Avaliação!$M$5:$M$304))=0,"",SUMIFS(Avaliação!$M$5:$M$304,Avaliação!$C$5:$C$304,$B181,Avaliação!$A$5:$A$304,$A181,Avaliação!$F$5:$F$304,$C181)),""))</f>
        <v/>
      </c>
      <c r="E181" s="19" t="n"/>
      <c r="F181" s="15">
        <f>IF(OR($D181="",$E181=""),"",$E181-$D181)</f>
        <v/>
      </c>
      <c r="G181" s="19" t="n"/>
      <c r="H181" s="19" t="n"/>
      <c r="I181" s="19" t="n"/>
      <c r="J181" s="19" t="n"/>
      <c r="K181" s="18" t="n"/>
      <c r="L181" s="18" t="n"/>
      <c r="M181" s="19" t="n"/>
      <c r="N181" s="19" t="n"/>
      <c r="O181" s="15">
        <f>IF(OR($B181="",$B181&lt;&gt;'Pauta 1a1'!$B$4,$A181&lt;&gt;'Pauta 1a1'!$B$5),"",COUNTIFS($B$5:$B181,'Pauta 1a1'!$B$4,$A$5:$A181,'Pauta 1a1'!$B$5))</f>
        <v/>
      </c>
    </row>
    <row r="182">
      <c r="A182" s="19" t="n"/>
      <c r="B182" s="19" t="n"/>
      <c r="C182" s="19" t="n"/>
      <c r="D182" s="15">
        <f>IF($B182="","",IFERROR(IF(SUMPRODUCT((Avaliação!$C$5:$C$304=$B182)*(Avaliação!$A$5:$A$304=$A182)*(Avaliação!$F$5:$F$304=$C182)*ISNUMBER(Avaliação!$M$5:$M$304))=0,"",SUMIFS(Avaliação!$M$5:$M$304,Avaliação!$C$5:$C$304,$B182,Avaliação!$A$5:$A$304,$A182,Avaliação!$F$5:$F$304,$C182)),""))</f>
        <v/>
      </c>
      <c r="E182" s="19" t="n"/>
      <c r="F182" s="15">
        <f>IF(OR($D182="",$E182=""),"",$E182-$D182)</f>
        <v/>
      </c>
      <c r="G182" s="19" t="n"/>
      <c r="H182" s="19" t="n"/>
      <c r="I182" s="19" t="n"/>
      <c r="J182" s="19" t="n"/>
      <c r="K182" s="18" t="n"/>
      <c r="L182" s="18" t="n"/>
      <c r="M182" s="19" t="n"/>
      <c r="N182" s="19" t="n"/>
      <c r="O182" s="15">
        <f>IF(OR($B182="",$B182&lt;&gt;'Pauta 1a1'!$B$4,$A182&lt;&gt;'Pauta 1a1'!$B$5),"",COUNTIFS($B$5:$B182,'Pauta 1a1'!$B$4,$A$5:$A182,'Pauta 1a1'!$B$5))</f>
        <v/>
      </c>
    </row>
    <row r="183">
      <c r="A183" s="19" t="n"/>
      <c r="B183" s="19" t="n"/>
      <c r="C183" s="19" t="n"/>
      <c r="D183" s="15">
        <f>IF($B183="","",IFERROR(IF(SUMPRODUCT((Avaliação!$C$5:$C$304=$B183)*(Avaliação!$A$5:$A$304=$A183)*(Avaliação!$F$5:$F$304=$C183)*ISNUMBER(Avaliação!$M$5:$M$304))=0,"",SUMIFS(Avaliação!$M$5:$M$304,Avaliação!$C$5:$C$304,$B183,Avaliação!$A$5:$A$304,$A183,Avaliação!$F$5:$F$304,$C183)),""))</f>
        <v/>
      </c>
      <c r="E183" s="19" t="n"/>
      <c r="F183" s="15">
        <f>IF(OR($D183="",$E183=""),"",$E183-$D183)</f>
        <v/>
      </c>
      <c r="G183" s="19" t="n"/>
      <c r="H183" s="19" t="n"/>
      <c r="I183" s="19" t="n"/>
      <c r="J183" s="19" t="n"/>
      <c r="K183" s="18" t="n"/>
      <c r="L183" s="18" t="n"/>
      <c r="M183" s="19" t="n"/>
      <c r="N183" s="19" t="n"/>
      <c r="O183" s="15">
        <f>IF(OR($B183="",$B183&lt;&gt;'Pauta 1a1'!$B$4,$A183&lt;&gt;'Pauta 1a1'!$B$5),"",COUNTIFS($B$5:$B183,'Pauta 1a1'!$B$4,$A$5:$A183,'Pauta 1a1'!$B$5))</f>
        <v/>
      </c>
    </row>
    <row r="184">
      <c r="A184" s="19" t="n"/>
      <c r="B184" s="19" t="n"/>
      <c r="C184" s="19" t="n"/>
      <c r="D184" s="15">
        <f>IF($B184="","",IFERROR(IF(SUMPRODUCT((Avaliação!$C$5:$C$304=$B184)*(Avaliação!$A$5:$A$304=$A184)*(Avaliação!$F$5:$F$304=$C184)*ISNUMBER(Avaliação!$M$5:$M$304))=0,"",SUMIFS(Avaliação!$M$5:$M$304,Avaliação!$C$5:$C$304,$B184,Avaliação!$A$5:$A$304,$A184,Avaliação!$F$5:$F$304,$C184)),""))</f>
        <v/>
      </c>
      <c r="E184" s="19" t="n"/>
      <c r="F184" s="15">
        <f>IF(OR($D184="",$E184=""),"",$E184-$D184)</f>
        <v/>
      </c>
      <c r="G184" s="19" t="n"/>
      <c r="H184" s="19" t="n"/>
      <c r="I184" s="19" t="n"/>
      <c r="J184" s="19" t="n"/>
      <c r="K184" s="18" t="n"/>
      <c r="L184" s="18" t="n"/>
      <c r="M184" s="19" t="n"/>
      <c r="N184" s="19" t="n"/>
      <c r="O184" s="15">
        <f>IF(OR($B184="",$B184&lt;&gt;'Pauta 1a1'!$B$4,$A184&lt;&gt;'Pauta 1a1'!$B$5),"",COUNTIFS($B$5:$B184,'Pauta 1a1'!$B$4,$A$5:$A184,'Pauta 1a1'!$B$5))</f>
        <v/>
      </c>
    </row>
    <row r="185">
      <c r="A185" s="19" t="n"/>
      <c r="B185" s="19" t="n"/>
      <c r="C185" s="19" t="n"/>
      <c r="D185" s="15">
        <f>IF($B185="","",IFERROR(IF(SUMPRODUCT((Avaliação!$C$5:$C$304=$B185)*(Avaliação!$A$5:$A$304=$A185)*(Avaliação!$F$5:$F$304=$C185)*ISNUMBER(Avaliação!$M$5:$M$304))=0,"",SUMIFS(Avaliação!$M$5:$M$304,Avaliação!$C$5:$C$304,$B185,Avaliação!$A$5:$A$304,$A185,Avaliação!$F$5:$F$304,$C185)),""))</f>
        <v/>
      </c>
      <c r="E185" s="19" t="n"/>
      <c r="F185" s="15">
        <f>IF(OR($D185="",$E185=""),"",$E185-$D185)</f>
        <v/>
      </c>
      <c r="G185" s="19" t="n"/>
      <c r="H185" s="19" t="n"/>
      <c r="I185" s="19" t="n"/>
      <c r="J185" s="19" t="n"/>
      <c r="K185" s="18" t="n"/>
      <c r="L185" s="18" t="n"/>
      <c r="M185" s="19" t="n"/>
      <c r="N185" s="19" t="n"/>
      <c r="O185" s="15">
        <f>IF(OR($B185="",$B185&lt;&gt;'Pauta 1a1'!$B$4,$A185&lt;&gt;'Pauta 1a1'!$B$5),"",COUNTIFS($B$5:$B185,'Pauta 1a1'!$B$4,$A$5:$A185,'Pauta 1a1'!$B$5))</f>
        <v/>
      </c>
    </row>
    <row r="186">
      <c r="A186" s="19" t="n"/>
      <c r="B186" s="19" t="n"/>
      <c r="C186" s="19" t="n"/>
      <c r="D186" s="15">
        <f>IF($B186="","",IFERROR(IF(SUMPRODUCT((Avaliação!$C$5:$C$304=$B186)*(Avaliação!$A$5:$A$304=$A186)*(Avaliação!$F$5:$F$304=$C186)*ISNUMBER(Avaliação!$M$5:$M$304))=0,"",SUMIFS(Avaliação!$M$5:$M$304,Avaliação!$C$5:$C$304,$B186,Avaliação!$A$5:$A$304,$A186,Avaliação!$F$5:$F$304,$C186)),""))</f>
        <v/>
      </c>
      <c r="E186" s="19" t="n"/>
      <c r="F186" s="15">
        <f>IF(OR($D186="",$E186=""),"",$E186-$D186)</f>
        <v/>
      </c>
      <c r="G186" s="19" t="n"/>
      <c r="H186" s="19" t="n"/>
      <c r="I186" s="19" t="n"/>
      <c r="J186" s="19" t="n"/>
      <c r="K186" s="18" t="n"/>
      <c r="L186" s="18" t="n"/>
      <c r="M186" s="19" t="n"/>
      <c r="N186" s="19" t="n"/>
      <c r="O186" s="15">
        <f>IF(OR($B186="",$B186&lt;&gt;'Pauta 1a1'!$B$4,$A186&lt;&gt;'Pauta 1a1'!$B$5),"",COUNTIFS($B$5:$B186,'Pauta 1a1'!$B$4,$A$5:$A186,'Pauta 1a1'!$B$5))</f>
        <v/>
      </c>
    </row>
    <row r="187">
      <c r="A187" s="19" t="n"/>
      <c r="B187" s="19" t="n"/>
      <c r="C187" s="19" t="n"/>
      <c r="D187" s="15">
        <f>IF($B187="","",IFERROR(IF(SUMPRODUCT((Avaliação!$C$5:$C$304=$B187)*(Avaliação!$A$5:$A$304=$A187)*(Avaliação!$F$5:$F$304=$C187)*ISNUMBER(Avaliação!$M$5:$M$304))=0,"",SUMIFS(Avaliação!$M$5:$M$304,Avaliação!$C$5:$C$304,$B187,Avaliação!$A$5:$A$304,$A187,Avaliação!$F$5:$F$304,$C187)),""))</f>
        <v/>
      </c>
      <c r="E187" s="19" t="n"/>
      <c r="F187" s="15">
        <f>IF(OR($D187="",$E187=""),"",$E187-$D187)</f>
        <v/>
      </c>
      <c r="G187" s="19" t="n"/>
      <c r="H187" s="19" t="n"/>
      <c r="I187" s="19" t="n"/>
      <c r="J187" s="19" t="n"/>
      <c r="K187" s="18" t="n"/>
      <c r="L187" s="18" t="n"/>
      <c r="M187" s="19" t="n"/>
      <c r="N187" s="19" t="n"/>
      <c r="O187" s="15">
        <f>IF(OR($B187="",$B187&lt;&gt;'Pauta 1a1'!$B$4,$A187&lt;&gt;'Pauta 1a1'!$B$5),"",COUNTIFS($B$5:$B187,'Pauta 1a1'!$B$4,$A$5:$A187,'Pauta 1a1'!$B$5))</f>
        <v/>
      </c>
    </row>
    <row r="188">
      <c r="A188" s="19" t="n"/>
      <c r="B188" s="19" t="n"/>
      <c r="C188" s="19" t="n"/>
      <c r="D188" s="15">
        <f>IF($B188="","",IFERROR(IF(SUMPRODUCT((Avaliação!$C$5:$C$304=$B188)*(Avaliação!$A$5:$A$304=$A188)*(Avaliação!$F$5:$F$304=$C188)*ISNUMBER(Avaliação!$M$5:$M$304))=0,"",SUMIFS(Avaliação!$M$5:$M$304,Avaliação!$C$5:$C$304,$B188,Avaliação!$A$5:$A$304,$A188,Avaliação!$F$5:$F$304,$C188)),""))</f>
        <v/>
      </c>
      <c r="E188" s="19" t="n"/>
      <c r="F188" s="15">
        <f>IF(OR($D188="",$E188=""),"",$E188-$D188)</f>
        <v/>
      </c>
      <c r="G188" s="19" t="n"/>
      <c r="H188" s="19" t="n"/>
      <c r="I188" s="19" t="n"/>
      <c r="J188" s="19" t="n"/>
      <c r="K188" s="18" t="n"/>
      <c r="L188" s="18" t="n"/>
      <c r="M188" s="19" t="n"/>
      <c r="N188" s="19" t="n"/>
      <c r="O188" s="15">
        <f>IF(OR($B188="",$B188&lt;&gt;'Pauta 1a1'!$B$4,$A188&lt;&gt;'Pauta 1a1'!$B$5),"",COUNTIFS($B$5:$B188,'Pauta 1a1'!$B$4,$A$5:$A188,'Pauta 1a1'!$B$5))</f>
        <v/>
      </c>
    </row>
    <row r="189">
      <c r="A189" s="19" t="n"/>
      <c r="B189" s="19" t="n"/>
      <c r="C189" s="19" t="n"/>
      <c r="D189" s="15">
        <f>IF($B189="","",IFERROR(IF(SUMPRODUCT((Avaliação!$C$5:$C$304=$B189)*(Avaliação!$A$5:$A$304=$A189)*(Avaliação!$F$5:$F$304=$C189)*ISNUMBER(Avaliação!$M$5:$M$304))=0,"",SUMIFS(Avaliação!$M$5:$M$304,Avaliação!$C$5:$C$304,$B189,Avaliação!$A$5:$A$304,$A189,Avaliação!$F$5:$F$304,$C189)),""))</f>
        <v/>
      </c>
      <c r="E189" s="19" t="n"/>
      <c r="F189" s="15">
        <f>IF(OR($D189="",$E189=""),"",$E189-$D189)</f>
        <v/>
      </c>
      <c r="G189" s="19" t="n"/>
      <c r="H189" s="19" t="n"/>
      <c r="I189" s="19" t="n"/>
      <c r="J189" s="19" t="n"/>
      <c r="K189" s="18" t="n"/>
      <c r="L189" s="18" t="n"/>
      <c r="M189" s="19" t="n"/>
      <c r="N189" s="19" t="n"/>
      <c r="O189" s="15">
        <f>IF(OR($B189="",$B189&lt;&gt;'Pauta 1a1'!$B$4,$A189&lt;&gt;'Pauta 1a1'!$B$5),"",COUNTIFS($B$5:$B189,'Pauta 1a1'!$B$4,$A$5:$A189,'Pauta 1a1'!$B$5))</f>
        <v/>
      </c>
    </row>
    <row r="190">
      <c r="A190" s="19" t="n"/>
      <c r="B190" s="19" t="n"/>
      <c r="C190" s="19" t="n"/>
      <c r="D190" s="15">
        <f>IF($B190="","",IFERROR(IF(SUMPRODUCT((Avaliação!$C$5:$C$304=$B190)*(Avaliação!$A$5:$A$304=$A190)*(Avaliação!$F$5:$F$304=$C190)*ISNUMBER(Avaliação!$M$5:$M$304))=0,"",SUMIFS(Avaliação!$M$5:$M$304,Avaliação!$C$5:$C$304,$B190,Avaliação!$A$5:$A$304,$A190,Avaliação!$F$5:$F$304,$C190)),""))</f>
        <v/>
      </c>
      <c r="E190" s="19" t="n"/>
      <c r="F190" s="15">
        <f>IF(OR($D190="",$E190=""),"",$E190-$D190)</f>
        <v/>
      </c>
      <c r="G190" s="19" t="n"/>
      <c r="H190" s="19" t="n"/>
      <c r="I190" s="19" t="n"/>
      <c r="J190" s="19" t="n"/>
      <c r="K190" s="18" t="n"/>
      <c r="L190" s="18" t="n"/>
      <c r="M190" s="19" t="n"/>
      <c r="N190" s="19" t="n"/>
      <c r="O190" s="15">
        <f>IF(OR($B190="",$B190&lt;&gt;'Pauta 1a1'!$B$4,$A190&lt;&gt;'Pauta 1a1'!$B$5),"",COUNTIFS($B$5:$B190,'Pauta 1a1'!$B$4,$A$5:$A190,'Pauta 1a1'!$B$5))</f>
        <v/>
      </c>
    </row>
    <row r="191">
      <c r="A191" s="19" t="n"/>
      <c r="B191" s="19" t="n"/>
      <c r="C191" s="19" t="n"/>
      <c r="D191" s="15">
        <f>IF($B191="","",IFERROR(IF(SUMPRODUCT((Avaliação!$C$5:$C$304=$B191)*(Avaliação!$A$5:$A$304=$A191)*(Avaliação!$F$5:$F$304=$C191)*ISNUMBER(Avaliação!$M$5:$M$304))=0,"",SUMIFS(Avaliação!$M$5:$M$304,Avaliação!$C$5:$C$304,$B191,Avaliação!$A$5:$A$304,$A191,Avaliação!$F$5:$F$304,$C191)),""))</f>
        <v/>
      </c>
      <c r="E191" s="19" t="n"/>
      <c r="F191" s="15">
        <f>IF(OR($D191="",$E191=""),"",$E191-$D191)</f>
        <v/>
      </c>
      <c r="G191" s="19" t="n"/>
      <c r="H191" s="19" t="n"/>
      <c r="I191" s="19" t="n"/>
      <c r="J191" s="19" t="n"/>
      <c r="K191" s="18" t="n"/>
      <c r="L191" s="18" t="n"/>
      <c r="M191" s="19" t="n"/>
      <c r="N191" s="19" t="n"/>
      <c r="O191" s="15">
        <f>IF(OR($B191="",$B191&lt;&gt;'Pauta 1a1'!$B$4,$A191&lt;&gt;'Pauta 1a1'!$B$5),"",COUNTIFS($B$5:$B191,'Pauta 1a1'!$B$4,$A$5:$A191,'Pauta 1a1'!$B$5))</f>
        <v/>
      </c>
    </row>
    <row r="192">
      <c r="A192" s="19" t="n"/>
      <c r="B192" s="19" t="n"/>
      <c r="C192" s="19" t="n"/>
      <c r="D192" s="15">
        <f>IF($B192="","",IFERROR(IF(SUMPRODUCT((Avaliação!$C$5:$C$304=$B192)*(Avaliação!$A$5:$A$304=$A192)*(Avaliação!$F$5:$F$304=$C192)*ISNUMBER(Avaliação!$M$5:$M$304))=0,"",SUMIFS(Avaliação!$M$5:$M$304,Avaliação!$C$5:$C$304,$B192,Avaliação!$A$5:$A$304,$A192,Avaliação!$F$5:$F$304,$C192)),""))</f>
        <v/>
      </c>
      <c r="E192" s="19" t="n"/>
      <c r="F192" s="15">
        <f>IF(OR($D192="",$E192=""),"",$E192-$D192)</f>
        <v/>
      </c>
      <c r="G192" s="19" t="n"/>
      <c r="H192" s="19" t="n"/>
      <c r="I192" s="19" t="n"/>
      <c r="J192" s="19" t="n"/>
      <c r="K192" s="18" t="n"/>
      <c r="L192" s="18" t="n"/>
      <c r="M192" s="19" t="n"/>
      <c r="N192" s="19" t="n"/>
      <c r="O192" s="15">
        <f>IF(OR($B192="",$B192&lt;&gt;'Pauta 1a1'!$B$4,$A192&lt;&gt;'Pauta 1a1'!$B$5),"",COUNTIFS($B$5:$B192,'Pauta 1a1'!$B$4,$A$5:$A192,'Pauta 1a1'!$B$5))</f>
        <v/>
      </c>
    </row>
    <row r="193">
      <c r="A193" s="19" t="n"/>
      <c r="B193" s="19" t="n"/>
      <c r="C193" s="19" t="n"/>
      <c r="D193" s="15">
        <f>IF($B193="","",IFERROR(IF(SUMPRODUCT((Avaliação!$C$5:$C$304=$B193)*(Avaliação!$A$5:$A$304=$A193)*(Avaliação!$F$5:$F$304=$C193)*ISNUMBER(Avaliação!$M$5:$M$304))=0,"",SUMIFS(Avaliação!$M$5:$M$304,Avaliação!$C$5:$C$304,$B193,Avaliação!$A$5:$A$304,$A193,Avaliação!$F$5:$F$304,$C193)),""))</f>
        <v/>
      </c>
      <c r="E193" s="19" t="n"/>
      <c r="F193" s="15">
        <f>IF(OR($D193="",$E193=""),"",$E193-$D193)</f>
        <v/>
      </c>
      <c r="G193" s="19" t="n"/>
      <c r="H193" s="19" t="n"/>
      <c r="I193" s="19" t="n"/>
      <c r="J193" s="19" t="n"/>
      <c r="K193" s="18" t="n"/>
      <c r="L193" s="18" t="n"/>
      <c r="M193" s="19" t="n"/>
      <c r="N193" s="19" t="n"/>
      <c r="O193" s="15">
        <f>IF(OR($B193="",$B193&lt;&gt;'Pauta 1a1'!$B$4,$A193&lt;&gt;'Pauta 1a1'!$B$5),"",COUNTIFS($B$5:$B193,'Pauta 1a1'!$B$4,$A$5:$A193,'Pauta 1a1'!$B$5))</f>
        <v/>
      </c>
    </row>
    <row r="194">
      <c r="A194" s="19" t="n"/>
      <c r="B194" s="19" t="n"/>
      <c r="C194" s="19" t="n"/>
      <c r="D194" s="15">
        <f>IF($B194="","",IFERROR(IF(SUMPRODUCT((Avaliação!$C$5:$C$304=$B194)*(Avaliação!$A$5:$A$304=$A194)*(Avaliação!$F$5:$F$304=$C194)*ISNUMBER(Avaliação!$M$5:$M$304))=0,"",SUMIFS(Avaliação!$M$5:$M$304,Avaliação!$C$5:$C$304,$B194,Avaliação!$A$5:$A$304,$A194,Avaliação!$F$5:$F$304,$C194)),""))</f>
        <v/>
      </c>
      <c r="E194" s="19" t="n"/>
      <c r="F194" s="15">
        <f>IF(OR($D194="",$E194=""),"",$E194-$D194)</f>
        <v/>
      </c>
      <c r="G194" s="19" t="n"/>
      <c r="H194" s="19" t="n"/>
      <c r="I194" s="19" t="n"/>
      <c r="J194" s="19" t="n"/>
      <c r="K194" s="18" t="n"/>
      <c r="L194" s="18" t="n"/>
      <c r="M194" s="19" t="n"/>
      <c r="N194" s="19" t="n"/>
      <c r="O194" s="15">
        <f>IF(OR($B194="",$B194&lt;&gt;'Pauta 1a1'!$B$4,$A194&lt;&gt;'Pauta 1a1'!$B$5),"",COUNTIFS($B$5:$B194,'Pauta 1a1'!$B$4,$A$5:$A194,'Pauta 1a1'!$B$5))</f>
        <v/>
      </c>
    </row>
    <row r="195">
      <c r="A195" s="19" t="n"/>
      <c r="B195" s="19" t="n"/>
      <c r="C195" s="19" t="n"/>
      <c r="D195" s="15">
        <f>IF($B195="","",IFERROR(IF(SUMPRODUCT((Avaliação!$C$5:$C$304=$B195)*(Avaliação!$A$5:$A$304=$A195)*(Avaliação!$F$5:$F$304=$C195)*ISNUMBER(Avaliação!$M$5:$M$304))=0,"",SUMIFS(Avaliação!$M$5:$M$304,Avaliação!$C$5:$C$304,$B195,Avaliação!$A$5:$A$304,$A195,Avaliação!$F$5:$F$304,$C195)),""))</f>
        <v/>
      </c>
      <c r="E195" s="19" t="n"/>
      <c r="F195" s="15">
        <f>IF(OR($D195="",$E195=""),"",$E195-$D195)</f>
        <v/>
      </c>
      <c r="G195" s="19" t="n"/>
      <c r="H195" s="19" t="n"/>
      <c r="I195" s="19" t="n"/>
      <c r="J195" s="19" t="n"/>
      <c r="K195" s="18" t="n"/>
      <c r="L195" s="18" t="n"/>
      <c r="M195" s="19" t="n"/>
      <c r="N195" s="19" t="n"/>
      <c r="O195" s="15">
        <f>IF(OR($B195="",$B195&lt;&gt;'Pauta 1a1'!$B$4,$A195&lt;&gt;'Pauta 1a1'!$B$5),"",COUNTIFS($B$5:$B195,'Pauta 1a1'!$B$4,$A$5:$A195,'Pauta 1a1'!$B$5))</f>
        <v/>
      </c>
    </row>
    <row r="196">
      <c r="A196" s="19" t="n"/>
      <c r="B196" s="19" t="n"/>
      <c r="C196" s="19" t="n"/>
      <c r="D196" s="15">
        <f>IF($B196="","",IFERROR(IF(SUMPRODUCT((Avaliação!$C$5:$C$304=$B196)*(Avaliação!$A$5:$A$304=$A196)*(Avaliação!$F$5:$F$304=$C196)*ISNUMBER(Avaliação!$M$5:$M$304))=0,"",SUMIFS(Avaliação!$M$5:$M$304,Avaliação!$C$5:$C$304,$B196,Avaliação!$A$5:$A$304,$A196,Avaliação!$F$5:$F$304,$C196)),""))</f>
        <v/>
      </c>
      <c r="E196" s="19" t="n"/>
      <c r="F196" s="15">
        <f>IF(OR($D196="",$E196=""),"",$E196-$D196)</f>
        <v/>
      </c>
      <c r="G196" s="19" t="n"/>
      <c r="H196" s="19" t="n"/>
      <c r="I196" s="19" t="n"/>
      <c r="J196" s="19" t="n"/>
      <c r="K196" s="18" t="n"/>
      <c r="L196" s="18" t="n"/>
      <c r="M196" s="19" t="n"/>
      <c r="N196" s="19" t="n"/>
      <c r="O196" s="15">
        <f>IF(OR($B196="",$B196&lt;&gt;'Pauta 1a1'!$B$4,$A196&lt;&gt;'Pauta 1a1'!$B$5),"",COUNTIFS($B$5:$B196,'Pauta 1a1'!$B$4,$A$5:$A196,'Pauta 1a1'!$B$5))</f>
        <v/>
      </c>
    </row>
    <row r="197">
      <c r="A197" s="19" t="n"/>
      <c r="B197" s="19" t="n"/>
      <c r="C197" s="19" t="n"/>
      <c r="D197" s="15">
        <f>IF($B197="","",IFERROR(IF(SUMPRODUCT((Avaliação!$C$5:$C$304=$B197)*(Avaliação!$A$5:$A$304=$A197)*(Avaliação!$F$5:$F$304=$C197)*ISNUMBER(Avaliação!$M$5:$M$304))=0,"",SUMIFS(Avaliação!$M$5:$M$304,Avaliação!$C$5:$C$304,$B197,Avaliação!$A$5:$A$304,$A197,Avaliação!$F$5:$F$304,$C197)),""))</f>
        <v/>
      </c>
      <c r="E197" s="19" t="n"/>
      <c r="F197" s="15">
        <f>IF(OR($D197="",$E197=""),"",$E197-$D197)</f>
        <v/>
      </c>
      <c r="G197" s="19" t="n"/>
      <c r="H197" s="19" t="n"/>
      <c r="I197" s="19" t="n"/>
      <c r="J197" s="19" t="n"/>
      <c r="K197" s="18" t="n"/>
      <c r="L197" s="18" t="n"/>
      <c r="M197" s="19" t="n"/>
      <c r="N197" s="19" t="n"/>
      <c r="O197" s="15">
        <f>IF(OR($B197="",$B197&lt;&gt;'Pauta 1a1'!$B$4,$A197&lt;&gt;'Pauta 1a1'!$B$5),"",COUNTIFS($B$5:$B197,'Pauta 1a1'!$B$4,$A$5:$A197,'Pauta 1a1'!$B$5))</f>
        <v/>
      </c>
    </row>
    <row r="198">
      <c r="A198" s="19" t="n"/>
      <c r="B198" s="19" t="n"/>
      <c r="C198" s="19" t="n"/>
      <c r="D198" s="15">
        <f>IF($B198="","",IFERROR(IF(SUMPRODUCT((Avaliação!$C$5:$C$304=$B198)*(Avaliação!$A$5:$A$304=$A198)*(Avaliação!$F$5:$F$304=$C198)*ISNUMBER(Avaliação!$M$5:$M$304))=0,"",SUMIFS(Avaliação!$M$5:$M$304,Avaliação!$C$5:$C$304,$B198,Avaliação!$A$5:$A$304,$A198,Avaliação!$F$5:$F$304,$C198)),""))</f>
        <v/>
      </c>
      <c r="E198" s="19" t="n"/>
      <c r="F198" s="15">
        <f>IF(OR($D198="",$E198=""),"",$E198-$D198)</f>
        <v/>
      </c>
      <c r="G198" s="19" t="n"/>
      <c r="H198" s="19" t="n"/>
      <c r="I198" s="19" t="n"/>
      <c r="J198" s="19" t="n"/>
      <c r="K198" s="18" t="n"/>
      <c r="L198" s="18" t="n"/>
      <c r="M198" s="19" t="n"/>
      <c r="N198" s="19" t="n"/>
      <c r="O198" s="15">
        <f>IF(OR($B198="",$B198&lt;&gt;'Pauta 1a1'!$B$4,$A198&lt;&gt;'Pauta 1a1'!$B$5),"",COUNTIFS($B$5:$B198,'Pauta 1a1'!$B$4,$A$5:$A198,'Pauta 1a1'!$B$5))</f>
        <v/>
      </c>
    </row>
    <row r="199">
      <c r="A199" s="19" t="n"/>
      <c r="B199" s="19" t="n"/>
      <c r="C199" s="19" t="n"/>
      <c r="D199" s="15">
        <f>IF($B199="","",IFERROR(IF(SUMPRODUCT((Avaliação!$C$5:$C$304=$B199)*(Avaliação!$A$5:$A$304=$A199)*(Avaliação!$F$5:$F$304=$C199)*ISNUMBER(Avaliação!$M$5:$M$304))=0,"",SUMIFS(Avaliação!$M$5:$M$304,Avaliação!$C$5:$C$304,$B199,Avaliação!$A$5:$A$304,$A199,Avaliação!$F$5:$F$304,$C199)),""))</f>
        <v/>
      </c>
      <c r="E199" s="19" t="n"/>
      <c r="F199" s="15">
        <f>IF(OR($D199="",$E199=""),"",$E199-$D199)</f>
        <v/>
      </c>
      <c r="G199" s="19" t="n"/>
      <c r="H199" s="19" t="n"/>
      <c r="I199" s="19" t="n"/>
      <c r="J199" s="19" t="n"/>
      <c r="K199" s="18" t="n"/>
      <c r="L199" s="18" t="n"/>
      <c r="M199" s="19" t="n"/>
      <c r="N199" s="19" t="n"/>
      <c r="O199" s="15">
        <f>IF(OR($B199="",$B199&lt;&gt;'Pauta 1a1'!$B$4,$A199&lt;&gt;'Pauta 1a1'!$B$5),"",COUNTIFS($B$5:$B199,'Pauta 1a1'!$B$4,$A$5:$A199,'Pauta 1a1'!$B$5))</f>
        <v/>
      </c>
    </row>
    <row r="200">
      <c r="A200" s="19" t="n"/>
      <c r="B200" s="19" t="n"/>
      <c r="C200" s="19" t="n"/>
      <c r="D200" s="15">
        <f>IF($B200="","",IFERROR(IF(SUMPRODUCT((Avaliação!$C$5:$C$304=$B200)*(Avaliação!$A$5:$A$304=$A200)*(Avaliação!$F$5:$F$304=$C200)*ISNUMBER(Avaliação!$M$5:$M$304))=0,"",SUMIFS(Avaliação!$M$5:$M$304,Avaliação!$C$5:$C$304,$B200,Avaliação!$A$5:$A$304,$A200,Avaliação!$F$5:$F$304,$C200)),""))</f>
        <v/>
      </c>
      <c r="E200" s="19" t="n"/>
      <c r="F200" s="15">
        <f>IF(OR($D200="",$E200=""),"",$E200-$D200)</f>
        <v/>
      </c>
      <c r="G200" s="19" t="n"/>
      <c r="H200" s="19" t="n"/>
      <c r="I200" s="19" t="n"/>
      <c r="J200" s="19" t="n"/>
      <c r="K200" s="18" t="n"/>
      <c r="L200" s="18" t="n"/>
      <c r="M200" s="19" t="n"/>
      <c r="N200" s="19" t="n"/>
      <c r="O200" s="15">
        <f>IF(OR($B200="",$B200&lt;&gt;'Pauta 1a1'!$B$4,$A200&lt;&gt;'Pauta 1a1'!$B$5),"",COUNTIFS($B$5:$B200,'Pauta 1a1'!$B$4,$A$5:$A200,'Pauta 1a1'!$B$5))</f>
        <v/>
      </c>
    </row>
    <row r="201">
      <c r="A201" s="19" t="n"/>
      <c r="B201" s="19" t="n"/>
      <c r="C201" s="19" t="n"/>
      <c r="D201" s="15">
        <f>IF($B201="","",IFERROR(IF(SUMPRODUCT((Avaliação!$C$5:$C$304=$B201)*(Avaliação!$A$5:$A$304=$A201)*(Avaliação!$F$5:$F$304=$C201)*ISNUMBER(Avaliação!$M$5:$M$304))=0,"",SUMIFS(Avaliação!$M$5:$M$304,Avaliação!$C$5:$C$304,$B201,Avaliação!$A$5:$A$304,$A201,Avaliação!$F$5:$F$304,$C201)),""))</f>
        <v/>
      </c>
      <c r="E201" s="19" t="n"/>
      <c r="F201" s="15">
        <f>IF(OR($D201="",$E201=""),"",$E201-$D201)</f>
        <v/>
      </c>
      <c r="G201" s="19" t="n"/>
      <c r="H201" s="19" t="n"/>
      <c r="I201" s="19" t="n"/>
      <c r="J201" s="19" t="n"/>
      <c r="K201" s="18" t="n"/>
      <c r="L201" s="18" t="n"/>
      <c r="M201" s="19" t="n"/>
      <c r="N201" s="19" t="n"/>
      <c r="O201" s="15">
        <f>IF(OR($B201="",$B201&lt;&gt;'Pauta 1a1'!$B$4,$A201&lt;&gt;'Pauta 1a1'!$B$5),"",COUNTIFS($B$5:$B201,'Pauta 1a1'!$B$4,$A$5:$A201,'Pauta 1a1'!$B$5))</f>
        <v/>
      </c>
    </row>
    <row r="202">
      <c r="A202" s="19" t="n"/>
      <c r="B202" s="19" t="n"/>
      <c r="C202" s="19" t="n"/>
      <c r="D202" s="15">
        <f>IF($B202="","",IFERROR(IF(SUMPRODUCT((Avaliação!$C$5:$C$304=$B202)*(Avaliação!$A$5:$A$304=$A202)*(Avaliação!$F$5:$F$304=$C202)*ISNUMBER(Avaliação!$M$5:$M$304))=0,"",SUMIFS(Avaliação!$M$5:$M$304,Avaliação!$C$5:$C$304,$B202,Avaliação!$A$5:$A$304,$A202,Avaliação!$F$5:$F$304,$C202)),""))</f>
        <v/>
      </c>
      <c r="E202" s="19" t="n"/>
      <c r="F202" s="15">
        <f>IF(OR($D202="",$E202=""),"",$E202-$D202)</f>
        <v/>
      </c>
      <c r="G202" s="19" t="n"/>
      <c r="H202" s="19" t="n"/>
      <c r="I202" s="19" t="n"/>
      <c r="J202" s="19" t="n"/>
      <c r="K202" s="18" t="n"/>
      <c r="L202" s="18" t="n"/>
      <c r="M202" s="19" t="n"/>
      <c r="N202" s="19" t="n"/>
      <c r="O202" s="15">
        <f>IF(OR($B202="",$B202&lt;&gt;'Pauta 1a1'!$B$4,$A202&lt;&gt;'Pauta 1a1'!$B$5),"",COUNTIFS($B$5:$B202,'Pauta 1a1'!$B$4,$A$5:$A202,'Pauta 1a1'!$B$5))</f>
        <v/>
      </c>
    </row>
    <row r="203">
      <c r="A203" s="19" t="n"/>
      <c r="B203" s="19" t="n"/>
      <c r="C203" s="19" t="n"/>
      <c r="D203" s="15">
        <f>IF($B203="","",IFERROR(IF(SUMPRODUCT((Avaliação!$C$5:$C$304=$B203)*(Avaliação!$A$5:$A$304=$A203)*(Avaliação!$F$5:$F$304=$C203)*ISNUMBER(Avaliação!$M$5:$M$304))=0,"",SUMIFS(Avaliação!$M$5:$M$304,Avaliação!$C$5:$C$304,$B203,Avaliação!$A$5:$A$304,$A203,Avaliação!$F$5:$F$304,$C203)),""))</f>
        <v/>
      </c>
      <c r="E203" s="19" t="n"/>
      <c r="F203" s="15">
        <f>IF(OR($D203="",$E203=""),"",$E203-$D203)</f>
        <v/>
      </c>
      <c r="G203" s="19" t="n"/>
      <c r="H203" s="19" t="n"/>
      <c r="I203" s="19" t="n"/>
      <c r="J203" s="19" t="n"/>
      <c r="K203" s="18" t="n"/>
      <c r="L203" s="18" t="n"/>
      <c r="M203" s="19" t="n"/>
      <c r="N203" s="19" t="n"/>
      <c r="O203" s="15">
        <f>IF(OR($B203="",$B203&lt;&gt;'Pauta 1a1'!$B$4,$A203&lt;&gt;'Pauta 1a1'!$B$5),"",COUNTIFS($B$5:$B203,'Pauta 1a1'!$B$4,$A$5:$A203,'Pauta 1a1'!$B$5))</f>
        <v/>
      </c>
    </row>
    <row r="204">
      <c r="A204" s="19" t="n"/>
      <c r="B204" s="19" t="n"/>
      <c r="C204" s="19" t="n"/>
      <c r="D204" s="15">
        <f>IF($B204="","",IFERROR(IF(SUMPRODUCT((Avaliação!$C$5:$C$304=$B204)*(Avaliação!$A$5:$A$304=$A204)*(Avaliação!$F$5:$F$304=$C204)*ISNUMBER(Avaliação!$M$5:$M$304))=0,"",SUMIFS(Avaliação!$M$5:$M$304,Avaliação!$C$5:$C$304,$B204,Avaliação!$A$5:$A$304,$A204,Avaliação!$F$5:$F$304,$C204)),""))</f>
        <v/>
      </c>
      <c r="E204" s="19" t="n"/>
      <c r="F204" s="15">
        <f>IF(OR($D204="",$E204=""),"",$E204-$D204)</f>
        <v/>
      </c>
      <c r="G204" s="19" t="n"/>
      <c r="H204" s="19" t="n"/>
      <c r="I204" s="19" t="n"/>
      <c r="J204" s="19" t="n"/>
      <c r="K204" s="18" t="n"/>
      <c r="L204" s="18" t="n"/>
      <c r="M204" s="19" t="n"/>
      <c r="N204" s="19" t="n"/>
      <c r="O204" s="15">
        <f>IF(OR($B204="",$B204&lt;&gt;'Pauta 1a1'!$B$4,$A204&lt;&gt;'Pauta 1a1'!$B$5),"",COUNTIFS($B$5:$B204,'Pauta 1a1'!$B$4,$A$5:$A204,'Pauta 1a1'!$B$5))</f>
        <v/>
      </c>
    </row>
  </sheetData>
  <dataValidations count="4">
    <dataValidation sqref="B5:B204" showDropDown="0" showInputMessage="0" showErrorMessage="0" allowBlank="1" type="list">
      <formula1>=Colaboradores!$B$2:$B$61</formula1>
    </dataValidation>
    <dataValidation sqref="C5:C204" showDropDown="0" showInputMessage="0" showErrorMessage="0" allowBlank="1" type="list">
      <formula1>=Competências!$C$2:$C$12</formula1>
    </dataValidation>
    <dataValidation sqref="E5:E204" showDropDown="0" showInputMessage="0" showErrorMessage="0" allowBlank="1" type="list">
      <formula1>=Config!$Q$8:$Q$13</formula1>
    </dataValidation>
    <dataValidation sqref="M5:M204" showDropDown="0" showInputMessage="0" showErrorMessage="0" allowBlank="1" type="list">
      <formula1>=Config!$P$8:$P$12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2" customWidth="1" min="3" max="3"/>
    <col width="88" customWidth="1" min="4" max="4"/>
  </cols>
  <sheetData>
    <row r="1" ht="22" customHeight="1">
      <c r="A1" s="1" t="inlineStr">
        <is>
          <t>Integridade do ciclo — o que precisa estar zerado antes de fechar</t>
        </is>
      </c>
      <c r="B1" s="2" t="n"/>
      <c r="C1" s="2" t="n"/>
      <c r="D1" s="2" t="n"/>
    </row>
    <row r="2">
      <c r="A2" s="3" t="inlineStr">
        <is>
          <t>Cada linha é um mecanismo contra um viés ou contra uma falha de gestão. Vazio é o problema real, não a nota baixa.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 ht="30" customHeight="1">
      <c r="A4" s="13" t="inlineStr">
        <is>
          <t>#</t>
        </is>
      </c>
      <c r="B4" s="13" t="inlineStr">
        <is>
          <t>Verificação</t>
        </is>
      </c>
      <c r="C4" s="13" t="inlineStr">
        <is>
          <t>Ocorrências</t>
        </is>
      </c>
      <c r="D4" s="13" t="inlineStr">
        <is>
          <t>Por que isso importa / o que fazer</t>
        </is>
      </c>
    </row>
    <row r="5" ht="34" customHeight="1">
      <c r="A5" s="29" t="n">
        <v>1</v>
      </c>
      <c r="B5" s="30" t="inlineStr">
        <is>
          <t>Colaboradores ativos sem avaliação no ciclo</t>
        </is>
      </c>
      <c r="C5" s="31">
        <f>COUNTIF(Painel!$Y$5:$Y$64,"Sem avaliação")</f>
        <v/>
      </c>
      <c r="D5" s="32" t="inlineStr">
        <is>
          <t>É a visão mais valiosa da planilha. Ciclo com metade da squad sem nota não vale para mérito nem para PDI.</t>
        </is>
      </c>
    </row>
    <row r="6" ht="34" customHeight="1">
      <c r="A6" s="29" t="n">
        <v>2</v>
      </c>
      <c r="B6" s="30" t="inlineStr">
        <is>
          <t>Notas 1, 2 ou 5 sem ocorrência vinculada</t>
        </is>
      </c>
      <c r="C6" s="31">
        <f>SUM(Painel!$V$5:$V$64)</f>
        <v/>
      </c>
      <c r="D6" s="32" t="inlineStr">
        <is>
          <t>Nota sem lastro é impressão, não avaliação. Registre a ocorrência que sustenta a nota ou mude a nota. Não feche o ciclo com isto acima de zero.</t>
        </is>
      </c>
    </row>
    <row r="7" ht="34" customHeight="1">
      <c r="A7" s="29" t="n">
        <v>3</v>
      </c>
      <c r="B7" s="30" t="inlineStr">
        <is>
          <t>Ocorrências negativas nunca conversadas com a pessoa</t>
        </is>
      </c>
      <c r="C7" s="31">
        <f>SUM(Painel!$W$5:$W$64)</f>
        <v/>
      </c>
      <c r="D7" s="32" t="inlineStr">
        <is>
          <t>Não entram no cálculo do ciclo. Surpresa na devolutiva é falha de gestão e é o que derruba um processo demissional.</t>
        </is>
      </c>
    </row>
    <row r="8" ht="34" customHeight="1">
      <c r="A8" s="29" t="n">
        <v>4</v>
      </c>
      <c r="B8" s="30" t="inlineStr">
        <is>
          <t>Divergências GP × Líder Técnico de 2+ pontos</t>
        </is>
      </c>
      <c r="C8" s="31">
        <f>SUM(Painel!$U$5:$U$64)</f>
        <v/>
      </c>
      <c r="D8" s="32" t="inlineStr">
        <is>
          <t>Não é erro, é sinal. Cada lado traz uma ocorrência. Se só um tem evidência, a nota dele prevalece — nunca a média.</t>
        </is>
      </c>
    </row>
    <row r="9" ht="34" customHeight="1">
      <c r="A9" s="29" t="n">
        <v>5</v>
      </c>
      <c r="B9" s="30" t="inlineStr">
        <is>
          <t>Sem nenhuma ocorrência há mais de 45 dias</t>
        </is>
      </c>
      <c r="C9" s="31">
        <f>COUNTIF(Painel!$S$5:$S$64,"&gt;45")</f>
        <v/>
      </c>
      <c r="D9" s="32" t="inlineStr">
        <is>
          <t>Ou a pessoa é invisível para a gestão, ou o registro parou. Nos dois casos a avaliação do ciclo vai ser chute.</t>
        </is>
      </c>
    </row>
    <row r="10" ht="34" customHeight="1">
      <c r="A10" s="29" t="n">
        <v>6</v>
      </c>
      <c r="B10" s="30" t="inlineStr">
        <is>
          <t>Sem 1:1 há mais de 30 dias</t>
        </is>
      </c>
      <c r="C10" s="31">
        <f>COUNTIF(Painel!$T$5:$T$64,"&gt;30")</f>
        <v/>
      </c>
      <c r="D10" s="32" t="inlineStr">
        <is>
          <t>Planilha que não vira conversa morre. Esta é a falha que mata a ferramenta — todas as outras são consertáveis.</t>
        </is>
      </c>
    </row>
    <row r="11" ht="34" customHeight="1">
      <c r="A11" s="29" t="n">
        <v>7</v>
      </c>
      <c r="B11" s="30" t="inlineStr">
        <is>
          <t>Avaliação com nota chapada (mesma nota em tudo)</t>
        </is>
      </c>
      <c r="C11" s="31">
        <f>COUNTIFS(Painel!$X$5:$X$64,0)</f>
        <v/>
      </c>
      <c r="D11" s="32" t="inlineStr">
        <is>
          <t>Bom desempenho é irregular. Nota chapada é halo ou preguiça. Reabra as âncoras e avalie competência por competência.</t>
        </is>
      </c>
    </row>
    <row r="12" ht="34" customHeight="1">
      <c r="A12" s="29" t="n">
        <v>8</v>
      </c>
      <c r="B12" s="30" t="inlineStr">
        <is>
          <t>Registros de ocorrência com campo obrigatório vazio</t>
        </is>
      </c>
      <c r="C12" s="31">
        <f>COUNTIF(Ocorrências!$O$5:$O$404,"Faltam campos")</f>
        <v/>
      </c>
      <c r="D12" s="32" t="inlineStr">
        <is>
          <t>Sem fato, consequência ou 'informado?', o registro não sustenta uma conversa difícil nem uma revisão do RH.</t>
        </is>
      </c>
    </row>
    <row r="13" ht="34" customHeight="1">
      <c r="A13" s="29" t="n">
        <v>9</v>
      </c>
      <c r="B13" s="30" t="inlineStr">
        <is>
          <t>Pessoas com 3+ registros negativos e nenhum positivo</t>
        </is>
      </c>
      <c r="C13" s="31">
        <f>COUNTIFS(Painel!$R$5:$R$64,"&gt;=3",Painel!$Q$5:$Q$64,0)</f>
        <v/>
      </c>
      <c r="D13" s="32" t="inlineStr">
        <is>
          <t>Ou a situação é grave de verdade (e pede plano formal, não planilha), ou o registro está enviesado. As duas leituras exigem ação.</t>
        </is>
      </c>
    </row>
    <row r="14" ht="34" customHeight="1">
      <c r="A14" s="29" t="n">
        <v>10</v>
      </c>
      <c r="B14" s="30" t="inlineStr">
        <is>
          <t>Concentração de registros no último mês do ciclo</t>
        </is>
      </c>
      <c r="C14" s="31">
        <f>COUNTIFS(Ocorrências!$N$5:$N$404,Config!$B$4,Ocorrências!$A$5:$A$404,"&gt;="&amp;DATE(2026,9,1))</f>
        <v/>
      </c>
      <c r="D14" s="32" t="inlineStr">
        <is>
          <t>Se a maior parte do ciclo foi registrada nas últimas semanas, a avaliação é memória recente disfarçada de dado. Ajuste a data de referência desta linha a cada ciclo.</t>
        </is>
      </c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33" t="inlineStr">
        <is>
          <t>Fontes e premissas</t>
        </is>
      </c>
      <c r="C17" s="2" t="n"/>
      <c r="D17" s="2" t="n"/>
    </row>
    <row r="18" ht="28" customHeight="1">
      <c r="A18" s="2" t="n"/>
      <c r="B18" s="34" t="inlineStr">
        <is>
          <t>Modelo de competências, escala, pesos e expectativas: definidos nesta v1 a partir das visões consolidadas de RH, Gerência de Projetos e Liderança Técnica. Não são benchmark de mercado — são pontos de partida para o gestor calibrar.</t>
        </is>
      </c>
      <c r="C18" s="2" t="n"/>
      <c r="D18" s="2" t="n"/>
    </row>
    <row r="19" ht="28" customHeight="1">
      <c r="A19" s="2" t="n"/>
      <c r="B19" s="34" t="inlineStr">
        <is>
          <t>Limiares (45 dias sem ocorrência, 30 dias sem 1:1, divergência ≥2, gap -0,3) são convenções desta v1, editáveis. Estão aqui e nas fórmulas do Painel; ao mudar um, mude nos dois lugares.</t>
        </is>
      </c>
      <c r="C19" s="2" t="n"/>
      <c r="D19" s="2" t="n"/>
    </row>
    <row r="20" ht="28" customHeight="1">
      <c r="A20" s="2" t="n"/>
      <c r="B20" s="34" t="inlineStr">
        <is>
          <t>Expectativas por senioridade (Júnior 2,7 · Pleno 3,0 · Sênior 3,2 · Especialista 3,4) são premissa, não medição. Ajuste na aba Config depois do primeiro ciclo real.</t>
        </is>
      </c>
      <c r="C20" s="2" t="n"/>
      <c r="D20" s="2" t="n"/>
    </row>
  </sheetData>
  <mergeCells count="3">
    <mergeCell ref="B18:D18"/>
    <mergeCell ref="B19:D19"/>
    <mergeCell ref="B20:D20"/>
  </mergeCells>
  <conditionalFormatting sqref="C5:C14">
    <cfRule type="cellIs" priority="1" operator="greaterThan" dxfId="5">
      <formula>0</formula>
    </cfRule>
    <cfRule type="cellIs" priority="2" operator="equal" dxfId="2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50" customWidth="1" min="4" max="4"/>
    <col width="50" customWidth="1" min="5" max="5"/>
    <col width="12" customWidth="1" min="6" max="6"/>
    <col width="14" customWidth="1" min="7" max="7"/>
  </cols>
  <sheetData>
    <row r="1" ht="22" customHeight="1">
      <c r="A1" s="1" t="inlineStr">
        <is>
          <t>Registro de 1:1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Duas linhas por reunião bastam. É este registro que alimenta o alerta de '1:1 atrasada' no Painel.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30" customHeight="1">
      <c r="A4" s="13" t="inlineStr">
        <is>
          <t>Data</t>
        </is>
      </c>
      <c r="B4" s="13" t="inlineStr">
        <is>
          <t>Colaborador</t>
        </is>
      </c>
      <c r="C4" s="13" t="inlineStr">
        <is>
          <t>Gestor</t>
        </is>
      </c>
      <c r="D4" s="13" t="inlineStr">
        <is>
          <t>Temas tratados</t>
        </is>
      </c>
      <c r="E4" s="13" t="inlineStr">
        <is>
          <t>Compromissos assumidos</t>
        </is>
      </c>
      <c r="F4" s="13" t="inlineStr">
        <is>
          <t>Prazo</t>
        </is>
      </c>
      <c r="G4" s="13" t="inlineStr">
        <is>
          <t>Status</t>
        </is>
      </c>
    </row>
    <row r="5">
      <c r="A5" s="18" t="n">
        <v>46226</v>
      </c>
      <c r="B5" s="19" t="inlineStr">
        <is>
          <t>Bruno Tavares</t>
        </is>
      </c>
      <c r="C5" s="19" t="inlineStr">
        <is>
          <t>Marcos Lima</t>
        </is>
      </c>
      <c r="D5" s="19" t="inlineStr">
        <is>
          <t>Comunicação de bloqueio; combinado avisar na daily do mesmo dia.</t>
        </is>
      </c>
      <c r="E5" s="19" t="inlineStr">
        <is>
          <t>Avisar bloqueio na daily do dia em que ocorre.</t>
        </is>
      </c>
      <c r="F5" s="18" t="n">
        <v>46265</v>
      </c>
      <c r="G5" s="19" t="inlineStr">
        <is>
          <t>Concluído</t>
        </is>
      </c>
    </row>
    <row r="6">
      <c r="A6" s="18" t="n">
        <v>46254</v>
      </c>
      <c r="B6" s="19" t="inlineStr">
        <is>
          <t>Ana Ribeiro</t>
        </is>
      </c>
      <c r="C6" s="19" t="inlineStr">
        <is>
          <t>Rafael Souza</t>
        </is>
      </c>
      <c r="D6" s="19" t="inlineStr">
        <is>
          <t>Teste de caminho de erro antes de abrir PR; interesse em assumir refinamento.</t>
        </is>
      </c>
      <c r="E6" s="19" t="inlineStr">
        <is>
          <t>Incluir teste de erro nos próximos 3 PRs de rota nova.</t>
        </is>
      </c>
      <c r="F6" s="18" t="n">
        <v>46356</v>
      </c>
      <c r="G6" s="19" t="inlineStr">
        <is>
          <t>Em andamento</t>
        </is>
      </c>
    </row>
    <row r="7">
      <c r="A7" s="18" t="n"/>
      <c r="B7" s="19" t="n"/>
      <c r="C7" s="19" t="n"/>
      <c r="D7" s="19" t="n"/>
      <c r="E7" s="19" t="n"/>
      <c r="F7" s="18" t="n"/>
      <c r="G7" s="19" t="n"/>
    </row>
    <row r="8">
      <c r="A8" s="18" t="n"/>
      <c r="B8" s="19" t="n"/>
      <c r="C8" s="19" t="n"/>
      <c r="D8" s="19" t="n"/>
      <c r="E8" s="19" t="n"/>
      <c r="F8" s="18" t="n"/>
      <c r="G8" s="19" t="n"/>
    </row>
    <row r="9">
      <c r="A9" s="18" t="n"/>
      <c r="B9" s="19" t="n"/>
      <c r="C9" s="19" t="n"/>
      <c r="D9" s="19" t="n"/>
      <c r="E9" s="19" t="n"/>
      <c r="F9" s="18" t="n"/>
      <c r="G9" s="19" t="n"/>
    </row>
    <row r="10">
      <c r="A10" s="18" t="n"/>
      <c r="B10" s="19" t="n"/>
      <c r="C10" s="19" t="n"/>
      <c r="D10" s="19" t="n"/>
      <c r="E10" s="19" t="n"/>
      <c r="F10" s="18" t="n"/>
      <c r="G10" s="19" t="n"/>
    </row>
    <row r="11">
      <c r="A11" s="18" t="n"/>
      <c r="B11" s="19" t="n"/>
      <c r="C11" s="19" t="n"/>
      <c r="D11" s="19" t="n"/>
      <c r="E11" s="19" t="n"/>
      <c r="F11" s="18" t="n"/>
      <c r="G11" s="19" t="n"/>
    </row>
    <row r="12">
      <c r="A12" s="18" t="n"/>
      <c r="B12" s="19" t="n"/>
      <c r="C12" s="19" t="n"/>
      <c r="D12" s="19" t="n"/>
      <c r="E12" s="19" t="n"/>
      <c r="F12" s="18" t="n"/>
      <c r="G12" s="19" t="n"/>
    </row>
    <row r="13">
      <c r="A13" s="18" t="n"/>
      <c r="B13" s="19" t="n"/>
      <c r="C13" s="19" t="n"/>
      <c r="D13" s="19" t="n"/>
      <c r="E13" s="19" t="n"/>
      <c r="F13" s="18" t="n"/>
      <c r="G13" s="19" t="n"/>
    </row>
    <row r="14">
      <c r="A14" s="18" t="n"/>
      <c r="B14" s="19" t="n"/>
      <c r="C14" s="19" t="n"/>
      <c r="D14" s="19" t="n"/>
      <c r="E14" s="19" t="n"/>
      <c r="F14" s="18" t="n"/>
      <c r="G14" s="19" t="n"/>
    </row>
    <row r="15">
      <c r="A15" s="18" t="n"/>
      <c r="B15" s="19" t="n"/>
      <c r="C15" s="19" t="n"/>
      <c r="D15" s="19" t="n"/>
      <c r="E15" s="19" t="n"/>
      <c r="F15" s="18" t="n"/>
      <c r="G15" s="19" t="n"/>
    </row>
    <row r="16">
      <c r="A16" s="18" t="n"/>
      <c r="B16" s="19" t="n"/>
      <c r="C16" s="19" t="n"/>
      <c r="D16" s="19" t="n"/>
      <c r="E16" s="19" t="n"/>
      <c r="F16" s="18" t="n"/>
      <c r="G16" s="19" t="n"/>
    </row>
    <row r="17">
      <c r="A17" s="18" t="n"/>
      <c r="B17" s="19" t="n"/>
      <c r="C17" s="19" t="n"/>
      <c r="D17" s="19" t="n"/>
      <c r="E17" s="19" t="n"/>
      <c r="F17" s="18" t="n"/>
      <c r="G17" s="19" t="n"/>
    </row>
    <row r="18">
      <c r="A18" s="18" t="n"/>
      <c r="B18" s="19" t="n"/>
      <c r="C18" s="19" t="n"/>
      <c r="D18" s="19" t="n"/>
      <c r="E18" s="19" t="n"/>
      <c r="F18" s="18" t="n"/>
      <c r="G18" s="19" t="n"/>
    </row>
    <row r="19">
      <c r="A19" s="18" t="n"/>
      <c r="B19" s="19" t="n"/>
      <c r="C19" s="19" t="n"/>
      <c r="D19" s="19" t="n"/>
      <c r="E19" s="19" t="n"/>
      <c r="F19" s="18" t="n"/>
      <c r="G19" s="19" t="n"/>
    </row>
    <row r="20">
      <c r="A20" s="18" t="n"/>
      <c r="B20" s="19" t="n"/>
      <c r="C20" s="19" t="n"/>
      <c r="D20" s="19" t="n"/>
      <c r="E20" s="19" t="n"/>
      <c r="F20" s="18" t="n"/>
      <c r="G20" s="19" t="n"/>
    </row>
    <row r="21">
      <c r="A21" s="18" t="n"/>
      <c r="B21" s="19" t="n"/>
      <c r="C21" s="19" t="n"/>
      <c r="D21" s="19" t="n"/>
      <c r="E21" s="19" t="n"/>
      <c r="F21" s="18" t="n"/>
      <c r="G21" s="19" t="n"/>
    </row>
    <row r="22">
      <c r="A22" s="18" t="n"/>
      <c r="B22" s="19" t="n"/>
      <c r="C22" s="19" t="n"/>
      <c r="D22" s="19" t="n"/>
      <c r="E22" s="19" t="n"/>
      <c r="F22" s="18" t="n"/>
      <c r="G22" s="19" t="n"/>
    </row>
    <row r="23">
      <c r="A23" s="18" t="n"/>
      <c r="B23" s="19" t="n"/>
      <c r="C23" s="19" t="n"/>
      <c r="D23" s="19" t="n"/>
      <c r="E23" s="19" t="n"/>
      <c r="F23" s="18" t="n"/>
      <c r="G23" s="19" t="n"/>
    </row>
    <row r="24">
      <c r="A24" s="18" t="n"/>
      <c r="B24" s="19" t="n"/>
      <c r="C24" s="19" t="n"/>
      <c r="D24" s="19" t="n"/>
      <c r="E24" s="19" t="n"/>
      <c r="F24" s="18" t="n"/>
      <c r="G24" s="19" t="n"/>
    </row>
    <row r="25">
      <c r="A25" s="18" t="n"/>
      <c r="B25" s="19" t="n"/>
      <c r="C25" s="19" t="n"/>
      <c r="D25" s="19" t="n"/>
      <c r="E25" s="19" t="n"/>
      <c r="F25" s="18" t="n"/>
      <c r="G25" s="19" t="n"/>
    </row>
    <row r="26">
      <c r="A26" s="18" t="n"/>
      <c r="B26" s="19" t="n"/>
      <c r="C26" s="19" t="n"/>
      <c r="D26" s="19" t="n"/>
      <c r="E26" s="19" t="n"/>
      <c r="F26" s="18" t="n"/>
      <c r="G26" s="19" t="n"/>
    </row>
    <row r="27">
      <c r="A27" s="18" t="n"/>
      <c r="B27" s="19" t="n"/>
      <c r="C27" s="19" t="n"/>
      <c r="D27" s="19" t="n"/>
      <c r="E27" s="19" t="n"/>
      <c r="F27" s="18" t="n"/>
      <c r="G27" s="19" t="n"/>
    </row>
    <row r="28">
      <c r="A28" s="18" t="n"/>
      <c r="B28" s="19" t="n"/>
      <c r="C28" s="19" t="n"/>
      <c r="D28" s="19" t="n"/>
      <c r="E28" s="19" t="n"/>
      <c r="F28" s="18" t="n"/>
      <c r="G28" s="19" t="n"/>
    </row>
    <row r="29">
      <c r="A29" s="18" t="n"/>
      <c r="B29" s="19" t="n"/>
      <c r="C29" s="19" t="n"/>
      <c r="D29" s="19" t="n"/>
      <c r="E29" s="19" t="n"/>
      <c r="F29" s="18" t="n"/>
      <c r="G29" s="19" t="n"/>
    </row>
    <row r="30">
      <c r="A30" s="18" t="n"/>
      <c r="B30" s="19" t="n"/>
      <c r="C30" s="19" t="n"/>
      <c r="D30" s="19" t="n"/>
      <c r="E30" s="19" t="n"/>
      <c r="F30" s="18" t="n"/>
      <c r="G30" s="19" t="n"/>
    </row>
    <row r="31">
      <c r="A31" s="18" t="n"/>
      <c r="B31" s="19" t="n"/>
      <c r="C31" s="19" t="n"/>
      <c r="D31" s="19" t="n"/>
      <c r="E31" s="19" t="n"/>
      <c r="F31" s="18" t="n"/>
      <c r="G31" s="19" t="n"/>
    </row>
    <row r="32">
      <c r="A32" s="18" t="n"/>
      <c r="B32" s="19" t="n"/>
      <c r="C32" s="19" t="n"/>
      <c r="D32" s="19" t="n"/>
      <c r="E32" s="19" t="n"/>
      <c r="F32" s="18" t="n"/>
      <c r="G32" s="19" t="n"/>
    </row>
    <row r="33">
      <c r="A33" s="18" t="n"/>
      <c r="B33" s="19" t="n"/>
      <c r="C33" s="19" t="n"/>
      <c r="D33" s="19" t="n"/>
      <c r="E33" s="19" t="n"/>
      <c r="F33" s="18" t="n"/>
      <c r="G33" s="19" t="n"/>
    </row>
    <row r="34">
      <c r="A34" s="18" t="n"/>
      <c r="B34" s="19" t="n"/>
      <c r="C34" s="19" t="n"/>
      <c r="D34" s="19" t="n"/>
      <c r="E34" s="19" t="n"/>
      <c r="F34" s="18" t="n"/>
      <c r="G34" s="19" t="n"/>
    </row>
    <row r="35">
      <c r="A35" s="18" t="n"/>
      <c r="B35" s="19" t="n"/>
      <c r="C35" s="19" t="n"/>
      <c r="D35" s="19" t="n"/>
      <c r="E35" s="19" t="n"/>
      <c r="F35" s="18" t="n"/>
      <c r="G35" s="19" t="n"/>
    </row>
    <row r="36">
      <c r="A36" s="18" t="n"/>
      <c r="B36" s="19" t="n"/>
      <c r="C36" s="19" t="n"/>
      <c r="D36" s="19" t="n"/>
      <c r="E36" s="19" t="n"/>
      <c r="F36" s="18" t="n"/>
      <c r="G36" s="19" t="n"/>
    </row>
    <row r="37">
      <c r="A37" s="18" t="n"/>
      <c r="B37" s="19" t="n"/>
      <c r="C37" s="19" t="n"/>
      <c r="D37" s="19" t="n"/>
      <c r="E37" s="19" t="n"/>
      <c r="F37" s="18" t="n"/>
      <c r="G37" s="19" t="n"/>
    </row>
    <row r="38">
      <c r="A38" s="18" t="n"/>
      <c r="B38" s="19" t="n"/>
      <c r="C38" s="19" t="n"/>
      <c r="D38" s="19" t="n"/>
      <c r="E38" s="19" t="n"/>
      <c r="F38" s="18" t="n"/>
      <c r="G38" s="19" t="n"/>
    </row>
    <row r="39">
      <c r="A39" s="18" t="n"/>
      <c r="B39" s="19" t="n"/>
      <c r="C39" s="19" t="n"/>
      <c r="D39" s="19" t="n"/>
      <c r="E39" s="19" t="n"/>
      <c r="F39" s="18" t="n"/>
      <c r="G39" s="19" t="n"/>
    </row>
    <row r="40">
      <c r="A40" s="18" t="n"/>
      <c r="B40" s="19" t="n"/>
      <c r="C40" s="19" t="n"/>
      <c r="D40" s="19" t="n"/>
      <c r="E40" s="19" t="n"/>
      <c r="F40" s="18" t="n"/>
      <c r="G40" s="19" t="n"/>
    </row>
    <row r="41">
      <c r="A41" s="18" t="n"/>
      <c r="B41" s="19" t="n"/>
      <c r="C41" s="19" t="n"/>
      <c r="D41" s="19" t="n"/>
      <c r="E41" s="19" t="n"/>
      <c r="F41" s="18" t="n"/>
      <c r="G41" s="19" t="n"/>
    </row>
    <row r="42">
      <c r="A42" s="18" t="n"/>
      <c r="B42" s="19" t="n"/>
      <c r="C42" s="19" t="n"/>
      <c r="D42" s="19" t="n"/>
      <c r="E42" s="19" t="n"/>
      <c r="F42" s="18" t="n"/>
      <c r="G42" s="19" t="n"/>
    </row>
    <row r="43">
      <c r="A43" s="18" t="n"/>
      <c r="B43" s="19" t="n"/>
      <c r="C43" s="19" t="n"/>
      <c r="D43" s="19" t="n"/>
      <c r="E43" s="19" t="n"/>
      <c r="F43" s="18" t="n"/>
      <c r="G43" s="19" t="n"/>
    </row>
    <row r="44">
      <c r="A44" s="18" t="n"/>
      <c r="B44" s="19" t="n"/>
      <c r="C44" s="19" t="n"/>
      <c r="D44" s="19" t="n"/>
      <c r="E44" s="19" t="n"/>
      <c r="F44" s="18" t="n"/>
      <c r="G44" s="19" t="n"/>
    </row>
    <row r="45">
      <c r="A45" s="18" t="n"/>
      <c r="B45" s="19" t="n"/>
      <c r="C45" s="19" t="n"/>
      <c r="D45" s="19" t="n"/>
      <c r="E45" s="19" t="n"/>
      <c r="F45" s="18" t="n"/>
      <c r="G45" s="19" t="n"/>
    </row>
    <row r="46">
      <c r="A46" s="18" t="n"/>
      <c r="B46" s="19" t="n"/>
      <c r="C46" s="19" t="n"/>
      <c r="D46" s="19" t="n"/>
      <c r="E46" s="19" t="n"/>
      <c r="F46" s="18" t="n"/>
      <c r="G46" s="19" t="n"/>
    </row>
    <row r="47">
      <c r="A47" s="18" t="n"/>
      <c r="B47" s="19" t="n"/>
      <c r="C47" s="19" t="n"/>
      <c r="D47" s="19" t="n"/>
      <c r="E47" s="19" t="n"/>
      <c r="F47" s="18" t="n"/>
      <c r="G47" s="19" t="n"/>
    </row>
    <row r="48">
      <c r="A48" s="18" t="n"/>
      <c r="B48" s="19" t="n"/>
      <c r="C48" s="19" t="n"/>
      <c r="D48" s="19" t="n"/>
      <c r="E48" s="19" t="n"/>
      <c r="F48" s="18" t="n"/>
      <c r="G48" s="19" t="n"/>
    </row>
    <row r="49">
      <c r="A49" s="18" t="n"/>
      <c r="B49" s="19" t="n"/>
      <c r="C49" s="19" t="n"/>
      <c r="D49" s="19" t="n"/>
      <c r="E49" s="19" t="n"/>
      <c r="F49" s="18" t="n"/>
      <c r="G49" s="19" t="n"/>
    </row>
    <row r="50">
      <c r="A50" s="18" t="n"/>
      <c r="B50" s="19" t="n"/>
      <c r="C50" s="19" t="n"/>
      <c r="D50" s="19" t="n"/>
      <c r="E50" s="19" t="n"/>
      <c r="F50" s="18" t="n"/>
      <c r="G50" s="19" t="n"/>
    </row>
    <row r="51">
      <c r="A51" s="18" t="n"/>
      <c r="B51" s="19" t="n"/>
      <c r="C51" s="19" t="n"/>
      <c r="D51" s="19" t="n"/>
      <c r="E51" s="19" t="n"/>
      <c r="F51" s="18" t="n"/>
      <c r="G51" s="19" t="n"/>
    </row>
    <row r="52">
      <c r="A52" s="18" t="n"/>
      <c r="B52" s="19" t="n"/>
      <c r="C52" s="19" t="n"/>
      <c r="D52" s="19" t="n"/>
      <c r="E52" s="19" t="n"/>
      <c r="F52" s="18" t="n"/>
      <c r="G52" s="19" t="n"/>
    </row>
    <row r="53">
      <c r="A53" s="18" t="n"/>
      <c r="B53" s="19" t="n"/>
      <c r="C53" s="19" t="n"/>
      <c r="D53" s="19" t="n"/>
      <c r="E53" s="19" t="n"/>
      <c r="F53" s="18" t="n"/>
      <c r="G53" s="19" t="n"/>
    </row>
    <row r="54">
      <c r="A54" s="18" t="n"/>
      <c r="B54" s="19" t="n"/>
      <c r="C54" s="19" t="n"/>
      <c r="D54" s="19" t="n"/>
      <c r="E54" s="19" t="n"/>
      <c r="F54" s="18" t="n"/>
      <c r="G54" s="19" t="n"/>
    </row>
    <row r="55">
      <c r="A55" s="18" t="n"/>
      <c r="B55" s="19" t="n"/>
      <c r="C55" s="19" t="n"/>
      <c r="D55" s="19" t="n"/>
      <c r="E55" s="19" t="n"/>
      <c r="F55" s="18" t="n"/>
      <c r="G55" s="19" t="n"/>
    </row>
    <row r="56">
      <c r="A56" s="18" t="n"/>
      <c r="B56" s="19" t="n"/>
      <c r="C56" s="19" t="n"/>
      <c r="D56" s="19" t="n"/>
      <c r="E56" s="19" t="n"/>
      <c r="F56" s="18" t="n"/>
      <c r="G56" s="19" t="n"/>
    </row>
    <row r="57">
      <c r="A57" s="18" t="n"/>
      <c r="B57" s="19" t="n"/>
      <c r="C57" s="19" t="n"/>
      <c r="D57" s="19" t="n"/>
      <c r="E57" s="19" t="n"/>
      <c r="F57" s="18" t="n"/>
      <c r="G57" s="19" t="n"/>
    </row>
    <row r="58">
      <c r="A58" s="18" t="n"/>
      <c r="B58" s="19" t="n"/>
      <c r="C58" s="19" t="n"/>
      <c r="D58" s="19" t="n"/>
      <c r="E58" s="19" t="n"/>
      <c r="F58" s="18" t="n"/>
      <c r="G58" s="19" t="n"/>
    </row>
    <row r="59">
      <c r="A59" s="18" t="n"/>
      <c r="B59" s="19" t="n"/>
      <c r="C59" s="19" t="n"/>
      <c r="D59" s="19" t="n"/>
      <c r="E59" s="19" t="n"/>
      <c r="F59" s="18" t="n"/>
      <c r="G59" s="19" t="n"/>
    </row>
    <row r="60">
      <c r="A60" s="18" t="n"/>
      <c r="B60" s="19" t="n"/>
      <c r="C60" s="19" t="n"/>
      <c r="D60" s="19" t="n"/>
      <c r="E60" s="19" t="n"/>
      <c r="F60" s="18" t="n"/>
      <c r="G60" s="19" t="n"/>
    </row>
    <row r="61">
      <c r="A61" s="18" t="n"/>
      <c r="B61" s="19" t="n"/>
      <c r="C61" s="19" t="n"/>
      <c r="D61" s="19" t="n"/>
      <c r="E61" s="19" t="n"/>
      <c r="F61" s="18" t="n"/>
      <c r="G61" s="19" t="n"/>
    </row>
    <row r="62">
      <c r="A62" s="18" t="n"/>
      <c r="B62" s="19" t="n"/>
      <c r="C62" s="19" t="n"/>
      <c r="D62" s="19" t="n"/>
      <c r="E62" s="19" t="n"/>
      <c r="F62" s="18" t="n"/>
      <c r="G62" s="19" t="n"/>
    </row>
    <row r="63">
      <c r="A63" s="18" t="n"/>
      <c r="B63" s="19" t="n"/>
      <c r="C63" s="19" t="n"/>
      <c r="D63" s="19" t="n"/>
      <c r="E63" s="19" t="n"/>
      <c r="F63" s="18" t="n"/>
      <c r="G63" s="19" t="n"/>
    </row>
    <row r="64">
      <c r="A64" s="18" t="n"/>
      <c r="B64" s="19" t="n"/>
      <c r="C64" s="19" t="n"/>
      <c r="D64" s="19" t="n"/>
      <c r="E64" s="19" t="n"/>
      <c r="F64" s="18" t="n"/>
      <c r="G64" s="19" t="n"/>
    </row>
    <row r="65">
      <c r="A65" s="18" t="n"/>
      <c r="B65" s="19" t="n"/>
      <c r="C65" s="19" t="n"/>
      <c r="D65" s="19" t="n"/>
      <c r="E65" s="19" t="n"/>
      <c r="F65" s="18" t="n"/>
      <c r="G65" s="19" t="n"/>
    </row>
    <row r="66">
      <c r="A66" s="18" t="n"/>
      <c r="B66" s="19" t="n"/>
      <c r="C66" s="19" t="n"/>
      <c r="D66" s="19" t="n"/>
      <c r="E66" s="19" t="n"/>
      <c r="F66" s="18" t="n"/>
      <c r="G66" s="19" t="n"/>
    </row>
    <row r="67">
      <c r="A67" s="18" t="n"/>
      <c r="B67" s="19" t="n"/>
      <c r="C67" s="19" t="n"/>
      <c r="D67" s="19" t="n"/>
      <c r="E67" s="19" t="n"/>
      <c r="F67" s="18" t="n"/>
      <c r="G67" s="19" t="n"/>
    </row>
    <row r="68">
      <c r="A68" s="18" t="n"/>
      <c r="B68" s="19" t="n"/>
      <c r="C68" s="19" t="n"/>
      <c r="D68" s="19" t="n"/>
      <c r="E68" s="19" t="n"/>
      <c r="F68" s="18" t="n"/>
      <c r="G68" s="19" t="n"/>
    </row>
    <row r="69">
      <c r="A69" s="18" t="n"/>
      <c r="B69" s="19" t="n"/>
      <c r="C69" s="19" t="n"/>
      <c r="D69" s="19" t="n"/>
      <c r="E69" s="19" t="n"/>
      <c r="F69" s="18" t="n"/>
      <c r="G69" s="19" t="n"/>
    </row>
    <row r="70">
      <c r="A70" s="18" t="n"/>
      <c r="B70" s="19" t="n"/>
      <c r="C70" s="19" t="n"/>
      <c r="D70" s="19" t="n"/>
      <c r="E70" s="19" t="n"/>
      <c r="F70" s="18" t="n"/>
      <c r="G70" s="19" t="n"/>
    </row>
    <row r="71">
      <c r="A71" s="18" t="n"/>
      <c r="B71" s="19" t="n"/>
      <c r="C71" s="19" t="n"/>
      <c r="D71" s="19" t="n"/>
      <c r="E71" s="19" t="n"/>
      <c r="F71" s="18" t="n"/>
      <c r="G71" s="19" t="n"/>
    </row>
    <row r="72">
      <c r="A72" s="18" t="n"/>
      <c r="B72" s="19" t="n"/>
      <c r="C72" s="19" t="n"/>
      <c r="D72" s="19" t="n"/>
      <c r="E72" s="19" t="n"/>
      <c r="F72" s="18" t="n"/>
      <c r="G72" s="19" t="n"/>
    </row>
    <row r="73">
      <c r="A73" s="18" t="n"/>
      <c r="B73" s="19" t="n"/>
      <c r="C73" s="19" t="n"/>
      <c r="D73" s="19" t="n"/>
      <c r="E73" s="19" t="n"/>
      <c r="F73" s="18" t="n"/>
      <c r="G73" s="19" t="n"/>
    </row>
    <row r="74">
      <c r="A74" s="18" t="n"/>
      <c r="B74" s="19" t="n"/>
      <c r="C74" s="19" t="n"/>
      <c r="D74" s="19" t="n"/>
      <c r="E74" s="19" t="n"/>
      <c r="F74" s="18" t="n"/>
      <c r="G74" s="19" t="n"/>
    </row>
    <row r="75">
      <c r="A75" s="18" t="n"/>
      <c r="B75" s="19" t="n"/>
      <c r="C75" s="19" t="n"/>
      <c r="D75" s="19" t="n"/>
      <c r="E75" s="19" t="n"/>
      <c r="F75" s="18" t="n"/>
      <c r="G75" s="19" t="n"/>
    </row>
    <row r="76">
      <c r="A76" s="18" t="n"/>
      <c r="B76" s="19" t="n"/>
      <c r="C76" s="19" t="n"/>
      <c r="D76" s="19" t="n"/>
      <c r="E76" s="19" t="n"/>
      <c r="F76" s="18" t="n"/>
      <c r="G76" s="19" t="n"/>
    </row>
    <row r="77">
      <c r="A77" s="18" t="n"/>
      <c r="B77" s="19" t="n"/>
      <c r="C77" s="19" t="n"/>
      <c r="D77" s="19" t="n"/>
      <c r="E77" s="19" t="n"/>
      <c r="F77" s="18" t="n"/>
      <c r="G77" s="19" t="n"/>
    </row>
    <row r="78">
      <c r="A78" s="18" t="n"/>
      <c r="B78" s="19" t="n"/>
      <c r="C78" s="19" t="n"/>
      <c r="D78" s="19" t="n"/>
      <c r="E78" s="19" t="n"/>
      <c r="F78" s="18" t="n"/>
      <c r="G78" s="19" t="n"/>
    </row>
    <row r="79">
      <c r="A79" s="18" t="n"/>
      <c r="B79" s="19" t="n"/>
      <c r="C79" s="19" t="n"/>
      <c r="D79" s="19" t="n"/>
      <c r="E79" s="19" t="n"/>
      <c r="F79" s="18" t="n"/>
      <c r="G79" s="19" t="n"/>
    </row>
    <row r="80">
      <c r="A80" s="18" t="n"/>
      <c r="B80" s="19" t="n"/>
      <c r="C80" s="19" t="n"/>
      <c r="D80" s="19" t="n"/>
      <c r="E80" s="19" t="n"/>
      <c r="F80" s="18" t="n"/>
      <c r="G80" s="19" t="n"/>
    </row>
    <row r="81">
      <c r="A81" s="18" t="n"/>
      <c r="B81" s="19" t="n"/>
      <c r="C81" s="19" t="n"/>
      <c r="D81" s="19" t="n"/>
      <c r="E81" s="19" t="n"/>
      <c r="F81" s="18" t="n"/>
      <c r="G81" s="19" t="n"/>
    </row>
    <row r="82">
      <c r="A82" s="18" t="n"/>
      <c r="B82" s="19" t="n"/>
      <c r="C82" s="19" t="n"/>
      <c r="D82" s="19" t="n"/>
      <c r="E82" s="19" t="n"/>
      <c r="F82" s="18" t="n"/>
      <c r="G82" s="19" t="n"/>
    </row>
    <row r="83">
      <c r="A83" s="18" t="n"/>
      <c r="B83" s="19" t="n"/>
      <c r="C83" s="19" t="n"/>
      <c r="D83" s="19" t="n"/>
      <c r="E83" s="19" t="n"/>
      <c r="F83" s="18" t="n"/>
      <c r="G83" s="19" t="n"/>
    </row>
    <row r="84">
      <c r="A84" s="18" t="n"/>
      <c r="B84" s="19" t="n"/>
      <c r="C84" s="19" t="n"/>
      <c r="D84" s="19" t="n"/>
      <c r="E84" s="19" t="n"/>
      <c r="F84" s="18" t="n"/>
      <c r="G84" s="19" t="n"/>
    </row>
    <row r="85">
      <c r="A85" s="18" t="n"/>
      <c r="B85" s="19" t="n"/>
      <c r="C85" s="19" t="n"/>
      <c r="D85" s="19" t="n"/>
      <c r="E85" s="19" t="n"/>
      <c r="F85" s="18" t="n"/>
      <c r="G85" s="19" t="n"/>
    </row>
    <row r="86">
      <c r="A86" s="18" t="n"/>
      <c r="B86" s="19" t="n"/>
      <c r="C86" s="19" t="n"/>
      <c r="D86" s="19" t="n"/>
      <c r="E86" s="19" t="n"/>
      <c r="F86" s="18" t="n"/>
      <c r="G86" s="19" t="n"/>
    </row>
    <row r="87">
      <c r="A87" s="18" t="n"/>
      <c r="B87" s="19" t="n"/>
      <c r="C87" s="19" t="n"/>
      <c r="D87" s="19" t="n"/>
      <c r="E87" s="19" t="n"/>
      <c r="F87" s="18" t="n"/>
      <c r="G87" s="19" t="n"/>
    </row>
    <row r="88">
      <c r="A88" s="18" t="n"/>
      <c r="B88" s="19" t="n"/>
      <c r="C88" s="19" t="n"/>
      <c r="D88" s="19" t="n"/>
      <c r="E88" s="19" t="n"/>
      <c r="F88" s="18" t="n"/>
      <c r="G88" s="19" t="n"/>
    </row>
    <row r="89">
      <c r="A89" s="18" t="n"/>
      <c r="B89" s="19" t="n"/>
      <c r="C89" s="19" t="n"/>
      <c r="D89" s="19" t="n"/>
      <c r="E89" s="19" t="n"/>
      <c r="F89" s="18" t="n"/>
      <c r="G89" s="19" t="n"/>
    </row>
    <row r="90">
      <c r="A90" s="18" t="n"/>
      <c r="B90" s="19" t="n"/>
      <c r="C90" s="19" t="n"/>
      <c r="D90" s="19" t="n"/>
      <c r="E90" s="19" t="n"/>
      <c r="F90" s="18" t="n"/>
      <c r="G90" s="19" t="n"/>
    </row>
    <row r="91">
      <c r="A91" s="18" t="n"/>
      <c r="B91" s="19" t="n"/>
      <c r="C91" s="19" t="n"/>
      <c r="D91" s="19" t="n"/>
      <c r="E91" s="19" t="n"/>
      <c r="F91" s="18" t="n"/>
      <c r="G91" s="19" t="n"/>
    </row>
    <row r="92">
      <c r="A92" s="18" t="n"/>
      <c r="B92" s="19" t="n"/>
      <c r="C92" s="19" t="n"/>
      <c r="D92" s="19" t="n"/>
      <c r="E92" s="19" t="n"/>
      <c r="F92" s="18" t="n"/>
      <c r="G92" s="19" t="n"/>
    </row>
    <row r="93">
      <c r="A93" s="18" t="n"/>
      <c r="B93" s="19" t="n"/>
      <c r="C93" s="19" t="n"/>
      <c r="D93" s="19" t="n"/>
      <c r="E93" s="19" t="n"/>
      <c r="F93" s="18" t="n"/>
      <c r="G93" s="19" t="n"/>
    </row>
    <row r="94">
      <c r="A94" s="18" t="n"/>
      <c r="B94" s="19" t="n"/>
      <c r="C94" s="19" t="n"/>
      <c r="D94" s="19" t="n"/>
      <c r="E94" s="19" t="n"/>
      <c r="F94" s="18" t="n"/>
      <c r="G94" s="19" t="n"/>
    </row>
    <row r="95">
      <c r="A95" s="18" t="n"/>
      <c r="B95" s="19" t="n"/>
      <c r="C95" s="19" t="n"/>
      <c r="D95" s="19" t="n"/>
      <c r="E95" s="19" t="n"/>
      <c r="F95" s="18" t="n"/>
      <c r="G95" s="19" t="n"/>
    </row>
    <row r="96">
      <c r="A96" s="18" t="n"/>
      <c r="B96" s="19" t="n"/>
      <c r="C96" s="19" t="n"/>
      <c r="D96" s="19" t="n"/>
      <c r="E96" s="19" t="n"/>
      <c r="F96" s="18" t="n"/>
      <c r="G96" s="19" t="n"/>
    </row>
    <row r="97">
      <c r="A97" s="18" t="n"/>
      <c r="B97" s="19" t="n"/>
      <c r="C97" s="19" t="n"/>
      <c r="D97" s="19" t="n"/>
      <c r="E97" s="19" t="n"/>
      <c r="F97" s="18" t="n"/>
      <c r="G97" s="19" t="n"/>
    </row>
    <row r="98">
      <c r="A98" s="18" t="n"/>
      <c r="B98" s="19" t="n"/>
      <c r="C98" s="19" t="n"/>
      <c r="D98" s="19" t="n"/>
      <c r="E98" s="19" t="n"/>
      <c r="F98" s="18" t="n"/>
      <c r="G98" s="19" t="n"/>
    </row>
    <row r="99">
      <c r="A99" s="18" t="n"/>
      <c r="B99" s="19" t="n"/>
      <c r="C99" s="19" t="n"/>
      <c r="D99" s="19" t="n"/>
      <c r="E99" s="19" t="n"/>
      <c r="F99" s="18" t="n"/>
      <c r="G99" s="19" t="n"/>
    </row>
    <row r="100">
      <c r="A100" s="18" t="n"/>
      <c r="B100" s="19" t="n"/>
      <c r="C100" s="19" t="n"/>
      <c r="D100" s="19" t="n"/>
      <c r="E100" s="19" t="n"/>
      <c r="F100" s="18" t="n"/>
      <c r="G100" s="19" t="n"/>
    </row>
    <row r="101">
      <c r="A101" s="18" t="n"/>
      <c r="B101" s="19" t="n"/>
      <c r="C101" s="19" t="n"/>
      <c r="D101" s="19" t="n"/>
      <c r="E101" s="19" t="n"/>
      <c r="F101" s="18" t="n"/>
      <c r="G101" s="19" t="n"/>
    </row>
    <row r="102">
      <c r="A102" s="18" t="n"/>
      <c r="B102" s="19" t="n"/>
      <c r="C102" s="19" t="n"/>
      <c r="D102" s="19" t="n"/>
      <c r="E102" s="19" t="n"/>
      <c r="F102" s="18" t="n"/>
      <c r="G102" s="19" t="n"/>
    </row>
    <row r="103">
      <c r="A103" s="18" t="n"/>
      <c r="B103" s="19" t="n"/>
      <c r="C103" s="19" t="n"/>
      <c r="D103" s="19" t="n"/>
      <c r="E103" s="19" t="n"/>
      <c r="F103" s="18" t="n"/>
      <c r="G103" s="19" t="n"/>
    </row>
    <row r="104">
      <c r="A104" s="18" t="n"/>
      <c r="B104" s="19" t="n"/>
      <c r="C104" s="19" t="n"/>
      <c r="D104" s="19" t="n"/>
      <c r="E104" s="19" t="n"/>
      <c r="F104" s="18" t="n"/>
      <c r="G104" s="19" t="n"/>
    </row>
    <row r="105">
      <c r="A105" s="18" t="n"/>
      <c r="B105" s="19" t="n"/>
      <c r="C105" s="19" t="n"/>
      <c r="D105" s="19" t="n"/>
      <c r="E105" s="19" t="n"/>
      <c r="F105" s="18" t="n"/>
      <c r="G105" s="19" t="n"/>
    </row>
    <row r="106">
      <c r="A106" s="18" t="n"/>
      <c r="B106" s="19" t="n"/>
      <c r="C106" s="19" t="n"/>
      <c r="D106" s="19" t="n"/>
      <c r="E106" s="19" t="n"/>
      <c r="F106" s="18" t="n"/>
      <c r="G106" s="19" t="n"/>
    </row>
    <row r="107">
      <c r="A107" s="18" t="n"/>
      <c r="B107" s="19" t="n"/>
      <c r="C107" s="19" t="n"/>
      <c r="D107" s="19" t="n"/>
      <c r="E107" s="19" t="n"/>
      <c r="F107" s="18" t="n"/>
      <c r="G107" s="19" t="n"/>
    </row>
    <row r="108">
      <c r="A108" s="18" t="n"/>
      <c r="B108" s="19" t="n"/>
      <c r="C108" s="19" t="n"/>
      <c r="D108" s="19" t="n"/>
      <c r="E108" s="19" t="n"/>
      <c r="F108" s="18" t="n"/>
      <c r="G108" s="19" t="n"/>
    </row>
    <row r="109">
      <c r="A109" s="18" t="n"/>
      <c r="B109" s="19" t="n"/>
      <c r="C109" s="19" t="n"/>
      <c r="D109" s="19" t="n"/>
      <c r="E109" s="19" t="n"/>
      <c r="F109" s="18" t="n"/>
      <c r="G109" s="19" t="n"/>
    </row>
    <row r="110">
      <c r="A110" s="18" t="n"/>
      <c r="B110" s="19" t="n"/>
      <c r="C110" s="19" t="n"/>
      <c r="D110" s="19" t="n"/>
      <c r="E110" s="19" t="n"/>
      <c r="F110" s="18" t="n"/>
      <c r="G110" s="19" t="n"/>
    </row>
    <row r="111">
      <c r="A111" s="18" t="n"/>
      <c r="B111" s="19" t="n"/>
      <c r="C111" s="19" t="n"/>
      <c r="D111" s="19" t="n"/>
      <c r="E111" s="19" t="n"/>
      <c r="F111" s="18" t="n"/>
      <c r="G111" s="19" t="n"/>
    </row>
    <row r="112">
      <c r="A112" s="18" t="n"/>
      <c r="B112" s="19" t="n"/>
      <c r="C112" s="19" t="n"/>
      <c r="D112" s="19" t="n"/>
      <c r="E112" s="19" t="n"/>
      <c r="F112" s="18" t="n"/>
      <c r="G112" s="19" t="n"/>
    </row>
    <row r="113">
      <c r="A113" s="18" t="n"/>
      <c r="B113" s="19" t="n"/>
      <c r="C113" s="19" t="n"/>
      <c r="D113" s="19" t="n"/>
      <c r="E113" s="19" t="n"/>
      <c r="F113" s="18" t="n"/>
      <c r="G113" s="19" t="n"/>
    </row>
    <row r="114">
      <c r="A114" s="18" t="n"/>
      <c r="B114" s="19" t="n"/>
      <c r="C114" s="19" t="n"/>
      <c r="D114" s="19" t="n"/>
      <c r="E114" s="19" t="n"/>
      <c r="F114" s="18" t="n"/>
      <c r="G114" s="19" t="n"/>
    </row>
    <row r="115">
      <c r="A115" s="18" t="n"/>
      <c r="B115" s="19" t="n"/>
      <c r="C115" s="19" t="n"/>
      <c r="D115" s="19" t="n"/>
      <c r="E115" s="19" t="n"/>
      <c r="F115" s="18" t="n"/>
      <c r="G115" s="19" t="n"/>
    </row>
    <row r="116">
      <c r="A116" s="18" t="n"/>
      <c r="B116" s="19" t="n"/>
      <c r="C116" s="19" t="n"/>
      <c r="D116" s="19" t="n"/>
      <c r="E116" s="19" t="n"/>
      <c r="F116" s="18" t="n"/>
      <c r="G116" s="19" t="n"/>
    </row>
    <row r="117">
      <c r="A117" s="18" t="n"/>
      <c r="B117" s="19" t="n"/>
      <c r="C117" s="19" t="n"/>
      <c r="D117" s="19" t="n"/>
      <c r="E117" s="19" t="n"/>
      <c r="F117" s="18" t="n"/>
      <c r="G117" s="19" t="n"/>
    </row>
    <row r="118">
      <c r="A118" s="18" t="n"/>
      <c r="B118" s="19" t="n"/>
      <c r="C118" s="19" t="n"/>
      <c r="D118" s="19" t="n"/>
      <c r="E118" s="19" t="n"/>
      <c r="F118" s="18" t="n"/>
      <c r="G118" s="19" t="n"/>
    </row>
    <row r="119">
      <c r="A119" s="18" t="n"/>
      <c r="B119" s="19" t="n"/>
      <c r="C119" s="19" t="n"/>
      <c r="D119" s="19" t="n"/>
      <c r="E119" s="19" t="n"/>
      <c r="F119" s="18" t="n"/>
      <c r="G119" s="19" t="n"/>
    </row>
    <row r="120">
      <c r="A120" s="18" t="n"/>
      <c r="B120" s="19" t="n"/>
      <c r="C120" s="19" t="n"/>
      <c r="D120" s="19" t="n"/>
      <c r="E120" s="19" t="n"/>
      <c r="F120" s="18" t="n"/>
      <c r="G120" s="19" t="n"/>
    </row>
    <row r="121">
      <c r="A121" s="18" t="n"/>
      <c r="B121" s="19" t="n"/>
      <c r="C121" s="19" t="n"/>
      <c r="D121" s="19" t="n"/>
      <c r="E121" s="19" t="n"/>
      <c r="F121" s="18" t="n"/>
      <c r="G121" s="19" t="n"/>
    </row>
    <row r="122">
      <c r="A122" s="18" t="n"/>
      <c r="B122" s="19" t="n"/>
      <c r="C122" s="19" t="n"/>
      <c r="D122" s="19" t="n"/>
      <c r="E122" s="19" t="n"/>
      <c r="F122" s="18" t="n"/>
      <c r="G122" s="19" t="n"/>
    </row>
    <row r="123">
      <c r="A123" s="18" t="n"/>
      <c r="B123" s="19" t="n"/>
      <c r="C123" s="19" t="n"/>
      <c r="D123" s="19" t="n"/>
      <c r="E123" s="19" t="n"/>
      <c r="F123" s="18" t="n"/>
      <c r="G123" s="19" t="n"/>
    </row>
    <row r="124">
      <c r="A124" s="18" t="n"/>
      <c r="B124" s="19" t="n"/>
      <c r="C124" s="19" t="n"/>
      <c r="D124" s="19" t="n"/>
      <c r="E124" s="19" t="n"/>
      <c r="F124" s="18" t="n"/>
      <c r="G124" s="19" t="n"/>
    </row>
    <row r="125">
      <c r="A125" s="18" t="n"/>
      <c r="B125" s="19" t="n"/>
      <c r="C125" s="19" t="n"/>
      <c r="D125" s="19" t="n"/>
      <c r="E125" s="19" t="n"/>
      <c r="F125" s="18" t="n"/>
      <c r="G125" s="19" t="n"/>
    </row>
    <row r="126">
      <c r="A126" s="18" t="n"/>
      <c r="B126" s="19" t="n"/>
      <c r="C126" s="19" t="n"/>
      <c r="D126" s="19" t="n"/>
      <c r="E126" s="19" t="n"/>
      <c r="F126" s="18" t="n"/>
      <c r="G126" s="19" t="n"/>
    </row>
    <row r="127">
      <c r="A127" s="18" t="n"/>
      <c r="B127" s="19" t="n"/>
      <c r="C127" s="19" t="n"/>
      <c r="D127" s="19" t="n"/>
      <c r="E127" s="19" t="n"/>
      <c r="F127" s="18" t="n"/>
      <c r="G127" s="19" t="n"/>
    </row>
    <row r="128">
      <c r="A128" s="18" t="n"/>
      <c r="B128" s="19" t="n"/>
      <c r="C128" s="19" t="n"/>
      <c r="D128" s="19" t="n"/>
      <c r="E128" s="19" t="n"/>
      <c r="F128" s="18" t="n"/>
      <c r="G128" s="19" t="n"/>
    </row>
    <row r="129">
      <c r="A129" s="18" t="n"/>
      <c r="B129" s="19" t="n"/>
      <c r="C129" s="19" t="n"/>
      <c r="D129" s="19" t="n"/>
      <c r="E129" s="19" t="n"/>
      <c r="F129" s="18" t="n"/>
      <c r="G129" s="19" t="n"/>
    </row>
    <row r="130">
      <c r="A130" s="18" t="n"/>
      <c r="B130" s="19" t="n"/>
      <c r="C130" s="19" t="n"/>
      <c r="D130" s="19" t="n"/>
      <c r="E130" s="19" t="n"/>
      <c r="F130" s="18" t="n"/>
      <c r="G130" s="19" t="n"/>
    </row>
    <row r="131">
      <c r="A131" s="18" t="n"/>
      <c r="B131" s="19" t="n"/>
      <c r="C131" s="19" t="n"/>
      <c r="D131" s="19" t="n"/>
      <c r="E131" s="19" t="n"/>
      <c r="F131" s="18" t="n"/>
      <c r="G131" s="19" t="n"/>
    </row>
    <row r="132">
      <c r="A132" s="18" t="n"/>
      <c r="B132" s="19" t="n"/>
      <c r="C132" s="19" t="n"/>
      <c r="D132" s="19" t="n"/>
      <c r="E132" s="19" t="n"/>
      <c r="F132" s="18" t="n"/>
      <c r="G132" s="19" t="n"/>
    </row>
    <row r="133">
      <c r="A133" s="18" t="n"/>
      <c r="B133" s="19" t="n"/>
      <c r="C133" s="19" t="n"/>
      <c r="D133" s="19" t="n"/>
      <c r="E133" s="19" t="n"/>
      <c r="F133" s="18" t="n"/>
      <c r="G133" s="19" t="n"/>
    </row>
    <row r="134">
      <c r="A134" s="18" t="n"/>
      <c r="B134" s="19" t="n"/>
      <c r="C134" s="19" t="n"/>
      <c r="D134" s="19" t="n"/>
      <c r="E134" s="19" t="n"/>
      <c r="F134" s="18" t="n"/>
      <c r="G134" s="19" t="n"/>
    </row>
    <row r="135">
      <c r="A135" s="18" t="n"/>
      <c r="B135" s="19" t="n"/>
      <c r="C135" s="19" t="n"/>
      <c r="D135" s="19" t="n"/>
      <c r="E135" s="19" t="n"/>
      <c r="F135" s="18" t="n"/>
      <c r="G135" s="19" t="n"/>
    </row>
    <row r="136">
      <c r="A136" s="18" t="n"/>
      <c r="B136" s="19" t="n"/>
      <c r="C136" s="19" t="n"/>
      <c r="D136" s="19" t="n"/>
      <c r="E136" s="19" t="n"/>
      <c r="F136" s="18" t="n"/>
      <c r="G136" s="19" t="n"/>
    </row>
    <row r="137">
      <c r="A137" s="18" t="n"/>
      <c r="B137" s="19" t="n"/>
      <c r="C137" s="19" t="n"/>
      <c r="D137" s="19" t="n"/>
      <c r="E137" s="19" t="n"/>
      <c r="F137" s="18" t="n"/>
      <c r="G137" s="19" t="n"/>
    </row>
    <row r="138">
      <c r="A138" s="18" t="n"/>
      <c r="B138" s="19" t="n"/>
      <c r="C138" s="19" t="n"/>
      <c r="D138" s="19" t="n"/>
      <c r="E138" s="19" t="n"/>
      <c r="F138" s="18" t="n"/>
      <c r="G138" s="19" t="n"/>
    </row>
    <row r="139">
      <c r="A139" s="18" t="n"/>
      <c r="B139" s="19" t="n"/>
      <c r="C139" s="19" t="n"/>
      <c r="D139" s="19" t="n"/>
      <c r="E139" s="19" t="n"/>
      <c r="F139" s="18" t="n"/>
      <c r="G139" s="19" t="n"/>
    </row>
    <row r="140">
      <c r="A140" s="18" t="n"/>
      <c r="B140" s="19" t="n"/>
      <c r="C140" s="19" t="n"/>
      <c r="D140" s="19" t="n"/>
      <c r="E140" s="19" t="n"/>
      <c r="F140" s="18" t="n"/>
      <c r="G140" s="19" t="n"/>
    </row>
    <row r="141">
      <c r="A141" s="18" t="n"/>
      <c r="B141" s="19" t="n"/>
      <c r="C141" s="19" t="n"/>
      <c r="D141" s="19" t="n"/>
      <c r="E141" s="19" t="n"/>
      <c r="F141" s="18" t="n"/>
      <c r="G141" s="19" t="n"/>
    </row>
    <row r="142">
      <c r="A142" s="18" t="n"/>
      <c r="B142" s="19" t="n"/>
      <c r="C142" s="19" t="n"/>
      <c r="D142" s="19" t="n"/>
      <c r="E142" s="19" t="n"/>
      <c r="F142" s="18" t="n"/>
      <c r="G142" s="19" t="n"/>
    </row>
    <row r="143">
      <c r="A143" s="18" t="n"/>
      <c r="B143" s="19" t="n"/>
      <c r="C143" s="19" t="n"/>
      <c r="D143" s="19" t="n"/>
      <c r="E143" s="19" t="n"/>
      <c r="F143" s="18" t="n"/>
      <c r="G143" s="19" t="n"/>
    </row>
    <row r="144">
      <c r="A144" s="18" t="n"/>
      <c r="B144" s="19" t="n"/>
      <c r="C144" s="19" t="n"/>
      <c r="D144" s="19" t="n"/>
      <c r="E144" s="19" t="n"/>
      <c r="F144" s="18" t="n"/>
      <c r="G144" s="19" t="n"/>
    </row>
    <row r="145">
      <c r="A145" s="18" t="n"/>
      <c r="B145" s="19" t="n"/>
      <c r="C145" s="19" t="n"/>
      <c r="D145" s="19" t="n"/>
      <c r="E145" s="19" t="n"/>
      <c r="F145" s="18" t="n"/>
      <c r="G145" s="19" t="n"/>
    </row>
    <row r="146">
      <c r="A146" s="18" t="n"/>
      <c r="B146" s="19" t="n"/>
      <c r="C146" s="19" t="n"/>
      <c r="D146" s="19" t="n"/>
      <c r="E146" s="19" t="n"/>
      <c r="F146" s="18" t="n"/>
      <c r="G146" s="19" t="n"/>
    </row>
    <row r="147">
      <c r="A147" s="18" t="n"/>
      <c r="B147" s="19" t="n"/>
      <c r="C147" s="19" t="n"/>
      <c r="D147" s="19" t="n"/>
      <c r="E147" s="19" t="n"/>
      <c r="F147" s="18" t="n"/>
      <c r="G147" s="19" t="n"/>
    </row>
    <row r="148">
      <c r="A148" s="18" t="n"/>
      <c r="B148" s="19" t="n"/>
      <c r="C148" s="19" t="n"/>
      <c r="D148" s="19" t="n"/>
      <c r="E148" s="19" t="n"/>
      <c r="F148" s="18" t="n"/>
      <c r="G148" s="19" t="n"/>
    </row>
    <row r="149">
      <c r="A149" s="18" t="n"/>
      <c r="B149" s="19" t="n"/>
      <c r="C149" s="19" t="n"/>
      <c r="D149" s="19" t="n"/>
      <c r="E149" s="19" t="n"/>
      <c r="F149" s="18" t="n"/>
      <c r="G149" s="19" t="n"/>
    </row>
    <row r="150">
      <c r="A150" s="18" t="n"/>
      <c r="B150" s="19" t="n"/>
      <c r="C150" s="19" t="n"/>
      <c r="D150" s="19" t="n"/>
      <c r="E150" s="19" t="n"/>
      <c r="F150" s="18" t="n"/>
      <c r="G150" s="19" t="n"/>
    </row>
    <row r="151">
      <c r="A151" s="18" t="n"/>
      <c r="B151" s="19" t="n"/>
      <c r="C151" s="19" t="n"/>
      <c r="D151" s="19" t="n"/>
      <c r="E151" s="19" t="n"/>
      <c r="F151" s="18" t="n"/>
      <c r="G151" s="19" t="n"/>
    </row>
    <row r="152">
      <c r="A152" s="18" t="n"/>
      <c r="B152" s="19" t="n"/>
      <c r="C152" s="19" t="n"/>
      <c r="D152" s="19" t="n"/>
      <c r="E152" s="19" t="n"/>
      <c r="F152" s="18" t="n"/>
      <c r="G152" s="19" t="n"/>
    </row>
    <row r="153">
      <c r="A153" s="18" t="n"/>
      <c r="B153" s="19" t="n"/>
      <c r="C153" s="19" t="n"/>
      <c r="D153" s="19" t="n"/>
      <c r="E153" s="19" t="n"/>
      <c r="F153" s="18" t="n"/>
      <c r="G153" s="19" t="n"/>
    </row>
    <row r="154">
      <c r="A154" s="18" t="n"/>
      <c r="B154" s="19" t="n"/>
      <c r="C154" s="19" t="n"/>
      <c r="D154" s="19" t="n"/>
      <c r="E154" s="19" t="n"/>
      <c r="F154" s="18" t="n"/>
      <c r="G154" s="19" t="n"/>
    </row>
    <row r="155">
      <c r="A155" s="18" t="n"/>
      <c r="B155" s="19" t="n"/>
      <c r="C155" s="19" t="n"/>
      <c r="D155" s="19" t="n"/>
      <c r="E155" s="19" t="n"/>
      <c r="F155" s="18" t="n"/>
      <c r="G155" s="19" t="n"/>
    </row>
    <row r="156">
      <c r="A156" s="18" t="n"/>
      <c r="B156" s="19" t="n"/>
      <c r="C156" s="19" t="n"/>
      <c r="D156" s="19" t="n"/>
      <c r="E156" s="19" t="n"/>
      <c r="F156" s="18" t="n"/>
      <c r="G156" s="19" t="n"/>
    </row>
    <row r="157">
      <c r="A157" s="18" t="n"/>
      <c r="B157" s="19" t="n"/>
      <c r="C157" s="19" t="n"/>
      <c r="D157" s="19" t="n"/>
      <c r="E157" s="19" t="n"/>
      <c r="F157" s="18" t="n"/>
      <c r="G157" s="19" t="n"/>
    </row>
    <row r="158">
      <c r="A158" s="18" t="n"/>
      <c r="B158" s="19" t="n"/>
      <c r="C158" s="19" t="n"/>
      <c r="D158" s="19" t="n"/>
      <c r="E158" s="19" t="n"/>
      <c r="F158" s="18" t="n"/>
      <c r="G158" s="19" t="n"/>
    </row>
    <row r="159">
      <c r="A159" s="18" t="n"/>
      <c r="B159" s="19" t="n"/>
      <c r="C159" s="19" t="n"/>
      <c r="D159" s="19" t="n"/>
      <c r="E159" s="19" t="n"/>
      <c r="F159" s="18" t="n"/>
      <c r="G159" s="19" t="n"/>
    </row>
    <row r="160">
      <c r="A160" s="18" t="n"/>
      <c r="B160" s="19" t="n"/>
      <c r="C160" s="19" t="n"/>
      <c r="D160" s="19" t="n"/>
      <c r="E160" s="19" t="n"/>
      <c r="F160" s="18" t="n"/>
      <c r="G160" s="19" t="n"/>
    </row>
    <row r="161">
      <c r="A161" s="18" t="n"/>
      <c r="B161" s="19" t="n"/>
      <c r="C161" s="19" t="n"/>
      <c r="D161" s="19" t="n"/>
      <c r="E161" s="19" t="n"/>
      <c r="F161" s="18" t="n"/>
      <c r="G161" s="19" t="n"/>
    </row>
    <row r="162">
      <c r="A162" s="18" t="n"/>
      <c r="B162" s="19" t="n"/>
      <c r="C162" s="19" t="n"/>
      <c r="D162" s="19" t="n"/>
      <c r="E162" s="19" t="n"/>
      <c r="F162" s="18" t="n"/>
      <c r="G162" s="19" t="n"/>
    </row>
    <row r="163">
      <c r="A163" s="18" t="n"/>
      <c r="B163" s="19" t="n"/>
      <c r="C163" s="19" t="n"/>
      <c r="D163" s="19" t="n"/>
      <c r="E163" s="19" t="n"/>
      <c r="F163" s="18" t="n"/>
      <c r="G163" s="19" t="n"/>
    </row>
    <row r="164">
      <c r="A164" s="18" t="n"/>
      <c r="B164" s="19" t="n"/>
      <c r="C164" s="19" t="n"/>
      <c r="D164" s="19" t="n"/>
      <c r="E164" s="19" t="n"/>
      <c r="F164" s="18" t="n"/>
      <c r="G164" s="19" t="n"/>
    </row>
    <row r="165">
      <c r="A165" s="18" t="n"/>
      <c r="B165" s="19" t="n"/>
      <c r="C165" s="19" t="n"/>
      <c r="D165" s="19" t="n"/>
      <c r="E165" s="19" t="n"/>
      <c r="F165" s="18" t="n"/>
      <c r="G165" s="19" t="n"/>
    </row>
    <row r="166">
      <c r="A166" s="18" t="n"/>
      <c r="B166" s="19" t="n"/>
      <c r="C166" s="19" t="n"/>
      <c r="D166" s="19" t="n"/>
      <c r="E166" s="19" t="n"/>
      <c r="F166" s="18" t="n"/>
      <c r="G166" s="19" t="n"/>
    </row>
    <row r="167">
      <c r="A167" s="18" t="n"/>
      <c r="B167" s="19" t="n"/>
      <c r="C167" s="19" t="n"/>
      <c r="D167" s="19" t="n"/>
      <c r="E167" s="19" t="n"/>
      <c r="F167" s="18" t="n"/>
      <c r="G167" s="19" t="n"/>
    </row>
    <row r="168">
      <c r="A168" s="18" t="n"/>
      <c r="B168" s="19" t="n"/>
      <c r="C168" s="19" t="n"/>
      <c r="D168" s="19" t="n"/>
      <c r="E168" s="19" t="n"/>
      <c r="F168" s="18" t="n"/>
      <c r="G168" s="19" t="n"/>
    </row>
    <row r="169">
      <c r="A169" s="18" t="n"/>
      <c r="B169" s="19" t="n"/>
      <c r="C169" s="19" t="n"/>
      <c r="D169" s="19" t="n"/>
      <c r="E169" s="19" t="n"/>
      <c r="F169" s="18" t="n"/>
      <c r="G169" s="19" t="n"/>
    </row>
    <row r="170">
      <c r="A170" s="18" t="n"/>
      <c r="B170" s="19" t="n"/>
      <c r="C170" s="19" t="n"/>
      <c r="D170" s="19" t="n"/>
      <c r="E170" s="19" t="n"/>
      <c r="F170" s="18" t="n"/>
      <c r="G170" s="19" t="n"/>
    </row>
    <row r="171">
      <c r="A171" s="18" t="n"/>
      <c r="B171" s="19" t="n"/>
      <c r="C171" s="19" t="n"/>
      <c r="D171" s="19" t="n"/>
      <c r="E171" s="19" t="n"/>
      <c r="F171" s="18" t="n"/>
      <c r="G171" s="19" t="n"/>
    </row>
    <row r="172">
      <c r="A172" s="18" t="n"/>
      <c r="B172" s="19" t="n"/>
      <c r="C172" s="19" t="n"/>
      <c r="D172" s="19" t="n"/>
      <c r="E172" s="19" t="n"/>
      <c r="F172" s="18" t="n"/>
      <c r="G172" s="19" t="n"/>
    </row>
    <row r="173">
      <c r="A173" s="18" t="n"/>
      <c r="B173" s="19" t="n"/>
      <c r="C173" s="19" t="n"/>
      <c r="D173" s="19" t="n"/>
      <c r="E173" s="19" t="n"/>
      <c r="F173" s="18" t="n"/>
      <c r="G173" s="19" t="n"/>
    </row>
    <row r="174">
      <c r="A174" s="18" t="n"/>
      <c r="B174" s="19" t="n"/>
      <c r="C174" s="19" t="n"/>
      <c r="D174" s="19" t="n"/>
      <c r="E174" s="19" t="n"/>
      <c r="F174" s="18" t="n"/>
      <c r="G174" s="19" t="n"/>
    </row>
    <row r="175">
      <c r="A175" s="18" t="n"/>
      <c r="B175" s="19" t="n"/>
      <c r="C175" s="19" t="n"/>
      <c r="D175" s="19" t="n"/>
      <c r="E175" s="19" t="n"/>
      <c r="F175" s="18" t="n"/>
      <c r="G175" s="19" t="n"/>
    </row>
    <row r="176">
      <c r="A176" s="18" t="n"/>
      <c r="B176" s="19" t="n"/>
      <c r="C176" s="19" t="n"/>
      <c r="D176" s="19" t="n"/>
      <c r="E176" s="19" t="n"/>
      <c r="F176" s="18" t="n"/>
      <c r="G176" s="19" t="n"/>
    </row>
    <row r="177">
      <c r="A177" s="18" t="n"/>
      <c r="B177" s="19" t="n"/>
      <c r="C177" s="19" t="n"/>
      <c r="D177" s="19" t="n"/>
      <c r="E177" s="19" t="n"/>
      <c r="F177" s="18" t="n"/>
      <c r="G177" s="19" t="n"/>
    </row>
    <row r="178">
      <c r="A178" s="18" t="n"/>
      <c r="B178" s="19" t="n"/>
      <c r="C178" s="19" t="n"/>
      <c r="D178" s="19" t="n"/>
      <c r="E178" s="19" t="n"/>
      <c r="F178" s="18" t="n"/>
      <c r="G178" s="19" t="n"/>
    </row>
    <row r="179">
      <c r="A179" s="18" t="n"/>
      <c r="B179" s="19" t="n"/>
      <c r="C179" s="19" t="n"/>
      <c r="D179" s="19" t="n"/>
      <c r="E179" s="19" t="n"/>
      <c r="F179" s="18" t="n"/>
      <c r="G179" s="19" t="n"/>
    </row>
    <row r="180">
      <c r="A180" s="18" t="n"/>
      <c r="B180" s="19" t="n"/>
      <c r="C180" s="19" t="n"/>
      <c r="D180" s="19" t="n"/>
      <c r="E180" s="19" t="n"/>
      <c r="F180" s="18" t="n"/>
      <c r="G180" s="19" t="n"/>
    </row>
    <row r="181">
      <c r="A181" s="18" t="n"/>
      <c r="B181" s="19" t="n"/>
      <c r="C181" s="19" t="n"/>
      <c r="D181" s="19" t="n"/>
      <c r="E181" s="19" t="n"/>
      <c r="F181" s="18" t="n"/>
      <c r="G181" s="19" t="n"/>
    </row>
    <row r="182">
      <c r="A182" s="18" t="n"/>
      <c r="B182" s="19" t="n"/>
      <c r="C182" s="19" t="n"/>
      <c r="D182" s="19" t="n"/>
      <c r="E182" s="19" t="n"/>
      <c r="F182" s="18" t="n"/>
      <c r="G182" s="19" t="n"/>
    </row>
    <row r="183">
      <c r="A183" s="18" t="n"/>
      <c r="B183" s="19" t="n"/>
      <c r="C183" s="19" t="n"/>
      <c r="D183" s="19" t="n"/>
      <c r="E183" s="19" t="n"/>
      <c r="F183" s="18" t="n"/>
      <c r="G183" s="19" t="n"/>
    </row>
    <row r="184">
      <c r="A184" s="18" t="n"/>
      <c r="B184" s="19" t="n"/>
      <c r="C184" s="19" t="n"/>
      <c r="D184" s="19" t="n"/>
      <c r="E184" s="19" t="n"/>
      <c r="F184" s="18" t="n"/>
      <c r="G184" s="19" t="n"/>
    </row>
    <row r="185">
      <c r="A185" s="18" t="n"/>
      <c r="B185" s="19" t="n"/>
      <c r="C185" s="19" t="n"/>
      <c r="D185" s="19" t="n"/>
      <c r="E185" s="19" t="n"/>
      <c r="F185" s="18" t="n"/>
      <c r="G185" s="19" t="n"/>
    </row>
    <row r="186">
      <c r="A186" s="18" t="n"/>
      <c r="B186" s="19" t="n"/>
      <c r="C186" s="19" t="n"/>
      <c r="D186" s="19" t="n"/>
      <c r="E186" s="19" t="n"/>
      <c r="F186" s="18" t="n"/>
      <c r="G186" s="19" t="n"/>
    </row>
    <row r="187">
      <c r="A187" s="18" t="n"/>
      <c r="B187" s="19" t="n"/>
      <c r="C187" s="19" t="n"/>
      <c r="D187" s="19" t="n"/>
      <c r="E187" s="19" t="n"/>
      <c r="F187" s="18" t="n"/>
      <c r="G187" s="19" t="n"/>
    </row>
    <row r="188">
      <c r="A188" s="18" t="n"/>
      <c r="B188" s="19" t="n"/>
      <c r="C188" s="19" t="n"/>
      <c r="D188" s="19" t="n"/>
      <c r="E188" s="19" t="n"/>
      <c r="F188" s="18" t="n"/>
      <c r="G188" s="19" t="n"/>
    </row>
    <row r="189">
      <c r="A189" s="18" t="n"/>
      <c r="B189" s="19" t="n"/>
      <c r="C189" s="19" t="n"/>
      <c r="D189" s="19" t="n"/>
      <c r="E189" s="19" t="n"/>
      <c r="F189" s="18" t="n"/>
      <c r="G189" s="19" t="n"/>
    </row>
    <row r="190">
      <c r="A190" s="18" t="n"/>
      <c r="B190" s="19" t="n"/>
      <c r="C190" s="19" t="n"/>
      <c r="D190" s="19" t="n"/>
      <c r="E190" s="19" t="n"/>
      <c r="F190" s="18" t="n"/>
      <c r="G190" s="19" t="n"/>
    </row>
    <row r="191">
      <c r="A191" s="18" t="n"/>
      <c r="B191" s="19" t="n"/>
      <c r="C191" s="19" t="n"/>
      <c r="D191" s="19" t="n"/>
      <c r="E191" s="19" t="n"/>
      <c r="F191" s="18" t="n"/>
      <c r="G191" s="19" t="n"/>
    </row>
    <row r="192">
      <c r="A192" s="18" t="n"/>
      <c r="B192" s="19" t="n"/>
      <c r="C192" s="19" t="n"/>
      <c r="D192" s="19" t="n"/>
      <c r="E192" s="19" t="n"/>
      <c r="F192" s="18" t="n"/>
      <c r="G192" s="19" t="n"/>
    </row>
    <row r="193">
      <c r="A193" s="18" t="n"/>
      <c r="B193" s="19" t="n"/>
      <c r="C193" s="19" t="n"/>
      <c r="D193" s="19" t="n"/>
      <c r="E193" s="19" t="n"/>
      <c r="F193" s="18" t="n"/>
      <c r="G193" s="19" t="n"/>
    </row>
    <row r="194">
      <c r="A194" s="18" t="n"/>
      <c r="B194" s="19" t="n"/>
      <c r="C194" s="19" t="n"/>
      <c r="D194" s="19" t="n"/>
      <c r="E194" s="19" t="n"/>
      <c r="F194" s="18" t="n"/>
      <c r="G194" s="19" t="n"/>
    </row>
    <row r="195">
      <c r="A195" s="18" t="n"/>
      <c r="B195" s="19" t="n"/>
      <c r="C195" s="19" t="n"/>
      <c r="D195" s="19" t="n"/>
      <c r="E195" s="19" t="n"/>
      <c r="F195" s="18" t="n"/>
      <c r="G195" s="19" t="n"/>
    </row>
    <row r="196">
      <c r="A196" s="18" t="n"/>
      <c r="B196" s="19" t="n"/>
      <c r="C196" s="19" t="n"/>
      <c r="D196" s="19" t="n"/>
      <c r="E196" s="19" t="n"/>
      <c r="F196" s="18" t="n"/>
      <c r="G196" s="19" t="n"/>
    </row>
    <row r="197">
      <c r="A197" s="18" t="n"/>
      <c r="B197" s="19" t="n"/>
      <c r="C197" s="19" t="n"/>
      <c r="D197" s="19" t="n"/>
      <c r="E197" s="19" t="n"/>
      <c r="F197" s="18" t="n"/>
      <c r="G197" s="19" t="n"/>
    </row>
    <row r="198">
      <c r="A198" s="18" t="n"/>
      <c r="B198" s="19" t="n"/>
      <c r="C198" s="19" t="n"/>
      <c r="D198" s="19" t="n"/>
      <c r="E198" s="19" t="n"/>
      <c r="F198" s="18" t="n"/>
      <c r="G198" s="19" t="n"/>
    </row>
    <row r="199">
      <c r="A199" s="18" t="n"/>
      <c r="B199" s="19" t="n"/>
      <c r="C199" s="19" t="n"/>
      <c r="D199" s="19" t="n"/>
      <c r="E199" s="19" t="n"/>
      <c r="F199" s="18" t="n"/>
      <c r="G199" s="19" t="n"/>
    </row>
    <row r="200">
      <c r="A200" s="18" t="n"/>
      <c r="B200" s="19" t="n"/>
      <c r="C200" s="19" t="n"/>
      <c r="D200" s="19" t="n"/>
      <c r="E200" s="19" t="n"/>
      <c r="F200" s="18" t="n"/>
      <c r="G200" s="19" t="n"/>
    </row>
    <row r="201">
      <c r="A201" s="18" t="n"/>
      <c r="B201" s="19" t="n"/>
      <c r="C201" s="19" t="n"/>
      <c r="D201" s="19" t="n"/>
      <c r="E201" s="19" t="n"/>
      <c r="F201" s="18" t="n"/>
      <c r="G201" s="19" t="n"/>
    </row>
    <row r="202">
      <c r="A202" s="18" t="n"/>
      <c r="B202" s="19" t="n"/>
      <c r="C202" s="19" t="n"/>
      <c r="D202" s="19" t="n"/>
      <c r="E202" s="19" t="n"/>
      <c r="F202" s="18" t="n"/>
      <c r="G202" s="19" t="n"/>
    </row>
    <row r="203">
      <c r="A203" s="18" t="n"/>
      <c r="B203" s="19" t="n"/>
      <c r="C203" s="19" t="n"/>
      <c r="D203" s="19" t="n"/>
      <c r="E203" s="19" t="n"/>
      <c r="F203" s="18" t="n"/>
      <c r="G203" s="19" t="n"/>
    </row>
    <row r="204">
      <c r="A204" s="18" t="n"/>
      <c r="B204" s="19" t="n"/>
      <c r="C204" s="19" t="n"/>
      <c r="D204" s="19" t="n"/>
      <c r="E204" s="19" t="n"/>
      <c r="F204" s="18" t="n"/>
      <c r="G204" s="19" t="n"/>
    </row>
  </sheetData>
  <dataValidations count="2">
    <dataValidation sqref="B5:B204" showDropDown="0" showInputMessage="0" showErrorMessage="0" allowBlank="1" type="list">
      <formula1>=Colaboradores!$B$2:$B$61</formula1>
    </dataValidation>
    <dataValidation sqref="G5:G204" showDropDown="0" showInputMessage="0" showErrorMessage="0" allowBlank="1" type="list">
      <formula1>=Config!$P$8:$P$12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4" customWidth="1" min="4" max="4"/>
    <col width="13" customWidth="1" min="5" max="5"/>
    <col width="10" customWidth="1" min="6" max="6"/>
    <col width="15" customWidth="1" min="7" max="7"/>
    <col width="20" customWidth="1" min="8" max="8"/>
    <col width="10" customWidth="1" min="9" max="9"/>
    <col width="14" customWidth="1" min="10" max="10"/>
    <col width="15" customWidth="1" min="11" max="11"/>
    <col width="16" customWidth="1" min="12" max="12"/>
    <col width="18" customWidth="1" min="13" max="13"/>
    <col width="12" customWidth="1" min="14" max="14"/>
    <col width="11" customWidth="1" min="15" max="15"/>
    <col width="12" customWidth="1" min="16" max="16"/>
  </cols>
  <sheetData>
    <row r="1" ht="22" customHeight="1">
      <c r="A1" s="1" t="inlineStr">
        <is>
          <t>Cadastro — uma linha por ALOCAÇÃO, não por pessoa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Preenchimento: as colunas amarelas. 'Situação' e 'Em rampa?' são calculadas. Sem 'Data de saída', quem saiu fica no relatório de pendências para sempre e o relatório perde credibilidade em dois meses.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30" customHeight="1">
      <c r="A4" s="13" t="inlineStr">
        <is>
          <t>ID</t>
        </is>
      </c>
      <c r="B4" s="13" t="inlineStr">
        <is>
          <t>Nome</t>
        </is>
      </c>
      <c r="C4" s="13" t="inlineStr">
        <is>
          <t>Matrícula</t>
        </is>
      </c>
      <c r="D4" s="13" t="inlineStr">
        <is>
          <t>Papel</t>
        </is>
      </c>
      <c r="E4" s="13" t="inlineStr">
        <is>
          <t>Senioridade</t>
        </is>
      </c>
      <c r="F4" s="13" t="inlineStr">
        <is>
          <t>Squad</t>
        </is>
      </c>
      <c r="G4" s="13" t="inlineStr">
        <is>
          <t>Cliente / Contrato</t>
        </is>
      </c>
      <c r="H4" s="13" t="inlineStr">
        <is>
          <t>Projeto</t>
        </is>
      </c>
      <c r="I4" s="13" t="inlineStr">
        <is>
          <t>Alocação %</t>
        </is>
      </c>
      <c r="J4" s="13" t="inlineStr">
        <is>
          <t>Data de entrada na squad</t>
        </is>
      </c>
      <c r="K4" s="13" t="inlineStr">
        <is>
          <t>Data de saída (vazio = ativo)</t>
        </is>
      </c>
      <c r="L4" s="13" t="inlineStr">
        <is>
          <t>GP responsável</t>
        </is>
      </c>
      <c r="M4" s="13" t="inlineStr">
        <is>
          <t>Líder Técnico responsável</t>
        </is>
      </c>
      <c r="N4" s="13" t="inlineStr">
        <is>
          <t>Contratação</t>
        </is>
      </c>
      <c r="O4" s="13" t="inlineStr">
        <is>
          <t>Situação</t>
        </is>
      </c>
      <c r="P4" s="13" t="inlineStr">
        <is>
          <t>Em rampa?</t>
        </is>
      </c>
    </row>
    <row r="5">
      <c r="A5" s="19" t="n">
        <v>1</v>
      </c>
      <c r="B5" s="19" t="inlineStr">
        <is>
          <t>Ana Ribeiro</t>
        </is>
      </c>
      <c r="C5" s="19" t="inlineStr">
        <is>
          <t>M-1042</t>
        </is>
      </c>
      <c r="D5" s="19" t="inlineStr">
        <is>
          <t>Dev/QA</t>
        </is>
      </c>
      <c r="E5" s="19" t="inlineStr">
        <is>
          <t>Pleno</t>
        </is>
      </c>
      <c r="F5" s="19" t="inlineStr">
        <is>
          <t>Alfa</t>
        </is>
      </c>
      <c r="G5" s="19" t="inlineStr">
        <is>
          <t>Contrato A</t>
        </is>
      </c>
      <c r="H5" s="19" t="inlineStr">
        <is>
          <t>Portal do Cliente</t>
        </is>
      </c>
      <c r="I5" s="35" t="n">
        <v>1</v>
      </c>
      <c r="J5" s="18" t="n">
        <v>45726</v>
      </c>
      <c r="K5" s="18" t="n"/>
      <c r="L5" s="19" t="inlineStr">
        <is>
          <t>Marcos Lima</t>
        </is>
      </c>
      <c r="M5" s="19" t="inlineStr">
        <is>
          <t>Rafael Souza</t>
        </is>
      </c>
      <c r="N5" s="19" t="inlineStr">
        <is>
          <t>CLT</t>
        </is>
      </c>
      <c r="O5" s="15">
        <f>IF($B5="","",IF($K5="","Ativo","Inativo"))</f>
        <v/>
      </c>
      <c r="P5" s="15">
        <f>IF(OR($B5="",$J5=""),"",IF(TODAY()-$J5&lt;=90,"Sim — em rampa","Não"))</f>
        <v/>
      </c>
    </row>
    <row r="6">
      <c r="A6" s="19" t="n">
        <v>2</v>
      </c>
      <c r="B6" s="19" t="inlineStr">
        <is>
          <t>Bruno Tavares</t>
        </is>
      </c>
      <c r="C6" s="19" t="inlineStr">
        <is>
          <t>M-1188</t>
        </is>
      </c>
      <c r="D6" s="19" t="inlineStr">
        <is>
          <t>Dev/QA</t>
        </is>
      </c>
      <c r="E6" s="19" t="inlineStr">
        <is>
          <t>Júnior</t>
        </is>
      </c>
      <c r="F6" s="19" t="inlineStr">
        <is>
          <t>Alfa</t>
        </is>
      </c>
      <c r="G6" s="19" t="inlineStr">
        <is>
          <t>Contrato A</t>
        </is>
      </c>
      <c r="H6" s="19" t="inlineStr">
        <is>
          <t>Portal do Cliente</t>
        </is>
      </c>
      <c r="I6" s="35" t="n">
        <v>1</v>
      </c>
      <c r="J6" s="18" t="n">
        <v>46188</v>
      </c>
      <c r="K6" s="18" t="n"/>
      <c r="L6" s="19" t="inlineStr">
        <is>
          <t>Marcos Lima</t>
        </is>
      </c>
      <c r="M6" s="19" t="inlineStr">
        <is>
          <t>Rafael Souza</t>
        </is>
      </c>
      <c r="N6" s="19" t="inlineStr">
        <is>
          <t>CLT</t>
        </is>
      </c>
      <c r="O6" s="15">
        <f>IF($B6="","",IF($K6="","Ativo","Inativo"))</f>
        <v/>
      </c>
      <c r="P6" s="15">
        <f>IF(OR($B6="",$J6=""),"",IF(TODAY()-$J6&lt;=90,"Sim — em rampa","Não"))</f>
        <v/>
      </c>
    </row>
    <row r="7">
      <c r="A7" s="19" t="n">
        <v>3</v>
      </c>
      <c r="B7" s="19" t="inlineStr">
        <is>
          <t>Carla Nunes</t>
        </is>
      </c>
      <c r="C7" s="19" t="inlineStr">
        <is>
          <t>M-0977</t>
        </is>
      </c>
      <c r="D7" s="19" t="inlineStr">
        <is>
          <t>Líder Técnico</t>
        </is>
      </c>
      <c r="E7" s="19" t="inlineStr">
        <is>
          <t>Sênior</t>
        </is>
      </c>
      <c r="F7" s="19" t="inlineStr">
        <is>
          <t>Beta</t>
        </is>
      </c>
      <c r="G7" s="19" t="inlineStr">
        <is>
          <t>Contrato B</t>
        </is>
      </c>
      <c r="H7" s="19" t="inlineStr">
        <is>
          <t>Motor de Cobrança</t>
        </is>
      </c>
      <c r="I7" s="35" t="n">
        <v>0.5</v>
      </c>
      <c r="J7" s="18" t="n">
        <v>45505</v>
      </c>
      <c r="K7" s="18" t="n"/>
      <c r="L7" s="19" t="inlineStr">
        <is>
          <t>Marcos Lima</t>
        </is>
      </c>
      <c r="M7" s="19" t="inlineStr">
        <is>
          <t>Carla Nunes</t>
        </is>
      </c>
      <c r="N7" s="19" t="inlineStr">
        <is>
          <t>PJ</t>
        </is>
      </c>
      <c r="O7" s="15">
        <f>IF($B7="","",IF($K7="","Ativo","Inativo"))</f>
        <v/>
      </c>
      <c r="P7" s="15">
        <f>IF(OR($B7="",$J7=""),"",IF(TODAY()-$J7&lt;=90,"Sim — em rampa","Não"))</f>
        <v/>
      </c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35" t="n"/>
      <c r="J8" s="18" t="n"/>
      <c r="K8" s="18" t="n"/>
      <c r="L8" s="19" t="n"/>
      <c r="M8" s="19" t="n"/>
      <c r="N8" s="19" t="n"/>
      <c r="O8" s="15">
        <f>IF($B8="","",IF($K8="","Ativo","Inativo"))</f>
        <v/>
      </c>
      <c r="P8" s="15">
        <f>IF(OR($B8="",$J8=""),"",IF(TODAY()-$J8&lt;=90,"Sim — em rampa","Não"))</f>
        <v/>
      </c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35" t="n"/>
      <c r="J9" s="18" t="n"/>
      <c r="K9" s="18" t="n"/>
      <c r="L9" s="19" t="n"/>
      <c r="M9" s="19" t="n"/>
      <c r="N9" s="19" t="n"/>
      <c r="O9" s="15">
        <f>IF($B9="","",IF($K9="","Ativo","Inativo"))</f>
        <v/>
      </c>
      <c r="P9" s="15">
        <f>IF(OR($B9="",$J9=""),"",IF(TODAY()-$J9&lt;=90,"Sim — em rampa","Não"))</f>
        <v/>
      </c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35" t="n"/>
      <c r="J10" s="18" t="n"/>
      <c r="K10" s="18" t="n"/>
      <c r="L10" s="19" t="n"/>
      <c r="M10" s="19" t="n"/>
      <c r="N10" s="19" t="n"/>
      <c r="O10" s="15">
        <f>IF($B10="","",IF($K10="","Ativo","Inativo"))</f>
        <v/>
      </c>
      <c r="P10" s="15">
        <f>IF(OR($B10="",$J10=""),"",IF(TODAY()-$J10&lt;=90,"Sim — em rampa","Não"))</f>
        <v/>
      </c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35" t="n"/>
      <c r="J11" s="18" t="n"/>
      <c r="K11" s="18" t="n"/>
      <c r="L11" s="19" t="n"/>
      <c r="M11" s="19" t="n"/>
      <c r="N11" s="19" t="n"/>
      <c r="O11" s="15">
        <f>IF($B11="","",IF($K11="","Ativo","Inativo"))</f>
        <v/>
      </c>
      <c r="P11" s="15">
        <f>IF(OR($B11="",$J11=""),"",IF(TODAY()-$J11&lt;=90,"Sim — em rampa","Não"))</f>
        <v/>
      </c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35" t="n"/>
      <c r="J12" s="18" t="n"/>
      <c r="K12" s="18" t="n"/>
      <c r="L12" s="19" t="n"/>
      <c r="M12" s="19" t="n"/>
      <c r="N12" s="19" t="n"/>
      <c r="O12" s="15">
        <f>IF($B12="","",IF($K12="","Ativo","Inativo"))</f>
        <v/>
      </c>
      <c r="P12" s="15">
        <f>IF(OR($B12="",$J12=""),"",IF(TODAY()-$J12&lt;=90,"Sim — em rampa","Não"))</f>
        <v/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35" t="n"/>
      <c r="J13" s="18" t="n"/>
      <c r="K13" s="18" t="n"/>
      <c r="L13" s="19" t="n"/>
      <c r="M13" s="19" t="n"/>
      <c r="N13" s="19" t="n"/>
      <c r="O13" s="15">
        <f>IF($B13="","",IF($K13="","Ativo","Inativo"))</f>
        <v/>
      </c>
      <c r="P13" s="15">
        <f>IF(OR($B13="",$J13=""),"",IF(TODAY()-$J13&lt;=90,"Sim — em rampa","Não"))</f>
        <v/>
      </c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35" t="n"/>
      <c r="J14" s="18" t="n"/>
      <c r="K14" s="18" t="n"/>
      <c r="L14" s="19" t="n"/>
      <c r="M14" s="19" t="n"/>
      <c r="N14" s="19" t="n"/>
      <c r="O14" s="15">
        <f>IF($B14="","",IF($K14="","Ativo","Inativo"))</f>
        <v/>
      </c>
      <c r="P14" s="15">
        <f>IF(OR($B14="",$J14=""),"",IF(TODAY()-$J14&lt;=90,"Sim — em rampa","Não"))</f>
        <v/>
      </c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35" t="n"/>
      <c r="J15" s="18" t="n"/>
      <c r="K15" s="18" t="n"/>
      <c r="L15" s="19" t="n"/>
      <c r="M15" s="19" t="n"/>
      <c r="N15" s="19" t="n"/>
      <c r="O15" s="15">
        <f>IF($B15="","",IF($K15="","Ativo","Inativo"))</f>
        <v/>
      </c>
      <c r="P15" s="15">
        <f>IF(OR($B15="",$J15=""),"",IF(TODAY()-$J15&lt;=90,"Sim — em rampa","Não"))</f>
        <v/>
      </c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35" t="n"/>
      <c r="J16" s="18" t="n"/>
      <c r="K16" s="18" t="n"/>
      <c r="L16" s="19" t="n"/>
      <c r="M16" s="19" t="n"/>
      <c r="N16" s="19" t="n"/>
      <c r="O16" s="15">
        <f>IF($B16="","",IF($K16="","Ativo","Inativo"))</f>
        <v/>
      </c>
      <c r="P16" s="15">
        <f>IF(OR($B16="",$J16=""),"",IF(TODAY()-$J16&lt;=90,"Sim — em rampa","Não"))</f>
        <v/>
      </c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35" t="n"/>
      <c r="J17" s="18" t="n"/>
      <c r="K17" s="18" t="n"/>
      <c r="L17" s="19" t="n"/>
      <c r="M17" s="19" t="n"/>
      <c r="N17" s="19" t="n"/>
      <c r="O17" s="15">
        <f>IF($B17="","",IF($K17="","Ativo","Inativo"))</f>
        <v/>
      </c>
      <c r="P17" s="15">
        <f>IF(OR($B17="",$J17=""),"",IF(TODAY()-$J17&lt;=90,"Sim — em rampa","Não"))</f>
        <v/>
      </c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35" t="n"/>
      <c r="J18" s="18" t="n"/>
      <c r="K18" s="18" t="n"/>
      <c r="L18" s="19" t="n"/>
      <c r="M18" s="19" t="n"/>
      <c r="N18" s="19" t="n"/>
      <c r="O18" s="15">
        <f>IF($B18="","",IF($K18="","Ativo","Inativo"))</f>
        <v/>
      </c>
      <c r="P18" s="15">
        <f>IF(OR($B18="",$J18=""),"",IF(TODAY()-$J18&lt;=90,"Sim — em rampa","Não"))</f>
        <v/>
      </c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35" t="n"/>
      <c r="J19" s="18" t="n"/>
      <c r="K19" s="18" t="n"/>
      <c r="L19" s="19" t="n"/>
      <c r="M19" s="19" t="n"/>
      <c r="N19" s="19" t="n"/>
      <c r="O19" s="15">
        <f>IF($B19="","",IF($K19="","Ativo","Inativo"))</f>
        <v/>
      </c>
      <c r="P19" s="15">
        <f>IF(OR($B19="",$J19=""),"",IF(TODAY()-$J19&lt;=90,"Sim — em rampa","Não"))</f>
        <v/>
      </c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35" t="n"/>
      <c r="J20" s="18" t="n"/>
      <c r="K20" s="18" t="n"/>
      <c r="L20" s="19" t="n"/>
      <c r="M20" s="19" t="n"/>
      <c r="N20" s="19" t="n"/>
      <c r="O20" s="15">
        <f>IF($B20="","",IF($K20="","Ativo","Inativo"))</f>
        <v/>
      </c>
      <c r="P20" s="15">
        <f>IF(OR($B20="",$J20=""),"",IF(TODAY()-$J20&lt;=90,"Sim — em rampa","Não"))</f>
        <v/>
      </c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35" t="n"/>
      <c r="J21" s="18" t="n"/>
      <c r="K21" s="18" t="n"/>
      <c r="L21" s="19" t="n"/>
      <c r="M21" s="19" t="n"/>
      <c r="N21" s="19" t="n"/>
      <c r="O21" s="15">
        <f>IF($B21="","",IF($K21="","Ativo","Inativo"))</f>
        <v/>
      </c>
      <c r="P21" s="15">
        <f>IF(OR($B21="",$J21=""),"",IF(TODAY()-$J21&lt;=90,"Sim — em rampa","Não"))</f>
        <v/>
      </c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35" t="n"/>
      <c r="J22" s="18" t="n"/>
      <c r="K22" s="18" t="n"/>
      <c r="L22" s="19" t="n"/>
      <c r="M22" s="19" t="n"/>
      <c r="N22" s="19" t="n"/>
      <c r="O22" s="15">
        <f>IF($B22="","",IF($K22="","Ativo","Inativo"))</f>
        <v/>
      </c>
      <c r="P22" s="15">
        <f>IF(OR($B22="",$J22=""),"",IF(TODAY()-$J22&lt;=90,"Sim — em rampa","Não"))</f>
        <v/>
      </c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35" t="n"/>
      <c r="J23" s="18" t="n"/>
      <c r="K23" s="18" t="n"/>
      <c r="L23" s="19" t="n"/>
      <c r="M23" s="19" t="n"/>
      <c r="N23" s="19" t="n"/>
      <c r="O23" s="15">
        <f>IF($B23="","",IF($K23="","Ativo","Inativo"))</f>
        <v/>
      </c>
      <c r="P23" s="15">
        <f>IF(OR($B23="",$J23=""),"",IF(TODAY()-$J23&lt;=90,"Sim — em rampa","Não"))</f>
        <v/>
      </c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35" t="n"/>
      <c r="J24" s="18" t="n"/>
      <c r="K24" s="18" t="n"/>
      <c r="L24" s="19" t="n"/>
      <c r="M24" s="19" t="n"/>
      <c r="N24" s="19" t="n"/>
      <c r="O24" s="15">
        <f>IF($B24="","",IF($K24="","Ativo","Inativo"))</f>
        <v/>
      </c>
      <c r="P24" s="15">
        <f>IF(OR($B24="",$J24=""),"",IF(TODAY()-$J24&lt;=90,"Sim — em rampa","Não"))</f>
        <v/>
      </c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35" t="n"/>
      <c r="J25" s="18" t="n"/>
      <c r="K25" s="18" t="n"/>
      <c r="L25" s="19" t="n"/>
      <c r="M25" s="19" t="n"/>
      <c r="N25" s="19" t="n"/>
      <c r="O25" s="15">
        <f>IF($B25="","",IF($K25="","Ativo","Inativo"))</f>
        <v/>
      </c>
      <c r="P25" s="15">
        <f>IF(OR($B25="",$J25=""),"",IF(TODAY()-$J25&lt;=90,"Sim — em rampa","Não"))</f>
        <v/>
      </c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35" t="n"/>
      <c r="J26" s="18" t="n"/>
      <c r="K26" s="18" t="n"/>
      <c r="L26" s="19" t="n"/>
      <c r="M26" s="19" t="n"/>
      <c r="N26" s="19" t="n"/>
      <c r="O26" s="15">
        <f>IF($B26="","",IF($K26="","Ativo","Inativo"))</f>
        <v/>
      </c>
      <c r="P26" s="15">
        <f>IF(OR($B26="",$J26=""),"",IF(TODAY()-$J26&lt;=90,"Sim — em rampa","Não"))</f>
        <v/>
      </c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35" t="n"/>
      <c r="J27" s="18" t="n"/>
      <c r="K27" s="18" t="n"/>
      <c r="L27" s="19" t="n"/>
      <c r="M27" s="19" t="n"/>
      <c r="N27" s="19" t="n"/>
      <c r="O27" s="15">
        <f>IF($B27="","",IF($K27="","Ativo","Inativo"))</f>
        <v/>
      </c>
      <c r="P27" s="15">
        <f>IF(OR($B27="",$J27=""),"",IF(TODAY()-$J27&lt;=90,"Sim — em rampa","Não"))</f>
        <v/>
      </c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35" t="n"/>
      <c r="J28" s="18" t="n"/>
      <c r="K28" s="18" t="n"/>
      <c r="L28" s="19" t="n"/>
      <c r="M28" s="19" t="n"/>
      <c r="N28" s="19" t="n"/>
      <c r="O28" s="15">
        <f>IF($B28="","",IF($K28="","Ativo","Inativo"))</f>
        <v/>
      </c>
      <c r="P28" s="15">
        <f>IF(OR($B28="",$J28=""),"",IF(TODAY()-$J28&lt;=90,"Sim — em rampa","Não"))</f>
        <v/>
      </c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35" t="n"/>
      <c r="J29" s="18" t="n"/>
      <c r="K29" s="18" t="n"/>
      <c r="L29" s="19" t="n"/>
      <c r="M29" s="19" t="n"/>
      <c r="N29" s="19" t="n"/>
      <c r="O29" s="15">
        <f>IF($B29="","",IF($K29="","Ativo","Inativo"))</f>
        <v/>
      </c>
      <c r="P29" s="15">
        <f>IF(OR($B29="",$J29=""),"",IF(TODAY()-$J29&lt;=90,"Sim — em rampa","Não"))</f>
        <v/>
      </c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35" t="n"/>
      <c r="J30" s="18" t="n"/>
      <c r="K30" s="18" t="n"/>
      <c r="L30" s="19" t="n"/>
      <c r="M30" s="19" t="n"/>
      <c r="N30" s="19" t="n"/>
      <c r="O30" s="15">
        <f>IF($B30="","",IF($K30="","Ativo","Inativo"))</f>
        <v/>
      </c>
      <c r="P30" s="15">
        <f>IF(OR($B30="",$J30=""),"",IF(TODAY()-$J30&lt;=90,"Sim — em rampa","Não"))</f>
        <v/>
      </c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35" t="n"/>
      <c r="J31" s="18" t="n"/>
      <c r="K31" s="18" t="n"/>
      <c r="L31" s="19" t="n"/>
      <c r="M31" s="19" t="n"/>
      <c r="N31" s="19" t="n"/>
      <c r="O31" s="15">
        <f>IF($B31="","",IF($K31="","Ativo","Inativo"))</f>
        <v/>
      </c>
      <c r="P31" s="15">
        <f>IF(OR($B31="",$J31=""),"",IF(TODAY()-$J31&lt;=90,"Sim — em rampa","Não"))</f>
        <v/>
      </c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35" t="n"/>
      <c r="J32" s="18" t="n"/>
      <c r="K32" s="18" t="n"/>
      <c r="L32" s="19" t="n"/>
      <c r="M32" s="19" t="n"/>
      <c r="N32" s="19" t="n"/>
      <c r="O32" s="15">
        <f>IF($B32="","",IF($K32="","Ativo","Inativo"))</f>
        <v/>
      </c>
      <c r="P32" s="15">
        <f>IF(OR($B32="",$J32=""),"",IF(TODAY()-$J32&lt;=90,"Sim — em rampa","Não"))</f>
        <v/>
      </c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35" t="n"/>
      <c r="J33" s="18" t="n"/>
      <c r="K33" s="18" t="n"/>
      <c r="L33" s="19" t="n"/>
      <c r="M33" s="19" t="n"/>
      <c r="N33" s="19" t="n"/>
      <c r="O33" s="15">
        <f>IF($B33="","",IF($K33="","Ativo","Inativo"))</f>
        <v/>
      </c>
      <c r="P33" s="15">
        <f>IF(OR($B33="",$J33=""),"",IF(TODAY()-$J33&lt;=90,"Sim — em rampa","Não"))</f>
        <v/>
      </c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35" t="n"/>
      <c r="J34" s="18" t="n"/>
      <c r="K34" s="18" t="n"/>
      <c r="L34" s="19" t="n"/>
      <c r="M34" s="19" t="n"/>
      <c r="N34" s="19" t="n"/>
      <c r="O34" s="15">
        <f>IF($B34="","",IF($K34="","Ativo","Inativo"))</f>
        <v/>
      </c>
      <c r="P34" s="15">
        <f>IF(OR($B34="",$J34=""),"",IF(TODAY()-$J34&lt;=90,"Sim — em rampa","Não"))</f>
        <v/>
      </c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35" t="n"/>
      <c r="J35" s="18" t="n"/>
      <c r="K35" s="18" t="n"/>
      <c r="L35" s="19" t="n"/>
      <c r="M35" s="19" t="n"/>
      <c r="N35" s="19" t="n"/>
      <c r="O35" s="15">
        <f>IF($B35="","",IF($K35="","Ativo","Inativo"))</f>
        <v/>
      </c>
      <c r="P35" s="15">
        <f>IF(OR($B35="",$J35=""),"",IF(TODAY()-$J35&lt;=90,"Sim — em rampa","Não"))</f>
        <v/>
      </c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35" t="n"/>
      <c r="J36" s="18" t="n"/>
      <c r="K36" s="18" t="n"/>
      <c r="L36" s="19" t="n"/>
      <c r="M36" s="19" t="n"/>
      <c r="N36" s="19" t="n"/>
      <c r="O36" s="15">
        <f>IF($B36="","",IF($K36="","Ativo","Inativo"))</f>
        <v/>
      </c>
      <c r="P36" s="15">
        <f>IF(OR($B36="",$J36=""),"",IF(TODAY()-$J36&lt;=90,"Sim — em rampa","Não"))</f>
        <v/>
      </c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35" t="n"/>
      <c r="J37" s="18" t="n"/>
      <c r="K37" s="18" t="n"/>
      <c r="L37" s="19" t="n"/>
      <c r="M37" s="19" t="n"/>
      <c r="N37" s="19" t="n"/>
      <c r="O37" s="15">
        <f>IF($B37="","",IF($K37="","Ativo","Inativo"))</f>
        <v/>
      </c>
      <c r="P37" s="15">
        <f>IF(OR($B37="",$J37=""),"",IF(TODAY()-$J37&lt;=90,"Sim — em rampa","Não"))</f>
        <v/>
      </c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35" t="n"/>
      <c r="J38" s="18" t="n"/>
      <c r="K38" s="18" t="n"/>
      <c r="L38" s="19" t="n"/>
      <c r="M38" s="19" t="n"/>
      <c r="N38" s="19" t="n"/>
      <c r="O38" s="15">
        <f>IF($B38="","",IF($K38="","Ativo","Inativo"))</f>
        <v/>
      </c>
      <c r="P38" s="15">
        <f>IF(OR($B38="",$J38=""),"",IF(TODAY()-$J38&lt;=90,"Sim — em rampa","Não"))</f>
        <v/>
      </c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35" t="n"/>
      <c r="J39" s="18" t="n"/>
      <c r="K39" s="18" t="n"/>
      <c r="L39" s="19" t="n"/>
      <c r="M39" s="19" t="n"/>
      <c r="N39" s="19" t="n"/>
      <c r="O39" s="15">
        <f>IF($B39="","",IF($K39="","Ativo","Inativo"))</f>
        <v/>
      </c>
      <c r="P39" s="15">
        <f>IF(OR($B39="",$J39=""),"",IF(TODAY()-$J39&lt;=90,"Sim — em rampa","Não"))</f>
        <v/>
      </c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35" t="n"/>
      <c r="J40" s="18" t="n"/>
      <c r="K40" s="18" t="n"/>
      <c r="L40" s="19" t="n"/>
      <c r="M40" s="19" t="n"/>
      <c r="N40" s="19" t="n"/>
      <c r="O40" s="15">
        <f>IF($B40="","",IF($K40="","Ativo","Inativo"))</f>
        <v/>
      </c>
      <c r="P40" s="15">
        <f>IF(OR($B40="",$J40=""),"",IF(TODAY()-$J40&lt;=90,"Sim — em rampa","Não"))</f>
        <v/>
      </c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35" t="n"/>
      <c r="J41" s="18" t="n"/>
      <c r="K41" s="18" t="n"/>
      <c r="L41" s="19" t="n"/>
      <c r="M41" s="19" t="n"/>
      <c r="N41" s="19" t="n"/>
      <c r="O41" s="15">
        <f>IF($B41="","",IF($K41="","Ativo","Inativo"))</f>
        <v/>
      </c>
      <c r="P41" s="15">
        <f>IF(OR($B41="",$J41=""),"",IF(TODAY()-$J41&lt;=90,"Sim — em rampa","Não"))</f>
        <v/>
      </c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35" t="n"/>
      <c r="J42" s="18" t="n"/>
      <c r="K42" s="18" t="n"/>
      <c r="L42" s="19" t="n"/>
      <c r="M42" s="19" t="n"/>
      <c r="N42" s="19" t="n"/>
      <c r="O42" s="15">
        <f>IF($B42="","",IF($K42="","Ativo","Inativo"))</f>
        <v/>
      </c>
      <c r="P42" s="15">
        <f>IF(OR($B42="",$J42=""),"",IF(TODAY()-$J42&lt;=90,"Sim — em rampa","Não"))</f>
        <v/>
      </c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35" t="n"/>
      <c r="J43" s="18" t="n"/>
      <c r="K43" s="18" t="n"/>
      <c r="L43" s="19" t="n"/>
      <c r="M43" s="19" t="n"/>
      <c r="N43" s="19" t="n"/>
      <c r="O43" s="15">
        <f>IF($B43="","",IF($K43="","Ativo","Inativo"))</f>
        <v/>
      </c>
      <c r="P43" s="15">
        <f>IF(OR($B43="",$J43=""),"",IF(TODAY()-$J43&lt;=90,"Sim — em rampa","Não"))</f>
        <v/>
      </c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35" t="n"/>
      <c r="J44" s="18" t="n"/>
      <c r="K44" s="18" t="n"/>
      <c r="L44" s="19" t="n"/>
      <c r="M44" s="19" t="n"/>
      <c r="N44" s="19" t="n"/>
      <c r="O44" s="15">
        <f>IF($B44="","",IF($K44="","Ativo","Inativo"))</f>
        <v/>
      </c>
      <c r="P44" s="15">
        <f>IF(OR($B44="",$J44=""),"",IF(TODAY()-$J44&lt;=90,"Sim — em rampa","Não"))</f>
        <v/>
      </c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35" t="n"/>
      <c r="J45" s="18" t="n"/>
      <c r="K45" s="18" t="n"/>
      <c r="L45" s="19" t="n"/>
      <c r="M45" s="19" t="n"/>
      <c r="N45" s="19" t="n"/>
      <c r="O45" s="15">
        <f>IF($B45="","",IF($K45="","Ativo","Inativo"))</f>
        <v/>
      </c>
      <c r="P45" s="15">
        <f>IF(OR($B45="",$J45=""),"",IF(TODAY()-$J45&lt;=90,"Sim — em rampa","Não"))</f>
        <v/>
      </c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35" t="n"/>
      <c r="J46" s="18" t="n"/>
      <c r="K46" s="18" t="n"/>
      <c r="L46" s="19" t="n"/>
      <c r="M46" s="19" t="n"/>
      <c r="N46" s="19" t="n"/>
      <c r="O46" s="15">
        <f>IF($B46="","",IF($K46="","Ativo","Inativo"))</f>
        <v/>
      </c>
      <c r="P46" s="15">
        <f>IF(OR($B46="",$J46=""),"",IF(TODAY()-$J46&lt;=90,"Sim — em rampa","Não"))</f>
        <v/>
      </c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35" t="n"/>
      <c r="J47" s="18" t="n"/>
      <c r="K47" s="18" t="n"/>
      <c r="L47" s="19" t="n"/>
      <c r="M47" s="19" t="n"/>
      <c r="N47" s="19" t="n"/>
      <c r="O47" s="15">
        <f>IF($B47="","",IF($K47="","Ativo","Inativo"))</f>
        <v/>
      </c>
      <c r="P47" s="15">
        <f>IF(OR($B47="",$J47=""),"",IF(TODAY()-$J47&lt;=90,"Sim — em rampa","Não"))</f>
        <v/>
      </c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35" t="n"/>
      <c r="J48" s="18" t="n"/>
      <c r="K48" s="18" t="n"/>
      <c r="L48" s="19" t="n"/>
      <c r="M48" s="19" t="n"/>
      <c r="N48" s="19" t="n"/>
      <c r="O48" s="15">
        <f>IF($B48="","",IF($K48="","Ativo","Inativo"))</f>
        <v/>
      </c>
      <c r="P48" s="15">
        <f>IF(OR($B48="",$J48=""),"",IF(TODAY()-$J48&lt;=90,"Sim — em rampa","Não"))</f>
        <v/>
      </c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35" t="n"/>
      <c r="J49" s="18" t="n"/>
      <c r="K49" s="18" t="n"/>
      <c r="L49" s="19" t="n"/>
      <c r="M49" s="19" t="n"/>
      <c r="N49" s="19" t="n"/>
      <c r="O49" s="15">
        <f>IF($B49="","",IF($K49="","Ativo","Inativo"))</f>
        <v/>
      </c>
      <c r="P49" s="15">
        <f>IF(OR($B49="",$J49=""),"",IF(TODAY()-$J49&lt;=90,"Sim — em rampa","Não"))</f>
        <v/>
      </c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35" t="n"/>
      <c r="J50" s="18" t="n"/>
      <c r="K50" s="18" t="n"/>
      <c r="L50" s="19" t="n"/>
      <c r="M50" s="19" t="n"/>
      <c r="N50" s="19" t="n"/>
      <c r="O50" s="15">
        <f>IF($B50="","",IF($K50="","Ativo","Inativo"))</f>
        <v/>
      </c>
      <c r="P50" s="15">
        <f>IF(OR($B50="",$J50=""),"",IF(TODAY()-$J50&lt;=90,"Sim — em rampa","Não"))</f>
        <v/>
      </c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35" t="n"/>
      <c r="J51" s="18" t="n"/>
      <c r="K51" s="18" t="n"/>
      <c r="L51" s="19" t="n"/>
      <c r="M51" s="19" t="n"/>
      <c r="N51" s="19" t="n"/>
      <c r="O51" s="15">
        <f>IF($B51="","",IF($K51="","Ativo","Inativo"))</f>
        <v/>
      </c>
      <c r="P51" s="15">
        <f>IF(OR($B51="",$J51=""),"",IF(TODAY()-$J51&lt;=90,"Sim — em rampa","Não"))</f>
        <v/>
      </c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35" t="n"/>
      <c r="J52" s="18" t="n"/>
      <c r="K52" s="18" t="n"/>
      <c r="L52" s="19" t="n"/>
      <c r="M52" s="19" t="n"/>
      <c r="N52" s="19" t="n"/>
      <c r="O52" s="15">
        <f>IF($B52="","",IF($K52="","Ativo","Inativo"))</f>
        <v/>
      </c>
      <c r="P52" s="15">
        <f>IF(OR($B52="",$J52=""),"",IF(TODAY()-$J52&lt;=90,"Sim — em rampa","Não"))</f>
        <v/>
      </c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35" t="n"/>
      <c r="J53" s="18" t="n"/>
      <c r="K53" s="18" t="n"/>
      <c r="L53" s="19" t="n"/>
      <c r="M53" s="19" t="n"/>
      <c r="N53" s="19" t="n"/>
      <c r="O53" s="15">
        <f>IF($B53="","",IF($K53="","Ativo","Inativo"))</f>
        <v/>
      </c>
      <c r="P53" s="15">
        <f>IF(OR($B53="",$J53=""),"",IF(TODAY()-$J53&lt;=90,"Sim — em rampa","Não"))</f>
        <v/>
      </c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35" t="n"/>
      <c r="J54" s="18" t="n"/>
      <c r="K54" s="18" t="n"/>
      <c r="L54" s="19" t="n"/>
      <c r="M54" s="19" t="n"/>
      <c r="N54" s="19" t="n"/>
      <c r="O54" s="15">
        <f>IF($B54="","",IF($K54="","Ativo","Inativo"))</f>
        <v/>
      </c>
      <c r="P54" s="15">
        <f>IF(OR($B54="",$J54=""),"",IF(TODAY()-$J54&lt;=90,"Sim — em rampa","Não"))</f>
        <v/>
      </c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35" t="n"/>
      <c r="J55" s="18" t="n"/>
      <c r="K55" s="18" t="n"/>
      <c r="L55" s="19" t="n"/>
      <c r="M55" s="19" t="n"/>
      <c r="N55" s="19" t="n"/>
      <c r="O55" s="15">
        <f>IF($B55="","",IF($K55="","Ativo","Inativo"))</f>
        <v/>
      </c>
      <c r="P55" s="15">
        <f>IF(OR($B55="",$J55=""),"",IF(TODAY()-$J55&lt;=90,"Sim — em rampa","Não"))</f>
        <v/>
      </c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35" t="n"/>
      <c r="J56" s="18" t="n"/>
      <c r="K56" s="18" t="n"/>
      <c r="L56" s="19" t="n"/>
      <c r="M56" s="19" t="n"/>
      <c r="N56" s="19" t="n"/>
      <c r="O56" s="15">
        <f>IF($B56="","",IF($K56="","Ativo","Inativo"))</f>
        <v/>
      </c>
      <c r="P56" s="15">
        <f>IF(OR($B56="",$J56=""),"",IF(TODAY()-$J56&lt;=90,"Sim — em rampa","Não"))</f>
        <v/>
      </c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35" t="n"/>
      <c r="J57" s="18" t="n"/>
      <c r="K57" s="18" t="n"/>
      <c r="L57" s="19" t="n"/>
      <c r="M57" s="19" t="n"/>
      <c r="N57" s="19" t="n"/>
      <c r="O57" s="15">
        <f>IF($B57="","",IF($K57="","Ativo","Inativo"))</f>
        <v/>
      </c>
      <c r="P57" s="15">
        <f>IF(OR($B57="",$J57=""),"",IF(TODAY()-$J57&lt;=90,"Sim — em rampa","Não"))</f>
        <v/>
      </c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35" t="n"/>
      <c r="J58" s="18" t="n"/>
      <c r="K58" s="18" t="n"/>
      <c r="L58" s="19" t="n"/>
      <c r="M58" s="19" t="n"/>
      <c r="N58" s="19" t="n"/>
      <c r="O58" s="15">
        <f>IF($B58="","",IF($K58="","Ativo","Inativo"))</f>
        <v/>
      </c>
      <c r="P58" s="15">
        <f>IF(OR($B58="",$J58=""),"",IF(TODAY()-$J58&lt;=90,"Sim — em rampa","Não"))</f>
        <v/>
      </c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35" t="n"/>
      <c r="J59" s="18" t="n"/>
      <c r="K59" s="18" t="n"/>
      <c r="L59" s="19" t="n"/>
      <c r="M59" s="19" t="n"/>
      <c r="N59" s="19" t="n"/>
      <c r="O59" s="15">
        <f>IF($B59="","",IF($K59="","Ativo","Inativo"))</f>
        <v/>
      </c>
      <c r="P59" s="15">
        <f>IF(OR($B59="",$J59=""),"",IF(TODAY()-$J59&lt;=90,"Sim — em rampa","Não"))</f>
        <v/>
      </c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35" t="n"/>
      <c r="J60" s="18" t="n"/>
      <c r="K60" s="18" t="n"/>
      <c r="L60" s="19" t="n"/>
      <c r="M60" s="19" t="n"/>
      <c r="N60" s="19" t="n"/>
      <c r="O60" s="15">
        <f>IF($B60="","",IF($K60="","Ativo","Inativo"))</f>
        <v/>
      </c>
      <c r="P60" s="15">
        <f>IF(OR($B60="",$J60=""),"",IF(TODAY()-$J60&lt;=90,"Sim — em rampa","Não"))</f>
        <v/>
      </c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35" t="n"/>
      <c r="J61" s="18" t="n"/>
      <c r="K61" s="18" t="n"/>
      <c r="L61" s="19" t="n"/>
      <c r="M61" s="19" t="n"/>
      <c r="N61" s="19" t="n"/>
      <c r="O61" s="15">
        <f>IF($B61="","",IF($K61="","Ativo","Inativo"))</f>
        <v/>
      </c>
      <c r="P61" s="15">
        <f>IF(OR($B61="",$J61=""),"",IF(TODAY()-$J61&lt;=90,"Sim — em rampa","Não"))</f>
        <v/>
      </c>
    </row>
  </sheetData>
  <dataValidations count="4">
    <dataValidation sqref="D5:D61" showDropDown="0" showInputMessage="0" showErrorMessage="0" allowBlank="1" type="list">
      <formula1>=Config!$H$8:$H$20</formula1>
    </dataValidation>
    <dataValidation sqref="E5:E61" showDropDown="0" showInputMessage="0" showErrorMessage="0" allowBlank="1" type="list">
      <formula1>=Config!$G$8:$G$20</formula1>
    </dataValidation>
    <dataValidation sqref="F5:F61" showDropDown="0" showInputMessage="0" showErrorMessage="0" allowBlank="1" type="list">
      <formula1>=Config!$I$8:$I$30</formula1>
    </dataValidation>
    <dataValidation sqref="G5:G61" showDropDown="0" showInputMessage="0" showErrorMessage="0" allowBlank="1" type="list">
      <formula1>=Config!$J$8:$J$30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74" customWidth="1" min="4" max="4"/>
    <col width="18" customWidth="1" min="5" max="5"/>
    <col width="16" customWidth="1" min="6" max="6"/>
  </cols>
  <sheetData>
    <row r="1" ht="22" customHeight="1">
      <c r="A1" s="1" t="inlineStr">
        <is>
          <t>Modelo de competências</t>
        </is>
      </c>
      <c r="B1" s="2" t="n"/>
      <c r="C1" s="2" t="n"/>
      <c r="D1" s="2" t="n"/>
      <c r="E1" s="2" t="n"/>
      <c r="F1" s="2" t="n"/>
    </row>
    <row r="2">
      <c r="A2" s="36" t="inlineStr">
        <is>
          <t>11 competências em 4 eixos. O 'avaliador dono' é quem decide quando GP e Líder Técnico divergem e não há evidência que desempate.</t>
        </is>
      </c>
      <c r="B2" s="13" t="inlineStr">
        <is>
          <t>Eixo</t>
        </is>
      </c>
      <c r="C2" s="13" t="inlineStr">
        <is>
          <t>Competência</t>
        </is>
      </c>
      <c r="D2" s="13" t="inlineStr">
        <is>
          <t>Definição</t>
        </is>
      </c>
      <c r="E2" s="13" t="inlineStr">
        <is>
          <t>Avaliador dono (palavra final)</t>
        </is>
      </c>
      <c r="F2" s="13" t="inlineStr">
        <is>
          <t>Aplicável a Júnior?</t>
        </is>
      </c>
    </row>
    <row r="3">
      <c r="A3" s="3" t="inlineStr">
        <is>
          <t>11 competências em 4 eixos. Resista a passar de 12: acima disso o avaliador preenche no automático e a nota vira ruído.</t>
        </is>
      </c>
      <c r="B3" s="2" t="n"/>
      <c r="C3" s="2" t="n"/>
      <c r="D3" s="2" t="n"/>
      <c r="E3" s="2" t="n"/>
      <c r="F3" s="2" t="n"/>
    </row>
    <row r="4" ht="30" customHeight="1">
      <c r="A4" s="13" t="inlineStr">
        <is>
          <t>ID</t>
        </is>
      </c>
      <c r="B4" s="13" t="inlineStr">
        <is>
          <t>Eixo</t>
        </is>
      </c>
      <c r="C4" s="13" t="inlineStr">
        <is>
          <t>Competência</t>
        </is>
      </c>
      <c r="D4" s="13" t="inlineStr">
        <is>
          <t>Definição</t>
        </is>
      </c>
      <c r="E4" s="13" t="inlineStr">
        <is>
          <t>Avaliador dono (palavra final)</t>
        </is>
      </c>
      <c r="F4" s="13" t="inlineStr">
        <is>
          <t>Aplicável a Júnior?</t>
        </is>
      </c>
    </row>
    <row r="5" ht="30" customHeight="1">
      <c r="A5" s="37" t="inlineStr">
        <is>
          <t>C01</t>
        </is>
      </c>
      <c r="B5" s="37" t="inlineStr">
        <is>
          <t>A — Entrega e Resultado</t>
        </is>
      </c>
      <c r="C5" s="38" t="inlineStr">
        <is>
          <t>Previsibilidade</t>
        </is>
      </c>
      <c r="D5" s="37" t="inlineStr">
        <is>
          <t>Cumpre o que combinou no prazo combinado, ou avisa cedo quando não vai cumprir.</t>
        </is>
      </c>
      <c r="E5" s="37" t="inlineStr">
        <is>
          <t>GP</t>
        </is>
      </c>
      <c r="F5" s="37" t="inlineStr">
        <is>
          <t>Sim</t>
        </is>
      </c>
    </row>
    <row r="6" ht="30" customHeight="1">
      <c r="A6" s="37" t="inlineStr">
        <is>
          <t>C02</t>
        </is>
      </c>
      <c r="B6" s="37" t="inlineStr">
        <is>
          <t>A — Entrega e Resultado</t>
        </is>
      </c>
      <c r="C6" s="38" t="inlineStr">
        <is>
          <t>Qualidade da entrega</t>
        </is>
      </c>
      <c r="D6" s="37" t="inlineStr">
        <is>
          <t>O que entrega volta pouco — de QA, de review ou de produção.</t>
        </is>
      </c>
      <c r="E6" s="37" t="inlineStr">
        <is>
          <t>Líder Técnico</t>
        </is>
      </c>
      <c r="F6" s="37" t="inlineStr">
        <is>
          <t>Sim</t>
        </is>
      </c>
    </row>
    <row r="7" ht="30" customHeight="1">
      <c r="A7" s="37" t="inlineStr">
        <is>
          <t>C03</t>
        </is>
      </c>
      <c r="B7" s="37" t="inlineStr">
        <is>
          <t>A — Entrega e Resultado</t>
        </is>
      </c>
      <c r="C7" s="38" t="inlineStr">
        <is>
          <t>Foco em valor</t>
        </is>
      </c>
      <c r="D7" s="37" t="inlineStr">
        <is>
          <t>Entende o problema do usuário/negócio antes de codar e questiona escopo que não resolve nada.</t>
        </is>
      </c>
      <c r="E7" s="37" t="inlineStr">
        <is>
          <t>Compartilhado</t>
        </is>
      </c>
      <c r="F7" s="37" t="inlineStr">
        <is>
          <t>Sim</t>
        </is>
      </c>
    </row>
    <row r="8" ht="30" customHeight="1">
      <c r="A8" s="37" t="inlineStr">
        <is>
          <t>C04</t>
        </is>
      </c>
      <c r="B8" s="37" t="inlineStr">
        <is>
          <t>B — Técnico / Ofício</t>
        </is>
      </c>
      <c r="C8" s="38" t="inlineStr">
        <is>
          <t>Domínio técnico</t>
        </is>
      </c>
      <c r="D8" s="37" t="inlineStr">
        <is>
          <t>Conhece a stack e o domínio do produto no nível esperado da senioridade.</t>
        </is>
      </c>
      <c r="E8" s="37" t="inlineStr">
        <is>
          <t>Líder Técnico</t>
        </is>
      </c>
      <c r="F8" s="37" t="inlineStr">
        <is>
          <t>Sim</t>
        </is>
      </c>
    </row>
    <row r="9" ht="30" customHeight="1">
      <c r="A9" s="37" t="inlineStr">
        <is>
          <t>C05</t>
        </is>
      </c>
      <c r="B9" s="37" t="inlineStr">
        <is>
          <t>B — Técnico / Ofício</t>
        </is>
      </c>
      <c r="C9" s="38" t="inlineStr">
        <is>
          <t>Design de solução</t>
        </is>
      </c>
      <c r="D9" s="37" t="inlineStr">
        <is>
          <t>Estrutura código, teste e dados de forma que sobreviva à próxima mudança.</t>
        </is>
      </c>
      <c r="E9" s="37" t="inlineStr">
        <is>
          <t>Líder Técnico</t>
        </is>
      </c>
      <c r="F9" s="37" t="inlineStr">
        <is>
          <t>Sim</t>
        </is>
      </c>
    </row>
    <row r="10" ht="30" customHeight="1">
      <c r="A10" s="37" t="inlineStr">
        <is>
          <t>C06</t>
        </is>
      </c>
      <c r="B10" s="37" t="inlineStr">
        <is>
          <t>B — Técnico / Ofício</t>
        </is>
      </c>
      <c r="C10" s="38" t="inlineStr">
        <is>
          <t>Rigor operacional</t>
        </is>
      </c>
      <c r="D10" s="37" t="inlineStr">
        <is>
          <t>Cuida do que roda: observabilidade, deploy, incidente, dado sensível, segurança.</t>
        </is>
      </c>
      <c r="E10" s="37" t="inlineStr">
        <is>
          <t>Líder Técnico</t>
        </is>
      </c>
      <c r="F10" s="37" t="inlineStr">
        <is>
          <t>Sim</t>
        </is>
      </c>
    </row>
    <row r="11" ht="30" customHeight="1">
      <c r="A11" s="37" t="inlineStr">
        <is>
          <t>C07</t>
        </is>
      </c>
      <c r="B11" s="37" t="inlineStr">
        <is>
          <t>C — Comportamental / Colaboração</t>
        </is>
      </c>
      <c r="C11" s="38" t="inlineStr">
        <is>
          <t>Comunicação</t>
        </is>
      </c>
      <c r="D11" s="37" t="inlineStr">
        <is>
          <t>Escreve e fala de forma que quem não estava no contexto entende e decide.</t>
        </is>
      </c>
      <c r="E11" s="37" t="inlineStr">
        <is>
          <t>GP</t>
        </is>
      </c>
      <c r="F11" s="37" t="inlineStr">
        <is>
          <t>Sim</t>
        </is>
      </c>
    </row>
    <row r="12" ht="30" customHeight="1">
      <c r="A12" s="37" t="inlineStr">
        <is>
          <t>C08</t>
        </is>
      </c>
      <c r="B12" s="37" t="inlineStr">
        <is>
          <t>C — Comportamental / Colaboração</t>
        </is>
      </c>
      <c r="C12" s="38" t="inlineStr">
        <is>
          <t>Colaboração e review</t>
        </is>
      </c>
      <c r="D12" s="37" t="inlineStr">
        <is>
          <t>Melhora o trabalho dos outros e aceita ter o seu melhorado.</t>
        </is>
      </c>
      <c r="E12" s="37" t="inlineStr">
        <is>
          <t>Líder Técnico</t>
        </is>
      </c>
      <c r="F12" s="37" t="inlineStr">
        <is>
          <t>Sim</t>
        </is>
      </c>
    </row>
    <row r="13" ht="30" customHeight="1">
      <c r="A13" s="37" t="inlineStr">
        <is>
          <t>C09</t>
        </is>
      </c>
      <c r="B13" s="37" t="inlineStr">
        <is>
          <t>C — Comportamental / Colaboração</t>
        </is>
      </c>
      <c r="C13" s="38" t="inlineStr">
        <is>
          <t>Confiabilidade e conduta</t>
        </is>
      </c>
      <c r="D13" s="37" t="inlineStr">
        <is>
          <t>É previsível como colega: presente nos rituais, cumpre acordos, respeita as pessoas.</t>
        </is>
      </c>
      <c r="E13" s="37" t="inlineStr">
        <is>
          <t>GP</t>
        </is>
      </c>
      <c r="F13" s="37" t="inlineStr">
        <is>
          <t>Sim</t>
        </is>
      </c>
    </row>
    <row r="14" ht="30" customHeight="1">
      <c r="A14" s="37" t="inlineStr">
        <is>
          <t>C10</t>
        </is>
      </c>
      <c r="B14" s="37" t="inlineStr">
        <is>
          <t>D — Autonomia / Senioridade</t>
        </is>
      </c>
      <c r="C14" s="38" t="inlineStr">
        <is>
          <t>Autonomia e ownership</t>
        </is>
      </c>
      <c r="D14" s="37" t="inlineStr">
        <is>
          <t>Leva o problema até o fim sem ser puxado, e sabe quando escalar.</t>
        </is>
      </c>
      <c r="E14" s="37" t="inlineStr">
        <is>
          <t>Compartilhado</t>
        </is>
      </c>
      <c r="F14" s="37" t="inlineStr">
        <is>
          <t>Sim</t>
        </is>
      </c>
    </row>
    <row r="15" ht="30" customHeight="1">
      <c r="A15" s="37" t="inlineStr">
        <is>
          <t>C11</t>
        </is>
      </c>
      <c r="B15" s="37" t="inlineStr">
        <is>
          <t>D — Autonomia / Senioridade</t>
        </is>
      </c>
      <c r="C15" s="38" t="inlineStr">
        <is>
          <t>Desenvolvimento de outros</t>
        </is>
      </c>
      <c r="D15" s="37" t="inlineStr">
        <is>
          <t>Faz o time render mais que a soma: ensina, documenta, melhora o processo.</t>
        </is>
      </c>
      <c r="E15" s="37" t="inlineStr">
        <is>
          <t>Líder Técnico</t>
        </is>
      </c>
      <c r="F15" s="37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22" customHeight="1">
      <c r="A1" s="1" t="inlineStr">
        <is>
          <t>Âncoras comportamentais</t>
        </is>
      </c>
      <c r="B1" s="2" t="n"/>
      <c r="C1" s="2" t="n"/>
      <c r="D1" s="2" t="n"/>
      <c r="E1" s="2" t="n"/>
      <c r="F1" s="2" t="n"/>
    </row>
    <row r="2">
      <c r="A2" s="3" t="inlineStr">
        <is>
          <t>O que cada nota significa, em comportamento observável. Leia a âncora ANTES de dar a nota — é o antídoto contra o halo e contra o 3 automático.</t>
        </is>
      </c>
      <c r="B2" s="2" t="n"/>
      <c r="C2" s="2" t="n"/>
      <c r="D2" s="2" t="n"/>
      <c r="E2" s="2" t="n"/>
      <c r="F2" s="2" t="n"/>
    </row>
    <row r="3">
      <c r="A3" s="12" t="inlineStr">
        <is>
          <t>Lembre: a nota é sempre relativa à senioridade. Júnior 3 e Sênior 3 são comportamentos diferentes — o que muda é o tamanho do problema que a pessoa resolve sozinha, não a escala.</t>
        </is>
      </c>
      <c r="B3" s="2" t="n"/>
      <c r="C3" s="2" t="n"/>
      <c r="D3" s="2" t="n"/>
      <c r="E3" s="2" t="n"/>
      <c r="F3" s="2" t="n"/>
    </row>
    <row r="4" ht="30" customHeight="1">
      <c r="A4" s="13" t="inlineStr">
        <is>
          <t>Competência</t>
        </is>
      </c>
      <c r="B4" s="13" t="inlineStr">
        <is>
          <t>1 — Abaixo crítico</t>
        </is>
      </c>
      <c r="C4" s="13" t="inlineStr">
        <is>
          <t>2 — Abaixo do esperado</t>
        </is>
      </c>
      <c r="D4" s="13" t="inlineStr">
        <is>
          <t>3 — Atende (esperado do nível)</t>
        </is>
      </c>
      <c r="E4" s="13" t="inlineStr">
        <is>
          <t>4 — Supera</t>
        </is>
      </c>
      <c r="F4" s="13" t="inlineStr">
        <is>
          <t>5 — Referência</t>
        </is>
      </c>
    </row>
    <row r="5" ht="58" customHeight="1">
      <c r="A5" s="38" t="inlineStr">
        <is>
          <t>Previsibilidade</t>
        </is>
      </c>
      <c r="B5" s="37" t="inlineStr">
        <is>
          <t>Prazos estouram sem aviso; o time descobre na review. Compromisso assumido não é cumprido nem renegociado.</t>
        </is>
      </c>
      <c r="C5" s="37" t="inlineStr">
        <is>
          <t>Entrega, mas quase sempre depois; o aviso de atraso vem tarde demais para o PO replanejar.</t>
        </is>
      </c>
      <c r="D5" s="37" t="inlineStr">
        <is>
          <t>Cumpre o combinado na maioria das sprints; quando vai atrasar, avisa a tempo de o time reagir, com nova data.</t>
        </is>
      </c>
      <c r="E5" s="37" t="inlineStr">
        <is>
          <t>Estimativa confiável inclusive em item ambíguo; identifica risco antes de começar e negocia escopo em vez de estourar.</t>
        </is>
      </c>
      <c r="F5" s="37" t="inlineStr">
        <is>
          <t>É a referência de previsibilidade da squad; o roadmap é planejado sobre a estimativa dela sem colchão.</t>
        </is>
      </c>
    </row>
    <row r="6" ht="58" customHeight="1">
      <c r="A6" s="38" t="inlineStr">
        <is>
          <t>Qualidade da entrega</t>
        </is>
      </c>
      <c r="B6" s="37" t="inlineStr">
        <is>
          <t>Entrega volta de QA ou de produção com frequência; deixa retrabalho recorrente para o próximo.</t>
        </is>
      </c>
      <c r="C6" s="37" t="inlineStr">
        <is>
          <t>Cobre o caminho feliz; falha em erro, borda e dado real. PR volta 2+ rodadas com frequência.</t>
        </is>
      </c>
      <c r="D6" s="37" t="inlineStr">
        <is>
          <t>PR passa em 1–2 rodadas; teste junto com o código, cobrindo erro e borda. Reprovação em QA é exceção.</t>
        </is>
      </c>
      <c r="E6" s="37" t="inlineStr">
        <is>
          <t>Escolhe o nível certo de teste e testa o risco; seus testes já pegaram regressão de terceiros.</t>
        </is>
      </c>
      <c r="F6" s="37" t="inlineStr">
        <is>
          <t>Melhorou a testabilidade do sistema (reduziu flaky, criou fixture/harness que o time inteiro usa).</t>
        </is>
      </c>
    </row>
    <row r="7" ht="58" customHeight="1">
      <c r="A7" s="38" t="inlineStr">
        <is>
          <t>Foco em valor</t>
        </is>
      </c>
      <c r="B7" s="37" t="inlineStr">
        <is>
          <t>Entrega o card literalmente, mesmo quando o card está errado; não pergunta o porquê.</t>
        </is>
      </c>
      <c r="C7" s="37" t="inlineStr">
        <is>
          <t>Entende a feature que está fazendo, mas só questiona requisito quando já está codando.</t>
        </is>
      </c>
      <c r="D7" s="37" t="inlineStr">
        <is>
          <t>Questiona requisito incoerente no refinamento, antes de codar.</t>
        </is>
      </c>
      <c r="E7" s="37" t="inlineStr">
        <is>
          <t>Propõe solução mais barata que atende a mesma dor; conhece o usuário real.</t>
        </is>
      </c>
      <c r="F7" s="37" t="inlineStr">
        <is>
          <t>Influencia o roadmap com argumento técnico-econômico; evita construção inteira desnecessária.</t>
        </is>
      </c>
    </row>
    <row r="8" ht="58" customHeight="1">
      <c r="A8" s="38" t="inlineStr">
        <is>
          <t>Domínio técnico</t>
        </is>
      </c>
      <c r="B8" s="37" t="inlineStr">
        <is>
          <t>Erros conceituais recorrentes na stack principal; a mesma explicação precisa ser repetida a cada sprint.</t>
        </is>
      </c>
      <c r="C8" s="37" t="inlineStr">
        <is>
          <t>Resolve o caminho feliz; trava em erro, concorrência, performance ou dado real e depende de terceiro.</t>
        </is>
      </c>
      <c r="D8" s="37" t="inlineStr">
        <is>
          <t>Resolve sozinho problemas típicos do produto no nível dele; sabe onde o sistema quebra e onde procurar o resto.</t>
        </is>
      </c>
      <c r="E8" s="37" t="inlineStr">
        <is>
          <t>Resolve problema fora da zona conhecida; explica trade-off (custo, risco, prazo) e sustenta a escolha com dado.</t>
        </is>
      </c>
      <c r="F8" s="37" t="inlineStr">
        <is>
          <t>Referência técnica consultada por outras squads; decisões dele viram padrão ou ADR na empresa.</t>
        </is>
      </c>
    </row>
    <row r="9" ht="58" customHeight="1">
      <c r="A9" s="38" t="inlineStr">
        <is>
          <t>Design de solução</t>
        </is>
      </c>
      <c r="B9" s="37" t="inlineStr">
        <is>
          <t>Cria estrutura nova sem perguntar e ignora fronteiras existentes; gera retrabalho.</t>
        </is>
      </c>
      <c r="C9" s="37" t="inlineStr">
        <is>
          <t>Copia padrão sem entender; escolhe por familiaridade, não por trade-off.</t>
        </is>
      </c>
      <c r="D9" s="37" t="inlineStr">
        <is>
          <t>Escolhe entre alternativas conhecidas e sabe dizer o que ganha e o que perde.</t>
        </is>
      </c>
      <c r="E9" s="37" t="inlineStr">
        <is>
          <t>Antecipa acoplamento e custo de reverter; escreve a decisão antes de codar.</t>
        </is>
      </c>
      <c r="F9" s="37" t="inlineStr">
        <is>
          <t>Decisão dele mudou o rumo de mais de um time e envelheceu bem.</t>
        </is>
      </c>
    </row>
    <row r="10" ht="58" customHeight="1">
      <c r="A10" s="38" t="inlineStr">
        <is>
          <t>Rigor operacional</t>
        </is>
      </c>
      <c r="B10" s="37" t="inlineStr">
        <is>
          <t>Já comitou segredo ou expôs dado; deixa build vermelho; não considera autorização ao mexer em rota.</t>
        </is>
      </c>
      <c r="C10" s="37" t="inlineStr">
        <is>
          <t>Segue o processo quando lembrado; não instrumenta o que sobe.</t>
        </is>
      </c>
      <c r="D10" s="37" t="inlineStr">
        <is>
          <t>Valida entrada e autorização por padrão; segue o processo de release; consegue corrigir o próprio build.</t>
        </is>
      </c>
      <c r="E10" s="37" t="inlineStr">
        <is>
          <t>Pensa modelo de ameaça (enumeração, corrida, escalada); instrumenta antes de precisar; atua em rollback com segurança.</t>
        </is>
      </c>
      <c r="F10" s="37" t="inlineStr">
        <is>
          <t>Define e revisa a prática de segurança e observabilidade do time; reduziu tempo de build/deploy.</t>
        </is>
      </c>
    </row>
    <row r="11" ht="58" customHeight="1">
      <c r="A11" s="38" t="inlineStr">
        <is>
          <t>Comunicação</t>
        </is>
      </c>
      <c r="B11" s="37" t="inlineStr">
        <is>
          <t>Status enganoso ou ausente; outras pessoas descobrem problemas tarde por falta de informação.</t>
        </is>
      </c>
      <c r="C11" s="37" t="inlineStr">
        <is>
          <t>Comunica, mas exige garimpo: card sem contexto, status 'quase pronto' que não significa nada.</t>
        </is>
      </c>
      <c r="D11" s="37" t="inlineStr">
        <is>
          <t>Card, PR e mensagem que quem não estava no contexto entende; status honesto, inclusive das más notícias.</t>
        </is>
      </c>
      <c r="E11" s="37" t="inlineStr">
        <is>
          <t>Adapta a mensagem ao público (PO, cliente, dev); documenta decisão e evita a mesma discussão duas vezes.</t>
        </is>
      </c>
      <c r="F11" s="37" t="inlineStr">
        <is>
          <t>A comunicação dela destrava decisão de outros times; os escritos viram referência de como o time comunica.</t>
        </is>
      </c>
    </row>
    <row r="12" ht="58" customHeight="1">
      <c r="A12" s="38" t="inlineStr">
        <is>
          <t>Colaboração e review</t>
        </is>
      </c>
      <c r="B12" s="37" t="inlineStr">
        <is>
          <t>Aprova PR sem ler ou só comenta estilo; vira gargalo (PR parado 2+ dias sem sinal).</t>
        </is>
      </c>
      <c r="C12" s="37" t="inlineStr">
        <is>
          <t>Comenta razoavelmente, mas mistura nit com bloqueante e trava PR por gosto pessoal.</t>
        </is>
      </c>
      <c r="D12" s="37" t="inlineStr">
        <is>
          <t>Revisa em até 1 dia útil, pega problema real e separa 'bloqueante' de 'sugestão'.</t>
        </is>
      </c>
      <c r="E12" s="37" t="inlineStr">
        <is>
          <t>Comentário ensina e propõe alternativa; melhora o PR sem assumir o teclado.</t>
        </is>
      </c>
      <c r="F12" s="37" t="inlineStr">
        <is>
          <t>É referência de review no time; medeia discordância técnica sem escalar.</t>
        </is>
      </c>
    </row>
    <row r="13" ht="58" customHeight="1">
      <c r="A13" s="38" t="inlineStr">
        <is>
          <t>Confiabilidade e conduta</t>
        </is>
      </c>
      <c r="B13" s="37" t="inlineStr">
        <is>
          <t>Acordos quebrados de forma recorrente; ausência sem aviso; cria clima no time.</t>
        </is>
      </c>
      <c r="C13" s="37" t="inlineStr">
        <is>
          <t>Presença irregular nos rituais; responde fora do SLA combinado sem avisar.</t>
        </is>
      </c>
      <c r="D13" s="37" t="inlineStr">
        <is>
          <t>Presente nos rituais, cumpre acordos, responde no SLA do time; comportamento consistente com todos.</t>
        </is>
      </c>
      <c r="E13" s="37" t="inlineStr">
        <is>
          <t>É o colega em quem o time se apoia quando algo depende de alguém aparecer.</t>
        </is>
      </c>
      <c r="F13" s="37" t="inlineStr">
        <is>
          <t>Sustenta a cultura do time na prática; comportamento é citado como o padrão esperado.</t>
        </is>
      </c>
    </row>
    <row r="14" ht="58" customHeight="1">
      <c r="A14" s="38" t="inlineStr">
        <is>
          <t>Autonomia e ownership</t>
        </is>
      </c>
      <c r="B14" s="37" t="inlineStr">
        <is>
          <t>Só avança com direcionamento passo a passo; entrega a tarefa e ignora que o problema continua de pé.</t>
        </is>
      </c>
      <c r="C14" s="37" t="inlineStr">
        <is>
          <t>Precisa de acompanhamento acima do normal para o nível; escala tarde ou escala tudo, sem tentativa própria.</t>
        </is>
      </c>
      <c r="D14" s="37" t="inlineStr">
        <is>
          <t>Toca as próprias demandas com direcionamento normal; escala no momento certo, com hipótese e opções.</t>
        </is>
      </c>
      <c r="E14" s="37" t="inlineStr">
        <is>
          <t>Assume problema mal definido e devolve solução; puxa as pessoas necessárias sem precisar do gestor no meio.</t>
        </is>
      </c>
      <c r="F14" s="37" t="inlineStr">
        <is>
          <t>Assume tema crítico de ponta a ponta (técnico + stakeholder) e o gestor deixa de precisar acompanhar.</t>
        </is>
      </c>
    </row>
    <row r="15" ht="58" customHeight="1">
      <c r="A15" s="38" t="inlineStr">
        <is>
          <t>Desenvolvimento de outros</t>
        </is>
      </c>
      <c r="B15" s="37" t="inlineStr">
        <is>
          <t>Retém conhecimento; não documenta; discordância técnica vira questão de ego.</t>
        </is>
      </c>
      <c r="C15" s="37" t="inlineStr">
        <is>
          <t>Ajuda quando pedido, mas assume o teclado em vez de ensinar.</t>
        </is>
      </c>
      <c r="D15" s="37" t="inlineStr">
        <is>
          <t>Pareia e faz onboarding quando necessário; deixa registro do que decidiu.</t>
        </is>
      </c>
      <c r="E15" s="37" t="inlineStr">
        <is>
          <t>Review dele ensina; escreve doc/ADR que o time usa; conduz melhoria da retro até acontecer.</t>
        </is>
      </c>
      <c r="F15" s="37" t="inlineStr">
        <is>
          <t>Eleva o nível técnico do time de forma visível; outros citam ele como referência de desenvolvimento.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18" customWidth="1" min="4" max="4"/>
    <col width="18" customWidth="1" min="5" max="5"/>
    <col width="15" customWidth="1" min="7" max="7"/>
    <col width="15" customWidth="1" min="8" max="8"/>
    <col width="12" customWidth="1" min="9" max="9"/>
    <col width="16" customWidth="1" min="10" max="10"/>
    <col width="26" customWidth="1" min="11" max="11"/>
    <col width="10" customWidth="1" min="12" max="12"/>
    <col width="14" customWidth="1" min="13" max="13"/>
    <col width="10" customWidth="1" min="14" max="14"/>
    <col width="14" customWidth="1" min="15" max="15"/>
    <col width="14" customWidth="1" min="16" max="16"/>
    <col width="8" customWidth="1" min="17" max="17"/>
  </cols>
  <sheetData>
    <row r="1" ht="22" customHeight="1">
      <c r="A1" s="1" t="inlineStr">
        <is>
          <t>Configuração do modelo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Ajuste aqui uma vez. Toda a planilha lê desta aba.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2" t="inlineStr">
        <is>
          <t>Ciclo ativo</t>
        </is>
      </c>
      <c r="B4" s="23" t="inlineStr">
        <is>
          <t>2026-Q3</t>
        </is>
      </c>
      <c r="C4" s="3" t="inlineStr">
        <is>
          <t>Formato AAAA-Qn. O ciclo de cada ocorrência é derivado automaticamente da data do fato.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4" t="inlineStr">
        <is>
          <t>ESCALA DE AVALIAÇÃO — 1 a 5, sem meio ponto, com N/O obrigatório</t>
        </is>
      </c>
      <c r="B6" s="5" t="n"/>
      <c r="C6" s="5" t="n"/>
      <c r="D6" s="5" t="n"/>
      <c r="E6" s="5" t="n"/>
      <c r="F6" s="2" t="n"/>
      <c r="G6" s="33" t="inlineStr">
        <is>
          <t>LISTAS (alimentam os menus suspensos — acrescente valores no fim de cada coluna)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 ht="30" customHeight="1">
      <c r="A7" s="13" t="inlineStr">
        <is>
          <t>Nota</t>
        </is>
      </c>
      <c r="B7" s="13" t="inlineStr">
        <is>
          <t>Rótulo</t>
        </is>
      </c>
      <c r="C7" s="13" t="inlineStr">
        <is>
          <t>O que significa</t>
        </is>
      </c>
      <c r="D7" s="13" t="inlineStr"/>
      <c r="E7" s="13" t="inlineStr"/>
      <c r="F7" s="2" t="n"/>
      <c r="G7" s="13" t="inlineStr">
        <is>
          <t>Senioridade</t>
        </is>
      </c>
      <c r="H7" s="13" t="inlineStr">
        <is>
          <t>Papel</t>
        </is>
      </c>
      <c r="I7" s="13" t="inlineStr">
        <is>
          <t>Squad</t>
        </is>
      </c>
      <c r="J7" s="13" t="inlineStr">
        <is>
          <t>Cliente / Contrato</t>
        </is>
      </c>
      <c r="K7" s="13" t="inlineStr">
        <is>
          <t>Tipo de ocorrência</t>
        </is>
      </c>
      <c r="L7" s="13" t="inlineStr">
        <is>
          <t>Impacto</t>
        </is>
      </c>
      <c r="M7" s="13" t="inlineStr">
        <is>
          <t>Confidencialidade</t>
        </is>
      </c>
      <c r="N7" s="13" t="inlineStr">
        <is>
          <t>Sim/Não</t>
        </is>
      </c>
      <c r="O7" s="13" t="inlineStr">
        <is>
          <t>Papel do autor</t>
        </is>
      </c>
      <c r="P7" s="13" t="inlineStr">
        <is>
          <t>Status PDI</t>
        </is>
      </c>
      <c r="Q7" s="13" t="inlineStr">
        <is>
          <t>Notas</t>
        </is>
      </c>
    </row>
    <row r="8" ht="24" customHeight="1">
      <c r="A8" s="39" t="n">
        <v>1</v>
      </c>
      <c r="B8" s="40" t="inlineStr">
        <is>
          <t>Abaixo crítico</t>
        </is>
      </c>
      <c r="C8" s="37" t="inlineStr">
        <is>
          <t>Gera dano ou retrabalho recorrente. Exige plano de ação formal.</t>
        </is>
      </c>
      <c r="D8" s="2" t="n"/>
      <c r="E8" s="2" t="n"/>
      <c r="F8" s="2" t="n"/>
      <c r="G8" s="9" t="inlineStr">
        <is>
          <t>Júnior</t>
        </is>
      </c>
      <c r="H8" s="9" t="inlineStr">
        <is>
          <t>Dev/QA</t>
        </is>
      </c>
      <c r="I8" s="9" t="inlineStr">
        <is>
          <t>Alfa</t>
        </is>
      </c>
      <c r="J8" s="9" t="inlineStr">
        <is>
          <t>Contrato A</t>
        </is>
      </c>
      <c r="K8" s="9" t="inlineStr">
        <is>
          <t>Reconhecimento</t>
        </is>
      </c>
      <c r="L8" s="9" t="inlineStr">
        <is>
          <t>Baixo</t>
        </is>
      </c>
      <c r="M8" s="9" t="inlineStr">
        <is>
          <t>Squad</t>
        </is>
      </c>
      <c r="N8" s="9" t="inlineStr">
        <is>
          <t>Sim</t>
        </is>
      </c>
      <c r="O8" s="9" t="inlineStr">
        <is>
          <t>GP</t>
        </is>
      </c>
      <c r="P8" s="9" t="inlineStr">
        <is>
          <t>Não iniciado</t>
        </is>
      </c>
      <c r="Q8" s="9" t="inlineStr">
        <is>
          <t>1</t>
        </is>
      </c>
    </row>
    <row r="9" ht="24" customHeight="1">
      <c r="A9" s="39" t="n">
        <v>2</v>
      </c>
      <c r="B9" s="40" t="inlineStr">
        <is>
          <t>Abaixo do esperado</t>
        </is>
      </c>
      <c r="C9" s="37" t="inlineStr">
        <is>
          <t>Precisa de suporte acima do normal para o nível.</t>
        </is>
      </c>
      <c r="D9" s="2" t="n"/>
      <c r="E9" s="2" t="n"/>
      <c r="F9" s="2" t="n"/>
      <c r="G9" s="9" t="inlineStr">
        <is>
          <t>Pleno</t>
        </is>
      </c>
      <c r="H9" s="9" t="inlineStr">
        <is>
          <t>Líder Técnico</t>
        </is>
      </c>
      <c r="I9" s="9" t="inlineStr">
        <is>
          <t>Beta</t>
        </is>
      </c>
      <c r="J9" s="9" t="inlineStr">
        <is>
          <t>Contrato B</t>
        </is>
      </c>
      <c r="K9" s="9" t="inlineStr">
        <is>
          <t>Positiva</t>
        </is>
      </c>
      <c r="L9" s="9" t="inlineStr">
        <is>
          <t>Médio</t>
        </is>
      </c>
      <c r="M9" s="9" t="inlineStr">
        <is>
          <t>Gestão</t>
        </is>
      </c>
      <c r="N9" s="9" t="inlineStr">
        <is>
          <t>Não</t>
        </is>
      </c>
      <c r="O9" s="9" t="inlineStr">
        <is>
          <t>Líder Técnico</t>
        </is>
      </c>
      <c r="P9" s="9" t="inlineStr">
        <is>
          <t>Em andamento</t>
        </is>
      </c>
      <c r="Q9" s="9" t="inlineStr">
        <is>
          <t>2</t>
        </is>
      </c>
    </row>
    <row r="10" ht="24" customHeight="1">
      <c r="A10" s="39" t="n">
        <v>3</v>
      </c>
      <c r="B10" s="40" t="inlineStr">
        <is>
          <t>Atende</t>
        </is>
      </c>
      <c r="C10" s="37" t="inlineStr">
        <is>
          <t>Faz o esperado da senioridade, de forma consistente. É a nota saudável.</t>
        </is>
      </c>
      <c r="D10" s="2" t="n"/>
      <c r="E10" s="2" t="n"/>
      <c r="F10" s="2" t="n"/>
      <c r="G10" s="9" t="inlineStr">
        <is>
          <t>Sênior</t>
        </is>
      </c>
      <c r="H10" s="9" t="inlineStr">
        <is>
          <t>PO/BA</t>
        </is>
      </c>
      <c r="I10" s="9" t="inlineStr">
        <is>
          <t>Delta</t>
        </is>
      </c>
      <c r="J10" s="2" t="n"/>
      <c r="K10" s="9" t="inlineStr">
        <is>
          <t>Ponto de atenção</t>
        </is>
      </c>
      <c r="L10" s="9" t="inlineStr">
        <is>
          <t>Alto</t>
        </is>
      </c>
      <c r="M10" s="9" t="inlineStr">
        <is>
          <t>RH-restrito</t>
        </is>
      </c>
      <c r="N10" s="9" t="inlineStr">
        <is>
          <t>Parcial</t>
        </is>
      </c>
      <c r="O10" s="2" t="n"/>
      <c r="P10" s="9" t="inlineStr">
        <is>
          <t>Concluído</t>
        </is>
      </c>
      <c r="Q10" s="9" t="inlineStr">
        <is>
          <t>3</t>
        </is>
      </c>
    </row>
    <row r="11" ht="24" customHeight="1">
      <c r="A11" s="39" t="n">
        <v>4</v>
      </c>
      <c r="B11" s="40" t="inlineStr">
        <is>
          <t>Supera</t>
        </is>
      </c>
      <c r="C11" s="37" t="inlineStr">
        <is>
          <t>Entrega acima do nível em situações reais e repetidas.</t>
        </is>
      </c>
      <c r="D11" s="2" t="n"/>
      <c r="E11" s="2" t="n"/>
      <c r="F11" s="2" t="n"/>
      <c r="G11" s="9" t="inlineStr">
        <is>
          <t>Especialista</t>
        </is>
      </c>
      <c r="H11" s="9" t="inlineStr">
        <is>
          <t>UX</t>
        </is>
      </c>
      <c r="I11" s="2" t="n"/>
      <c r="J11" s="2" t="n"/>
      <c r="K11" s="9" t="inlineStr">
        <is>
          <t>Incidente</t>
        </is>
      </c>
      <c r="L11" s="2" t="n"/>
      <c r="M11" s="2" t="n"/>
      <c r="N11" s="2" t="n"/>
      <c r="O11" s="2" t="n"/>
      <c r="P11" s="9" t="inlineStr">
        <is>
          <t>Cancelado</t>
        </is>
      </c>
      <c r="Q11" s="9" t="inlineStr">
        <is>
          <t>4</t>
        </is>
      </c>
    </row>
    <row r="12" ht="24" customHeight="1">
      <c r="A12" s="39" t="n">
        <v>5</v>
      </c>
      <c r="B12" s="40" t="inlineStr">
        <is>
          <t>Referência</t>
        </is>
      </c>
      <c r="C12" s="37" t="inlineStr">
        <is>
          <t>Vira padrão para o time; outros copiam a prática.</t>
        </is>
      </c>
      <c r="D12" s="2" t="n"/>
      <c r="E12" s="2" t="n"/>
      <c r="F12" s="2" t="n"/>
      <c r="G12" s="2" t="n"/>
      <c r="H12" s="2" t="n"/>
      <c r="I12" s="2" t="n"/>
      <c r="J12" s="2" t="n"/>
      <c r="K12" s="9" t="inlineStr">
        <is>
          <t>Ausência / Disponibilidade</t>
        </is>
      </c>
      <c r="L12" s="2" t="n"/>
      <c r="M12" s="2" t="n"/>
      <c r="N12" s="2" t="n"/>
      <c r="O12" s="2" t="n"/>
      <c r="P12" s="2" t="n"/>
      <c r="Q12" s="9" t="inlineStr">
        <is>
          <t>5</t>
        </is>
      </c>
    </row>
    <row r="13" ht="24" customHeight="1">
      <c r="A13" s="39" t="inlineStr">
        <is>
          <t>N/O</t>
        </is>
      </c>
      <c r="B13" s="40" t="inlineStr">
        <is>
          <t>Não observado</t>
        </is>
      </c>
      <c r="C13" s="37" t="inlineStr">
        <is>
          <t>Sai do cálculo. Se aparecer 2 ciclos seguidos, ou o papel não exige, ou o gestor não está acompanhando.</t>
        </is>
      </c>
      <c r="D13" s="2" t="n"/>
      <c r="E13" s="2" t="n"/>
      <c r="F13" s="2" t="n"/>
      <c r="G13" s="2" t="n"/>
      <c r="H13" s="2" t="n"/>
      <c r="I13" s="2" t="n"/>
      <c r="J13" s="2" t="n"/>
      <c r="K13" s="9" t="inlineStr">
        <is>
          <t>Contexto atenuante</t>
        </is>
      </c>
      <c r="L13" s="2" t="n"/>
      <c r="M13" s="2" t="n"/>
      <c r="N13" s="2" t="n"/>
      <c r="O13" s="2" t="n"/>
      <c r="P13" s="2" t="n"/>
      <c r="Q13" s="9" t="inlineStr">
        <is>
          <t>N/O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9" t="inlineStr">
        <is>
          <t>Conduta → encaminhado ao RH</t>
        </is>
      </c>
      <c r="L14" s="2" t="n"/>
      <c r="M14" s="2" t="n"/>
      <c r="N14" s="2" t="n"/>
      <c r="O14" s="2" t="n"/>
      <c r="P14" s="2" t="n"/>
      <c r="Q14" s="2" t="n"/>
    </row>
    <row r="15">
      <c r="A15" s="4" t="inlineStr">
        <is>
          <t>PESOS POR EIXO E PAPEL (a soma de cada coluna deve dar 100%)</t>
        </is>
      </c>
      <c r="B15" s="5" t="n"/>
      <c r="C15" s="5" t="n"/>
      <c r="D15" s="5" t="n"/>
      <c r="E15" s="5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 ht="30" customHeight="1">
      <c r="A16" s="13" t="inlineStr">
        <is>
          <t>Eixo</t>
        </is>
      </c>
      <c r="B16" s="13" t="inlineStr">
        <is>
          <t>Dev/QA</t>
        </is>
      </c>
      <c r="C16" s="13" t="inlineStr">
        <is>
          <t>Líder Técnico</t>
        </is>
      </c>
      <c r="D16" s="13" t="inlineStr">
        <is>
          <t>PO/BA</t>
        </is>
      </c>
      <c r="E16" s="13" t="inlineStr">
        <is>
          <t>UX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39" t="inlineStr">
        <is>
          <t>A — Entrega e Resultado</t>
        </is>
      </c>
      <c r="B17" s="41" t="n">
        <v>0.35</v>
      </c>
      <c r="C17" s="41" t="n">
        <v>0.25</v>
      </c>
      <c r="D17" s="41" t="n">
        <v>0.4</v>
      </c>
      <c r="E17" s="41" t="n">
        <v>0.35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39" t="inlineStr">
        <is>
          <t>B — Técnico / Ofício</t>
        </is>
      </c>
      <c r="B18" s="41" t="n">
        <v>0.3</v>
      </c>
      <c r="C18" s="41" t="n">
        <v>0.3</v>
      </c>
      <c r="D18" s="41" t="n">
        <v>0.15</v>
      </c>
      <c r="E18" s="41" t="n">
        <v>0.25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39" t="inlineStr">
        <is>
          <t>C — Comportamental / Colaboração</t>
        </is>
      </c>
      <c r="B19" s="41" t="n">
        <v>0.2</v>
      </c>
      <c r="C19" s="41" t="n">
        <v>0.25</v>
      </c>
      <c r="D19" s="41" t="n">
        <v>0.3</v>
      </c>
      <c r="E19" s="41" t="n">
        <v>0.25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39" t="inlineStr">
        <is>
          <t>D — Autonomia / Senioridade</t>
        </is>
      </c>
      <c r="B20" s="41" t="n">
        <v>0.15</v>
      </c>
      <c r="C20" s="41" t="n">
        <v>0.2</v>
      </c>
      <c r="D20" s="41" t="n">
        <v>0.15</v>
      </c>
      <c r="E20" s="41" t="n">
        <v>0.15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42" t="inlineStr">
        <is>
          <t>Soma (deve ser 100%)</t>
        </is>
      </c>
      <c r="B21" s="43">
        <f>SUM(B17:B20)</f>
        <v/>
      </c>
      <c r="C21" s="43">
        <f>SUM(C17:C20)</f>
        <v/>
      </c>
      <c r="D21" s="43">
        <f>SUM(D17:D20)</f>
        <v/>
      </c>
      <c r="E21" s="43">
        <f>SUM(E17:E20)</f>
        <v/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4" t="inlineStr">
        <is>
          <t>EXPECTATIVA MÍNIMA POR SENIORIDADE (a comparação e o ranking usam o GAP contra este número)</t>
        </is>
      </c>
      <c r="B23" s="5" t="n"/>
      <c r="C23" s="5" t="n"/>
      <c r="D23" s="5" t="n"/>
      <c r="E23" s="5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 ht="30" customHeight="1">
      <c r="A24" s="13" t="inlineStr">
        <is>
          <t>Senioridade</t>
        </is>
      </c>
      <c r="B24" s="13" t="inlineStr">
        <is>
          <t>Expectativa</t>
        </is>
      </c>
      <c r="C24" s="13" t="inlineStr"/>
      <c r="D24" s="13" t="inlineStr"/>
      <c r="E24" s="13" t="inlineStr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39" t="inlineStr">
        <is>
          <t>Júnior</t>
        </is>
      </c>
      <c r="B25" s="44" t="n">
        <v>2.7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39" t="inlineStr">
        <is>
          <t>Pleno</t>
        </is>
      </c>
      <c r="B26" s="44" t="n">
        <v>3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39" t="inlineStr">
        <is>
          <t>Sênior</t>
        </is>
      </c>
      <c r="B27" s="44" t="n">
        <v>3.2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39" t="inlineStr">
        <is>
          <t>Especialista</t>
        </is>
      </c>
      <c r="B28" s="44" t="n">
        <v>3.4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4" t="inlineStr">
        <is>
          <t>PROIBIÇÕES EXPLÍCITAS</t>
        </is>
      </c>
      <c r="B30" s="5" t="n"/>
      <c r="C30" s="5" t="n"/>
      <c r="D30" s="5" t="n"/>
      <c r="E30" s="5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 ht="26" customHeight="1">
      <c r="A31" s="6" t="inlineStr">
        <is>
          <t>• Nenhuma célula de nota pode ser fórmula sobre linhas de código, nº de PRs, story points, velocidade ou tickets fechados. Se a métrica existir, ela é contexto — nunca nota.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 ht="26" customHeight="1">
      <c r="A32" s="6" t="inlineStr">
        <is>
          <t>• Sem curva forçada. Distribuição imposta em squad de 6 pessoas é matematicamente absurda e destrói a colaboração em um ciclo.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 ht="26" customHeight="1">
      <c r="A33" s="6" t="inlineStr">
        <is>
          <t>• Sem ranking global entre squads. Comparar Sênior em contrato caótico com Júnior em sustentação estável vaza e o dano à confiança é permanente.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 ht="26" customHeight="1">
      <c r="A34" s="6" t="inlineStr">
        <is>
          <t>• Sem média entre a nota do GP e a do Líder Técnico. Média esconde a divergência, que é a informação mais valiosa aqui.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</sheetData>
  <mergeCells count="4">
    <mergeCell ref="A33:E33"/>
    <mergeCell ref="A34:E34"/>
    <mergeCell ref="A32:E32"/>
    <mergeCell ref="A31:E31"/>
  </mergeCells>
  <conditionalFormatting sqref="B21:E21">
    <cfRule type="cellIs" priority="1" operator="notEqual" dxfId="0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2026-08-27T02:30:33Z</dcterms:created>
  <dcterms:modified xsi:type="dcterms:W3CDTF">2026-08-27T02:30:35Z</dcterms:modified>
</cp:coreProperties>
</file>