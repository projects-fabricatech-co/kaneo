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ções" sheetId="1" state="visible" r:id="rId1"/>
    <sheet name="Painel" sheetId="2" state="visible" r:id="rId2"/>
    <sheet name="Ocorrências" sheetId="3" state="visible" r:id="rId3"/>
    <sheet name="Avaliação" sheetId="4" state="visible" r:id="rId4"/>
    <sheet name="1a1" sheetId="5" state="visible" r:id="rId5"/>
    <sheet name="PDI" sheetId="6" state="visible" r:id="rId6"/>
    <sheet name="Alertas" sheetId="7" state="visible" r:id="rId7"/>
    <sheet name="Pessoas" sheetId="8" state="visible" r:id="rId8"/>
    <sheet name="Alocações" sheetId="9" state="visible" r:id="rId9"/>
    <sheet name="Config" sheetId="10" state="visible" r:id="rId10"/>
  </sheets>
  <definedNames>
    <definedName name="_xlnm._FilterDatabase" localSheetId="1" hidden="1">'Painel'!$A$6:$V$64</definedName>
    <definedName name="_xlnm._FilterDatabase" localSheetId="2" hidden="1">'Ocorrências'!$A$4:$AB$604</definedName>
    <definedName name="_xlnm._FilterDatabase" localSheetId="3" hidden="1">'Avaliação'!$A$4:$AA$404</definedName>
    <definedName name="_xlnm.Print_Area" localSheetId="4">'1a1'!$A$1:$G$48</definedName>
    <definedName name="_xlnm._FilterDatabase" localSheetId="8" hidden="1">'Alocações'!$A$4:$Q$84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0.0"/>
    <numFmt numFmtId="166" formatCode="yyyy-mm-dd"/>
    <numFmt numFmtId="167" formatCode="0.00;-0.00;-"/>
    <numFmt numFmtId="168" formatCode="0.0;-0.0;-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C00000"/>
      <sz val="9"/>
    </font>
    <font>
      <name val="Arial"/>
      <b val="1"/>
      <i val="1"/>
      <color rgb="00000000"/>
      <sz val="9"/>
    </font>
    <font>
      <name val="Arial"/>
      <b val="1"/>
      <color rgb="009C0006"/>
      <sz val="11"/>
    </font>
    <font>
      <name val="Arial"/>
      <i val="1"/>
      <color rgb="00FFFFFF"/>
      <sz val="8"/>
    </font>
    <font>
      <name val="Arial"/>
      <b val="1"/>
      <color rgb="000000FF"/>
      <sz val="11"/>
    </font>
    <font>
      <name val="Arial"/>
      <color rgb="00A6A6A6"/>
      <sz val="9"/>
    </font>
    <font>
      <name val="Arial"/>
      <b val="1"/>
      <color rgb="00000000"/>
      <sz val="12"/>
    </font>
    <font>
      <name val="Arial"/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2E5395"/>
      </patternFill>
    </fill>
    <fill>
      <patternFill patternType="solid">
        <fgColor rgb="001F3864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pivotButton="0" quotePrefix="0" xfId="0"/>
    <xf numFmtId="0" fontId="17" fillId="0" borderId="0" pivotButton="0" quotePrefix="0" xfId="0"/>
    <xf numFmtId="0" fontId="9" fillId="2" borderId="1" pivotButton="0" quotePrefix="0" xfId="0"/>
    <xf numFmtId="0" fontId="8" fillId="0" borderId="0" pivotButton="0" quotePrefix="0" xfId="0"/>
    <xf numFmtId="0" fontId="8" fillId="3" borderId="1" pivotButton="0" quotePrefix="0" xfId="0"/>
    <xf numFmtId="0" fontId="12" fillId="0" borderId="0" pivotButton="0" quotePrefix="0" xfId="0"/>
    <xf numFmtId="0" fontId="6" fillId="5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167" fontId="8" fillId="3" borderId="1" applyAlignment="1" pivotButton="0" quotePrefix="0" xfId="0">
      <alignment vertical="top" wrapText="1"/>
    </xf>
    <xf numFmtId="0" fontId="10" fillId="0" borderId="0" pivotButton="0" quotePrefix="0" xfId="0"/>
    <xf numFmtId="0" fontId="6" fillId="6" borderId="1" applyAlignment="1" pivotButton="0" quotePrefix="0" xfId="0">
      <alignment vertical="center" wrapText="1"/>
    </xf>
    <xf numFmtId="164" fontId="9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0" fontId="3" fillId="0" borderId="0" pivotButton="0" quotePrefix="0" xfId="0"/>
    <xf numFmtId="0" fontId="14" fillId="2" borderId="1" pivotButton="0" quotePrefix="0" xfId="0"/>
    <xf numFmtId="0" fontId="15" fillId="0" borderId="0" pivotButton="0" quotePrefix="0" xfId="0"/>
    <xf numFmtId="0" fontId="3" fillId="3" borderId="1" pivotButton="0" quotePrefix="0" xfId="0"/>
    <xf numFmtId="0" fontId="5" fillId="0" borderId="0" pivotButton="0" quotePrefix="0" xfId="0"/>
    <xf numFmtId="168" fontId="8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9" fontId="9" fillId="2" borderId="1" applyAlignment="1" pivotButton="0" quotePrefix="0" xfId="0">
      <alignment vertical="top" wrapText="1"/>
    </xf>
    <xf numFmtId="0" fontId="4" fillId="2" borderId="1" pivotButton="0" quotePrefix="0" xfId="0"/>
    <xf numFmtId="164" fontId="3" fillId="3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pivotButton="0" quotePrefix="0" xfId="0"/>
    <xf numFmtId="9" fontId="9" fillId="2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9" fontId="7" fillId="0" borderId="1" applyAlignment="1" pivotButton="0" quotePrefix="0" xfId="0">
      <alignment horizontal="center"/>
    </xf>
    <xf numFmtId="165" fontId="9" fillId="2" borderId="1" applyAlignment="1" pivotButton="0" quotePrefix="0" xfId="0">
      <alignment horizontal="center"/>
    </xf>
    <xf numFmtId="164" fontId="9" fillId="2" borderId="1" pivotButton="0" quotePrefix="0" xfId="0"/>
  </cellXfs>
  <cellStyles count="1">
    <cellStyle name="Normal" xfId="0" builtinId="0" hidden="0"/>
  </cellStyles>
  <dxfs count="7">
    <dxf>
      <fill>
        <patternFill patternType="solid">
          <fgColor rgb="00FDE9D9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9C0006"/>
        <sz val="9"/>
      </font>
    </dxf>
    <dxf>
      <font>
        <name val="Arial"/>
        <color rgb="00A6A6A6"/>
        <sz val="9"/>
      </font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  <dxf>
      <font>
        <name val="Arial"/>
        <b val="1"/>
        <color rgb="009C0006"/>
        <sz val="12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Gestão de Pessoas</author>
    <author>Qualidade</author>
  </authors>
  <commentList>
    <comment ref="A3" authorId="0" shapeId="0">
      <text>
        <t>A única métrica desta planilha que mede o GESTOR, não a equipe. Vazio é o problema real, não a nota baixa.</t>
      </text>
    </comment>
    <comment ref="U6" authorId="1" shapeId="0">
      <text>
        <t>REGRA 9 — a contradição que ela resolve.
A regra 2 exige ocorrência vinculada para nota 1, 2 ou 5.
A regra 4 tira do ciclo a ocorrência negativa não comunicada.
Logo, o GP que não deu o feedback era obrigado a dar 3: a planilha convertia a omissão do gestor em nota melhor para a pessoa, em silêncio.
Este alerta é endereçado ao GESTOR DO GP. Nunca à pessoa avaliada.</t>
      </text>
    </comment>
  </commentList>
</comments>
</file>

<file path=xl/comments/comment2.xml><?xml version="1.0" encoding="utf-8"?>
<comments xmlns="http://schemas.openxmlformats.org/spreadsheetml/2006/main">
  <authors>
    <author>RH</author>
  </authors>
  <commentList>
    <comment ref="H4" authorId="0" shapeId="0">
      <text>
        <t>Fato observável: o que aconteceu, verificável por terceiro.
Bom: 'Subiu hotfix sem aprovação na sexta 18h'.
Ruim: 'É descuidado', 'falta postura', 'é proativo'.
Feedback vago sem fato recai desproporcionalmente sobre mulheres e pessoas negras. É por isso que este campo é duro.</t>
      </text>
    </comment>
    <comment ref="L4" authorId="0" shapeId="0">
      <text>
        <t>Ocorrência negativa nunca comunicada NÃO entra no cálculo do ciclo e não viaja no handover.
Surpresa na devolutiva é falha de gestão, e é o que derruba um processo demissional.</t>
      </text>
    </comment>
  </commentList>
</comments>
</file>

<file path=xl/comments/comment3.xml><?xml version="1.0" encoding="utf-8"?>
<comments xmlns="http://schemas.openxmlformats.org/spreadsheetml/2006/main">
  <authors>
    <author>Gestão de Pessoas</author>
  </authors>
  <commentList>
    <comment ref="L4" authorId="0" shapeId="0">
      <text>
        <t>Base de observação = Insuficiente significa que a nota NÃO deve ser dada: deixe em branco.
Nota de quem entrou há três semanas não pode pesar igual à de quem acompanha há um ano.</t>
      </text>
    </comment>
    <comment ref="P4" authorId="0" shapeId="0">
      <text>
        <t>A nota final é DECISÃO, não cálculo. A Sugestão só resolve o caso trivial.
Divergência 1: decide o avaliador dono da competência.
Divergência 2+: cada lado traz uma ocorrência. Se só um tem evidência, a nota dele prevalece.
Nunca a média.</t>
      </text>
    </comment>
    <comment ref="T4" authorId="0" shapeId="0">
      <text>
        <t>Papel acumulado = Sim quando o Líder Técnico É TAMBÉM o Gestor de Pessoas.
Nesse caso a pessoa avalia, decide e arbitra a própria divergência. O desempate sobe um nível (gestor do gestor, ou RH) e o Motivo do desempate passa a ser obrigatório em TODA divergência.</t>
      </text>
    </comment>
  </commentList>
</comments>
</file>

<file path=xl/comments/comment4.xml><?xml version="1.0" encoding="utf-8"?>
<comments xmlns="http://schemas.openxmlformats.org/spreadsheetml/2006/main">
  <authors>
    <author>Liderança Técnica</author>
    <author>Técnico</author>
  </authors>
  <commentList>
    <comment ref="C8" authorId="0" shapeId="0">
      <text>
        <t>Vermelho = GP e Líder Técnico divergiram em 2+ pontos.
Diga isso na cara, na 1:1: 'o que discordamos sobre você'.
Esconder a divergência é o que faz a devolutiva soar falsa.</t>
      </text>
    </comment>
    <comment ref="B51" authorId="1" shapeId="0">
      <text>
        <t>Use o ID da pessoa (P001), não o nome. O ID é a chave estável do modelo:
nome muda, ID não. É ele que liga esta linha ao Painel.</t>
      </text>
    </comment>
  </commentList>
</comments>
</file>

<file path=xl/comments/comment5.xml><?xml version="1.0" encoding="utf-8"?>
<comments xmlns="http://schemas.openxmlformats.org/spreadsheetml/2006/main">
  <authors>
    <author>Liderança Técnica</author>
  </authors>
  <commentList>
    <comment ref="H4" authorId="0" shapeId="0">
      <text>
        <t>O campo que faz diferença.
'Melhorar em testes' não se verifica. 'Teste de caminho de erro presente sem o review pedir, nos próximos 3 PRs, verificado por mim em 30/11' se verifica.</t>
      </text>
    </comment>
  </commentList>
</comments>
</file>

<file path=xl/comments/comment6.xml><?xml version="1.0" encoding="utf-8"?>
<comments xmlns="http://schemas.openxmlformats.org/spreadsheetml/2006/main">
  <authors>
    <author>Qualidade</author>
  </authors>
  <commentList>
    <comment ref="D4" authorId="0" shapeId="0">
      <text>
        <t>Ciclos mínimos para o alerta valer.
Sem carência, no primeiro ciclo quase todos disparam de uma vez e a aba vira ruído permanente. Uma aba que grita 40 linhas na primeira abertura nunca mais é aberta.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 ht="22" customHeight="1">
      <c r="A1" s="1" t="inlineStr">
        <is>
          <t>Avaliação de Desempenho por Squad — GP + Líder Técnico + Gestor de Pessoas</t>
        </is>
      </c>
    </row>
    <row r="2">
      <c r="A2" s="2" t="inlineStr">
        <is>
          <t>Versão 3 · construída com as visões de RH, Gerência de Projetos, Liderança Técnica e Gestão de Pessoas, e revisada por um revisor de qualidade e um revisor técnico</t>
        </is>
      </c>
    </row>
    <row r="3"/>
    <row r="4" ht="30" customHeight="1">
      <c r="A4" s="3" t="inlineStr">
        <is>
          <t>O QUE ESTA PLANILHA É</t>
        </is>
      </c>
      <c r="B4" s="4" t="n"/>
    </row>
    <row r="5" ht="30" customHeight="1">
      <c r="B5" s="5" t="inlineStr">
        <is>
          <t>O registro contínuo é o produto; a nota é subproduto. Se só uma aba sobreviver, que seja 'Ocorrências'. Uma nota sem ocorrência vinculada não é avaliação, é impressão.</t>
        </is>
      </c>
    </row>
    <row r="6" ht="30" customHeight="1">
      <c r="A6" s="3" t="inlineStr">
        <is>
          <t>RITMO DE USO</t>
        </is>
      </c>
      <c r="B6" s="4" t="n"/>
    </row>
    <row r="7" ht="30" customHeight="1">
      <c r="A7" s="6" t="inlineStr">
        <is>
          <t>Quando acontecer — 45 segundos</t>
        </is>
      </c>
      <c r="B7" s="5" t="inlineStr">
        <is>
          <t>Lance a ocorrência: bloco rápido, colunas A a J, um único campo de texto. Meta: 2 a 4 por pessoa por mês, com ao menos 1 positiva a cada 2 registros.</t>
        </is>
      </c>
    </row>
    <row r="8" ht="30" customHeight="1">
      <c r="A8" s="6" t="inlineStr">
        <is>
          <t>Sexta — 15 min pela squad</t>
        </is>
      </c>
      <c r="B8" s="5" t="inlineStr">
        <is>
          <t>Abra o 'Painel'. Leia a primeira linha vermelha: de quem você não sabe nada. Não avalie nada.</t>
        </is>
      </c>
    </row>
    <row r="9" ht="30" customHeight="1">
      <c r="A9" s="6" t="inlineStr">
        <is>
          <t>Fim do ciclo — 20 min por pessoa</t>
        </is>
      </c>
      <c r="B9" s="5" t="inlineStr">
        <is>
          <t>Preencha 'Avaliação'. Você não escreve do zero: lê o que já foi acumulado.</t>
        </is>
      </c>
    </row>
    <row r="10" ht="30" customHeight="1">
      <c r="A10" s="6" t="inlineStr">
        <is>
          <t>Antes da devolutiva</t>
        </is>
      </c>
      <c r="B10" s="5" t="inlineStr">
        <is>
          <t>Calibração GP × LT só nos itens divergentes. Depois, a 1:1 com a aba '1a1' impressa.</t>
        </is>
      </c>
    </row>
    <row r="11" ht="30" customHeight="1">
      <c r="A11" s="3" t="inlineStr">
        <is>
          <t>QUEM AVALIA O QUÊ</t>
        </is>
      </c>
      <c r="B11" s="4" t="n"/>
    </row>
    <row r="12" ht="30" customHeight="1">
      <c r="A12" s="6" t="inlineStr">
        <is>
          <t>Líder Técnico decide</t>
        </is>
      </c>
      <c r="B12" s="5" t="inlineStr">
        <is>
          <t>Qualidade da entrega · Domínio técnico · Design de solução.</t>
        </is>
      </c>
    </row>
    <row r="13" ht="30" customHeight="1">
      <c r="A13" s="6" t="inlineStr">
        <is>
          <t>GP decide</t>
        </is>
      </c>
      <c r="B13" s="5" t="inlineStr">
        <is>
          <t>Previsibilidade.</t>
        </is>
      </c>
    </row>
    <row r="14" ht="30" customHeight="1">
      <c r="A14" s="6" t="inlineStr">
        <is>
          <t>Compartilhado</t>
        </is>
      </c>
      <c r="B14" s="5" t="inlineStr">
        <is>
          <t>Comunicação e colaboração · Autonomia e ownership. Quem não tem evidência deixa em branco — em branco é resposta legítima e melhor que chute.</t>
        </is>
      </c>
    </row>
    <row r="15" ht="30" customHeight="1">
      <c r="A15" s="3" t="inlineStr">
        <is>
          <t>AS NOVE REGRAS DURAS</t>
        </is>
      </c>
      <c r="B15" s="4" t="n"/>
    </row>
    <row r="16" ht="30" customHeight="1">
      <c r="A16" s="7" t="inlineStr">
        <is>
          <t>Regra 1</t>
        </is>
      </c>
      <c r="B16" s="5" t="inlineStr">
        <is>
          <t>3 é 'atende plenamente PARA A SENIORIDADE'. Não é nota ruim. Um Júnior 3 e um Sênior 3 são comportamentos diferentes.</t>
        </is>
      </c>
    </row>
    <row r="17" ht="30" customHeight="1">
      <c r="A17" s="7" t="inlineStr">
        <is>
          <t>Regra 2</t>
        </is>
      </c>
      <c r="B17" s="5" t="inlineStr">
        <is>
          <t>Nota 1, 2 ou 5 exige ocorrência vinculada no ciclo. Sem lastro, a célula acusa e o ciclo não fecha.</t>
        </is>
      </c>
    </row>
    <row r="18" ht="30" customHeight="1">
      <c r="A18" s="7" t="inlineStr">
        <is>
          <t>Regra 3</t>
        </is>
      </c>
      <c r="B18" s="5" t="inlineStr">
        <is>
          <t>Nunca a média entre avaliadores — nem GP × LT, nem GP × GP em quem tem dois contratos. A divergência é a informação.</t>
        </is>
      </c>
    </row>
    <row r="19" ht="30" customHeight="1">
      <c r="A19" s="7" t="inlineStr">
        <is>
          <t>Regra 4</t>
        </is>
      </c>
      <c r="B19" s="5" t="inlineStr">
        <is>
          <t>Ocorrência negativa nunca conversada com a pessoa NÃO entra no ciclo e não viaja no handover.</t>
        </is>
      </c>
    </row>
    <row r="20" ht="30" customHeight="1">
      <c r="A20" s="7" t="inlineStr">
        <is>
          <t>Regra 5</t>
        </is>
      </c>
      <c r="B20" s="5" t="inlineStr">
        <is>
          <t>'Fato observável' não aceita adjetivo de personalidade. O juízo vai em 'Consequência', e tem de ser defensável a partir do fato ao lado.</t>
        </is>
      </c>
    </row>
    <row r="21" ht="30" customHeight="1">
      <c r="A21" s="7" t="inlineStr">
        <is>
          <t>Regra 6</t>
        </is>
      </c>
      <c r="B21" s="5" t="inlineStr">
        <is>
          <t>Comparação e ranking usam SEMPRE o gap contra a expectativa da senioridade. Nunca a nota bruta, nunca entre squads.</t>
        </is>
      </c>
    </row>
    <row r="22" ht="30" customHeight="1">
      <c r="A22" s="7" t="inlineStr">
        <is>
          <t>Regra 7</t>
        </is>
      </c>
      <c r="B22" s="5" t="inlineStr">
        <is>
          <t>Sem curva forçada. Distribuição imposta em squad de 6 pessoas é matematicamente absurda.</t>
        </is>
      </c>
    </row>
    <row r="23" ht="30" customHeight="1">
      <c r="A23" s="7" t="inlineStr">
        <is>
          <t>Regra 8</t>
        </is>
      </c>
      <c r="B23" s="5" t="inlineStr">
        <is>
          <t>Conduta, assédio, denúncia e saúde NÃO entram aqui, em nenhuma aba. Registre 'encaminhado ao RH em &lt;data&gt;' e a apuração corre em processo próprio.</t>
        </is>
      </c>
    </row>
    <row r="24" ht="30" customHeight="1">
      <c r="A24" s="7" t="inlineStr">
        <is>
          <t>Regra 9</t>
        </is>
      </c>
      <c r="B24" s="5" t="inlineStr">
        <is>
          <t>Nota 3 ou mais COM ocorrência negativa não conversada acende 'Nota sustentada por omissão' — endereçado ao gestor do GP, nunca à pessoa avaliada.</t>
        </is>
      </c>
    </row>
    <row r="25" ht="30" customHeight="1">
      <c r="A25" s="3" t="inlineStr">
        <is>
          <t>DUAS COISAS QUE ESTA PLANILHA NÃO FAZ, E VOCÊ PRECISA SABER</t>
        </is>
      </c>
      <c r="B25" s="4" t="n"/>
    </row>
    <row r="26" ht="30" customHeight="1">
      <c r="B26" s="5" t="inlineStr">
        <is>
          <t>1) A obrigatoriedade é DETECTIVA, não preventiva. Ninguém é impedido de salvar uma ocorrência incompleta — validação de dados não torna campo obrigatório, célula em branco nunca dispara validação. O que o modelo garante é que a linha incompleta NÃO CONTA: não entra no lastro, não viaja no handover, e acende alerta.</t>
        </is>
      </c>
    </row>
    <row r="27" ht="30" customHeight="1">
      <c r="B27" s="5" t="inlineStr">
        <is>
          <t>2) Ocorrência antiga não se esconde sozinha. Use o filtro na coluna 'Exibição' (Ativa / Histórico / Arquivada). Erro tratado não se cobra três vezes — mas quem esconde é o filtro, não a fórmula.</t>
        </is>
      </c>
    </row>
    <row r="28" ht="30" customHeight="1">
      <c r="A28" s="3" t="inlineStr">
        <is>
          <t>LGPD — LEIA ANTES DE ESCREVER</t>
        </is>
      </c>
      <c r="B28" s="4" t="n"/>
    </row>
    <row r="29" ht="30" customHeight="1">
      <c r="B29" s="5" t="inlineStr">
        <is>
          <t>Não registre dado sensível: saúde, diagnóstico, religião, orientação sexual, filiação sindical, origem racial, vida familiar. Ausência registra o FATO, nunca o motivo.</t>
        </is>
      </c>
    </row>
    <row r="30" ht="30" customHeight="1">
      <c r="B30" s="5" t="inlineStr">
        <is>
          <t>A pessoa pode pedir acesso ao que se registrou sobre ela. Regra prática: não escreva nada que você não sustentaria lendo em voz alta para ela.</t>
        </is>
      </c>
    </row>
    <row r="31" ht="30" customHeight="1">
      <c r="B31" s="5" t="inlineStr">
        <is>
          <t>Arquivo único no drive corporativo, com coautoria. Nunca anexo de e-mail, nunca cópia local. Senha de planilha do Excel não é controle de acesso — por isso retenção, caso de promoção e registro privado do gestor vivem em ARQUIVO SEPARADO, não aqui.</t>
        </is>
      </c>
    </row>
    <row r="32" ht="30" customHeight="1">
      <c r="A32" s="3" t="inlineStr">
        <is>
          <t>LEGENDA</t>
        </is>
      </c>
      <c r="B32" s="4" t="n"/>
    </row>
    <row r="33" ht="30" customHeight="1">
      <c r="A33" s="8" t="inlineStr">
        <is>
          <t>Fundo amarelo, texto azul</t>
        </is>
      </c>
      <c r="B33" s="9" t="inlineStr">
        <is>
          <t>Célula que você preenche.</t>
        </is>
      </c>
    </row>
    <row r="34" ht="30" customHeight="1">
      <c r="A34" s="10" t="inlineStr">
        <is>
          <t>Fundo cinza</t>
        </is>
      </c>
      <c r="B34" s="9" t="inlineStr">
        <is>
          <t>Célula calculada. Não digite por cima — você quebra o Painel.</t>
        </is>
      </c>
    </row>
    <row r="35" ht="30" customHeight="1">
      <c r="B35" s="5" t="inlineStr">
        <is>
          <t>As abas 'Pessoas', 'Alocações' e 'Config' são cadastro: ajuste no começo e não mexa no dia a dia. No dia a dia você convive com quatro abas: Painel, Ocorrências, Avaliação e 1a1.</t>
        </is>
      </c>
    </row>
    <row r="36" ht="30" customHeight="1">
      <c r="A36" s="3" t="inlineStr">
        <is>
          <t>LIMITE HONESTO</t>
        </is>
      </c>
      <c r="B36" s="4" t="n"/>
    </row>
    <row r="37" ht="30" customHeight="1">
      <c r="B37" s="5" t="inlineStr">
        <is>
          <t>Excel não tem controle de acesso por linha nem trilha de auditoria. Use isto para provar o modelo em 2 ou 3 ciclos. Se funcionar, migre para um sistema.</t>
        </is>
      </c>
    </row>
    <row r="38" ht="30" customHeight="1">
      <c r="B38" s="5" t="inlineStr">
        <is>
          <t>As expectativas por senioridade e os pesos por eixo são premissa desta versão, não benchmark de mercado. Calibre ao fim do primeiro ciclo real e registre quem confirmou, na aba Config.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4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1" customWidth="1" min="11" max="11"/>
    <col width="8" customWidth="1" min="12" max="12"/>
    <col width="12" customWidth="1" min="13" max="13"/>
    <col width="8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2" customWidth="1" min="21" max="21"/>
    <col width="26" customWidth="1" min="22" max="22"/>
    <col width="8" customWidth="1" min="23" max="23"/>
    <col width="8" customWidth="1" min="24" max="24"/>
  </cols>
  <sheetData>
    <row r="1" ht="22" customHeight="1">
      <c r="A1" s="1" t="inlineStr">
        <is>
          <t>Painel do gestor — o que abrir na segunda de manhã</t>
        </is>
      </c>
    </row>
    <row r="2">
      <c r="A2" s="2">
        <f>"Ciclo "&amp;Config!$B$4&amp;"  ·  comparação sempre por GAP contra a expectativa da senioridade — nunca por nota bruta, nunca entre squads."</f>
        <v/>
      </c>
    </row>
    <row r="3">
      <c r="A3" s="11">
        <f>IF(SUM(Pessoas!$O$5:$O$64)=0,"Todas as pessoas têm registro neste ciclo.","Sem nenhum registro neste ciclo: "&amp;IFERROR(INDEX(Pessoas!$B$5:$B$64,MATCH(1,Pessoas!$P$5:$P$64,0)),"")&amp;IFERROR(", "&amp;INDEX(Pessoas!$B$5:$B$64,MATCH(2,Pessoas!$P$5:$P$64,0)),"")&amp;IFERROR(", "&amp;INDEX(Pessoas!$B$5:$B$64,MATCH(3,Pessoas!$P$5:$P$64,0)),"")&amp;IF(SUM(Pessoas!$O$5:$O$64)&gt;3,", …","")&amp;" ("&amp;SUM(Pessoas!$O$5:$O$64)&amp;" de "&amp;COUNTIF(Pessoas!$I$5:$I$64,"Ativo")&amp;")")</f>
        <v/>
      </c>
    </row>
    <row r="4">
      <c r="A4" s="6">
        <f>"Ocorrências registradas: "&amp;COUNTIF('Ocorrências'!$A$5:$A$604,"&gt;0")&amp;" de 600 linhas disponíveis"</f>
        <v/>
      </c>
    </row>
    <row r="5"/>
    <row r="6" ht="32" customHeight="1">
      <c r="A6" s="12" t="inlineStr">
        <is>
          <t>ID</t>
        </is>
      </c>
      <c r="B6" s="12" t="inlineStr">
        <is>
          <t>Pessoa</t>
        </is>
      </c>
      <c r="C6" s="12" t="inlineStr">
        <is>
          <t>Senioridade</t>
        </is>
      </c>
      <c r="D6" s="12" t="inlineStr">
        <is>
          <t>Papel considerado</t>
        </is>
      </c>
      <c r="E6" s="12" t="inlineStr">
        <is>
          <t>Multi</t>
        </is>
      </c>
      <c r="F6" s="12" t="inlineStr">
        <is>
          <t>Eixo A</t>
        </is>
      </c>
      <c r="G6" s="12" t="inlineStr">
        <is>
          <t>Eixo B</t>
        </is>
      </c>
      <c r="H6" s="12" t="inlineStr">
        <is>
          <t>Eixo C</t>
        </is>
      </c>
      <c r="I6" s="12" t="inlineStr">
        <is>
          <t>Eixo D</t>
        </is>
      </c>
      <c r="J6" s="12" t="inlineStr">
        <is>
          <t>Nota ponderada</t>
        </is>
      </c>
      <c r="K6" s="12" t="inlineStr">
        <is>
          <t>Expectativa</t>
        </is>
      </c>
      <c r="L6" s="12" t="inlineStr">
        <is>
          <t>Gap</t>
        </is>
      </c>
      <c r="M6" s="12" t="inlineStr">
        <is>
          <t>Faixa</t>
        </is>
      </c>
      <c r="N6" s="12" t="inlineStr">
        <is>
          <t>Ocorr.</t>
        </is>
      </c>
      <c r="O6" s="12" t="inlineStr">
        <is>
          <t>Positivas</t>
        </is>
      </c>
      <c r="P6" s="12" t="inlineStr">
        <is>
          <t>Negativas</t>
        </is>
      </c>
      <c r="Q6" s="12" t="inlineStr">
        <is>
          <t>Neg. não comunic.</t>
        </is>
      </c>
      <c r="R6" s="12" t="inlineStr">
        <is>
          <t>Dias desde 1:1</t>
        </is>
      </c>
      <c r="S6" s="12" t="inlineStr">
        <is>
          <t>Diverg. 2+</t>
        </is>
      </c>
      <c r="T6" s="12" t="inlineStr">
        <is>
          <t>Sem lastro</t>
        </is>
      </c>
      <c r="U6" s="12" t="inlineStr">
        <is>
          <t>Nota s/ omissão</t>
        </is>
      </c>
      <c r="V6" s="12" t="inlineStr">
        <is>
          <t>Sinal</t>
        </is>
      </c>
      <c r="W6" s="13" t="inlineStr">
        <is>
          <t>num</t>
        </is>
      </c>
      <c r="X6" s="13" t="inlineStr">
        <is>
          <t>den</t>
        </is>
      </c>
    </row>
    <row r="7">
      <c r="A7" s="14">
        <f>IF(Pessoas!$B5="","",Pessoas!$A5)</f>
        <v/>
      </c>
      <c r="B7" s="14">
        <f>IF(Pessoas!$B5="","",Pessoas!$B5)</f>
        <v/>
      </c>
      <c r="C7" s="14">
        <f>IF(Pessoas!$B5="","",Pessoas!$D5)</f>
        <v/>
      </c>
      <c r="D7" s="14">
        <f>IF(Pessoas!$B5="","",Pessoas!$L5)</f>
        <v/>
      </c>
      <c r="E7" s="14">
        <f>IF(Pessoas!$B5="","",Pessoas!$M5)</f>
        <v/>
      </c>
      <c r="F7" s="15">
        <f>IF($B7="","",IFERROR(AVERAGEIFS('Avaliação'!$P$5:$P$404,'Avaliação'!$Z$5:$Z$404,$A7&amp;"|"&amp;Config!$B$7&amp;"|"&amp;Config!$A$22),""))</f>
        <v/>
      </c>
      <c r="G7" s="15">
        <f>IF($B7="","",IFERROR(AVERAGEIFS('Avaliação'!$P$5:$P$404,'Avaliação'!$Z$5:$Z$404,$A7&amp;"|"&amp;Config!$B$7&amp;"|"&amp;Config!$A$23),""))</f>
        <v/>
      </c>
      <c r="H7" s="15">
        <f>IF($B7="","",IFERROR(AVERAGEIFS('Avaliação'!$P$5:$P$404,'Avaliação'!$Z$5:$Z$404,$A7&amp;"|"&amp;Config!$B$7&amp;"|"&amp;Config!$A$24),""))</f>
        <v/>
      </c>
      <c r="I7" s="15">
        <f>IF($B7="","",IFERROR(AVERAGEIFS('Avaliação'!$P$5:$P$404,'Avaliação'!$Z$5:$Z$404,$A7&amp;"|"&amp;Config!$B$7&amp;"|"&amp;Config!$A$25),""))</f>
        <v/>
      </c>
      <c r="J7" s="15">
        <f>IF($X7=0,"",$W7/$X7)</f>
        <v/>
      </c>
      <c r="K7" s="15">
        <f>IFERROR(INDEX(Config!$B$30:$B$33,MATCH($C7,Config!$A$30:$A$33,0)),"")</f>
        <v/>
      </c>
      <c r="L7" s="15">
        <f>IF(OR($J7="",$K7=""),"",$J7-$K7)</f>
        <v/>
      </c>
      <c r="M7" s="14">
        <f>IF($J7="","",IF($J7&lt;2.5,"Abaixo",IF($J7&lt;3.5,"Atende",IF($J7&lt;=4.2,"Supera","Referência"))))</f>
        <v/>
      </c>
      <c r="N7" s="14">
        <f>IF($B7="","",COUNTIFS('Ocorrências'!$U$5:$U$604,$A7&amp;"|"&amp;Config!$B$7))</f>
        <v/>
      </c>
      <c r="O7" s="14">
        <f>IF($B7="","",COUNTIFS('Ocorrências'!$U$5:$U$604,$A7&amp;"|"&amp;Config!$B$7,'Ocorrências'!$F$5:$F$604,"Reconhecimento")+COUNTIFS('Ocorrências'!$U$5:$U$604,$A7&amp;"|"&amp;Config!$B$7,'Ocorrências'!$F$5:$F$604,"Positiva"))</f>
        <v/>
      </c>
      <c r="P7" s="14">
        <f>IF($B7="","",COUNTIFS('Ocorrências'!$U$5:$U$604,$A7&amp;"|"&amp;Config!$B$7,'Ocorrências'!$F$5:$F$604,"Ponto de atenção")+COUNTIFS('Ocorrências'!$U$5:$U$604,$A7&amp;"|"&amp;Config!$B$7,'Ocorrências'!$F$5:$F$604,"Incidente"))</f>
        <v/>
      </c>
      <c r="Q7" s="14">
        <f>IF($B7="","",COUNTIFS('Ocorrências'!$U$5:$U$604,$A7&amp;"|"&amp;Config!$B$7,'Ocorrências'!$F$5:$F$604,"Ponto de atenção",'Ocorrências'!$L$5:$L$604,"Não")+COUNTIFS('Ocorrências'!$U$5:$U$604,$A7&amp;"|"&amp;Config!$B$7,'Ocorrências'!$F$5:$F$604,"Incidente",'Ocorrências'!$L$5:$L$604,"Não"))</f>
        <v/>
      </c>
      <c r="R7" s="14">
        <f>IF($B7="","",IF(INDEX(Pessoas!$J$5:$J$64,MATCH($A7,Pessoas!$A$5:$A$64,0))="","nunca",Config!$B$6-INDEX(Pessoas!$J$5:$J$64,MATCH($A7,Pessoas!$A$5:$A$64,0))))</f>
        <v/>
      </c>
      <c r="S7" s="14">
        <f>IF($B7="","",COUNTIFS('Avaliação'!$Y$5:$Y$404,$A7&amp;"|"&amp;Config!$B$7,'Avaliação'!$N$5:$N$404,"&gt;=2"))</f>
        <v/>
      </c>
      <c r="T7" s="14">
        <f>IF($B7="","",COUNTIFS('Avaliação'!$Y$5:$Y$404,$A7&amp;"|"&amp;Config!$B$7,'Avaliação'!$V$5:$V$404,"SEM LASTRO"))</f>
        <v/>
      </c>
      <c r="U7" s="14">
        <f>IF($B7="","",IF(AND($Q7&gt;0,COUNTIFS('Avaliação'!$Y$5:$Y$404,$A7&amp;"|"&amp;Config!$B$7,'Avaliação'!$P$5:$P$404,"&gt;=3")&gt;0),$Q7,0))</f>
        <v/>
      </c>
      <c r="V7" s="14">
        <f>IF($B7="","",IF($U7&gt;0,"Nota sustentada por omissão",IF($T7&gt;0,"Nota sem lastro",IF($J7="","Sem avaliação no ciclo",IF($S7&gt;0,"Calibrar divergência",IF($L7&lt;-0.3,"Abaixo da expectativa",IF($Q7&gt;0,"Negativa não conversada",IF(OR($R7="nunca",$R7&gt;30),"1:1 atrasada","OK"))))))))</f>
        <v/>
      </c>
      <c r="W7" s="15">
        <f>IF(ISNUMBER($F7),$F7*Config!$B$22,0)+IF(ISNUMBER($G7),$G7*Config!$B$23,0)+IF(ISNUMBER($H7),$H7*Config!$B$24,0)+IF(ISNUMBER($I7),$I7*Config!$B$25,0)</f>
        <v/>
      </c>
      <c r="X7" s="15">
        <f>IF(ISNUMBER($F7),Config!$B$22,0)+IF(ISNUMBER($G7),Config!$B$23,0)+IF(ISNUMBER($H7),Config!$B$24,0)+IF(ISNUMBER($I7),Config!$B$25,0)</f>
        <v/>
      </c>
    </row>
    <row r="8">
      <c r="A8" s="14">
        <f>IF(Pessoas!$B6="","",Pessoas!$A6)</f>
        <v/>
      </c>
      <c r="B8" s="14">
        <f>IF(Pessoas!$B6="","",Pessoas!$B6)</f>
        <v/>
      </c>
      <c r="C8" s="14">
        <f>IF(Pessoas!$B6="","",Pessoas!$D6)</f>
        <v/>
      </c>
      <c r="D8" s="14">
        <f>IF(Pessoas!$B6="","",Pessoas!$L6)</f>
        <v/>
      </c>
      <c r="E8" s="14">
        <f>IF(Pessoas!$B6="","",Pessoas!$M6)</f>
        <v/>
      </c>
      <c r="F8" s="15">
        <f>IF($B8="","",IFERROR(AVERAGEIFS('Avaliação'!$P$5:$P$404,'Avaliação'!$Z$5:$Z$404,$A8&amp;"|"&amp;Config!$B$7&amp;"|"&amp;Config!$A$22),""))</f>
        <v/>
      </c>
      <c r="G8" s="15">
        <f>IF($B8="","",IFERROR(AVERAGEIFS('Avaliação'!$P$5:$P$404,'Avaliação'!$Z$5:$Z$404,$A8&amp;"|"&amp;Config!$B$7&amp;"|"&amp;Config!$A$23),""))</f>
        <v/>
      </c>
      <c r="H8" s="15">
        <f>IF($B8="","",IFERROR(AVERAGEIFS('Avaliação'!$P$5:$P$404,'Avaliação'!$Z$5:$Z$404,$A8&amp;"|"&amp;Config!$B$7&amp;"|"&amp;Config!$A$24),""))</f>
        <v/>
      </c>
      <c r="I8" s="15">
        <f>IF($B8="","",IFERROR(AVERAGEIFS('Avaliação'!$P$5:$P$404,'Avaliação'!$Z$5:$Z$404,$A8&amp;"|"&amp;Config!$B$7&amp;"|"&amp;Config!$A$25),""))</f>
        <v/>
      </c>
      <c r="J8" s="15">
        <f>IF($X8=0,"",$W8/$X8)</f>
        <v/>
      </c>
      <c r="K8" s="15">
        <f>IFERROR(INDEX(Config!$B$30:$B$33,MATCH($C8,Config!$A$30:$A$33,0)),"")</f>
        <v/>
      </c>
      <c r="L8" s="15">
        <f>IF(OR($J8="",$K8=""),"",$J8-$K8)</f>
        <v/>
      </c>
      <c r="M8" s="14">
        <f>IF($J8="","",IF($J8&lt;2.5,"Abaixo",IF($J8&lt;3.5,"Atende",IF($J8&lt;=4.2,"Supera","Referência"))))</f>
        <v/>
      </c>
      <c r="N8" s="14">
        <f>IF($B8="","",COUNTIFS('Ocorrências'!$U$5:$U$604,$A8&amp;"|"&amp;Config!$B$7))</f>
        <v/>
      </c>
      <c r="O8" s="14">
        <f>IF($B8="","",COUNTIFS('Ocorrências'!$U$5:$U$604,$A8&amp;"|"&amp;Config!$B$7,'Ocorrências'!$F$5:$F$604,"Reconhecimento")+COUNTIFS('Ocorrências'!$U$5:$U$604,$A8&amp;"|"&amp;Config!$B$7,'Ocorrências'!$F$5:$F$604,"Positiva"))</f>
        <v/>
      </c>
      <c r="P8" s="14">
        <f>IF($B8="","",COUNTIFS('Ocorrências'!$U$5:$U$604,$A8&amp;"|"&amp;Config!$B$7,'Ocorrências'!$F$5:$F$604,"Ponto de atenção")+COUNTIFS('Ocorrências'!$U$5:$U$604,$A8&amp;"|"&amp;Config!$B$7,'Ocorrências'!$F$5:$F$604,"Incidente"))</f>
        <v/>
      </c>
      <c r="Q8" s="14">
        <f>IF($B8="","",COUNTIFS('Ocorrências'!$U$5:$U$604,$A8&amp;"|"&amp;Config!$B$7,'Ocorrências'!$F$5:$F$604,"Ponto de atenção",'Ocorrências'!$L$5:$L$604,"Não")+COUNTIFS('Ocorrências'!$U$5:$U$604,$A8&amp;"|"&amp;Config!$B$7,'Ocorrências'!$F$5:$F$604,"Incidente",'Ocorrências'!$L$5:$L$604,"Não"))</f>
        <v/>
      </c>
      <c r="R8" s="14">
        <f>IF($B8="","",IF(INDEX(Pessoas!$J$5:$J$64,MATCH($A8,Pessoas!$A$5:$A$64,0))="","nunca",Config!$B$6-INDEX(Pessoas!$J$5:$J$64,MATCH($A8,Pessoas!$A$5:$A$64,0))))</f>
        <v/>
      </c>
      <c r="S8" s="14">
        <f>IF($B8="","",COUNTIFS('Avaliação'!$Y$5:$Y$404,$A8&amp;"|"&amp;Config!$B$7,'Avaliação'!$N$5:$N$404,"&gt;=2"))</f>
        <v/>
      </c>
      <c r="T8" s="14">
        <f>IF($B8="","",COUNTIFS('Avaliação'!$Y$5:$Y$404,$A8&amp;"|"&amp;Config!$B$7,'Avaliação'!$V$5:$V$404,"SEM LASTRO"))</f>
        <v/>
      </c>
      <c r="U8" s="14">
        <f>IF($B8="","",IF(AND($Q8&gt;0,COUNTIFS('Avaliação'!$Y$5:$Y$404,$A8&amp;"|"&amp;Config!$B$7,'Avaliação'!$P$5:$P$404,"&gt;=3")&gt;0),$Q8,0))</f>
        <v/>
      </c>
      <c r="V8" s="14">
        <f>IF($B8="","",IF($U8&gt;0,"Nota sustentada por omissão",IF($T8&gt;0,"Nota sem lastro",IF($J8="","Sem avaliação no ciclo",IF($S8&gt;0,"Calibrar divergência",IF($L8&lt;-0.3,"Abaixo da expectativa",IF($Q8&gt;0,"Negativa não conversada",IF(OR($R8="nunca",$R8&gt;30),"1:1 atrasada","OK"))))))))</f>
        <v/>
      </c>
      <c r="W8" s="15">
        <f>IF(ISNUMBER($F8),$F8*Config!$B$22,0)+IF(ISNUMBER($G8),$G8*Config!$B$23,0)+IF(ISNUMBER($H8),$H8*Config!$B$24,0)+IF(ISNUMBER($I8),$I8*Config!$B$25,0)</f>
        <v/>
      </c>
      <c r="X8" s="15">
        <f>IF(ISNUMBER($F8),Config!$B$22,0)+IF(ISNUMBER($G8),Config!$B$23,0)+IF(ISNUMBER($H8),Config!$B$24,0)+IF(ISNUMBER($I8),Config!$B$25,0)</f>
        <v/>
      </c>
    </row>
    <row r="9">
      <c r="A9" s="14">
        <f>IF(Pessoas!$B7="","",Pessoas!$A7)</f>
        <v/>
      </c>
      <c r="B9" s="14">
        <f>IF(Pessoas!$B7="","",Pessoas!$B7)</f>
        <v/>
      </c>
      <c r="C9" s="14">
        <f>IF(Pessoas!$B7="","",Pessoas!$D7)</f>
        <v/>
      </c>
      <c r="D9" s="14">
        <f>IF(Pessoas!$B7="","",Pessoas!$L7)</f>
        <v/>
      </c>
      <c r="E9" s="14">
        <f>IF(Pessoas!$B7="","",Pessoas!$M7)</f>
        <v/>
      </c>
      <c r="F9" s="15">
        <f>IF($B9="","",IFERROR(AVERAGEIFS('Avaliação'!$P$5:$P$404,'Avaliação'!$Z$5:$Z$404,$A9&amp;"|"&amp;Config!$B$7&amp;"|"&amp;Config!$A$22),""))</f>
        <v/>
      </c>
      <c r="G9" s="15">
        <f>IF($B9="","",IFERROR(AVERAGEIFS('Avaliação'!$P$5:$P$404,'Avaliação'!$Z$5:$Z$404,$A9&amp;"|"&amp;Config!$B$7&amp;"|"&amp;Config!$A$23),""))</f>
        <v/>
      </c>
      <c r="H9" s="15">
        <f>IF($B9="","",IFERROR(AVERAGEIFS('Avaliação'!$P$5:$P$404,'Avaliação'!$Z$5:$Z$404,$A9&amp;"|"&amp;Config!$B$7&amp;"|"&amp;Config!$A$24),""))</f>
        <v/>
      </c>
      <c r="I9" s="15">
        <f>IF($B9="","",IFERROR(AVERAGEIFS('Avaliação'!$P$5:$P$404,'Avaliação'!$Z$5:$Z$404,$A9&amp;"|"&amp;Config!$B$7&amp;"|"&amp;Config!$A$25),""))</f>
        <v/>
      </c>
      <c r="J9" s="15">
        <f>IF($X9=0,"",$W9/$X9)</f>
        <v/>
      </c>
      <c r="K9" s="15">
        <f>IFERROR(INDEX(Config!$B$30:$B$33,MATCH($C9,Config!$A$30:$A$33,0)),"")</f>
        <v/>
      </c>
      <c r="L9" s="15">
        <f>IF(OR($J9="",$K9=""),"",$J9-$K9)</f>
        <v/>
      </c>
      <c r="M9" s="14">
        <f>IF($J9="","",IF($J9&lt;2.5,"Abaixo",IF($J9&lt;3.5,"Atende",IF($J9&lt;=4.2,"Supera","Referência"))))</f>
        <v/>
      </c>
      <c r="N9" s="14">
        <f>IF($B9="","",COUNTIFS('Ocorrências'!$U$5:$U$604,$A9&amp;"|"&amp;Config!$B$7))</f>
        <v/>
      </c>
      <c r="O9" s="14">
        <f>IF($B9="","",COUNTIFS('Ocorrências'!$U$5:$U$604,$A9&amp;"|"&amp;Config!$B$7,'Ocorrências'!$F$5:$F$604,"Reconhecimento")+COUNTIFS('Ocorrências'!$U$5:$U$604,$A9&amp;"|"&amp;Config!$B$7,'Ocorrências'!$F$5:$F$604,"Positiva"))</f>
        <v/>
      </c>
      <c r="P9" s="14">
        <f>IF($B9="","",COUNTIFS('Ocorrências'!$U$5:$U$604,$A9&amp;"|"&amp;Config!$B$7,'Ocorrências'!$F$5:$F$604,"Ponto de atenção")+COUNTIFS('Ocorrências'!$U$5:$U$604,$A9&amp;"|"&amp;Config!$B$7,'Ocorrências'!$F$5:$F$604,"Incidente"))</f>
        <v/>
      </c>
      <c r="Q9" s="14">
        <f>IF($B9="","",COUNTIFS('Ocorrências'!$U$5:$U$604,$A9&amp;"|"&amp;Config!$B$7,'Ocorrências'!$F$5:$F$604,"Ponto de atenção",'Ocorrências'!$L$5:$L$604,"Não")+COUNTIFS('Ocorrências'!$U$5:$U$604,$A9&amp;"|"&amp;Config!$B$7,'Ocorrências'!$F$5:$F$604,"Incidente",'Ocorrências'!$L$5:$L$604,"Não"))</f>
        <v/>
      </c>
      <c r="R9" s="14">
        <f>IF($B9="","",IF(INDEX(Pessoas!$J$5:$J$64,MATCH($A9,Pessoas!$A$5:$A$64,0))="","nunca",Config!$B$6-INDEX(Pessoas!$J$5:$J$64,MATCH($A9,Pessoas!$A$5:$A$64,0))))</f>
        <v/>
      </c>
      <c r="S9" s="14">
        <f>IF($B9="","",COUNTIFS('Avaliação'!$Y$5:$Y$404,$A9&amp;"|"&amp;Config!$B$7,'Avaliação'!$N$5:$N$404,"&gt;=2"))</f>
        <v/>
      </c>
      <c r="T9" s="14">
        <f>IF($B9="","",COUNTIFS('Avaliação'!$Y$5:$Y$404,$A9&amp;"|"&amp;Config!$B$7,'Avaliação'!$V$5:$V$404,"SEM LASTRO"))</f>
        <v/>
      </c>
      <c r="U9" s="14">
        <f>IF($B9="","",IF(AND($Q9&gt;0,COUNTIFS('Avaliação'!$Y$5:$Y$404,$A9&amp;"|"&amp;Config!$B$7,'Avaliação'!$P$5:$P$404,"&gt;=3")&gt;0),$Q9,0))</f>
        <v/>
      </c>
      <c r="V9" s="14">
        <f>IF($B9="","",IF($U9&gt;0,"Nota sustentada por omissão",IF($T9&gt;0,"Nota sem lastro",IF($J9="","Sem avaliação no ciclo",IF($S9&gt;0,"Calibrar divergência",IF($L9&lt;-0.3,"Abaixo da expectativa",IF($Q9&gt;0,"Negativa não conversada",IF(OR($R9="nunca",$R9&gt;30),"1:1 atrasada","OK"))))))))</f>
        <v/>
      </c>
      <c r="W9" s="15">
        <f>IF(ISNUMBER($F9),$F9*Config!$B$22,0)+IF(ISNUMBER($G9),$G9*Config!$B$23,0)+IF(ISNUMBER($H9),$H9*Config!$B$24,0)+IF(ISNUMBER($I9),$I9*Config!$B$25,0)</f>
        <v/>
      </c>
      <c r="X9" s="15">
        <f>IF(ISNUMBER($F9),Config!$B$22,0)+IF(ISNUMBER($G9),Config!$B$23,0)+IF(ISNUMBER($H9),Config!$B$24,0)+IF(ISNUMBER($I9),Config!$B$25,0)</f>
        <v/>
      </c>
    </row>
    <row r="10">
      <c r="A10" s="14">
        <f>IF(Pessoas!$B8="","",Pessoas!$A8)</f>
        <v/>
      </c>
      <c r="B10" s="14">
        <f>IF(Pessoas!$B8="","",Pessoas!$B8)</f>
        <v/>
      </c>
      <c r="C10" s="14">
        <f>IF(Pessoas!$B8="","",Pessoas!$D8)</f>
        <v/>
      </c>
      <c r="D10" s="14">
        <f>IF(Pessoas!$B8="","",Pessoas!$L8)</f>
        <v/>
      </c>
      <c r="E10" s="14">
        <f>IF(Pessoas!$B8="","",Pessoas!$M8)</f>
        <v/>
      </c>
      <c r="F10" s="15">
        <f>IF($B10="","",IFERROR(AVERAGEIFS('Avaliação'!$P$5:$P$404,'Avaliação'!$Z$5:$Z$404,$A10&amp;"|"&amp;Config!$B$7&amp;"|"&amp;Config!$A$22),""))</f>
        <v/>
      </c>
      <c r="G10" s="15">
        <f>IF($B10="","",IFERROR(AVERAGEIFS('Avaliação'!$P$5:$P$404,'Avaliação'!$Z$5:$Z$404,$A10&amp;"|"&amp;Config!$B$7&amp;"|"&amp;Config!$A$23),""))</f>
        <v/>
      </c>
      <c r="H10" s="15">
        <f>IF($B10="","",IFERROR(AVERAGEIFS('Avaliação'!$P$5:$P$404,'Avaliação'!$Z$5:$Z$404,$A10&amp;"|"&amp;Config!$B$7&amp;"|"&amp;Config!$A$24),""))</f>
        <v/>
      </c>
      <c r="I10" s="15">
        <f>IF($B10="","",IFERROR(AVERAGEIFS('Avaliação'!$P$5:$P$404,'Avaliação'!$Z$5:$Z$404,$A10&amp;"|"&amp;Config!$B$7&amp;"|"&amp;Config!$A$25),""))</f>
        <v/>
      </c>
      <c r="J10" s="15">
        <f>IF($X10=0,"",$W10/$X10)</f>
        <v/>
      </c>
      <c r="K10" s="15">
        <f>IFERROR(INDEX(Config!$B$30:$B$33,MATCH($C10,Config!$A$30:$A$33,0)),"")</f>
        <v/>
      </c>
      <c r="L10" s="15">
        <f>IF(OR($J10="",$K10=""),"",$J10-$K10)</f>
        <v/>
      </c>
      <c r="M10" s="14">
        <f>IF($J10="","",IF($J10&lt;2.5,"Abaixo",IF($J10&lt;3.5,"Atende",IF($J10&lt;=4.2,"Supera","Referência"))))</f>
        <v/>
      </c>
      <c r="N10" s="14">
        <f>IF($B10="","",COUNTIFS('Ocorrências'!$U$5:$U$604,$A10&amp;"|"&amp;Config!$B$7))</f>
        <v/>
      </c>
      <c r="O10" s="14">
        <f>IF($B10="","",COUNTIFS('Ocorrências'!$U$5:$U$604,$A10&amp;"|"&amp;Config!$B$7,'Ocorrências'!$F$5:$F$604,"Reconhecimento")+COUNTIFS('Ocorrências'!$U$5:$U$604,$A10&amp;"|"&amp;Config!$B$7,'Ocorrências'!$F$5:$F$604,"Positiva"))</f>
        <v/>
      </c>
      <c r="P10" s="14">
        <f>IF($B10="","",COUNTIFS('Ocorrências'!$U$5:$U$604,$A10&amp;"|"&amp;Config!$B$7,'Ocorrências'!$F$5:$F$604,"Ponto de atenção")+COUNTIFS('Ocorrências'!$U$5:$U$604,$A10&amp;"|"&amp;Config!$B$7,'Ocorrências'!$F$5:$F$604,"Incidente"))</f>
        <v/>
      </c>
      <c r="Q10" s="14">
        <f>IF($B10="","",COUNTIFS('Ocorrências'!$U$5:$U$604,$A10&amp;"|"&amp;Config!$B$7,'Ocorrências'!$F$5:$F$604,"Ponto de atenção",'Ocorrências'!$L$5:$L$604,"Não")+COUNTIFS('Ocorrências'!$U$5:$U$604,$A10&amp;"|"&amp;Config!$B$7,'Ocorrências'!$F$5:$F$604,"Incidente",'Ocorrências'!$L$5:$L$604,"Não"))</f>
        <v/>
      </c>
      <c r="R10" s="14">
        <f>IF($B10="","",IF(INDEX(Pessoas!$J$5:$J$64,MATCH($A10,Pessoas!$A$5:$A$64,0))="","nunca",Config!$B$6-INDEX(Pessoas!$J$5:$J$64,MATCH($A10,Pessoas!$A$5:$A$64,0))))</f>
        <v/>
      </c>
      <c r="S10" s="14">
        <f>IF($B10="","",COUNTIFS('Avaliação'!$Y$5:$Y$404,$A10&amp;"|"&amp;Config!$B$7,'Avaliação'!$N$5:$N$404,"&gt;=2"))</f>
        <v/>
      </c>
      <c r="T10" s="14">
        <f>IF($B10="","",COUNTIFS('Avaliação'!$Y$5:$Y$404,$A10&amp;"|"&amp;Config!$B$7,'Avaliação'!$V$5:$V$404,"SEM LASTRO"))</f>
        <v/>
      </c>
      <c r="U10" s="14">
        <f>IF($B10="","",IF(AND($Q10&gt;0,COUNTIFS('Avaliação'!$Y$5:$Y$404,$A10&amp;"|"&amp;Config!$B$7,'Avaliação'!$P$5:$P$404,"&gt;=3")&gt;0),$Q10,0))</f>
        <v/>
      </c>
      <c r="V10" s="14">
        <f>IF($B10="","",IF($U10&gt;0,"Nota sustentada por omissão",IF($T10&gt;0,"Nota sem lastro",IF($J10="","Sem avaliação no ciclo",IF($S10&gt;0,"Calibrar divergência",IF($L10&lt;-0.3,"Abaixo da expectativa",IF($Q10&gt;0,"Negativa não conversada",IF(OR($R10="nunca",$R10&gt;30),"1:1 atrasada","OK"))))))))</f>
        <v/>
      </c>
      <c r="W10" s="15">
        <f>IF(ISNUMBER($F10),$F10*Config!$B$22,0)+IF(ISNUMBER($G10),$G10*Config!$B$23,0)+IF(ISNUMBER($H10),$H10*Config!$B$24,0)+IF(ISNUMBER($I10),$I10*Config!$B$25,0)</f>
        <v/>
      </c>
      <c r="X10" s="15">
        <f>IF(ISNUMBER($F10),Config!$B$22,0)+IF(ISNUMBER($G10),Config!$B$23,0)+IF(ISNUMBER($H10),Config!$B$24,0)+IF(ISNUMBER($I10),Config!$B$25,0)</f>
        <v/>
      </c>
    </row>
    <row r="11">
      <c r="A11" s="14">
        <f>IF(Pessoas!$B9="","",Pessoas!$A9)</f>
        <v/>
      </c>
      <c r="B11" s="14">
        <f>IF(Pessoas!$B9="","",Pessoas!$B9)</f>
        <v/>
      </c>
      <c r="C11" s="14">
        <f>IF(Pessoas!$B9="","",Pessoas!$D9)</f>
        <v/>
      </c>
      <c r="D11" s="14">
        <f>IF(Pessoas!$B9="","",Pessoas!$L9)</f>
        <v/>
      </c>
      <c r="E11" s="14">
        <f>IF(Pessoas!$B9="","",Pessoas!$M9)</f>
        <v/>
      </c>
      <c r="F11" s="15">
        <f>IF($B11="","",IFERROR(AVERAGEIFS('Avaliação'!$P$5:$P$404,'Avaliação'!$Z$5:$Z$404,$A11&amp;"|"&amp;Config!$B$7&amp;"|"&amp;Config!$A$22),""))</f>
        <v/>
      </c>
      <c r="G11" s="15">
        <f>IF($B11="","",IFERROR(AVERAGEIFS('Avaliação'!$P$5:$P$404,'Avaliação'!$Z$5:$Z$404,$A11&amp;"|"&amp;Config!$B$7&amp;"|"&amp;Config!$A$23),""))</f>
        <v/>
      </c>
      <c r="H11" s="15">
        <f>IF($B11="","",IFERROR(AVERAGEIFS('Avaliação'!$P$5:$P$404,'Avaliação'!$Z$5:$Z$404,$A11&amp;"|"&amp;Config!$B$7&amp;"|"&amp;Config!$A$24),""))</f>
        <v/>
      </c>
      <c r="I11" s="15">
        <f>IF($B11="","",IFERROR(AVERAGEIFS('Avaliação'!$P$5:$P$404,'Avaliação'!$Z$5:$Z$404,$A11&amp;"|"&amp;Config!$B$7&amp;"|"&amp;Config!$A$25),""))</f>
        <v/>
      </c>
      <c r="J11" s="15">
        <f>IF($X11=0,"",$W11/$X11)</f>
        <v/>
      </c>
      <c r="K11" s="15">
        <f>IFERROR(INDEX(Config!$B$30:$B$33,MATCH($C11,Config!$A$30:$A$33,0)),"")</f>
        <v/>
      </c>
      <c r="L11" s="15">
        <f>IF(OR($J11="",$K11=""),"",$J11-$K11)</f>
        <v/>
      </c>
      <c r="M11" s="14">
        <f>IF($J11="","",IF($J11&lt;2.5,"Abaixo",IF($J11&lt;3.5,"Atende",IF($J11&lt;=4.2,"Supera","Referência"))))</f>
        <v/>
      </c>
      <c r="N11" s="14">
        <f>IF($B11="","",COUNTIFS('Ocorrências'!$U$5:$U$604,$A11&amp;"|"&amp;Config!$B$7))</f>
        <v/>
      </c>
      <c r="O11" s="14">
        <f>IF($B11="","",COUNTIFS('Ocorrências'!$U$5:$U$604,$A11&amp;"|"&amp;Config!$B$7,'Ocorrências'!$F$5:$F$604,"Reconhecimento")+COUNTIFS('Ocorrências'!$U$5:$U$604,$A11&amp;"|"&amp;Config!$B$7,'Ocorrências'!$F$5:$F$604,"Positiva"))</f>
        <v/>
      </c>
      <c r="P11" s="14">
        <f>IF($B11="","",COUNTIFS('Ocorrências'!$U$5:$U$604,$A11&amp;"|"&amp;Config!$B$7,'Ocorrências'!$F$5:$F$604,"Ponto de atenção")+COUNTIFS('Ocorrências'!$U$5:$U$604,$A11&amp;"|"&amp;Config!$B$7,'Ocorrências'!$F$5:$F$604,"Incidente"))</f>
        <v/>
      </c>
      <c r="Q11" s="14">
        <f>IF($B11="","",COUNTIFS('Ocorrências'!$U$5:$U$604,$A11&amp;"|"&amp;Config!$B$7,'Ocorrências'!$F$5:$F$604,"Ponto de atenção",'Ocorrências'!$L$5:$L$604,"Não")+COUNTIFS('Ocorrências'!$U$5:$U$604,$A11&amp;"|"&amp;Config!$B$7,'Ocorrências'!$F$5:$F$604,"Incidente",'Ocorrências'!$L$5:$L$604,"Não"))</f>
        <v/>
      </c>
      <c r="R11" s="14">
        <f>IF($B11="","",IF(INDEX(Pessoas!$J$5:$J$64,MATCH($A11,Pessoas!$A$5:$A$64,0))="","nunca",Config!$B$6-INDEX(Pessoas!$J$5:$J$64,MATCH($A11,Pessoas!$A$5:$A$64,0))))</f>
        <v/>
      </c>
      <c r="S11" s="14">
        <f>IF($B11="","",COUNTIFS('Avaliação'!$Y$5:$Y$404,$A11&amp;"|"&amp;Config!$B$7,'Avaliação'!$N$5:$N$404,"&gt;=2"))</f>
        <v/>
      </c>
      <c r="T11" s="14">
        <f>IF($B11="","",COUNTIFS('Avaliação'!$Y$5:$Y$404,$A11&amp;"|"&amp;Config!$B$7,'Avaliação'!$V$5:$V$404,"SEM LASTRO"))</f>
        <v/>
      </c>
      <c r="U11" s="14">
        <f>IF($B11="","",IF(AND($Q11&gt;0,COUNTIFS('Avaliação'!$Y$5:$Y$404,$A11&amp;"|"&amp;Config!$B$7,'Avaliação'!$P$5:$P$404,"&gt;=3")&gt;0),$Q11,0))</f>
        <v/>
      </c>
      <c r="V11" s="14">
        <f>IF($B11="","",IF($U11&gt;0,"Nota sustentada por omissão",IF($T11&gt;0,"Nota sem lastro",IF($J11="","Sem avaliação no ciclo",IF($S11&gt;0,"Calibrar divergência",IF($L11&lt;-0.3,"Abaixo da expectativa",IF($Q11&gt;0,"Negativa não conversada",IF(OR($R11="nunca",$R11&gt;30),"1:1 atrasada","OK"))))))))</f>
        <v/>
      </c>
      <c r="W11" s="15">
        <f>IF(ISNUMBER($F11),$F11*Config!$B$22,0)+IF(ISNUMBER($G11),$G11*Config!$B$23,0)+IF(ISNUMBER($H11),$H11*Config!$B$24,0)+IF(ISNUMBER($I11),$I11*Config!$B$25,0)</f>
        <v/>
      </c>
      <c r="X11" s="15">
        <f>IF(ISNUMBER($F11),Config!$B$22,0)+IF(ISNUMBER($G11),Config!$B$23,0)+IF(ISNUMBER($H11),Config!$B$24,0)+IF(ISNUMBER($I11),Config!$B$25,0)</f>
        <v/>
      </c>
    </row>
    <row r="12">
      <c r="A12" s="14">
        <f>IF(Pessoas!$B10="","",Pessoas!$A10)</f>
        <v/>
      </c>
      <c r="B12" s="14">
        <f>IF(Pessoas!$B10="","",Pessoas!$B10)</f>
        <v/>
      </c>
      <c r="C12" s="14">
        <f>IF(Pessoas!$B10="","",Pessoas!$D10)</f>
        <v/>
      </c>
      <c r="D12" s="14">
        <f>IF(Pessoas!$B10="","",Pessoas!$L10)</f>
        <v/>
      </c>
      <c r="E12" s="14">
        <f>IF(Pessoas!$B10="","",Pessoas!$M10)</f>
        <v/>
      </c>
      <c r="F12" s="15">
        <f>IF($B12="","",IFERROR(AVERAGEIFS('Avaliação'!$P$5:$P$404,'Avaliação'!$Z$5:$Z$404,$A12&amp;"|"&amp;Config!$B$7&amp;"|"&amp;Config!$A$22),""))</f>
        <v/>
      </c>
      <c r="G12" s="15">
        <f>IF($B12="","",IFERROR(AVERAGEIFS('Avaliação'!$P$5:$P$404,'Avaliação'!$Z$5:$Z$404,$A12&amp;"|"&amp;Config!$B$7&amp;"|"&amp;Config!$A$23),""))</f>
        <v/>
      </c>
      <c r="H12" s="15">
        <f>IF($B12="","",IFERROR(AVERAGEIFS('Avaliação'!$P$5:$P$404,'Avaliação'!$Z$5:$Z$404,$A12&amp;"|"&amp;Config!$B$7&amp;"|"&amp;Config!$A$24),""))</f>
        <v/>
      </c>
      <c r="I12" s="15">
        <f>IF($B12="","",IFERROR(AVERAGEIFS('Avaliação'!$P$5:$P$404,'Avaliação'!$Z$5:$Z$404,$A12&amp;"|"&amp;Config!$B$7&amp;"|"&amp;Config!$A$25),""))</f>
        <v/>
      </c>
      <c r="J12" s="15">
        <f>IF($X12=0,"",$W12/$X12)</f>
        <v/>
      </c>
      <c r="K12" s="15">
        <f>IFERROR(INDEX(Config!$B$30:$B$33,MATCH($C12,Config!$A$30:$A$33,0)),"")</f>
        <v/>
      </c>
      <c r="L12" s="15">
        <f>IF(OR($J12="",$K12=""),"",$J12-$K12)</f>
        <v/>
      </c>
      <c r="M12" s="14">
        <f>IF($J12="","",IF($J12&lt;2.5,"Abaixo",IF($J12&lt;3.5,"Atende",IF($J12&lt;=4.2,"Supera","Referência"))))</f>
        <v/>
      </c>
      <c r="N12" s="14">
        <f>IF($B12="","",COUNTIFS('Ocorrências'!$U$5:$U$604,$A12&amp;"|"&amp;Config!$B$7))</f>
        <v/>
      </c>
      <c r="O12" s="14">
        <f>IF($B12="","",COUNTIFS('Ocorrências'!$U$5:$U$604,$A12&amp;"|"&amp;Config!$B$7,'Ocorrências'!$F$5:$F$604,"Reconhecimento")+COUNTIFS('Ocorrências'!$U$5:$U$604,$A12&amp;"|"&amp;Config!$B$7,'Ocorrências'!$F$5:$F$604,"Positiva"))</f>
        <v/>
      </c>
      <c r="P12" s="14">
        <f>IF($B12="","",COUNTIFS('Ocorrências'!$U$5:$U$604,$A12&amp;"|"&amp;Config!$B$7,'Ocorrências'!$F$5:$F$604,"Ponto de atenção")+COUNTIFS('Ocorrências'!$U$5:$U$604,$A12&amp;"|"&amp;Config!$B$7,'Ocorrências'!$F$5:$F$604,"Incidente"))</f>
        <v/>
      </c>
      <c r="Q12" s="14">
        <f>IF($B12="","",COUNTIFS('Ocorrências'!$U$5:$U$604,$A12&amp;"|"&amp;Config!$B$7,'Ocorrências'!$F$5:$F$604,"Ponto de atenção",'Ocorrências'!$L$5:$L$604,"Não")+COUNTIFS('Ocorrências'!$U$5:$U$604,$A12&amp;"|"&amp;Config!$B$7,'Ocorrências'!$F$5:$F$604,"Incidente",'Ocorrências'!$L$5:$L$604,"Não"))</f>
        <v/>
      </c>
      <c r="R12" s="14">
        <f>IF($B12="","",IF(INDEX(Pessoas!$J$5:$J$64,MATCH($A12,Pessoas!$A$5:$A$64,0))="","nunca",Config!$B$6-INDEX(Pessoas!$J$5:$J$64,MATCH($A12,Pessoas!$A$5:$A$64,0))))</f>
        <v/>
      </c>
      <c r="S12" s="14">
        <f>IF($B12="","",COUNTIFS('Avaliação'!$Y$5:$Y$404,$A12&amp;"|"&amp;Config!$B$7,'Avaliação'!$N$5:$N$404,"&gt;=2"))</f>
        <v/>
      </c>
      <c r="T12" s="14">
        <f>IF($B12="","",COUNTIFS('Avaliação'!$Y$5:$Y$404,$A12&amp;"|"&amp;Config!$B$7,'Avaliação'!$V$5:$V$404,"SEM LASTRO"))</f>
        <v/>
      </c>
      <c r="U12" s="14">
        <f>IF($B12="","",IF(AND($Q12&gt;0,COUNTIFS('Avaliação'!$Y$5:$Y$404,$A12&amp;"|"&amp;Config!$B$7,'Avaliação'!$P$5:$P$404,"&gt;=3")&gt;0),$Q12,0))</f>
        <v/>
      </c>
      <c r="V12" s="14">
        <f>IF($B12="","",IF($U12&gt;0,"Nota sustentada por omissão",IF($T12&gt;0,"Nota sem lastro",IF($J12="","Sem avaliação no ciclo",IF($S12&gt;0,"Calibrar divergência",IF($L12&lt;-0.3,"Abaixo da expectativa",IF($Q12&gt;0,"Negativa não conversada",IF(OR($R12="nunca",$R12&gt;30),"1:1 atrasada","OK"))))))))</f>
        <v/>
      </c>
      <c r="W12" s="15">
        <f>IF(ISNUMBER($F12),$F12*Config!$B$22,0)+IF(ISNUMBER($G12),$G12*Config!$B$23,0)+IF(ISNUMBER($H12),$H12*Config!$B$24,0)+IF(ISNUMBER($I12),$I12*Config!$B$25,0)</f>
        <v/>
      </c>
      <c r="X12" s="15">
        <f>IF(ISNUMBER($F12),Config!$B$22,0)+IF(ISNUMBER($G12),Config!$B$23,0)+IF(ISNUMBER($H12),Config!$B$24,0)+IF(ISNUMBER($I12),Config!$B$25,0)</f>
        <v/>
      </c>
    </row>
    <row r="13">
      <c r="A13" s="14">
        <f>IF(Pessoas!$B11="","",Pessoas!$A11)</f>
        <v/>
      </c>
      <c r="B13" s="14">
        <f>IF(Pessoas!$B11="","",Pessoas!$B11)</f>
        <v/>
      </c>
      <c r="C13" s="14">
        <f>IF(Pessoas!$B11="","",Pessoas!$D11)</f>
        <v/>
      </c>
      <c r="D13" s="14">
        <f>IF(Pessoas!$B11="","",Pessoas!$L11)</f>
        <v/>
      </c>
      <c r="E13" s="14">
        <f>IF(Pessoas!$B11="","",Pessoas!$M11)</f>
        <v/>
      </c>
      <c r="F13" s="15">
        <f>IF($B13="","",IFERROR(AVERAGEIFS('Avaliação'!$P$5:$P$404,'Avaliação'!$Z$5:$Z$404,$A13&amp;"|"&amp;Config!$B$7&amp;"|"&amp;Config!$A$22),""))</f>
        <v/>
      </c>
      <c r="G13" s="15">
        <f>IF($B13="","",IFERROR(AVERAGEIFS('Avaliação'!$P$5:$P$404,'Avaliação'!$Z$5:$Z$404,$A13&amp;"|"&amp;Config!$B$7&amp;"|"&amp;Config!$A$23),""))</f>
        <v/>
      </c>
      <c r="H13" s="15">
        <f>IF($B13="","",IFERROR(AVERAGEIFS('Avaliação'!$P$5:$P$404,'Avaliação'!$Z$5:$Z$404,$A13&amp;"|"&amp;Config!$B$7&amp;"|"&amp;Config!$A$24),""))</f>
        <v/>
      </c>
      <c r="I13" s="15">
        <f>IF($B13="","",IFERROR(AVERAGEIFS('Avaliação'!$P$5:$P$404,'Avaliação'!$Z$5:$Z$404,$A13&amp;"|"&amp;Config!$B$7&amp;"|"&amp;Config!$A$25),""))</f>
        <v/>
      </c>
      <c r="J13" s="15">
        <f>IF($X13=0,"",$W13/$X13)</f>
        <v/>
      </c>
      <c r="K13" s="15">
        <f>IFERROR(INDEX(Config!$B$30:$B$33,MATCH($C13,Config!$A$30:$A$33,0)),"")</f>
        <v/>
      </c>
      <c r="L13" s="15">
        <f>IF(OR($J13="",$K13=""),"",$J13-$K13)</f>
        <v/>
      </c>
      <c r="M13" s="14">
        <f>IF($J13="","",IF($J13&lt;2.5,"Abaixo",IF($J13&lt;3.5,"Atende",IF($J13&lt;=4.2,"Supera","Referência"))))</f>
        <v/>
      </c>
      <c r="N13" s="14">
        <f>IF($B13="","",COUNTIFS('Ocorrências'!$U$5:$U$604,$A13&amp;"|"&amp;Config!$B$7))</f>
        <v/>
      </c>
      <c r="O13" s="14">
        <f>IF($B13="","",COUNTIFS('Ocorrências'!$U$5:$U$604,$A13&amp;"|"&amp;Config!$B$7,'Ocorrências'!$F$5:$F$604,"Reconhecimento")+COUNTIFS('Ocorrências'!$U$5:$U$604,$A13&amp;"|"&amp;Config!$B$7,'Ocorrências'!$F$5:$F$604,"Positiva"))</f>
        <v/>
      </c>
      <c r="P13" s="14">
        <f>IF($B13="","",COUNTIFS('Ocorrências'!$U$5:$U$604,$A13&amp;"|"&amp;Config!$B$7,'Ocorrências'!$F$5:$F$604,"Ponto de atenção")+COUNTIFS('Ocorrências'!$U$5:$U$604,$A13&amp;"|"&amp;Config!$B$7,'Ocorrências'!$F$5:$F$604,"Incidente"))</f>
        <v/>
      </c>
      <c r="Q13" s="14">
        <f>IF($B13="","",COUNTIFS('Ocorrências'!$U$5:$U$604,$A13&amp;"|"&amp;Config!$B$7,'Ocorrências'!$F$5:$F$604,"Ponto de atenção",'Ocorrências'!$L$5:$L$604,"Não")+COUNTIFS('Ocorrências'!$U$5:$U$604,$A13&amp;"|"&amp;Config!$B$7,'Ocorrências'!$F$5:$F$604,"Incidente",'Ocorrências'!$L$5:$L$604,"Não"))</f>
        <v/>
      </c>
      <c r="R13" s="14">
        <f>IF($B13="","",IF(INDEX(Pessoas!$J$5:$J$64,MATCH($A13,Pessoas!$A$5:$A$64,0))="","nunca",Config!$B$6-INDEX(Pessoas!$J$5:$J$64,MATCH($A13,Pessoas!$A$5:$A$64,0))))</f>
        <v/>
      </c>
      <c r="S13" s="14">
        <f>IF($B13="","",COUNTIFS('Avaliação'!$Y$5:$Y$404,$A13&amp;"|"&amp;Config!$B$7,'Avaliação'!$N$5:$N$404,"&gt;=2"))</f>
        <v/>
      </c>
      <c r="T13" s="14">
        <f>IF($B13="","",COUNTIFS('Avaliação'!$Y$5:$Y$404,$A13&amp;"|"&amp;Config!$B$7,'Avaliação'!$V$5:$V$404,"SEM LASTRO"))</f>
        <v/>
      </c>
      <c r="U13" s="14">
        <f>IF($B13="","",IF(AND($Q13&gt;0,COUNTIFS('Avaliação'!$Y$5:$Y$404,$A13&amp;"|"&amp;Config!$B$7,'Avaliação'!$P$5:$P$404,"&gt;=3")&gt;0),$Q13,0))</f>
        <v/>
      </c>
      <c r="V13" s="14">
        <f>IF($B13="","",IF($U13&gt;0,"Nota sustentada por omissão",IF($T13&gt;0,"Nota sem lastro",IF($J13="","Sem avaliação no ciclo",IF($S13&gt;0,"Calibrar divergência",IF($L13&lt;-0.3,"Abaixo da expectativa",IF($Q13&gt;0,"Negativa não conversada",IF(OR($R13="nunca",$R13&gt;30),"1:1 atrasada","OK"))))))))</f>
        <v/>
      </c>
      <c r="W13" s="15">
        <f>IF(ISNUMBER($F13),$F13*Config!$B$22,0)+IF(ISNUMBER($G13),$G13*Config!$B$23,0)+IF(ISNUMBER($H13),$H13*Config!$B$24,0)+IF(ISNUMBER($I13),$I13*Config!$B$25,0)</f>
        <v/>
      </c>
      <c r="X13" s="15">
        <f>IF(ISNUMBER($F13),Config!$B$22,0)+IF(ISNUMBER($G13),Config!$B$23,0)+IF(ISNUMBER($H13),Config!$B$24,0)+IF(ISNUMBER($I13),Config!$B$25,0)</f>
        <v/>
      </c>
    </row>
    <row r="14">
      <c r="A14" s="14">
        <f>IF(Pessoas!$B12="","",Pessoas!$A12)</f>
        <v/>
      </c>
      <c r="B14" s="14">
        <f>IF(Pessoas!$B12="","",Pessoas!$B12)</f>
        <v/>
      </c>
      <c r="C14" s="14">
        <f>IF(Pessoas!$B12="","",Pessoas!$D12)</f>
        <v/>
      </c>
      <c r="D14" s="14">
        <f>IF(Pessoas!$B12="","",Pessoas!$L12)</f>
        <v/>
      </c>
      <c r="E14" s="14">
        <f>IF(Pessoas!$B12="","",Pessoas!$M12)</f>
        <v/>
      </c>
      <c r="F14" s="15">
        <f>IF($B14="","",IFERROR(AVERAGEIFS('Avaliação'!$P$5:$P$404,'Avaliação'!$Z$5:$Z$404,$A14&amp;"|"&amp;Config!$B$7&amp;"|"&amp;Config!$A$22),""))</f>
        <v/>
      </c>
      <c r="G14" s="15">
        <f>IF($B14="","",IFERROR(AVERAGEIFS('Avaliação'!$P$5:$P$404,'Avaliação'!$Z$5:$Z$404,$A14&amp;"|"&amp;Config!$B$7&amp;"|"&amp;Config!$A$23),""))</f>
        <v/>
      </c>
      <c r="H14" s="15">
        <f>IF($B14="","",IFERROR(AVERAGEIFS('Avaliação'!$P$5:$P$404,'Avaliação'!$Z$5:$Z$404,$A14&amp;"|"&amp;Config!$B$7&amp;"|"&amp;Config!$A$24),""))</f>
        <v/>
      </c>
      <c r="I14" s="15">
        <f>IF($B14="","",IFERROR(AVERAGEIFS('Avaliação'!$P$5:$P$404,'Avaliação'!$Z$5:$Z$404,$A14&amp;"|"&amp;Config!$B$7&amp;"|"&amp;Config!$A$25),""))</f>
        <v/>
      </c>
      <c r="J14" s="15">
        <f>IF($X14=0,"",$W14/$X14)</f>
        <v/>
      </c>
      <c r="K14" s="15">
        <f>IFERROR(INDEX(Config!$B$30:$B$33,MATCH($C14,Config!$A$30:$A$33,0)),"")</f>
        <v/>
      </c>
      <c r="L14" s="15">
        <f>IF(OR($J14="",$K14=""),"",$J14-$K14)</f>
        <v/>
      </c>
      <c r="M14" s="14">
        <f>IF($J14="","",IF($J14&lt;2.5,"Abaixo",IF($J14&lt;3.5,"Atende",IF($J14&lt;=4.2,"Supera","Referência"))))</f>
        <v/>
      </c>
      <c r="N14" s="14">
        <f>IF($B14="","",COUNTIFS('Ocorrências'!$U$5:$U$604,$A14&amp;"|"&amp;Config!$B$7))</f>
        <v/>
      </c>
      <c r="O14" s="14">
        <f>IF($B14="","",COUNTIFS('Ocorrências'!$U$5:$U$604,$A14&amp;"|"&amp;Config!$B$7,'Ocorrências'!$F$5:$F$604,"Reconhecimento")+COUNTIFS('Ocorrências'!$U$5:$U$604,$A14&amp;"|"&amp;Config!$B$7,'Ocorrências'!$F$5:$F$604,"Positiva"))</f>
        <v/>
      </c>
      <c r="P14" s="14">
        <f>IF($B14="","",COUNTIFS('Ocorrências'!$U$5:$U$604,$A14&amp;"|"&amp;Config!$B$7,'Ocorrências'!$F$5:$F$604,"Ponto de atenção")+COUNTIFS('Ocorrências'!$U$5:$U$604,$A14&amp;"|"&amp;Config!$B$7,'Ocorrências'!$F$5:$F$604,"Incidente"))</f>
        <v/>
      </c>
      <c r="Q14" s="14">
        <f>IF($B14="","",COUNTIFS('Ocorrências'!$U$5:$U$604,$A14&amp;"|"&amp;Config!$B$7,'Ocorrências'!$F$5:$F$604,"Ponto de atenção",'Ocorrências'!$L$5:$L$604,"Não")+COUNTIFS('Ocorrências'!$U$5:$U$604,$A14&amp;"|"&amp;Config!$B$7,'Ocorrências'!$F$5:$F$604,"Incidente",'Ocorrências'!$L$5:$L$604,"Não"))</f>
        <v/>
      </c>
      <c r="R14" s="14">
        <f>IF($B14="","",IF(INDEX(Pessoas!$J$5:$J$64,MATCH($A14,Pessoas!$A$5:$A$64,0))="","nunca",Config!$B$6-INDEX(Pessoas!$J$5:$J$64,MATCH($A14,Pessoas!$A$5:$A$64,0))))</f>
        <v/>
      </c>
      <c r="S14" s="14">
        <f>IF($B14="","",COUNTIFS('Avaliação'!$Y$5:$Y$404,$A14&amp;"|"&amp;Config!$B$7,'Avaliação'!$N$5:$N$404,"&gt;=2"))</f>
        <v/>
      </c>
      <c r="T14" s="14">
        <f>IF($B14="","",COUNTIFS('Avaliação'!$Y$5:$Y$404,$A14&amp;"|"&amp;Config!$B$7,'Avaliação'!$V$5:$V$404,"SEM LASTRO"))</f>
        <v/>
      </c>
      <c r="U14" s="14">
        <f>IF($B14="","",IF(AND($Q14&gt;0,COUNTIFS('Avaliação'!$Y$5:$Y$404,$A14&amp;"|"&amp;Config!$B$7,'Avaliação'!$P$5:$P$404,"&gt;=3")&gt;0),$Q14,0))</f>
        <v/>
      </c>
      <c r="V14" s="14">
        <f>IF($B14="","",IF($U14&gt;0,"Nota sustentada por omissão",IF($T14&gt;0,"Nota sem lastro",IF($J14="","Sem avaliação no ciclo",IF($S14&gt;0,"Calibrar divergência",IF($L14&lt;-0.3,"Abaixo da expectativa",IF($Q14&gt;0,"Negativa não conversada",IF(OR($R14="nunca",$R14&gt;30),"1:1 atrasada","OK"))))))))</f>
        <v/>
      </c>
      <c r="W14" s="15">
        <f>IF(ISNUMBER($F14),$F14*Config!$B$22,0)+IF(ISNUMBER($G14),$G14*Config!$B$23,0)+IF(ISNUMBER($H14),$H14*Config!$B$24,0)+IF(ISNUMBER($I14),$I14*Config!$B$25,0)</f>
        <v/>
      </c>
      <c r="X14" s="15">
        <f>IF(ISNUMBER($F14),Config!$B$22,0)+IF(ISNUMBER($G14),Config!$B$23,0)+IF(ISNUMBER($H14),Config!$B$24,0)+IF(ISNUMBER($I14),Config!$B$25,0)</f>
        <v/>
      </c>
    </row>
    <row r="15">
      <c r="A15" s="14">
        <f>IF(Pessoas!$B13="","",Pessoas!$A13)</f>
        <v/>
      </c>
      <c r="B15" s="14">
        <f>IF(Pessoas!$B13="","",Pessoas!$B13)</f>
        <v/>
      </c>
      <c r="C15" s="14">
        <f>IF(Pessoas!$B13="","",Pessoas!$D13)</f>
        <v/>
      </c>
      <c r="D15" s="14">
        <f>IF(Pessoas!$B13="","",Pessoas!$L13)</f>
        <v/>
      </c>
      <c r="E15" s="14">
        <f>IF(Pessoas!$B13="","",Pessoas!$M13)</f>
        <v/>
      </c>
      <c r="F15" s="15">
        <f>IF($B15="","",IFERROR(AVERAGEIFS('Avaliação'!$P$5:$P$404,'Avaliação'!$Z$5:$Z$404,$A15&amp;"|"&amp;Config!$B$7&amp;"|"&amp;Config!$A$22),""))</f>
        <v/>
      </c>
      <c r="G15" s="15">
        <f>IF($B15="","",IFERROR(AVERAGEIFS('Avaliação'!$P$5:$P$404,'Avaliação'!$Z$5:$Z$404,$A15&amp;"|"&amp;Config!$B$7&amp;"|"&amp;Config!$A$23),""))</f>
        <v/>
      </c>
      <c r="H15" s="15">
        <f>IF($B15="","",IFERROR(AVERAGEIFS('Avaliação'!$P$5:$P$404,'Avaliação'!$Z$5:$Z$404,$A15&amp;"|"&amp;Config!$B$7&amp;"|"&amp;Config!$A$24),""))</f>
        <v/>
      </c>
      <c r="I15" s="15">
        <f>IF($B15="","",IFERROR(AVERAGEIFS('Avaliação'!$P$5:$P$404,'Avaliação'!$Z$5:$Z$404,$A15&amp;"|"&amp;Config!$B$7&amp;"|"&amp;Config!$A$25),""))</f>
        <v/>
      </c>
      <c r="J15" s="15">
        <f>IF($X15=0,"",$W15/$X15)</f>
        <v/>
      </c>
      <c r="K15" s="15">
        <f>IFERROR(INDEX(Config!$B$30:$B$33,MATCH($C15,Config!$A$30:$A$33,0)),"")</f>
        <v/>
      </c>
      <c r="L15" s="15">
        <f>IF(OR($J15="",$K15=""),"",$J15-$K15)</f>
        <v/>
      </c>
      <c r="M15" s="14">
        <f>IF($J15="","",IF($J15&lt;2.5,"Abaixo",IF($J15&lt;3.5,"Atende",IF($J15&lt;=4.2,"Supera","Referência"))))</f>
        <v/>
      </c>
      <c r="N15" s="14">
        <f>IF($B15="","",COUNTIFS('Ocorrências'!$U$5:$U$604,$A15&amp;"|"&amp;Config!$B$7))</f>
        <v/>
      </c>
      <c r="O15" s="14">
        <f>IF($B15="","",COUNTIFS('Ocorrências'!$U$5:$U$604,$A15&amp;"|"&amp;Config!$B$7,'Ocorrências'!$F$5:$F$604,"Reconhecimento")+COUNTIFS('Ocorrências'!$U$5:$U$604,$A15&amp;"|"&amp;Config!$B$7,'Ocorrências'!$F$5:$F$604,"Positiva"))</f>
        <v/>
      </c>
      <c r="P15" s="14">
        <f>IF($B15="","",COUNTIFS('Ocorrências'!$U$5:$U$604,$A15&amp;"|"&amp;Config!$B$7,'Ocorrências'!$F$5:$F$604,"Ponto de atenção")+COUNTIFS('Ocorrências'!$U$5:$U$604,$A15&amp;"|"&amp;Config!$B$7,'Ocorrências'!$F$5:$F$604,"Incidente"))</f>
        <v/>
      </c>
      <c r="Q15" s="14">
        <f>IF($B15="","",COUNTIFS('Ocorrências'!$U$5:$U$604,$A15&amp;"|"&amp;Config!$B$7,'Ocorrências'!$F$5:$F$604,"Ponto de atenção",'Ocorrências'!$L$5:$L$604,"Não")+COUNTIFS('Ocorrências'!$U$5:$U$604,$A15&amp;"|"&amp;Config!$B$7,'Ocorrências'!$F$5:$F$604,"Incidente",'Ocorrências'!$L$5:$L$604,"Não"))</f>
        <v/>
      </c>
      <c r="R15" s="14">
        <f>IF($B15="","",IF(INDEX(Pessoas!$J$5:$J$64,MATCH($A15,Pessoas!$A$5:$A$64,0))="","nunca",Config!$B$6-INDEX(Pessoas!$J$5:$J$64,MATCH($A15,Pessoas!$A$5:$A$64,0))))</f>
        <v/>
      </c>
      <c r="S15" s="14">
        <f>IF($B15="","",COUNTIFS('Avaliação'!$Y$5:$Y$404,$A15&amp;"|"&amp;Config!$B$7,'Avaliação'!$N$5:$N$404,"&gt;=2"))</f>
        <v/>
      </c>
      <c r="T15" s="14">
        <f>IF($B15="","",COUNTIFS('Avaliação'!$Y$5:$Y$404,$A15&amp;"|"&amp;Config!$B$7,'Avaliação'!$V$5:$V$404,"SEM LASTRO"))</f>
        <v/>
      </c>
      <c r="U15" s="14">
        <f>IF($B15="","",IF(AND($Q15&gt;0,COUNTIFS('Avaliação'!$Y$5:$Y$404,$A15&amp;"|"&amp;Config!$B$7,'Avaliação'!$P$5:$P$404,"&gt;=3")&gt;0),$Q15,0))</f>
        <v/>
      </c>
      <c r="V15" s="14">
        <f>IF($B15="","",IF($U15&gt;0,"Nota sustentada por omissão",IF($T15&gt;0,"Nota sem lastro",IF($J15="","Sem avaliação no ciclo",IF($S15&gt;0,"Calibrar divergência",IF($L15&lt;-0.3,"Abaixo da expectativa",IF($Q15&gt;0,"Negativa não conversada",IF(OR($R15="nunca",$R15&gt;30),"1:1 atrasada","OK"))))))))</f>
        <v/>
      </c>
      <c r="W15" s="15">
        <f>IF(ISNUMBER($F15),$F15*Config!$B$22,0)+IF(ISNUMBER($G15),$G15*Config!$B$23,0)+IF(ISNUMBER($H15),$H15*Config!$B$24,0)+IF(ISNUMBER($I15),$I15*Config!$B$25,0)</f>
        <v/>
      </c>
      <c r="X15" s="15">
        <f>IF(ISNUMBER($F15),Config!$B$22,0)+IF(ISNUMBER($G15),Config!$B$23,0)+IF(ISNUMBER($H15),Config!$B$24,0)+IF(ISNUMBER($I15),Config!$B$25,0)</f>
        <v/>
      </c>
    </row>
    <row r="16">
      <c r="A16" s="14">
        <f>IF(Pessoas!$B14="","",Pessoas!$A14)</f>
        <v/>
      </c>
      <c r="B16" s="14">
        <f>IF(Pessoas!$B14="","",Pessoas!$B14)</f>
        <v/>
      </c>
      <c r="C16" s="14">
        <f>IF(Pessoas!$B14="","",Pessoas!$D14)</f>
        <v/>
      </c>
      <c r="D16" s="14">
        <f>IF(Pessoas!$B14="","",Pessoas!$L14)</f>
        <v/>
      </c>
      <c r="E16" s="14">
        <f>IF(Pessoas!$B14="","",Pessoas!$M14)</f>
        <v/>
      </c>
      <c r="F16" s="15">
        <f>IF($B16="","",IFERROR(AVERAGEIFS('Avaliação'!$P$5:$P$404,'Avaliação'!$Z$5:$Z$404,$A16&amp;"|"&amp;Config!$B$7&amp;"|"&amp;Config!$A$22),""))</f>
        <v/>
      </c>
      <c r="G16" s="15">
        <f>IF($B16="","",IFERROR(AVERAGEIFS('Avaliação'!$P$5:$P$404,'Avaliação'!$Z$5:$Z$404,$A16&amp;"|"&amp;Config!$B$7&amp;"|"&amp;Config!$A$23),""))</f>
        <v/>
      </c>
      <c r="H16" s="15">
        <f>IF($B16="","",IFERROR(AVERAGEIFS('Avaliação'!$P$5:$P$404,'Avaliação'!$Z$5:$Z$404,$A16&amp;"|"&amp;Config!$B$7&amp;"|"&amp;Config!$A$24),""))</f>
        <v/>
      </c>
      <c r="I16" s="15">
        <f>IF($B16="","",IFERROR(AVERAGEIFS('Avaliação'!$P$5:$P$404,'Avaliação'!$Z$5:$Z$404,$A16&amp;"|"&amp;Config!$B$7&amp;"|"&amp;Config!$A$25),""))</f>
        <v/>
      </c>
      <c r="J16" s="15">
        <f>IF($X16=0,"",$W16/$X16)</f>
        <v/>
      </c>
      <c r="K16" s="15">
        <f>IFERROR(INDEX(Config!$B$30:$B$33,MATCH($C16,Config!$A$30:$A$33,0)),"")</f>
        <v/>
      </c>
      <c r="L16" s="15">
        <f>IF(OR($J16="",$K16=""),"",$J16-$K16)</f>
        <v/>
      </c>
      <c r="M16" s="14">
        <f>IF($J16="","",IF($J16&lt;2.5,"Abaixo",IF($J16&lt;3.5,"Atende",IF($J16&lt;=4.2,"Supera","Referência"))))</f>
        <v/>
      </c>
      <c r="N16" s="14">
        <f>IF($B16="","",COUNTIFS('Ocorrências'!$U$5:$U$604,$A16&amp;"|"&amp;Config!$B$7))</f>
        <v/>
      </c>
      <c r="O16" s="14">
        <f>IF($B16="","",COUNTIFS('Ocorrências'!$U$5:$U$604,$A16&amp;"|"&amp;Config!$B$7,'Ocorrências'!$F$5:$F$604,"Reconhecimento")+COUNTIFS('Ocorrências'!$U$5:$U$604,$A16&amp;"|"&amp;Config!$B$7,'Ocorrências'!$F$5:$F$604,"Positiva"))</f>
        <v/>
      </c>
      <c r="P16" s="14">
        <f>IF($B16="","",COUNTIFS('Ocorrências'!$U$5:$U$604,$A16&amp;"|"&amp;Config!$B$7,'Ocorrências'!$F$5:$F$604,"Ponto de atenção")+COUNTIFS('Ocorrências'!$U$5:$U$604,$A16&amp;"|"&amp;Config!$B$7,'Ocorrências'!$F$5:$F$604,"Incidente"))</f>
        <v/>
      </c>
      <c r="Q16" s="14">
        <f>IF($B16="","",COUNTIFS('Ocorrências'!$U$5:$U$604,$A16&amp;"|"&amp;Config!$B$7,'Ocorrências'!$F$5:$F$604,"Ponto de atenção",'Ocorrências'!$L$5:$L$604,"Não")+COUNTIFS('Ocorrências'!$U$5:$U$604,$A16&amp;"|"&amp;Config!$B$7,'Ocorrências'!$F$5:$F$604,"Incidente",'Ocorrências'!$L$5:$L$604,"Não"))</f>
        <v/>
      </c>
      <c r="R16" s="14">
        <f>IF($B16="","",IF(INDEX(Pessoas!$J$5:$J$64,MATCH($A16,Pessoas!$A$5:$A$64,0))="","nunca",Config!$B$6-INDEX(Pessoas!$J$5:$J$64,MATCH($A16,Pessoas!$A$5:$A$64,0))))</f>
        <v/>
      </c>
      <c r="S16" s="14">
        <f>IF($B16="","",COUNTIFS('Avaliação'!$Y$5:$Y$404,$A16&amp;"|"&amp;Config!$B$7,'Avaliação'!$N$5:$N$404,"&gt;=2"))</f>
        <v/>
      </c>
      <c r="T16" s="14">
        <f>IF($B16="","",COUNTIFS('Avaliação'!$Y$5:$Y$404,$A16&amp;"|"&amp;Config!$B$7,'Avaliação'!$V$5:$V$404,"SEM LASTRO"))</f>
        <v/>
      </c>
      <c r="U16" s="14">
        <f>IF($B16="","",IF(AND($Q16&gt;0,COUNTIFS('Avaliação'!$Y$5:$Y$404,$A16&amp;"|"&amp;Config!$B$7,'Avaliação'!$P$5:$P$404,"&gt;=3")&gt;0),$Q16,0))</f>
        <v/>
      </c>
      <c r="V16" s="14">
        <f>IF($B16="","",IF($U16&gt;0,"Nota sustentada por omissão",IF($T16&gt;0,"Nota sem lastro",IF($J16="","Sem avaliação no ciclo",IF($S16&gt;0,"Calibrar divergência",IF($L16&lt;-0.3,"Abaixo da expectativa",IF($Q16&gt;0,"Negativa não conversada",IF(OR($R16="nunca",$R16&gt;30),"1:1 atrasada","OK"))))))))</f>
        <v/>
      </c>
      <c r="W16" s="15">
        <f>IF(ISNUMBER($F16),$F16*Config!$B$22,0)+IF(ISNUMBER($G16),$G16*Config!$B$23,0)+IF(ISNUMBER($H16),$H16*Config!$B$24,0)+IF(ISNUMBER($I16),$I16*Config!$B$25,0)</f>
        <v/>
      </c>
      <c r="X16" s="15">
        <f>IF(ISNUMBER($F16),Config!$B$22,0)+IF(ISNUMBER($G16),Config!$B$23,0)+IF(ISNUMBER($H16),Config!$B$24,0)+IF(ISNUMBER($I16),Config!$B$25,0)</f>
        <v/>
      </c>
    </row>
    <row r="17">
      <c r="A17" s="14">
        <f>IF(Pessoas!$B15="","",Pessoas!$A15)</f>
        <v/>
      </c>
      <c r="B17" s="14">
        <f>IF(Pessoas!$B15="","",Pessoas!$B15)</f>
        <v/>
      </c>
      <c r="C17" s="14">
        <f>IF(Pessoas!$B15="","",Pessoas!$D15)</f>
        <v/>
      </c>
      <c r="D17" s="14">
        <f>IF(Pessoas!$B15="","",Pessoas!$L15)</f>
        <v/>
      </c>
      <c r="E17" s="14">
        <f>IF(Pessoas!$B15="","",Pessoas!$M15)</f>
        <v/>
      </c>
      <c r="F17" s="15">
        <f>IF($B17="","",IFERROR(AVERAGEIFS('Avaliação'!$P$5:$P$404,'Avaliação'!$Z$5:$Z$404,$A17&amp;"|"&amp;Config!$B$7&amp;"|"&amp;Config!$A$22),""))</f>
        <v/>
      </c>
      <c r="G17" s="15">
        <f>IF($B17="","",IFERROR(AVERAGEIFS('Avaliação'!$P$5:$P$404,'Avaliação'!$Z$5:$Z$404,$A17&amp;"|"&amp;Config!$B$7&amp;"|"&amp;Config!$A$23),""))</f>
        <v/>
      </c>
      <c r="H17" s="15">
        <f>IF($B17="","",IFERROR(AVERAGEIFS('Avaliação'!$P$5:$P$404,'Avaliação'!$Z$5:$Z$404,$A17&amp;"|"&amp;Config!$B$7&amp;"|"&amp;Config!$A$24),""))</f>
        <v/>
      </c>
      <c r="I17" s="15">
        <f>IF($B17="","",IFERROR(AVERAGEIFS('Avaliação'!$P$5:$P$404,'Avaliação'!$Z$5:$Z$404,$A17&amp;"|"&amp;Config!$B$7&amp;"|"&amp;Config!$A$25),""))</f>
        <v/>
      </c>
      <c r="J17" s="15">
        <f>IF($X17=0,"",$W17/$X17)</f>
        <v/>
      </c>
      <c r="K17" s="15">
        <f>IFERROR(INDEX(Config!$B$30:$B$33,MATCH($C17,Config!$A$30:$A$33,0)),"")</f>
        <v/>
      </c>
      <c r="L17" s="15">
        <f>IF(OR($J17="",$K17=""),"",$J17-$K17)</f>
        <v/>
      </c>
      <c r="M17" s="14">
        <f>IF($J17="","",IF($J17&lt;2.5,"Abaixo",IF($J17&lt;3.5,"Atende",IF($J17&lt;=4.2,"Supera","Referência"))))</f>
        <v/>
      </c>
      <c r="N17" s="14">
        <f>IF($B17="","",COUNTIFS('Ocorrências'!$U$5:$U$604,$A17&amp;"|"&amp;Config!$B$7))</f>
        <v/>
      </c>
      <c r="O17" s="14">
        <f>IF($B17="","",COUNTIFS('Ocorrências'!$U$5:$U$604,$A17&amp;"|"&amp;Config!$B$7,'Ocorrências'!$F$5:$F$604,"Reconhecimento")+COUNTIFS('Ocorrências'!$U$5:$U$604,$A17&amp;"|"&amp;Config!$B$7,'Ocorrências'!$F$5:$F$604,"Positiva"))</f>
        <v/>
      </c>
      <c r="P17" s="14">
        <f>IF($B17="","",COUNTIFS('Ocorrências'!$U$5:$U$604,$A17&amp;"|"&amp;Config!$B$7,'Ocorrências'!$F$5:$F$604,"Ponto de atenção")+COUNTIFS('Ocorrências'!$U$5:$U$604,$A17&amp;"|"&amp;Config!$B$7,'Ocorrências'!$F$5:$F$604,"Incidente"))</f>
        <v/>
      </c>
      <c r="Q17" s="14">
        <f>IF($B17="","",COUNTIFS('Ocorrências'!$U$5:$U$604,$A17&amp;"|"&amp;Config!$B$7,'Ocorrências'!$F$5:$F$604,"Ponto de atenção",'Ocorrências'!$L$5:$L$604,"Não")+COUNTIFS('Ocorrências'!$U$5:$U$604,$A17&amp;"|"&amp;Config!$B$7,'Ocorrências'!$F$5:$F$604,"Incidente",'Ocorrências'!$L$5:$L$604,"Não"))</f>
        <v/>
      </c>
      <c r="R17" s="14">
        <f>IF($B17="","",IF(INDEX(Pessoas!$J$5:$J$64,MATCH($A17,Pessoas!$A$5:$A$64,0))="","nunca",Config!$B$6-INDEX(Pessoas!$J$5:$J$64,MATCH($A17,Pessoas!$A$5:$A$64,0))))</f>
        <v/>
      </c>
      <c r="S17" s="14">
        <f>IF($B17="","",COUNTIFS('Avaliação'!$Y$5:$Y$404,$A17&amp;"|"&amp;Config!$B$7,'Avaliação'!$N$5:$N$404,"&gt;=2"))</f>
        <v/>
      </c>
      <c r="T17" s="14">
        <f>IF($B17="","",COUNTIFS('Avaliação'!$Y$5:$Y$404,$A17&amp;"|"&amp;Config!$B$7,'Avaliação'!$V$5:$V$404,"SEM LASTRO"))</f>
        <v/>
      </c>
      <c r="U17" s="14">
        <f>IF($B17="","",IF(AND($Q17&gt;0,COUNTIFS('Avaliação'!$Y$5:$Y$404,$A17&amp;"|"&amp;Config!$B$7,'Avaliação'!$P$5:$P$404,"&gt;=3")&gt;0),$Q17,0))</f>
        <v/>
      </c>
      <c r="V17" s="14">
        <f>IF($B17="","",IF($U17&gt;0,"Nota sustentada por omissão",IF($T17&gt;0,"Nota sem lastro",IF($J17="","Sem avaliação no ciclo",IF($S17&gt;0,"Calibrar divergência",IF($L17&lt;-0.3,"Abaixo da expectativa",IF($Q17&gt;0,"Negativa não conversada",IF(OR($R17="nunca",$R17&gt;30),"1:1 atrasada","OK"))))))))</f>
        <v/>
      </c>
      <c r="W17" s="15">
        <f>IF(ISNUMBER($F17),$F17*Config!$B$22,0)+IF(ISNUMBER($G17),$G17*Config!$B$23,0)+IF(ISNUMBER($H17),$H17*Config!$B$24,0)+IF(ISNUMBER($I17),$I17*Config!$B$25,0)</f>
        <v/>
      </c>
      <c r="X17" s="15">
        <f>IF(ISNUMBER($F17),Config!$B$22,0)+IF(ISNUMBER($G17),Config!$B$23,0)+IF(ISNUMBER($H17),Config!$B$24,0)+IF(ISNUMBER($I17),Config!$B$25,0)</f>
        <v/>
      </c>
    </row>
    <row r="18">
      <c r="A18" s="14">
        <f>IF(Pessoas!$B16="","",Pessoas!$A16)</f>
        <v/>
      </c>
      <c r="B18" s="14">
        <f>IF(Pessoas!$B16="","",Pessoas!$B16)</f>
        <v/>
      </c>
      <c r="C18" s="14">
        <f>IF(Pessoas!$B16="","",Pessoas!$D16)</f>
        <v/>
      </c>
      <c r="D18" s="14">
        <f>IF(Pessoas!$B16="","",Pessoas!$L16)</f>
        <v/>
      </c>
      <c r="E18" s="14">
        <f>IF(Pessoas!$B16="","",Pessoas!$M16)</f>
        <v/>
      </c>
      <c r="F18" s="15">
        <f>IF($B18="","",IFERROR(AVERAGEIFS('Avaliação'!$P$5:$P$404,'Avaliação'!$Z$5:$Z$404,$A18&amp;"|"&amp;Config!$B$7&amp;"|"&amp;Config!$A$22),""))</f>
        <v/>
      </c>
      <c r="G18" s="15">
        <f>IF($B18="","",IFERROR(AVERAGEIFS('Avaliação'!$P$5:$P$404,'Avaliação'!$Z$5:$Z$404,$A18&amp;"|"&amp;Config!$B$7&amp;"|"&amp;Config!$A$23),""))</f>
        <v/>
      </c>
      <c r="H18" s="15">
        <f>IF($B18="","",IFERROR(AVERAGEIFS('Avaliação'!$P$5:$P$404,'Avaliação'!$Z$5:$Z$404,$A18&amp;"|"&amp;Config!$B$7&amp;"|"&amp;Config!$A$24),""))</f>
        <v/>
      </c>
      <c r="I18" s="15">
        <f>IF($B18="","",IFERROR(AVERAGEIFS('Avaliação'!$P$5:$P$404,'Avaliação'!$Z$5:$Z$404,$A18&amp;"|"&amp;Config!$B$7&amp;"|"&amp;Config!$A$25),""))</f>
        <v/>
      </c>
      <c r="J18" s="15">
        <f>IF($X18=0,"",$W18/$X18)</f>
        <v/>
      </c>
      <c r="K18" s="15">
        <f>IFERROR(INDEX(Config!$B$30:$B$33,MATCH($C18,Config!$A$30:$A$33,0)),"")</f>
        <v/>
      </c>
      <c r="L18" s="15">
        <f>IF(OR($J18="",$K18=""),"",$J18-$K18)</f>
        <v/>
      </c>
      <c r="M18" s="14">
        <f>IF($J18="","",IF($J18&lt;2.5,"Abaixo",IF($J18&lt;3.5,"Atende",IF($J18&lt;=4.2,"Supera","Referência"))))</f>
        <v/>
      </c>
      <c r="N18" s="14">
        <f>IF($B18="","",COUNTIFS('Ocorrências'!$U$5:$U$604,$A18&amp;"|"&amp;Config!$B$7))</f>
        <v/>
      </c>
      <c r="O18" s="14">
        <f>IF($B18="","",COUNTIFS('Ocorrências'!$U$5:$U$604,$A18&amp;"|"&amp;Config!$B$7,'Ocorrências'!$F$5:$F$604,"Reconhecimento")+COUNTIFS('Ocorrências'!$U$5:$U$604,$A18&amp;"|"&amp;Config!$B$7,'Ocorrências'!$F$5:$F$604,"Positiva"))</f>
        <v/>
      </c>
      <c r="P18" s="14">
        <f>IF($B18="","",COUNTIFS('Ocorrências'!$U$5:$U$604,$A18&amp;"|"&amp;Config!$B$7,'Ocorrências'!$F$5:$F$604,"Ponto de atenção")+COUNTIFS('Ocorrências'!$U$5:$U$604,$A18&amp;"|"&amp;Config!$B$7,'Ocorrências'!$F$5:$F$604,"Incidente"))</f>
        <v/>
      </c>
      <c r="Q18" s="14">
        <f>IF($B18="","",COUNTIFS('Ocorrências'!$U$5:$U$604,$A18&amp;"|"&amp;Config!$B$7,'Ocorrências'!$F$5:$F$604,"Ponto de atenção",'Ocorrências'!$L$5:$L$604,"Não")+COUNTIFS('Ocorrências'!$U$5:$U$604,$A18&amp;"|"&amp;Config!$B$7,'Ocorrências'!$F$5:$F$604,"Incidente",'Ocorrências'!$L$5:$L$604,"Não"))</f>
        <v/>
      </c>
      <c r="R18" s="14">
        <f>IF($B18="","",IF(INDEX(Pessoas!$J$5:$J$64,MATCH($A18,Pessoas!$A$5:$A$64,0))="","nunca",Config!$B$6-INDEX(Pessoas!$J$5:$J$64,MATCH($A18,Pessoas!$A$5:$A$64,0))))</f>
        <v/>
      </c>
      <c r="S18" s="14">
        <f>IF($B18="","",COUNTIFS('Avaliação'!$Y$5:$Y$404,$A18&amp;"|"&amp;Config!$B$7,'Avaliação'!$N$5:$N$404,"&gt;=2"))</f>
        <v/>
      </c>
      <c r="T18" s="14">
        <f>IF($B18="","",COUNTIFS('Avaliação'!$Y$5:$Y$404,$A18&amp;"|"&amp;Config!$B$7,'Avaliação'!$V$5:$V$404,"SEM LASTRO"))</f>
        <v/>
      </c>
      <c r="U18" s="14">
        <f>IF($B18="","",IF(AND($Q18&gt;0,COUNTIFS('Avaliação'!$Y$5:$Y$404,$A18&amp;"|"&amp;Config!$B$7,'Avaliação'!$P$5:$P$404,"&gt;=3")&gt;0),$Q18,0))</f>
        <v/>
      </c>
      <c r="V18" s="14">
        <f>IF($B18="","",IF($U18&gt;0,"Nota sustentada por omissão",IF($T18&gt;0,"Nota sem lastro",IF($J18="","Sem avaliação no ciclo",IF($S18&gt;0,"Calibrar divergência",IF($L18&lt;-0.3,"Abaixo da expectativa",IF($Q18&gt;0,"Negativa não conversada",IF(OR($R18="nunca",$R18&gt;30),"1:1 atrasada","OK"))))))))</f>
        <v/>
      </c>
      <c r="W18" s="15">
        <f>IF(ISNUMBER($F18),$F18*Config!$B$22,0)+IF(ISNUMBER($G18),$G18*Config!$B$23,0)+IF(ISNUMBER($H18),$H18*Config!$B$24,0)+IF(ISNUMBER($I18),$I18*Config!$B$25,0)</f>
        <v/>
      </c>
      <c r="X18" s="15">
        <f>IF(ISNUMBER($F18),Config!$B$22,0)+IF(ISNUMBER($G18),Config!$B$23,0)+IF(ISNUMBER($H18),Config!$B$24,0)+IF(ISNUMBER($I18),Config!$B$25,0)</f>
        <v/>
      </c>
    </row>
    <row r="19">
      <c r="A19" s="14">
        <f>IF(Pessoas!$B17="","",Pessoas!$A17)</f>
        <v/>
      </c>
      <c r="B19" s="14">
        <f>IF(Pessoas!$B17="","",Pessoas!$B17)</f>
        <v/>
      </c>
      <c r="C19" s="14">
        <f>IF(Pessoas!$B17="","",Pessoas!$D17)</f>
        <v/>
      </c>
      <c r="D19" s="14">
        <f>IF(Pessoas!$B17="","",Pessoas!$L17)</f>
        <v/>
      </c>
      <c r="E19" s="14">
        <f>IF(Pessoas!$B17="","",Pessoas!$M17)</f>
        <v/>
      </c>
      <c r="F19" s="15">
        <f>IF($B19="","",IFERROR(AVERAGEIFS('Avaliação'!$P$5:$P$404,'Avaliação'!$Z$5:$Z$404,$A19&amp;"|"&amp;Config!$B$7&amp;"|"&amp;Config!$A$22),""))</f>
        <v/>
      </c>
      <c r="G19" s="15">
        <f>IF($B19="","",IFERROR(AVERAGEIFS('Avaliação'!$P$5:$P$404,'Avaliação'!$Z$5:$Z$404,$A19&amp;"|"&amp;Config!$B$7&amp;"|"&amp;Config!$A$23),""))</f>
        <v/>
      </c>
      <c r="H19" s="15">
        <f>IF($B19="","",IFERROR(AVERAGEIFS('Avaliação'!$P$5:$P$404,'Avaliação'!$Z$5:$Z$404,$A19&amp;"|"&amp;Config!$B$7&amp;"|"&amp;Config!$A$24),""))</f>
        <v/>
      </c>
      <c r="I19" s="15">
        <f>IF($B19="","",IFERROR(AVERAGEIFS('Avaliação'!$P$5:$P$404,'Avaliação'!$Z$5:$Z$404,$A19&amp;"|"&amp;Config!$B$7&amp;"|"&amp;Config!$A$25),""))</f>
        <v/>
      </c>
      <c r="J19" s="15">
        <f>IF($X19=0,"",$W19/$X19)</f>
        <v/>
      </c>
      <c r="K19" s="15">
        <f>IFERROR(INDEX(Config!$B$30:$B$33,MATCH($C19,Config!$A$30:$A$33,0)),"")</f>
        <v/>
      </c>
      <c r="L19" s="15">
        <f>IF(OR($J19="",$K19=""),"",$J19-$K19)</f>
        <v/>
      </c>
      <c r="M19" s="14">
        <f>IF($J19="","",IF($J19&lt;2.5,"Abaixo",IF($J19&lt;3.5,"Atende",IF($J19&lt;=4.2,"Supera","Referência"))))</f>
        <v/>
      </c>
      <c r="N19" s="14">
        <f>IF($B19="","",COUNTIFS('Ocorrências'!$U$5:$U$604,$A19&amp;"|"&amp;Config!$B$7))</f>
        <v/>
      </c>
      <c r="O19" s="14">
        <f>IF($B19="","",COUNTIFS('Ocorrências'!$U$5:$U$604,$A19&amp;"|"&amp;Config!$B$7,'Ocorrências'!$F$5:$F$604,"Reconhecimento")+COUNTIFS('Ocorrências'!$U$5:$U$604,$A19&amp;"|"&amp;Config!$B$7,'Ocorrências'!$F$5:$F$604,"Positiva"))</f>
        <v/>
      </c>
      <c r="P19" s="14">
        <f>IF($B19="","",COUNTIFS('Ocorrências'!$U$5:$U$604,$A19&amp;"|"&amp;Config!$B$7,'Ocorrências'!$F$5:$F$604,"Ponto de atenção")+COUNTIFS('Ocorrências'!$U$5:$U$604,$A19&amp;"|"&amp;Config!$B$7,'Ocorrências'!$F$5:$F$604,"Incidente"))</f>
        <v/>
      </c>
      <c r="Q19" s="14">
        <f>IF($B19="","",COUNTIFS('Ocorrências'!$U$5:$U$604,$A19&amp;"|"&amp;Config!$B$7,'Ocorrências'!$F$5:$F$604,"Ponto de atenção",'Ocorrências'!$L$5:$L$604,"Não")+COUNTIFS('Ocorrências'!$U$5:$U$604,$A19&amp;"|"&amp;Config!$B$7,'Ocorrências'!$F$5:$F$604,"Incidente",'Ocorrências'!$L$5:$L$604,"Não"))</f>
        <v/>
      </c>
      <c r="R19" s="14">
        <f>IF($B19="","",IF(INDEX(Pessoas!$J$5:$J$64,MATCH($A19,Pessoas!$A$5:$A$64,0))="","nunca",Config!$B$6-INDEX(Pessoas!$J$5:$J$64,MATCH($A19,Pessoas!$A$5:$A$64,0))))</f>
        <v/>
      </c>
      <c r="S19" s="14">
        <f>IF($B19="","",COUNTIFS('Avaliação'!$Y$5:$Y$404,$A19&amp;"|"&amp;Config!$B$7,'Avaliação'!$N$5:$N$404,"&gt;=2"))</f>
        <v/>
      </c>
      <c r="T19" s="14">
        <f>IF($B19="","",COUNTIFS('Avaliação'!$Y$5:$Y$404,$A19&amp;"|"&amp;Config!$B$7,'Avaliação'!$V$5:$V$404,"SEM LASTRO"))</f>
        <v/>
      </c>
      <c r="U19" s="14">
        <f>IF($B19="","",IF(AND($Q19&gt;0,COUNTIFS('Avaliação'!$Y$5:$Y$404,$A19&amp;"|"&amp;Config!$B$7,'Avaliação'!$P$5:$P$404,"&gt;=3")&gt;0),$Q19,0))</f>
        <v/>
      </c>
      <c r="V19" s="14">
        <f>IF($B19="","",IF($U19&gt;0,"Nota sustentada por omissão",IF($T19&gt;0,"Nota sem lastro",IF($J19="","Sem avaliação no ciclo",IF($S19&gt;0,"Calibrar divergência",IF($L19&lt;-0.3,"Abaixo da expectativa",IF($Q19&gt;0,"Negativa não conversada",IF(OR($R19="nunca",$R19&gt;30),"1:1 atrasada","OK"))))))))</f>
        <v/>
      </c>
      <c r="W19" s="15">
        <f>IF(ISNUMBER($F19),$F19*Config!$B$22,0)+IF(ISNUMBER($G19),$G19*Config!$B$23,0)+IF(ISNUMBER($H19),$H19*Config!$B$24,0)+IF(ISNUMBER($I19),$I19*Config!$B$25,0)</f>
        <v/>
      </c>
      <c r="X19" s="15">
        <f>IF(ISNUMBER($F19),Config!$B$22,0)+IF(ISNUMBER($G19),Config!$B$23,0)+IF(ISNUMBER($H19),Config!$B$24,0)+IF(ISNUMBER($I19),Config!$B$25,0)</f>
        <v/>
      </c>
    </row>
    <row r="20">
      <c r="A20" s="14">
        <f>IF(Pessoas!$B18="","",Pessoas!$A18)</f>
        <v/>
      </c>
      <c r="B20" s="14">
        <f>IF(Pessoas!$B18="","",Pessoas!$B18)</f>
        <v/>
      </c>
      <c r="C20" s="14">
        <f>IF(Pessoas!$B18="","",Pessoas!$D18)</f>
        <v/>
      </c>
      <c r="D20" s="14">
        <f>IF(Pessoas!$B18="","",Pessoas!$L18)</f>
        <v/>
      </c>
      <c r="E20" s="14">
        <f>IF(Pessoas!$B18="","",Pessoas!$M18)</f>
        <v/>
      </c>
      <c r="F20" s="15">
        <f>IF($B20="","",IFERROR(AVERAGEIFS('Avaliação'!$P$5:$P$404,'Avaliação'!$Z$5:$Z$404,$A20&amp;"|"&amp;Config!$B$7&amp;"|"&amp;Config!$A$22),""))</f>
        <v/>
      </c>
      <c r="G20" s="15">
        <f>IF($B20="","",IFERROR(AVERAGEIFS('Avaliação'!$P$5:$P$404,'Avaliação'!$Z$5:$Z$404,$A20&amp;"|"&amp;Config!$B$7&amp;"|"&amp;Config!$A$23),""))</f>
        <v/>
      </c>
      <c r="H20" s="15">
        <f>IF($B20="","",IFERROR(AVERAGEIFS('Avaliação'!$P$5:$P$404,'Avaliação'!$Z$5:$Z$404,$A20&amp;"|"&amp;Config!$B$7&amp;"|"&amp;Config!$A$24),""))</f>
        <v/>
      </c>
      <c r="I20" s="15">
        <f>IF($B20="","",IFERROR(AVERAGEIFS('Avaliação'!$P$5:$P$404,'Avaliação'!$Z$5:$Z$404,$A20&amp;"|"&amp;Config!$B$7&amp;"|"&amp;Config!$A$25),""))</f>
        <v/>
      </c>
      <c r="J20" s="15">
        <f>IF($X20=0,"",$W20/$X20)</f>
        <v/>
      </c>
      <c r="K20" s="15">
        <f>IFERROR(INDEX(Config!$B$30:$B$33,MATCH($C20,Config!$A$30:$A$33,0)),"")</f>
        <v/>
      </c>
      <c r="L20" s="15">
        <f>IF(OR($J20="",$K20=""),"",$J20-$K20)</f>
        <v/>
      </c>
      <c r="M20" s="14">
        <f>IF($J20="","",IF($J20&lt;2.5,"Abaixo",IF($J20&lt;3.5,"Atende",IF($J20&lt;=4.2,"Supera","Referência"))))</f>
        <v/>
      </c>
      <c r="N20" s="14">
        <f>IF($B20="","",COUNTIFS('Ocorrências'!$U$5:$U$604,$A20&amp;"|"&amp;Config!$B$7))</f>
        <v/>
      </c>
      <c r="O20" s="14">
        <f>IF($B20="","",COUNTIFS('Ocorrências'!$U$5:$U$604,$A20&amp;"|"&amp;Config!$B$7,'Ocorrências'!$F$5:$F$604,"Reconhecimento")+COUNTIFS('Ocorrências'!$U$5:$U$604,$A20&amp;"|"&amp;Config!$B$7,'Ocorrências'!$F$5:$F$604,"Positiva"))</f>
        <v/>
      </c>
      <c r="P20" s="14">
        <f>IF($B20="","",COUNTIFS('Ocorrências'!$U$5:$U$604,$A20&amp;"|"&amp;Config!$B$7,'Ocorrências'!$F$5:$F$604,"Ponto de atenção")+COUNTIFS('Ocorrências'!$U$5:$U$604,$A20&amp;"|"&amp;Config!$B$7,'Ocorrências'!$F$5:$F$604,"Incidente"))</f>
        <v/>
      </c>
      <c r="Q20" s="14">
        <f>IF($B20="","",COUNTIFS('Ocorrências'!$U$5:$U$604,$A20&amp;"|"&amp;Config!$B$7,'Ocorrências'!$F$5:$F$604,"Ponto de atenção",'Ocorrências'!$L$5:$L$604,"Não")+COUNTIFS('Ocorrências'!$U$5:$U$604,$A20&amp;"|"&amp;Config!$B$7,'Ocorrências'!$F$5:$F$604,"Incidente",'Ocorrências'!$L$5:$L$604,"Não"))</f>
        <v/>
      </c>
      <c r="R20" s="14">
        <f>IF($B20="","",IF(INDEX(Pessoas!$J$5:$J$64,MATCH($A20,Pessoas!$A$5:$A$64,0))="","nunca",Config!$B$6-INDEX(Pessoas!$J$5:$J$64,MATCH($A20,Pessoas!$A$5:$A$64,0))))</f>
        <v/>
      </c>
      <c r="S20" s="14">
        <f>IF($B20="","",COUNTIFS('Avaliação'!$Y$5:$Y$404,$A20&amp;"|"&amp;Config!$B$7,'Avaliação'!$N$5:$N$404,"&gt;=2"))</f>
        <v/>
      </c>
      <c r="T20" s="14">
        <f>IF($B20="","",COUNTIFS('Avaliação'!$Y$5:$Y$404,$A20&amp;"|"&amp;Config!$B$7,'Avaliação'!$V$5:$V$404,"SEM LASTRO"))</f>
        <v/>
      </c>
      <c r="U20" s="14">
        <f>IF($B20="","",IF(AND($Q20&gt;0,COUNTIFS('Avaliação'!$Y$5:$Y$404,$A20&amp;"|"&amp;Config!$B$7,'Avaliação'!$P$5:$P$404,"&gt;=3")&gt;0),$Q20,0))</f>
        <v/>
      </c>
      <c r="V20" s="14">
        <f>IF($B20="","",IF($U20&gt;0,"Nota sustentada por omissão",IF($T20&gt;0,"Nota sem lastro",IF($J20="","Sem avaliação no ciclo",IF($S20&gt;0,"Calibrar divergência",IF($L20&lt;-0.3,"Abaixo da expectativa",IF($Q20&gt;0,"Negativa não conversada",IF(OR($R20="nunca",$R20&gt;30),"1:1 atrasada","OK"))))))))</f>
        <v/>
      </c>
      <c r="W20" s="15">
        <f>IF(ISNUMBER($F20),$F20*Config!$B$22,0)+IF(ISNUMBER($G20),$G20*Config!$B$23,0)+IF(ISNUMBER($H20),$H20*Config!$B$24,0)+IF(ISNUMBER($I20),$I20*Config!$B$25,0)</f>
        <v/>
      </c>
      <c r="X20" s="15">
        <f>IF(ISNUMBER($F20),Config!$B$22,0)+IF(ISNUMBER($G20),Config!$B$23,0)+IF(ISNUMBER($H20),Config!$B$24,0)+IF(ISNUMBER($I20),Config!$B$25,0)</f>
        <v/>
      </c>
    </row>
    <row r="21">
      <c r="A21" s="14">
        <f>IF(Pessoas!$B19="","",Pessoas!$A19)</f>
        <v/>
      </c>
      <c r="B21" s="14">
        <f>IF(Pessoas!$B19="","",Pessoas!$B19)</f>
        <v/>
      </c>
      <c r="C21" s="14">
        <f>IF(Pessoas!$B19="","",Pessoas!$D19)</f>
        <v/>
      </c>
      <c r="D21" s="14">
        <f>IF(Pessoas!$B19="","",Pessoas!$L19)</f>
        <v/>
      </c>
      <c r="E21" s="14">
        <f>IF(Pessoas!$B19="","",Pessoas!$M19)</f>
        <v/>
      </c>
      <c r="F21" s="15">
        <f>IF($B21="","",IFERROR(AVERAGEIFS('Avaliação'!$P$5:$P$404,'Avaliação'!$Z$5:$Z$404,$A21&amp;"|"&amp;Config!$B$7&amp;"|"&amp;Config!$A$22),""))</f>
        <v/>
      </c>
      <c r="G21" s="15">
        <f>IF($B21="","",IFERROR(AVERAGEIFS('Avaliação'!$P$5:$P$404,'Avaliação'!$Z$5:$Z$404,$A21&amp;"|"&amp;Config!$B$7&amp;"|"&amp;Config!$A$23),""))</f>
        <v/>
      </c>
      <c r="H21" s="15">
        <f>IF($B21="","",IFERROR(AVERAGEIFS('Avaliação'!$P$5:$P$404,'Avaliação'!$Z$5:$Z$404,$A21&amp;"|"&amp;Config!$B$7&amp;"|"&amp;Config!$A$24),""))</f>
        <v/>
      </c>
      <c r="I21" s="15">
        <f>IF($B21="","",IFERROR(AVERAGEIFS('Avaliação'!$P$5:$P$404,'Avaliação'!$Z$5:$Z$404,$A21&amp;"|"&amp;Config!$B$7&amp;"|"&amp;Config!$A$25),""))</f>
        <v/>
      </c>
      <c r="J21" s="15">
        <f>IF($X21=0,"",$W21/$X21)</f>
        <v/>
      </c>
      <c r="K21" s="15">
        <f>IFERROR(INDEX(Config!$B$30:$B$33,MATCH($C21,Config!$A$30:$A$33,0)),"")</f>
        <v/>
      </c>
      <c r="L21" s="15">
        <f>IF(OR($J21="",$K21=""),"",$J21-$K21)</f>
        <v/>
      </c>
      <c r="M21" s="14">
        <f>IF($J21="","",IF($J21&lt;2.5,"Abaixo",IF($J21&lt;3.5,"Atende",IF($J21&lt;=4.2,"Supera","Referência"))))</f>
        <v/>
      </c>
      <c r="N21" s="14">
        <f>IF($B21="","",COUNTIFS('Ocorrências'!$U$5:$U$604,$A21&amp;"|"&amp;Config!$B$7))</f>
        <v/>
      </c>
      <c r="O21" s="14">
        <f>IF($B21="","",COUNTIFS('Ocorrências'!$U$5:$U$604,$A21&amp;"|"&amp;Config!$B$7,'Ocorrências'!$F$5:$F$604,"Reconhecimento")+COUNTIFS('Ocorrências'!$U$5:$U$604,$A21&amp;"|"&amp;Config!$B$7,'Ocorrências'!$F$5:$F$604,"Positiva"))</f>
        <v/>
      </c>
      <c r="P21" s="14">
        <f>IF($B21="","",COUNTIFS('Ocorrências'!$U$5:$U$604,$A21&amp;"|"&amp;Config!$B$7,'Ocorrências'!$F$5:$F$604,"Ponto de atenção")+COUNTIFS('Ocorrências'!$U$5:$U$604,$A21&amp;"|"&amp;Config!$B$7,'Ocorrências'!$F$5:$F$604,"Incidente"))</f>
        <v/>
      </c>
      <c r="Q21" s="14">
        <f>IF($B21="","",COUNTIFS('Ocorrências'!$U$5:$U$604,$A21&amp;"|"&amp;Config!$B$7,'Ocorrências'!$F$5:$F$604,"Ponto de atenção",'Ocorrências'!$L$5:$L$604,"Não")+COUNTIFS('Ocorrências'!$U$5:$U$604,$A21&amp;"|"&amp;Config!$B$7,'Ocorrências'!$F$5:$F$604,"Incidente",'Ocorrências'!$L$5:$L$604,"Não"))</f>
        <v/>
      </c>
      <c r="R21" s="14">
        <f>IF($B21="","",IF(INDEX(Pessoas!$J$5:$J$64,MATCH($A21,Pessoas!$A$5:$A$64,0))="","nunca",Config!$B$6-INDEX(Pessoas!$J$5:$J$64,MATCH($A21,Pessoas!$A$5:$A$64,0))))</f>
        <v/>
      </c>
      <c r="S21" s="14">
        <f>IF($B21="","",COUNTIFS('Avaliação'!$Y$5:$Y$404,$A21&amp;"|"&amp;Config!$B$7,'Avaliação'!$N$5:$N$404,"&gt;=2"))</f>
        <v/>
      </c>
      <c r="T21" s="14">
        <f>IF($B21="","",COUNTIFS('Avaliação'!$Y$5:$Y$404,$A21&amp;"|"&amp;Config!$B$7,'Avaliação'!$V$5:$V$404,"SEM LASTRO"))</f>
        <v/>
      </c>
      <c r="U21" s="14">
        <f>IF($B21="","",IF(AND($Q21&gt;0,COUNTIFS('Avaliação'!$Y$5:$Y$404,$A21&amp;"|"&amp;Config!$B$7,'Avaliação'!$P$5:$P$404,"&gt;=3")&gt;0),$Q21,0))</f>
        <v/>
      </c>
      <c r="V21" s="14">
        <f>IF($B21="","",IF($U21&gt;0,"Nota sustentada por omissão",IF($T21&gt;0,"Nota sem lastro",IF($J21="","Sem avaliação no ciclo",IF($S21&gt;0,"Calibrar divergência",IF($L21&lt;-0.3,"Abaixo da expectativa",IF($Q21&gt;0,"Negativa não conversada",IF(OR($R21="nunca",$R21&gt;30),"1:1 atrasada","OK"))))))))</f>
        <v/>
      </c>
      <c r="W21" s="15">
        <f>IF(ISNUMBER($F21),$F21*Config!$B$22,0)+IF(ISNUMBER($G21),$G21*Config!$B$23,0)+IF(ISNUMBER($H21),$H21*Config!$B$24,0)+IF(ISNUMBER($I21),$I21*Config!$B$25,0)</f>
        <v/>
      </c>
      <c r="X21" s="15">
        <f>IF(ISNUMBER($F21),Config!$B$22,0)+IF(ISNUMBER($G21),Config!$B$23,0)+IF(ISNUMBER($H21),Config!$B$24,0)+IF(ISNUMBER($I21),Config!$B$25,0)</f>
        <v/>
      </c>
    </row>
    <row r="22">
      <c r="A22" s="14">
        <f>IF(Pessoas!$B20="","",Pessoas!$A20)</f>
        <v/>
      </c>
      <c r="B22" s="14">
        <f>IF(Pessoas!$B20="","",Pessoas!$B20)</f>
        <v/>
      </c>
      <c r="C22" s="14">
        <f>IF(Pessoas!$B20="","",Pessoas!$D20)</f>
        <v/>
      </c>
      <c r="D22" s="14">
        <f>IF(Pessoas!$B20="","",Pessoas!$L20)</f>
        <v/>
      </c>
      <c r="E22" s="14">
        <f>IF(Pessoas!$B20="","",Pessoas!$M20)</f>
        <v/>
      </c>
      <c r="F22" s="15">
        <f>IF($B22="","",IFERROR(AVERAGEIFS('Avaliação'!$P$5:$P$404,'Avaliação'!$Z$5:$Z$404,$A22&amp;"|"&amp;Config!$B$7&amp;"|"&amp;Config!$A$22),""))</f>
        <v/>
      </c>
      <c r="G22" s="15">
        <f>IF($B22="","",IFERROR(AVERAGEIFS('Avaliação'!$P$5:$P$404,'Avaliação'!$Z$5:$Z$404,$A22&amp;"|"&amp;Config!$B$7&amp;"|"&amp;Config!$A$23),""))</f>
        <v/>
      </c>
      <c r="H22" s="15">
        <f>IF($B22="","",IFERROR(AVERAGEIFS('Avaliação'!$P$5:$P$404,'Avaliação'!$Z$5:$Z$404,$A22&amp;"|"&amp;Config!$B$7&amp;"|"&amp;Config!$A$24),""))</f>
        <v/>
      </c>
      <c r="I22" s="15">
        <f>IF($B22="","",IFERROR(AVERAGEIFS('Avaliação'!$P$5:$P$404,'Avaliação'!$Z$5:$Z$404,$A22&amp;"|"&amp;Config!$B$7&amp;"|"&amp;Config!$A$25),""))</f>
        <v/>
      </c>
      <c r="J22" s="15">
        <f>IF($X22=0,"",$W22/$X22)</f>
        <v/>
      </c>
      <c r="K22" s="15">
        <f>IFERROR(INDEX(Config!$B$30:$B$33,MATCH($C22,Config!$A$30:$A$33,0)),"")</f>
        <v/>
      </c>
      <c r="L22" s="15">
        <f>IF(OR($J22="",$K22=""),"",$J22-$K22)</f>
        <v/>
      </c>
      <c r="M22" s="14">
        <f>IF($J22="","",IF($J22&lt;2.5,"Abaixo",IF($J22&lt;3.5,"Atende",IF($J22&lt;=4.2,"Supera","Referência"))))</f>
        <v/>
      </c>
      <c r="N22" s="14">
        <f>IF($B22="","",COUNTIFS('Ocorrências'!$U$5:$U$604,$A22&amp;"|"&amp;Config!$B$7))</f>
        <v/>
      </c>
      <c r="O22" s="14">
        <f>IF($B22="","",COUNTIFS('Ocorrências'!$U$5:$U$604,$A22&amp;"|"&amp;Config!$B$7,'Ocorrências'!$F$5:$F$604,"Reconhecimento")+COUNTIFS('Ocorrências'!$U$5:$U$604,$A22&amp;"|"&amp;Config!$B$7,'Ocorrências'!$F$5:$F$604,"Positiva"))</f>
        <v/>
      </c>
      <c r="P22" s="14">
        <f>IF($B22="","",COUNTIFS('Ocorrências'!$U$5:$U$604,$A22&amp;"|"&amp;Config!$B$7,'Ocorrências'!$F$5:$F$604,"Ponto de atenção")+COUNTIFS('Ocorrências'!$U$5:$U$604,$A22&amp;"|"&amp;Config!$B$7,'Ocorrências'!$F$5:$F$604,"Incidente"))</f>
        <v/>
      </c>
      <c r="Q22" s="14">
        <f>IF($B22="","",COUNTIFS('Ocorrências'!$U$5:$U$604,$A22&amp;"|"&amp;Config!$B$7,'Ocorrências'!$F$5:$F$604,"Ponto de atenção",'Ocorrências'!$L$5:$L$604,"Não")+COUNTIFS('Ocorrências'!$U$5:$U$604,$A22&amp;"|"&amp;Config!$B$7,'Ocorrências'!$F$5:$F$604,"Incidente",'Ocorrências'!$L$5:$L$604,"Não"))</f>
        <v/>
      </c>
      <c r="R22" s="14">
        <f>IF($B22="","",IF(INDEX(Pessoas!$J$5:$J$64,MATCH($A22,Pessoas!$A$5:$A$64,0))="","nunca",Config!$B$6-INDEX(Pessoas!$J$5:$J$64,MATCH($A22,Pessoas!$A$5:$A$64,0))))</f>
        <v/>
      </c>
      <c r="S22" s="14">
        <f>IF($B22="","",COUNTIFS('Avaliação'!$Y$5:$Y$404,$A22&amp;"|"&amp;Config!$B$7,'Avaliação'!$N$5:$N$404,"&gt;=2"))</f>
        <v/>
      </c>
      <c r="T22" s="14">
        <f>IF($B22="","",COUNTIFS('Avaliação'!$Y$5:$Y$404,$A22&amp;"|"&amp;Config!$B$7,'Avaliação'!$V$5:$V$404,"SEM LASTRO"))</f>
        <v/>
      </c>
      <c r="U22" s="14">
        <f>IF($B22="","",IF(AND($Q22&gt;0,COUNTIFS('Avaliação'!$Y$5:$Y$404,$A22&amp;"|"&amp;Config!$B$7,'Avaliação'!$P$5:$P$404,"&gt;=3")&gt;0),$Q22,0))</f>
        <v/>
      </c>
      <c r="V22" s="14">
        <f>IF($B22="","",IF($U22&gt;0,"Nota sustentada por omissão",IF($T22&gt;0,"Nota sem lastro",IF($J22="","Sem avaliação no ciclo",IF($S22&gt;0,"Calibrar divergência",IF($L22&lt;-0.3,"Abaixo da expectativa",IF($Q22&gt;0,"Negativa não conversada",IF(OR($R22="nunca",$R22&gt;30),"1:1 atrasada","OK"))))))))</f>
        <v/>
      </c>
      <c r="W22" s="15">
        <f>IF(ISNUMBER($F22),$F22*Config!$B$22,0)+IF(ISNUMBER($G22),$G22*Config!$B$23,0)+IF(ISNUMBER($H22),$H22*Config!$B$24,0)+IF(ISNUMBER($I22),$I22*Config!$B$25,0)</f>
        <v/>
      </c>
      <c r="X22" s="15">
        <f>IF(ISNUMBER($F22),Config!$B$22,0)+IF(ISNUMBER($G22),Config!$B$23,0)+IF(ISNUMBER($H22),Config!$B$24,0)+IF(ISNUMBER($I22),Config!$B$25,0)</f>
        <v/>
      </c>
    </row>
    <row r="23">
      <c r="A23" s="14">
        <f>IF(Pessoas!$B21="","",Pessoas!$A21)</f>
        <v/>
      </c>
      <c r="B23" s="14">
        <f>IF(Pessoas!$B21="","",Pessoas!$B21)</f>
        <v/>
      </c>
      <c r="C23" s="14">
        <f>IF(Pessoas!$B21="","",Pessoas!$D21)</f>
        <v/>
      </c>
      <c r="D23" s="14">
        <f>IF(Pessoas!$B21="","",Pessoas!$L21)</f>
        <v/>
      </c>
      <c r="E23" s="14">
        <f>IF(Pessoas!$B21="","",Pessoas!$M21)</f>
        <v/>
      </c>
      <c r="F23" s="15">
        <f>IF($B23="","",IFERROR(AVERAGEIFS('Avaliação'!$P$5:$P$404,'Avaliação'!$Z$5:$Z$404,$A23&amp;"|"&amp;Config!$B$7&amp;"|"&amp;Config!$A$22),""))</f>
        <v/>
      </c>
      <c r="G23" s="15">
        <f>IF($B23="","",IFERROR(AVERAGEIFS('Avaliação'!$P$5:$P$404,'Avaliação'!$Z$5:$Z$404,$A23&amp;"|"&amp;Config!$B$7&amp;"|"&amp;Config!$A$23),""))</f>
        <v/>
      </c>
      <c r="H23" s="15">
        <f>IF($B23="","",IFERROR(AVERAGEIFS('Avaliação'!$P$5:$P$404,'Avaliação'!$Z$5:$Z$404,$A23&amp;"|"&amp;Config!$B$7&amp;"|"&amp;Config!$A$24),""))</f>
        <v/>
      </c>
      <c r="I23" s="15">
        <f>IF($B23="","",IFERROR(AVERAGEIFS('Avaliação'!$P$5:$P$404,'Avaliação'!$Z$5:$Z$404,$A23&amp;"|"&amp;Config!$B$7&amp;"|"&amp;Config!$A$25),""))</f>
        <v/>
      </c>
      <c r="J23" s="15">
        <f>IF($X23=0,"",$W23/$X23)</f>
        <v/>
      </c>
      <c r="K23" s="15">
        <f>IFERROR(INDEX(Config!$B$30:$B$33,MATCH($C23,Config!$A$30:$A$33,0)),"")</f>
        <v/>
      </c>
      <c r="L23" s="15">
        <f>IF(OR($J23="",$K23=""),"",$J23-$K23)</f>
        <v/>
      </c>
      <c r="M23" s="14">
        <f>IF($J23="","",IF($J23&lt;2.5,"Abaixo",IF($J23&lt;3.5,"Atende",IF($J23&lt;=4.2,"Supera","Referência"))))</f>
        <v/>
      </c>
      <c r="N23" s="14">
        <f>IF($B23="","",COUNTIFS('Ocorrências'!$U$5:$U$604,$A23&amp;"|"&amp;Config!$B$7))</f>
        <v/>
      </c>
      <c r="O23" s="14">
        <f>IF($B23="","",COUNTIFS('Ocorrências'!$U$5:$U$604,$A23&amp;"|"&amp;Config!$B$7,'Ocorrências'!$F$5:$F$604,"Reconhecimento")+COUNTIFS('Ocorrências'!$U$5:$U$604,$A23&amp;"|"&amp;Config!$B$7,'Ocorrências'!$F$5:$F$604,"Positiva"))</f>
        <v/>
      </c>
      <c r="P23" s="14">
        <f>IF($B23="","",COUNTIFS('Ocorrências'!$U$5:$U$604,$A23&amp;"|"&amp;Config!$B$7,'Ocorrências'!$F$5:$F$604,"Ponto de atenção")+COUNTIFS('Ocorrências'!$U$5:$U$604,$A23&amp;"|"&amp;Config!$B$7,'Ocorrências'!$F$5:$F$604,"Incidente"))</f>
        <v/>
      </c>
      <c r="Q23" s="14">
        <f>IF($B23="","",COUNTIFS('Ocorrências'!$U$5:$U$604,$A23&amp;"|"&amp;Config!$B$7,'Ocorrências'!$F$5:$F$604,"Ponto de atenção",'Ocorrências'!$L$5:$L$604,"Não")+COUNTIFS('Ocorrências'!$U$5:$U$604,$A23&amp;"|"&amp;Config!$B$7,'Ocorrências'!$F$5:$F$604,"Incidente",'Ocorrências'!$L$5:$L$604,"Não"))</f>
        <v/>
      </c>
      <c r="R23" s="14">
        <f>IF($B23="","",IF(INDEX(Pessoas!$J$5:$J$64,MATCH($A23,Pessoas!$A$5:$A$64,0))="","nunca",Config!$B$6-INDEX(Pessoas!$J$5:$J$64,MATCH($A23,Pessoas!$A$5:$A$64,0))))</f>
        <v/>
      </c>
      <c r="S23" s="14">
        <f>IF($B23="","",COUNTIFS('Avaliação'!$Y$5:$Y$404,$A23&amp;"|"&amp;Config!$B$7,'Avaliação'!$N$5:$N$404,"&gt;=2"))</f>
        <v/>
      </c>
      <c r="T23" s="14">
        <f>IF($B23="","",COUNTIFS('Avaliação'!$Y$5:$Y$404,$A23&amp;"|"&amp;Config!$B$7,'Avaliação'!$V$5:$V$404,"SEM LASTRO"))</f>
        <v/>
      </c>
      <c r="U23" s="14">
        <f>IF($B23="","",IF(AND($Q23&gt;0,COUNTIFS('Avaliação'!$Y$5:$Y$404,$A23&amp;"|"&amp;Config!$B$7,'Avaliação'!$P$5:$P$404,"&gt;=3")&gt;0),$Q23,0))</f>
        <v/>
      </c>
      <c r="V23" s="14">
        <f>IF($B23="","",IF($U23&gt;0,"Nota sustentada por omissão",IF($T23&gt;0,"Nota sem lastro",IF($J23="","Sem avaliação no ciclo",IF($S23&gt;0,"Calibrar divergência",IF($L23&lt;-0.3,"Abaixo da expectativa",IF($Q23&gt;0,"Negativa não conversada",IF(OR($R23="nunca",$R23&gt;30),"1:1 atrasada","OK"))))))))</f>
        <v/>
      </c>
      <c r="W23" s="15">
        <f>IF(ISNUMBER($F23),$F23*Config!$B$22,0)+IF(ISNUMBER($G23),$G23*Config!$B$23,0)+IF(ISNUMBER($H23),$H23*Config!$B$24,0)+IF(ISNUMBER($I23),$I23*Config!$B$25,0)</f>
        <v/>
      </c>
      <c r="X23" s="15">
        <f>IF(ISNUMBER($F23),Config!$B$22,0)+IF(ISNUMBER($G23),Config!$B$23,0)+IF(ISNUMBER($H23),Config!$B$24,0)+IF(ISNUMBER($I23),Config!$B$25,0)</f>
        <v/>
      </c>
    </row>
    <row r="24">
      <c r="A24" s="14">
        <f>IF(Pessoas!$B22="","",Pessoas!$A22)</f>
        <v/>
      </c>
      <c r="B24" s="14">
        <f>IF(Pessoas!$B22="","",Pessoas!$B22)</f>
        <v/>
      </c>
      <c r="C24" s="14">
        <f>IF(Pessoas!$B22="","",Pessoas!$D22)</f>
        <v/>
      </c>
      <c r="D24" s="14">
        <f>IF(Pessoas!$B22="","",Pessoas!$L22)</f>
        <v/>
      </c>
      <c r="E24" s="14">
        <f>IF(Pessoas!$B22="","",Pessoas!$M22)</f>
        <v/>
      </c>
      <c r="F24" s="15">
        <f>IF($B24="","",IFERROR(AVERAGEIFS('Avaliação'!$P$5:$P$404,'Avaliação'!$Z$5:$Z$404,$A24&amp;"|"&amp;Config!$B$7&amp;"|"&amp;Config!$A$22),""))</f>
        <v/>
      </c>
      <c r="G24" s="15">
        <f>IF($B24="","",IFERROR(AVERAGEIFS('Avaliação'!$P$5:$P$404,'Avaliação'!$Z$5:$Z$404,$A24&amp;"|"&amp;Config!$B$7&amp;"|"&amp;Config!$A$23),""))</f>
        <v/>
      </c>
      <c r="H24" s="15">
        <f>IF($B24="","",IFERROR(AVERAGEIFS('Avaliação'!$P$5:$P$404,'Avaliação'!$Z$5:$Z$404,$A24&amp;"|"&amp;Config!$B$7&amp;"|"&amp;Config!$A$24),""))</f>
        <v/>
      </c>
      <c r="I24" s="15">
        <f>IF($B24="","",IFERROR(AVERAGEIFS('Avaliação'!$P$5:$P$404,'Avaliação'!$Z$5:$Z$404,$A24&amp;"|"&amp;Config!$B$7&amp;"|"&amp;Config!$A$25),""))</f>
        <v/>
      </c>
      <c r="J24" s="15">
        <f>IF($X24=0,"",$W24/$X24)</f>
        <v/>
      </c>
      <c r="K24" s="15">
        <f>IFERROR(INDEX(Config!$B$30:$B$33,MATCH($C24,Config!$A$30:$A$33,0)),"")</f>
        <v/>
      </c>
      <c r="L24" s="15">
        <f>IF(OR($J24="",$K24=""),"",$J24-$K24)</f>
        <v/>
      </c>
      <c r="M24" s="14">
        <f>IF($J24="","",IF($J24&lt;2.5,"Abaixo",IF($J24&lt;3.5,"Atende",IF($J24&lt;=4.2,"Supera","Referência"))))</f>
        <v/>
      </c>
      <c r="N24" s="14">
        <f>IF($B24="","",COUNTIFS('Ocorrências'!$U$5:$U$604,$A24&amp;"|"&amp;Config!$B$7))</f>
        <v/>
      </c>
      <c r="O24" s="14">
        <f>IF($B24="","",COUNTIFS('Ocorrências'!$U$5:$U$604,$A24&amp;"|"&amp;Config!$B$7,'Ocorrências'!$F$5:$F$604,"Reconhecimento")+COUNTIFS('Ocorrências'!$U$5:$U$604,$A24&amp;"|"&amp;Config!$B$7,'Ocorrências'!$F$5:$F$604,"Positiva"))</f>
        <v/>
      </c>
      <c r="P24" s="14">
        <f>IF($B24="","",COUNTIFS('Ocorrências'!$U$5:$U$604,$A24&amp;"|"&amp;Config!$B$7,'Ocorrências'!$F$5:$F$604,"Ponto de atenção")+COUNTIFS('Ocorrências'!$U$5:$U$604,$A24&amp;"|"&amp;Config!$B$7,'Ocorrências'!$F$5:$F$604,"Incidente"))</f>
        <v/>
      </c>
      <c r="Q24" s="14">
        <f>IF($B24="","",COUNTIFS('Ocorrências'!$U$5:$U$604,$A24&amp;"|"&amp;Config!$B$7,'Ocorrências'!$F$5:$F$604,"Ponto de atenção",'Ocorrências'!$L$5:$L$604,"Não")+COUNTIFS('Ocorrências'!$U$5:$U$604,$A24&amp;"|"&amp;Config!$B$7,'Ocorrências'!$F$5:$F$604,"Incidente",'Ocorrências'!$L$5:$L$604,"Não"))</f>
        <v/>
      </c>
      <c r="R24" s="14">
        <f>IF($B24="","",IF(INDEX(Pessoas!$J$5:$J$64,MATCH($A24,Pessoas!$A$5:$A$64,0))="","nunca",Config!$B$6-INDEX(Pessoas!$J$5:$J$64,MATCH($A24,Pessoas!$A$5:$A$64,0))))</f>
        <v/>
      </c>
      <c r="S24" s="14">
        <f>IF($B24="","",COUNTIFS('Avaliação'!$Y$5:$Y$404,$A24&amp;"|"&amp;Config!$B$7,'Avaliação'!$N$5:$N$404,"&gt;=2"))</f>
        <v/>
      </c>
      <c r="T24" s="14">
        <f>IF($B24="","",COUNTIFS('Avaliação'!$Y$5:$Y$404,$A24&amp;"|"&amp;Config!$B$7,'Avaliação'!$V$5:$V$404,"SEM LASTRO"))</f>
        <v/>
      </c>
      <c r="U24" s="14">
        <f>IF($B24="","",IF(AND($Q24&gt;0,COUNTIFS('Avaliação'!$Y$5:$Y$404,$A24&amp;"|"&amp;Config!$B$7,'Avaliação'!$P$5:$P$404,"&gt;=3")&gt;0),$Q24,0))</f>
        <v/>
      </c>
      <c r="V24" s="14">
        <f>IF($B24="","",IF($U24&gt;0,"Nota sustentada por omissão",IF($T24&gt;0,"Nota sem lastro",IF($J24="","Sem avaliação no ciclo",IF($S24&gt;0,"Calibrar divergência",IF($L24&lt;-0.3,"Abaixo da expectativa",IF($Q24&gt;0,"Negativa não conversada",IF(OR($R24="nunca",$R24&gt;30),"1:1 atrasada","OK"))))))))</f>
        <v/>
      </c>
      <c r="W24" s="15">
        <f>IF(ISNUMBER($F24),$F24*Config!$B$22,0)+IF(ISNUMBER($G24),$G24*Config!$B$23,0)+IF(ISNUMBER($H24),$H24*Config!$B$24,0)+IF(ISNUMBER($I24),$I24*Config!$B$25,0)</f>
        <v/>
      </c>
      <c r="X24" s="15">
        <f>IF(ISNUMBER($F24),Config!$B$22,0)+IF(ISNUMBER($G24),Config!$B$23,0)+IF(ISNUMBER($H24),Config!$B$24,0)+IF(ISNUMBER($I24),Config!$B$25,0)</f>
        <v/>
      </c>
    </row>
    <row r="25">
      <c r="A25" s="14">
        <f>IF(Pessoas!$B23="","",Pessoas!$A23)</f>
        <v/>
      </c>
      <c r="B25" s="14">
        <f>IF(Pessoas!$B23="","",Pessoas!$B23)</f>
        <v/>
      </c>
      <c r="C25" s="14">
        <f>IF(Pessoas!$B23="","",Pessoas!$D23)</f>
        <v/>
      </c>
      <c r="D25" s="14">
        <f>IF(Pessoas!$B23="","",Pessoas!$L23)</f>
        <v/>
      </c>
      <c r="E25" s="14">
        <f>IF(Pessoas!$B23="","",Pessoas!$M23)</f>
        <v/>
      </c>
      <c r="F25" s="15">
        <f>IF($B25="","",IFERROR(AVERAGEIFS('Avaliação'!$P$5:$P$404,'Avaliação'!$Z$5:$Z$404,$A25&amp;"|"&amp;Config!$B$7&amp;"|"&amp;Config!$A$22),""))</f>
        <v/>
      </c>
      <c r="G25" s="15">
        <f>IF($B25="","",IFERROR(AVERAGEIFS('Avaliação'!$P$5:$P$404,'Avaliação'!$Z$5:$Z$404,$A25&amp;"|"&amp;Config!$B$7&amp;"|"&amp;Config!$A$23),""))</f>
        <v/>
      </c>
      <c r="H25" s="15">
        <f>IF($B25="","",IFERROR(AVERAGEIFS('Avaliação'!$P$5:$P$404,'Avaliação'!$Z$5:$Z$404,$A25&amp;"|"&amp;Config!$B$7&amp;"|"&amp;Config!$A$24),""))</f>
        <v/>
      </c>
      <c r="I25" s="15">
        <f>IF($B25="","",IFERROR(AVERAGEIFS('Avaliação'!$P$5:$P$404,'Avaliação'!$Z$5:$Z$404,$A25&amp;"|"&amp;Config!$B$7&amp;"|"&amp;Config!$A$25),""))</f>
        <v/>
      </c>
      <c r="J25" s="15">
        <f>IF($X25=0,"",$W25/$X25)</f>
        <v/>
      </c>
      <c r="K25" s="15">
        <f>IFERROR(INDEX(Config!$B$30:$B$33,MATCH($C25,Config!$A$30:$A$33,0)),"")</f>
        <v/>
      </c>
      <c r="L25" s="15">
        <f>IF(OR($J25="",$K25=""),"",$J25-$K25)</f>
        <v/>
      </c>
      <c r="M25" s="14">
        <f>IF($J25="","",IF($J25&lt;2.5,"Abaixo",IF($J25&lt;3.5,"Atende",IF($J25&lt;=4.2,"Supera","Referência"))))</f>
        <v/>
      </c>
      <c r="N25" s="14">
        <f>IF($B25="","",COUNTIFS('Ocorrências'!$U$5:$U$604,$A25&amp;"|"&amp;Config!$B$7))</f>
        <v/>
      </c>
      <c r="O25" s="14">
        <f>IF($B25="","",COUNTIFS('Ocorrências'!$U$5:$U$604,$A25&amp;"|"&amp;Config!$B$7,'Ocorrências'!$F$5:$F$604,"Reconhecimento")+COUNTIFS('Ocorrências'!$U$5:$U$604,$A25&amp;"|"&amp;Config!$B$7,'Ocorrências'!$F$5:$F$604,"Positiva"))</f>
        <v/>
      </c>
      <c r="P25" s="14">
        <f>IF($B25="","",COUNTIFS('Ocorrências'!$U$5:$U$604,$A25&amp;"|"&amp;Config!$B$7,'Ocorrências'!$F$5:$F$604,"Ponto de atenção")+COUNTIFS('Ocorrências'!$U$5:$U$604,$A25&amp;"|"&amp;Config!$B$7,'Ocorrências'!$F$5:$F$604,"Incidente"))</f>
        <v/>
      </c>
      <c r="Q25" s="14">
        <f>IF($B25="","",COUNTIFS('Ocorrências'!$U$5:$U$604,$A25&amp;"|"&amp;Config!$B$7,'Ocorrências'!$F$5:$F$604,"Ponto de atenção",'Ocorrências'!$L$5:$L$604,"Não")+COUNTIFS('Ocorrências'!$U$5:$U$604,$A25&amp;"|"&amp;Config!$B$7,'Ocorrências'!$F$5:$F$604,"Incidente",'Ocorrências'!$L$5:$L$604,"Não"))</f>
        <v/>
      </c>
      <c r="R25" s="14">
        <f>IF($B25="","",IF(INDEX(Pessoas!$J$5:$J$64,MATCH($A25,Pessoas!$A$5:$A$64,0))="","nunca",Config!$B$6-INDEX(Pessoas!$J$5:$J$64,MATCH($A25,Pessoas!$A$5:$A$64,0))))</f>
        <v/>
      </c>
      <c r="S25" s="14">
        <f>IF($B25="","",COUNTIFS('Avaliação'!$Y$5:$Y$404,$A25&amp;"|"&amp;Config!$B$7,'Avaliação'!$N$5:$N$404,"&gt;=2"))</f>
        <v/>
      </c>
      <c r="T25" s="14">
        <f>IF($B25="","",COUNTIFS('Avaliação'!$Y$5:$Y$404,$A25&amp;"|"&amp;Config!$B$7,'Avaliação'!$V$5:$V$404,"SEM LASTRO"))</f>
        <v/>
      </c>
      <c r="U25" s="14">
        <f>IF($B25="","",IF(AND($Q25&gt;0,COUNTIFS('Avaliação'!$Y$5:$Y$404,$A25&amp;"|"&amp;Config!$B$7,'Avaliação'!$P$5:$P$404,"&gt;=3")&gt;0),$Q25,0))</f>
        <v/>
      </c>
      <c r="V25" s="14">
        <f>IF($B25="","",IF($U25&gt;0,"Nota sustentada por omissão",IF($T25&gt;0,"Nota sem lastro",IF($J25="","Sem avaliação no ciclo",IF($S25&gt;0,"Calibrar divergência",IF($L25&lt;-0.3,"Abaixo da expectativa",IF($Q25&gt;0,"Negativa não conversada",IF(OR($R25="nunca",$R25&gt;30),"1:1 atrasada","OK"))))))))</f>
        <v/>
      </c>
      <c r="W25" s="15">
        <f>IF(ISNUMBER($F25),$F25*Config!$B$22,0)+IF(ISNUMBER($G25),$G25*Config!$B$23,0)+IF(ISNUMBER($H25),$H25*Config!$B$24,0)+IF(ISNUMBER($I25),$I25*Config!$B$25,0)</f>
        <v/>
      </c>
      <c r="X25" s="15">
        <f>IF(ISNUMBER($F25),Config!$B$22,0)+IF(ISNUMBER($G25),Config!$B$23,0)+IF(ISNUMBER($H25),Config!$B$24,0)+IF(ISNUMBER($I25),Config!$B$25,0)</f>
        <v/>
      </c>
    </row>
    <row r="26">
      <c r="A26" s="14">
        <f>IF(Pessoas!$B24="","",Pessoas!$A24)</f>
        <v/>
      </c>
      <c r="B26" s="14">
        <f>IF(Pessoas!$B24="","",Pessoas!$B24)</f>
        <v/>
      </c>
      <c r="C26" s="14">
        <f>IF(Pessoas!$B24="","",Pessoas!$D24)</f>
        <v/>
      </c>
      <c r="D26" s="14">
        <f>IF(Pessoas!$B24="","",Pessoas!$L24)</f>
        <v/>
      </c>
      <c r="E26" s="14">
        <f>IF(Pessoas!$B24="","",Pessoas!$M24)</f>
        <v/>
      </c>
      <c r="F26" s="15">
        <f>IF($B26="","",IFERROR(AVERAGEIFS('Avaliação'!$P$5:$P$404,'Avaliação'!$Z$5:$Z$404,$A26&amp;"|"&amp;Config!$B$7&amp;"|"&amp;Config!$A$22),""))</f>
        <v/>
      </c>
      <c r="G26" s="15">
        <f>IF($B26="","",IFERROR(AVERAGEIFS('Avaliação'!$P$5:$P$404,'Avaliação'!$Z$5:$Z$404,$A26&amp;"|"&amp;Config!$B$7&amp;"|"&amp;Config!$A$23),""))</f>
        <v/>
      </c>
      <c r="H26" s="15">
        <f>IF($B26="","",IFERROR(AVERAGEIFS('Avaliação'!$P$5:$P$404,'Avaliação'!$Z$5:$Z$404,$A26&amp;"|"&amp;Config!$B$7&amp;"|"&amp;Config!$A$24),""))</f>
        <v/>
      </c>
      <c r="I26" s="15">
        <f>IF($B26="","",IFERROR(AVERAGEIFS('Avaliação'!$P$5:$P$404,'Avaliação'!$Z$5:$Z$404,$A26&amp;"|"&amp;Config!$B$7&amp;"|"&amp;Config!$A$25),""))</f>
        <v/>
      </c>
      <c r="J26" s="15">
        <f>IF($X26=0,"",$W26/$X26)</f>
        <v/>
      </c>
      <c r="K26" s="15">
        <f>IFERROR(INDEX(Config!$B$30:$B$33,MATCH($C26,Config!$A$30:$A$33,0)),"")</f>
        <v/>
      </c>
      <c r="L26" s="15">
        <f>IF(OR($J26="",$K26=""),"",$J26-$K26)</f>
        <v/>
      </c>
      <c r="M26" s="14">
        <f>IF($J26="","",IF($J26&lt;2.5,"Abaixo",IF($J26&lt;3.5,"Atende",IF($J26&lt;=4.2,"Supera","Referência"))))</f>
        <v/>
      </c>
      <c r="N26" s="14">
        <f>IF($B26="","",COUNTIFS('Ocorrências'!$U$5:$U$604,$A26&amp;"|"&amp;Config!$B$7))</f>
        <v/>
      </c>
      <c r="O26" s="14">
        <f>IF($B26="","",COUNTIFS('Ocorrências'!$U$5:$U$604,$A26&amp;"|"&amp;Config!$B$7,'Ocorrências'!$F$5:$F$604,"Reconhecimento")+COUNTIFS('Ocorrências'!$U$5:$U$604,$A26&amp;"|"&amp;Config!$B$7,'Ocorrências'!$F$5:$F$604,"Positiva"))</f>
        <v/>
      </c>
      <c r="P26" s="14">
        <f>IF($B26="","",COUNTIFS('Ocorrências'!$U$5:$U$604,$A26&amp;"|"&amp;Config!$B$7,'Ocorrências'!$F$5:$F$604,"Ponto de atenção")+COUNTIFS('Ocorrências'!$U$5:$U$604,$A26&amp;"|"&amp;Config!$B$7,'Ocorrências'!$F$5:$F$604,"Incidente"))</f>
        <v/>
      </c>
      <c r="Q26" s="14">
        <f>IF($B26="","",COUNTIFS('Ocorrências'!$U$5:$U$604,$A26&amp;"|"&amp;Config!$B$7,'Ocorrências'!$F$5:$F$604,"Ponto de atenção",'Ocorrências'!$L$5:$L$604,"Não")+COUNTIFS('Ocorrências'!$U$5:$U$604,$A26&amp;"|"&amp;Config!$B$7,'Ocorrências'!$F$5:$F$604,"Incidente",'Ocorrências'!$L$5:$L$604,"Não"))</f>
        <v/>
      </c>
      <c r="R26" s="14">
        <f>IF($B26="","",IF(INDEX(Pessoas!$J$5:$J$64,MATCH($A26,Pessoas!$A$5:$A$64,0))="","nunca",Config!$B$6-INDEX(Pessoas!$J$5:$J$64,MATCH($A26,Pessoas!$A$5:$A$64,0))))</f>
        <v/>
      </c>
      <c r="S26" s="14">
        <f>IF($B26="","",COUNTIFS('Avaliação'!$Y$5:$Y$404,$A26&amp;"|"&amp;Config!$B$7,'Avaliação'!$N$5:$N$404,"&gt;=2"))</f>
        <v/>
      </c>
      <c r="T26" s="14">
        <f>IF($B26="","",COUNTIFS('Avaliação'!$Y$5:$Y$404,$A26&amp;"|"&amp;Config!$B$7,'Avaliação'!$V$5:$V$404,"SEM LASTRO"))</f>
        <v/>
      </c>
      <c r="U26" s="14">
        <f>IF($B26="","",IF(AND($Q26&gt;0,COUNTIFS('Avaliação'!$Y$5:$Y$404,$A26&amp;"|"&amp;Config!$B$7,'Avaliação'!$P$5:$P$404,"&gt;=3")&gt;0),$Q26,0))</f>
        <v/>
      </c>
      <c r="V26" s="14">
        <f>IF($B26="","",IF($U26&gt;0,"Nota sustentada por omissão",IF($T26&gt;0,"Nota sem lastro",IF($J26="","Sem avaliação no ciclo",IF($S26&gt;0,"Calibrar divergência",IF($L26&lt;-0.3,"Abaixo da expectativa",IF($Q26&gt;0,"Negativa não conversada",IF(OR($R26="nunca",$R26&gt;30),"1:1 atrasada","OK"))))))))</f>
        <v/>
      </c>
      <c r="W26" s="15">
        <f>IF(ISNUMBER($F26),$F26*Config!$B$22,0)+IF(ISNUMBER($G26),$G26*Config!$B$23,0)+IF(ISNUMBER($H26),$H26*Config!$B$24,0)+IF(ISNUMBER($I26),$I26*Config!$B$25,0)</f>
        <v/>
      </c>
      <c r="X26" s="15">
        <f>IF(ISNUMBER($F26),Config!$B$22,0)+IF(ISNUMBER($G26),Config!$B$23,0)+IF(ISNUMBER($H26),Config!$B$24,0)+IF(ISNUMBER($I26),Config!$B$25,0)</f>
        <v/>
      </c>
    </row>
    <row r="27">
      <c r="A27" s="14">
        <f>IF(Pessoas!$B25="","",Pessoas!$A25)</f>
        <v/>
      </c>
      <c r="B27" s="14">
        <f>IF(Pessoas!$B25="","",Pessoas!$B25)</f>
        <v/>
      </c>
      <c r="C27" s="14">
        <f>IF(Pessoas!$B25="","",Pessoas!$D25)</f>
        <v/>
      </c>
      <c r="D27" s="14">
        <f>IF(Pessoas!$B25="","",Pessoas!$L25)</f>
        <v/>
      </c>
      <c r="E27" s="14">
        <f>IF(Pessoas!$B25="","",Pessoas!$M25)</f>
        <v/>
      </c>
      <c r="F27" s="15">
        <f>IF($B27="","",IFERROR(AVERAGEIFS('Avaliação'!$P$5:$P$404,'Avaliação'!$Z$5:$Z$404,$A27&amp;"|"&amp;Config!$B$7&amp;"|"&amp;Config!$A$22),""))</f>
        <v/>
      </c>
      <c r="G27" s="15">
        <f>IF($B27="","",IFERROR(AVERAGEIFS('Avaliação'!$P$5:$P$404,'Avaliação'!$Z$5:$Z$404,$A27&amp;"|"&amp;Config!$B$7&amp;"|"&amp;Config!$A$23),""))</f>
        <v/>
      </c>
      <c r="H27" s="15">
        <f>IF($B27="","",IFERROR(AVERAGEIFS('Avaliação'!$P$5:$P$404,'Avaliação'!$Z$5:$Z$404,$A27&amp;"|"&amp;Config!$B$7&amp;"|"&amp;Config!$A$24),""))</f>
        <v/>
      </c>
      <c r="I27" s="15">
        <f>IF($B27="","",IFERROR(AVERAGEIFS('Avaliação'!$P$5:$P$404,'Avaliação'!$Z$5:$Z$404,$A27&amp;"|"&amp;Config!$B$7&amp;"|"&amp;Config!$A$25),""))</f>
        <v/>
      </c>
      <c r="J27" s="15">
        <f>IF($X27=0,"",$W27/$X27)</f>
        <v/>
      </c>
      <c r="K27" s="15">
        <f>IFERROR(INDEX(Config!$B$30:$B$33,MATCH($C27,Config!$A$30:$A$33,0)),"")</f>
        <v/>
      </c>
      <c r="L27" s="15">
        <f>IF(OR($J27="",$K27=""),"",$J27-$K27)</f>
        <v/>
      </c>
      <c r="M27" s="14">
        <f>IF($J27="","",IF($J27&lt;2.5,"Abaixo",IF($J27&lt;3.5,"Atende",IF($J27&lt;=4.2,"Supera","Referência"))))</f>
        <v/>
      </c>
      <c r="N27" s="14">
        <f>IF($B27="","",COUNTIFS('Ocorrências'!$U$5:$U$604,$A27&amp;"|"&amp;Config!$B$7))</f>
        <v/>
      </c>
      <c r="O27" s="14">
        <f>IF($B27="","",COUNTIFS('Ocorrências'!$U$5:$U$604,$A27&amp;"|"&amp;Config!$B$7,'Ocorrências'!$F$5:$F$604,"Reconhecimento")+COUNTIFS('Ocorrências'!$U$5:$U$604,$A27&amp;"|"&amp;Config!$B$7,'Ocorrências'!$F$5:$F$604,"Positiva"))</f>
        <v/>
      </c>
      <c r="P27" s="14">
        <f>IF($B27="","",COUNTIFS('Ocorrências'!$U$5:$U$604,$A27&amp;"|"&amp;Config!$B$7,'Ocorrências'!$F$5:$F$604,"Ponto de atenção")+COUNTIFS('Ocorrências'!$U$5:$U$604,$A27&amp;"|"&amp;Config!$B$7,'Ocorrências'!$F$5:$F$604,"Incidente"))</f>
        <v/>
      </c>
      <c r="Q27" s="14">
        <f>IF($B27="","",COUNTIFS('Ocorrências'!$U$5:$U$604,$A27&amp;"|"&amp;Config!$B$7,'Ocorrências'!$F$5:$F$604,"Ponto de atenção",'Ocorrências'!$L$5:$L$604,"Não")+COUNTIFS('Ocorrências'!$U$5:$U$604,$A27&amp;"|"&amp;Config!$B$7,'Ocorrências'!$F$5:$F$604,"Incidente",'Ocorrências'!$L$5:$L$604,"Não"))</f>
        <v/>
      </c>
      <c r="R27" s="14">
        <f>IF($B27="","",IF(INDEX(Pessoas!$J$5:$J$64,MATCH($A27,Pessoas!$A$5:$A$64,0))="","nunca",Config!$B$6-INDEX(Pessoas!$J$5:$J$64,MATCH($A27,Pessoas!$A$5:$A$64,0))))</f>
        <v/>
      </c>
      <c r="S27" s="14">
        <f>IF($B27="","",COUNTIFS('Avaliação'!$Y$5:$Y$404,$A27&amp;"|"&amp;Config!$B$7,'Avaliação'!$N$5:$N$404,"&gt;=2"))</f>
        <v/>
      </c>
      <c r="T27" s="14">
        <f>IF($B27="","",COUNTIFS('Avaliação'!$Y$5:$Y$404,$A27&amp;"|"&amp;Config!$B$7,'Avaliação'!$V$5:$V$404,"SEM LASTRO"))</f>
        <v/>
      </c>
      <c r="U27" s="14">
        <f>IF($B27="","",IF(AND($Q27&gt;0,COUNTIFS('Avaliação'!$Y$5:$Y$404,$A27&amp;"|"&amp;Config!$B$7,'Avaliação'!$P$5:$P$404,"&gt;=3")&gt;0),$Q27,0))</f>
        <v/>
      </c>
      <c r="V27" s="14">
        <f>IF($B27="","",IF($U27&gt;0,"Nota sustentada por omissão",IF($T27&gt;0,"Nota sem lastro",IF($J27="","Sem avaliação no ciclo",IF($S27&gt;0,"Calibrar divergência",IF($L27&lt;-0.3,"Abaixo da expectativa",IF($Q27&gt;0,"Negativa não conversada",IF(OR($R27="nunca",$R27&gt;30),"1:1 atrasada","OK"))))))))</f>
        <v/>
      </c>
      <c r="W27" s="15">
        <f>IF(ISNUMBER($F27),$F27*Config!$B$22,0)+IF(ISNUMBER($G27),$G27*Config!$B$23,0)+IF(ISNUMBER($H27),$H27*Config!$B$24,0)+IF(ISNUMBER($I27),$I27*Config!$B$25,0)</f>
        <v/>
      </c>
      <c r="X27" s="15">
        <f>IF(ISNUMBER($F27),Config!$B$22,0)+IF(ISNUMBER($G27),Config!$B$23,0)+IF(ISNUMBER($H27),Config!$B$24,0)+IF(ISNUMBER($I27),Config!$B$25,0)</f>
        <v/>
      </c>
    </row>
    <row r="28">
      <c r="A28" s="14">
        <f>IF(Pessoas!$B26="","",Pessoas!$A26)</f>
        <v/>
      </c>
      <c r="B28" s="14">
        <f>IF(Pessoas!$B26="","",Pessoas!$B26)</f>
        <v/>
      </c>
      <c r="C28" s="14">
        <f>IF(Pessoas!$B26="","",Pessoas!$D26)</f>
        <v/>
      </c>
      <c r="D28" s="14">
        <f>IF(Pessoas!$B26="","",Pessoas!$L26)</f>
        <v/>
      </c>
      <c r="E28" s="14">
        <f>IF(Pessoas!$B26="","",Pessoas!$M26)</f>
        <v/>
      </c>
      <c r="F28" s="15">
        <f>IF($B28="","",IFERROR(AVERAGEIFS('Avaliação'!$P$5:$P$404,'Avaliação'!$Z$5:$Z$404,$A28&amp;"|"&amp;Config!$B$7&amp;"|"&amp;Config!$A$22),""))</f>
        <v/>
      </c>
      <c r="G28" s="15">
        <f>IF($B28="","",IFERROR(AVERAGEIFS('Avaliação'!$P$5:$P$404,'Avaliação'!$Z$5:$Z$404,$A28&amp;"|"&amp;Config!$B$7&amp;"|"&amp;Config!$A$23),""))</f>
        <v/>
      </c>
      <c r="H28" s="15">
        <f>IF($B28="","",IFERROR(AVERAGEIFS('Avaliação'!$P$5:$P$404,'Avaliação'!$Z$5:$Z$404,$A28&amp;"|"&amp;Config!$B$7&amp;"|"&amp;Config!$A$24),""))</f>
        <v/>
      </c>
      <c r="I28" s="15">
        <f>IF($B28="","",IFERROR(AVERAGEIFS('Avaliação'!$P$5:$P$404,'Avaliação'!$Z$5:$Z$404,$A28&amp;"|"&amp;Config!$B$7&amp;"|"&amp;Config!$A$25),""))</f>
        <v/>
      </c>
      <c r="J28" s="15">
        <f>IF($X28=0,"",$W28/$X28)</f>
        <v/>
      </c>
      <c r="K28" s="15">
        <f>IFERROR(INDEX(Config!$B$30:$B$33,MATCH($C28,Config!$A$30:$A$33,0)),"")</f>
        <v/>
      </c>
      <c r="L28" s="15">
        <f>IF(OR($J28="",$K28=""),"",$J28-$K28)</f>
        <v/>
      </c>
      <c r="M28" s="14">
        <f>IF($J28="","",IF($J28&lt;2.5,"Abaixo",IF($J28&lt;3.5,"Atende",IF($J28&lt;=4.2,"Supera","Referência"))))</f>
        <v/>
      </c>
      <c r="N28" s="14">
        <f>IF($B28="","",COUNTIFS('Ocorrências'!$U$5:$U$604,$A28&amp;"|"&amp;Config!$B$7))</f>
        <v/>
      </c>
      <c r="O28" s="14">
        <f>IF($B28="","",COUNTIFS('Ocorrências'!$U$5:$U$604,$A28&amp;"|"&amp;Config!$B$7,'Ocorrências'!$F$5:$F$604,"Reconhecimento")+COUNTIFS('Ocorrências'!$U$5:$U$604,$A28&amp;"|"&amp;Config!$B$7,'Ocorrências'!$F$5:$F$604,"Positiva"))</f>
        <v/>
      </c>
      <c r="P28" s="14">
        <f>IF($B28="","",COUNTIFS('Ocorrências'!$U$5:$U$604,$A28&amp;"|"&amp;Config!$B$7,'Ocorrências'!$F$5:$F$604,"Ponto de atenção")+COUNTIFS('Ocorrências'!$U$5:$U$604,$A28&amp;"|"&amp;Config!$B$7,'Ocorrências'!$F$5:$F$604,"Incidente"))</f>
        <v/>
      </c>
      <c r="Q28" s="14">
        <f>IF($B28="","",COUNTIFS('Ocorrências'!$U$5:$U$604,$A28&amp;"|"&amp;Config!$B$7,'Ocorrências'!$F$5:$F$604,"Ponto de atenção",'Ocorrências'!$L$5:$L$604,"Não")+COUNTIFS('Ocorrências'!$U$5:$U$604,$A28&amp;"|"&amp;Config!$B$7,'Ocorrências'!$F$5:$F$604,"Incidente",'Ocorrências'!$L$5:$L$604,"Não"))</f>
        <v/>
      </c>
      <c r="R28" s="14">
        <f>IF($B28="","",IF(INDEX(Pessoas!$J$5:$J$64,MATCH($A28,Pessoas!$A$5:$A$64,0))="","nunca",Config!$B$6-INDEX(Pessoas!$J$5:$J$64,MATCH($A28,Pessoas!$A$5:$A$64,0))))</f>
        <v/>
      </c>
      <c r="S28" s="14">
        <f>IF($B28="","",COUNTIFS('Avaliação'!$Y$5:$Y$404,$A28&amp;"|"&amp;Config!$B$7,'Avaliação'!$N$5:$N$404,"&gt;=2"))</f>
        <v/>
      </c>
      <c r="T28" s="14">
        <f>IF($B28="","",COUNTIFS('Avaliação'!$Y$5:$Y$404,$A28&amp;"|"&amp;Config!$B$7,'Avaliação'!$V$5:$V$404,"SEM LASTRO"))</f>
        <v/>
      </c>
      <c r="U28" s="14">
        <f>IF($B28="","",IF(AND($Q28&gt;0,COUNTIFS('Avaliação'!$Y$5:$Y$404,$A28&amp;"|"&amp;Config!$B$7,'Avaliação'!$P$5:$P$404,"&gt;=3")&gt;0),$Q28,0))</f>
        <v/>
      </c>
      <c r="V28" s="14">
        <f>IF($B28="","",IF($U28&gt;0,"Nota sustentada por omissão",IF($T28&gt;0,"Nota sem lastro",IF($J28="","Sem avaliação no ciclo",IF($S28&gt;0,"Calibrar divergência",IF($L28&lt;-0.3,"Abaixo da expectativa",IF($Q28&gt;0,"Negativa não conversada",IF(OR($R28="nunca",$R28&gt;30),"1:1 atrasada","OK"))))))))</f>
        <v/>
      </c>
      <c r="W28" s="15">
        <f>IF(ISNUMBER($F28),$F28*Config!$B$22,0)+IF(ISNUMBER($G28),$G28*Config!$B$23,0)+IF(ISNUMBER($H28),$H28*Config!$B$24,0)+IF(ISNUMBER($I28),$I28*Config!$B$25,0)</f>
        <v/>
      </c>
      <c r="X28" s="15">
        <f>IF(ISNUMBER($F28),Config!$B$22,0)+IF(ISNUMBER($G28),Config!$B$23,0)+IF(ISNUMBER($H28),Config!$B$24,0)+IF(ISNUMBER($I28),Config!$B$25,0)</f>
        <v/>
      </c>
    </row>
    <row r="29">
      <c r="A29" s="14">
        <f>IF(Pessoas!$B27="","",Pessoas!$A27)</f>
        <v/>
      </c>
      <c r="B29" s="14">
        <f>IF(Pessoas!$B27="","",Pessoas!$B27)</f>
        <v/>
      </c>
      <c r="C29" s="14">
        <f>IF(Pessoas!$B27="","",Pessoas!$D27)</f>
        <v/>
      </c>
      <c r="D29" s="14">
        <f>IF(Pessoas!$B27="","",Pessoas!$L27)</f>
        <v/>
      </c>
      <c r="E29" s="14">
        <f>IF(Pessoas!$B27="","",Pessoas!$M27)</f>
        <v/>
      </c>
      <c r="F29" s="15">
        <f>IF($B29="","",IFERROR(AVERAGEIFS('Avaliação'!$P$5:$P$404,'Avaliação'!$Z$5:$Z$404,$A29&amp;"|"&amp;Config!$B$7&amp;"|"&amp;Config!$A$22),""))</f>
        <v/>
      </c>
      <c r="G29" s="15">
        <f>IF($B29="","",IFERROR(AVERAGEIFS('Avaliação'!$P$5:$P$404,'Avaliação'!$Z$5:$Z$404,$A29&amp;"|"&amp;Config!$B$7&amp;"|"&amp;Config!$A$23),""))</f>
        <v/>
      </c>
      <c r="H29" s="15">
        <f>IF($B29="","",IFERROR(AVERAGEIFS('Avaliação'!$P$5:$P$404,'Avaliação'!$Z$5:$Z$404,$A29&amp;"|"&amp;Config!$B$7&amp;"|"&amp;Config!$A$24),""))</f>
        <v/>
      </c>
      <c r="I29" s="15">
        <f>IF($B29="","",IFERROR(AVERAGEIFS('Avaliação'!$P$5:$P$404,'Avaliação'!$Z$5:$Z$404,$A29&amp;"|"&amp;Config!$B$7&amp;"|"&amp;Config!$A$25),""))</f>
        <v/>
      </c>
      <c r="J29" s="15">
        <f>IF($X29=0,"",$W29/$X29)</f>
        <v/>
      </c>
      <c r="K29" s="15">
        <f>IFERROR(INDEX(Config!$B$30:$B$33,MATCH($C29,Config!$A$30:$A$33,0)),"")</f>
        <v/>
      </c>
      <c r="L29" s="15">
        <f>IF(OR($J29="",$K29=""),"",$J29-$K29)</f>
        <v/>
      </c>
      <c r="M29" s="14">
        <f>IF($J29="","",IF($J29&lt;2.5,"Abaixo",IF($J29&lt;3.5,"Atende",IF($J29&lt;=4.2,"Supera","Referência"))))</f>
        <v/>
      </c>
      <c r="N29" s="14">
        <f>IF($B29="","",COUNTIFS('Ocorrências'!$U$5:$U$604,$A29&amp;"|"&amp;Config!$B$7))</f>
        <v/>
      </c>
      <c r="O29" s="14">
        <f>IF($B29="","",COUNTIFS('Ocorrências'!$U$5:$U$604,$A29&amp;"|"&amp;Config!$B$7,'Ocorrências'!$F$5:$F$604,"Reconhecimento")+COUNTIFS('Ocorrências'!$U$5:$U$604,$A29&amp;"|"&amp;Config!$B$7,'Ocorrências'!$F$5:$F$604,"Positiva"))</f>
        <v/>
      </c>
      <c r="P29" s="14">
        <f>IF($B29="","",COUNTIFS('Ocorrências'!$U$5:$U$604,$A29&amp;"|"&amp;Config!$B$7,'Ocorrências'!$F$5:$F$604,"Ponto de atenção")+COUNTIFS('Ocorrências'!$U$5:$U$604,$A29&amp;"|"&amp;Config!$B$7,'Ocorrências'!$F$5:$F$604,"Incidente"))</f>
        <v/>
      </c>
      <c r="Q29" s="14">
        <f>IF($B29="","",COUNTIFS('Ocorrências'!$U$5:$U$604,$A29&amp;"|"&amp;Config!$B$7,'Ocorrências'!$F$5:$F$604,"Ponto de atenção",'Ocorrências'!$L$5:$L$604,"Não")+COUNTIFS('Ocorrências'!$U$5:$U$604,$A29&amp;"|"&amp;Config!$B$7,'Ocorrências'!$F$5:$F$604,"Incidente",'Ocorrências'!$L$5:$L$604,"Não"))</f>
        <v/>
      </c>
      <c r="R29" s="14">
        <f>IF($B29="","",IF(INDEX(Pessoas!$J$5:$J$64,MATCH($A29,Pessoas!$A$5:$A$64,0))="","nunca",Config!$B$6-INDEX(Pessoas!$J$5:$J$64,MATCH($A29,Pessoas!$A$5:$A$64,0))))</f>
        <v/>
      </c>
      <c r="S29" s="14">
        <f>IF($B29="","",COUNTIFS('Avaliação'!$Y$5:$Y$404,$A29&amp;"|"&amp;Config!$B$7,'Avaliação'!$N$5:$N$404,"&gt;=2"))</f>
        <v/>
      </c>
      <c r="T29" s="14">
        <f>IF($B29="","",COUNTIFS('Avaliação'!$Y$5:$Y$404,$A29&amp;"|"&amp;Config!$B$7,'Avaliação'!$V$5:$V$404,"SEM LASTRO"))</f>
        <v/>
      </c>
      <c r="U29" s="14">
        <f>IF($B29="","",IF(AND($Q29&gt;0,COUNTIFS('Avaliação'!$Y$5:$Y$404,$A29&amp;"|"&amp;Config!$B$7,'Avaliação'!$P$5:$P$404,"&gt;=3")&gt;0),$Q29,0))</f>
        <v/>
      </c>
      <c r="V29" s="14">
        <f>IF($B29="","",IF($U29&gt;0,"Nota sustentada por omissão",IF($T29&gt;0,"Nota sem lastro",IF($J29="","Sem avaliação no ciclo",IF($S29&gt;0,"Calibrar divergência",IF($L29&lt;-0.3,"Abaixo da expectativa",IF($Q29&gt;0,"Negativa não conversada",IF(OR($R29="nunca",$R29&gt;30),"1:1 atrasada","OK"))))))))</f>
        <v/>
      </c>
      <c r="W29" s="15">
        <f>IF(ISNUMBER($F29),$F29*Config!$B$22,0)+IF(ISNUMBER($G29),$G29*Config!$B$23,0)+IF(ISNUMBER($H29),$H29*Config!$B$24,0)+IF(ISNUMBER($I29),$I29*Config!$B$25,0)</f>
        <v/>
      </c>
      <c r="X29" s="15">
        <f>IF(ISNUMBER($F29),Config!$B$22,0)+IF(ISNUMBER($G29),Config!$B$23,0)+IF(ISNUMBER($H29),Config!$B$24,0)+IF(ISNUMBER($I29),Config!$B$25,0)</f>
        <v/>
      </c>
    </row>
    <row r="30">
      <c r="A30" s="14">
        <f>IF(Pessoas!$B28="","",Pessoas!$A28)</f>
        <v/>
      </c>
      <c r="B30" s="14">
        <f>IF(Pessoas!$B28="","",Pessoas!$B28)</f>
        <v/>
      </c>
      <c r="C30" s="14">
        <f>IF(Pessoas!$B28="","",Pessoas!$D28)</f>
        <v/>
      </c>
      <c r="D30" s="14">
        <f>IF(Pessoas!$B28="","",Pessoas!$L28)</f>
        <v/>
      </c>
      <c r="E30" s="14">
        <f>IF(Pessoas!$B28="","",Pessoas!$M28)</f>
        <v/>
      </c>
      <c r="F30" s="15">
        <f>IF($B30="","",IFERROR(AVERAGEIFS('Avaliação'!$P$5:$P$404,'Avaliação'!$Z$5:$Z$404,$A30&amp;"|"&amp;Config!$B$7&amp;"|"&amp;Config!$A$22),""))</f>
        <v/>
      </c>
      <c r="G30" s="15">
        <f>IF($B30="","",IFERROR(AVERAGEIFS('Avaliação'!$P$5:$P$404,'Avaliação'!$Z$5:$Z$404,$A30&amp;"|"&amp;Config!$B$7&amp;"|"&amp;Config!$A$23),""))</f>
        <v/>
      </c>
      <c r="H30" s="15">
        <f>IF($B30="","",IFERROR(AVERAGEIFS('Avaliação'!$P$5:$P$404,'Avaliação'!$Z$5:$Z$404,$A30&amp;"|"&amp;Config!$B$7&amp;"|"&amp;Config!$A$24),""))</f>
        <v/>
      </c>
      <c r="I30" s="15">
        <f>IF($B30="","",IFERROR(AVERAGEIFS('Avaliação'!$P$5:$P$404,'Avaliação'!$Z$5:$Z$404,$A30&amp;"|"&amp;Config!$B$7&amp;"|"&amp;Config!$A$25),""))</f>
        <v/>
      </c>
      <c r="J30" s="15">
        <f>IF($X30=0,"",$W30/$X30)</f>
        <v/>
      </c>
      <c r="K30" s="15">
        <f>IFERROR(INDEX(Config!$B$30:$B$33,MATCH($C30,Config!$A$30:$A$33,0)),"")</f>
        <v/>
      </c>
      <c r="L30" s="15">
        <f>IF(OR($J30="",$K30=""),"",$J30-$K30)</f>
        <v/>
      </c>
      <c r="M30" s="14">
        <f>IF($J30="","",IF($J30&lt;2.5,"Abaixo",IF($J30&lt;3.5,"Atende",IF($J30&lt;=4.2,"Supera","Referência"))))</f>
        <v/>
      </c>
      <c r="N30" s="14">
        <f>IF($B30="","",COUNTIFS('Ocorrências'!$U$5:$U$604,$A30&amp;"|"&amp;Config!$B$7))</f>
        <v/>
      </c>
      <c r="O30" s="14">
        <f>IF($B30="","",COUNTIFS('Ocorrências'!$U$5:$U$604,$A30&amp;"|"&amp;Config!$B$7,'Ocorrências'!$F$5:$F$604,"Reconhecimento")+COUNTIFS('Ocorrências'!$U$5:$U$604,$A30&amp;"|"&amp;Config!$B$7,'Ocorrências'!$F$5:$F$604,"Positiva"))</f>
        <v/>
      </c>
      <c r="P30" s="14">
        <f>IF($B30="","",COUNTIFS('Ocorrências'!$U$5:$U$604,$A30&amp;"|"&amp;Config!$B$7,'Ocorrências'!$F$5:$F$604,"Ponto de atenção")+COUNTIFS('Ocorrências'!$U$5:$U$604,$A30&amp;"|"&amp;Config!$B$7,'Ocorrências'!$F$5:$F$604,"Incidente"))</f>
        <v/>
      </c>
      <c r="Q30" s="14">
        <f>IF($B30="","",COUNTIFS('Ocorrências'!$U$5:$U$604,$A30&amp;"|"&amp;Config!$B$7,'Ocorrências'!$F$5:$F$604,"Ponto de atenção",'Ocorrências'!$L$5:$L$604,"Não")+COUNTIFS('Ocorrências'!$U$5:$U$604,$A30&amp;"|"&amp;Config!$B$7,'Ocorrências'!$F$5:$F$604,"Incidente",'Ocorrências'!$L$5:$L$604,"Não"))</f>
        <v/>
      </c>
      <c r="R30" s="14">
        <f>IF($B30="","",IF(INDEX(Pessoas!$J$5:$J$64,MATCH($A30,Pessoas!$A$5:$A$64,0))="","nunca",Config!$B$6-INDEX(Pessoas!$J$5:$J$64,MATCH($A30,Pessoas!$A$5:$A$64,0))))</f>
        <v/>
      </c>
      <c r="S30" s="14">
        <f>IF($B30="","",COUNTIFS('Avaliação'!$Y$5:$Y$404,$A30&amp;"|"&amp;Config!$B$7,'Avaliação'!$N$5:$N$404,"&gt;=2"))</f>
        <v/>
      </c>
      <c r="T30" s="14">
        <f>IF($B30="","",COUNTIFS('Avaliação'!$Y$5:$Y$404,$A30&amp;"|"&amp;Config!$B$7,'Avaliação'!$V$5:$V$404,"SEM LASTRO"))</f>
        <v/>
      </c>
      <c r="U30" s="14">
        <f>IF($B30="","",IF(AND($Q30&gt;0,COUNTIFS('Avaliação'!$Y$5:$Y$404,$A30&amp;"|"&amp;Config!$B$7,'Avaliação'!$P$5:$P$404,"&gt;=3")&gt;0),$Q30,0))</f>
        <v/>
      </c>
      <c r="V30" s="14">
        <f>IF($B30="","",IF($U30&gt;0,"Nota sustentada por omissão",IF($T30&gt;0,"Nota sem lastro",IF($J30="","Sem avaliação no ciclo",IF($S30&gt;0,"Calibrar divergência",IF($L30&lt;-0.3,"Abaixo da expectativa",IF($Q30&gt;0,"Negativa não conversada",IF(OR($R30="nunca",$R30&gt;30),"1:1 atrasada","OK"))))))))</f>
        <v/>
      </c>
      <c r="W30" s="15">
        <f>IF(ISNUMBER($F30),$F30*Config!$B$22,0)+IF(ISNUMBER($G30),$G30*Config!$B$23,0)+IF(ISNUMBER($H30),$H30*Config!$B$24,0)+IF(ISNUMBER($I30),$I30*Config!$B$25,0)</f>
        <v/>
      </c>
      <c r="X30" s="15">
        <f>IF(ISNUMBER($F30),Config!$B$22,0)+IF(ISNUMBER($G30),Config!$B$23,0)+IF(ISNUMBER($H30),Config!$B$24,0)+IF(ISNUMBER($I30),Config!$B$25,0)</f>
        <v/>
      </c>
    </row>
    <row r="31">
      <c r="A31" s="14">
        <f>IF(Pessoas!$B29="","",Pessoas!$A29)</f>
        <v/>
      </c>
      <c r="B31" s="14">
        <f>IF(Pessoas!$B29="","",Pessoas!$B29)</f>
        <v/>
      </c>
      <c r="C31" s="14">
        <f>IF(Pessoas!$B29="","",Pessoas!$D29)</f>
        <v/>
      </c>
      <c r="D31" s="14">
        <f>IF(Pessoas!$B29="","",Pessoas!$L29)</f>
        <v/>
      </c>
      <c r="E31" s="14">
        <f>IF(Pessoas!$B29="","",Pessoas!$M29)</f>
        <v/>
      </c>
      <c r="F31" s="15">
        <f>IF($B31="","",IFERROR(AVERAGEIFS('Avaliação'!$P$5:$P$404,'Avaliação'!$Z$5:$Z$404,$A31&amp;"|"&amp;Config!$B$7&amp;"|"&amp;Config!$A$22),""))</f>
        <v/>
      </c>
      <c r="G31" s="15">
        <f>IF($B31="","",IFERROR(AVERAGEIFS('Avaliação'!$P$5:$P$404,'Avaliação'!$Z$5:$Z$404,$A31&amp;"|"&amp;Config!$B$7&amp;"|"&amp;Config!$A$23),""))</f>
        <v/>
      </c>
      <c r="H31" s="15">
        <f>IF($B31="","",IFERROR(AVERAGEIFS('Avaliação'!$P$5:$P$404,'Avaliação'!$Z$5:$Z$404,$A31&amp;"|"&amp;Config!$B$7&amp;"|"&amp;Config!$A$24),""))</f>
        <v/>
      </c>
      <c r="I31" s="15">
        <f>IF($B31="","",IFERROR(AVERAGEIFS('Avaliação'!$P$5:$P$404,'Avaliação'!$Z$5:$Z$404,$A31&amp;"|"&amp;Config!$B$7&amp;"|"&amp;Config!$A$25),""))</f>
        <v/>
      </c>
      <c r="J31" s="15">
        <f>IF($X31=0,"",$W31/$X31)</f>
        <v/>
      </c>
      <c r="K31" s="15">
        <f>IFERROR(INDEX(Config!$B$30:$B$33,MATCH($C31,Config!$A$30:$A$33,0)),"")</f>
        <v/>
      </c>
      <c r="L31" s="15">
        <f>IF(OR($J31="",$K31=""),"",$J31-$K31)</f>
        <v/>
      </c>
      <c r="M31" s="14">
        <f>IF($J31="","",IF($J31&lt;2.5,"Abaixo",IF($J31&lt;3.5,"Atende",IF($J31&lt;=4.2,"Supera","Referência"))))</f>
        <v/>
      </c>
      <c r="N31" s="14">
        <f>IF($B31="","",COUNTIFS('Ocorrências'!$U$5:$U$604,$A31&amp;"|"&amp;Config!$B$7))</f>
        <v/>
      </c>
      <c r="O31" s="14">
        <f>IF($B31="","",COUNTIFS('Ocorrências'!$U$5:$U$604,$A31&amp;"|"&amp;Config!$B$7,'Ocorrências'!$F$5:$F$604,"Reconhecimento")+COUNTIFS('Ocorrências'!$U$5:$U$604,$A31&amp;"|"&amp;Config!$B$7,'Ocorrências'!$F$5:$F$604,"Positiva"))</f>
        <v/>
      </c>
      <c r="P31" s="14">
        <f>IF($B31="","",COUNTIFS('Ocorrências'!$U$5:$U$604,$A31&amp;"|"&amp;Config!$B$7,'Ocorrências'!$F$5:$F$604,"Ponto de atenção")+COUNTIFS('Ocorrências'!$U$5:$U$604,$A31&amp;"|"&amp;Config!$B$7,'Ocorrências'!$F$5:$F$604,"Incidente"))</f>
        <v/>
      </c>
      <c r="Q31" s="14">
        <f>IF($B31="","",COUNTIFS('Ocorrências'!$U$5:$U$604,$A31&amp;"|"&amp;Config!$B$7,'Ocorrências'!$F$5:$F$604,"Ponto de atenção",'Ocorrências'!$L$5:$L$604,"Não")+COUNTIFS('Ocorrências'!$U$5:$U$604,$A31&amp;"|"&amp;Config!$B$7,'Ocorrências'!$F$5:$F$604,"Incidente",'Ocorrências'!$L$5:$L$604,"Não"))</f>
        <v/>
      </c>
      <c r="R31" s="14">
        <f>IF($B31="","",IF(INDEX(Pessoas!$J$5:$J$64,MATCH($A31,Pessoas!$A$5:$A$64,0))="","nunca",Config!$B$6-INDEX(Pessoas!$J$5:$J$64,MATCH($A31,Pessoas!$A$5:$A$64,0))))</f>
        <v/>
      </c>
      <c r="S31" s="14">
        <f>IF($B31="","",COUNTIFS('Avaliação'!$Y$5:$Y$404,$A31&amp;"|"&amp;Config!$B$7,'Avaliação'!$N$5:$N$404,"&gt;=2"))</f>
        <v/>
      </c>
      <c r="T31" s="14">
        <f>IF($B31="","",COUNTIFS('Avaliação'!$Y$5:$Y$404,$A31&amp;"|"&amp;Config!$B$7,'Avaliação'!$V$5:$V$404,"SEM LASTRO"))</f>
        <v/>
      </c>
      <c r="U31" s="14">
        <f>IF($B31="","",IF(AND($Q31&gt;0,COUNTIFS('Avaliação'!$Y$5:$Y$404,$A31&amp;"|"&amp;Config!$B$7,'Avaliação'!$P$5:$P$404,"&gt;=3")&gt;0),$Q31,0))</f>
        <v/>
      </c>
      <c r="V31" s="14">
        <f>IF($B31="","",IF($U31&gt;0,"Nota sustentada por omissão",IF($T31&gt;0,"Nota sem lastro",IF($J31="","Sem avaliação no ciclo",IF($S31&gt;0,"Calibrar divergência",IF($L31&lt;-0.3,"Abaixo da expectativa",IF($Q31&gt;0,"Negativa não conversada",IF(OR($R31="nunca",$R31&gt;30),"1:1 atrasada","OK"))))))))</f>
        <v/>
      </c>
      <c r="W31" s="15">
        <f>IF(ISNUMBER($F31),$F31*Config!$B$22,0)+IF(ISNUMBER($G31),$G31*Config!$B$23,0)+IF(ISNUMBER($H31),$H31*Config!$B$24,0)+IF(ISNUMBER($I31),$I31*Config!$B$25,0)</f>
        <v/>
      </c>
      <c r="X31" s="15">
        <f>IF(ISNUMBER($F31),Config!$B$22,0)+IF(ISNUMBER($G31),Config!$B$23,0)+IF(ISNUMBER($H31),Config!$B$24,0)+IF(ISNUMBER($I31),Config!$B$25,0)</f>
        <v/>
      </c>
    </row>
    <row r="32">
      <c r="A32" s="14">
        <f>IF(Pessoas!$B30="","",Pessoas!$A30)</f>
        <v/>
      </c>
      <c r="B32" s="14">
        <f>IF(Pessoas!$B30="","",Pessoas!$B30)</f>
        <v/>
      </c>
      <c r="C32" s="14">
        <f>IF(Pessoas!$B30="","",Pessoas!$D30)</f>
        <v/>
      </c>
      <c r="D32" s="14">
        <f>IF(Pessoas!$B30="","",Pessoas!$L30)</f>
        <v/>
      </c>
      <c r="E32" s="14">
        <f>IF(Pessoas!$B30="","",Pessoas!$M30)</f>
        <v/>
      </c>
      <c r="F32" s="15">
        <f>IF($B32="","",IFERROR(AVERAGEIFS('Avaliação'!$P$5:$P$404,'Avaliação'!$Z$5:$Z$404,$A32&amp;"|"&amp;Config!$B$7&amp;"|"&amp;Config!$A$22),""))</f>
        <v/>
      </c>
      <c r="G32" s="15">
        <f>IF($B32="","",IFERROR(AVERAGEIFS('Avaliação'!$P$5:$P$404,'Avaliação'!$Z$5:$Z$404,$A32&amp;"|"&amp;Config!$B$7&amp;"|"&amp;Config!$A$23),""))</f>
        <v/>
      </c>
      <c r="H32" s="15">
        <f>IF($B32="","",IFERROR(AVERAGEIFS('Avaliação'!$P$5:$P$404,'Avaliação'!$Z$5:$Z$404,$A32&amp;"|"&amp;Config!$B$7&amp;"|"&amp;Config!$A$24),""))</f>
        <v/>
      </c>
      <c r="I32" s="15">
        <f>IF($B32="","",IFERROR(AVERAGEIFS('Avaliação'!$P$5:$P$404,'Avaliação'!$Z$5:$Z$404,$A32&amp;"|"&amp;Config!$B$7&amp;"|"&amp;Config!$A$25),""))</f>
        <v/>
      </c>
      <c r="J32" s="15">
        <f>IF($X32=0,"",$W32/$X32)</f>
        <v/>
      </c>
      <c r="K32" s="15">
        <f>IFERROR(INDEX(Config!$B$30:$B$33,MATCH($C32,Config!$A$30:$A$33,0)),"")</f>
        <v/>
      </c>
      <c r="L32" s="15">
        <f>IF(OR($J32="",$K32=""),"",$J32-$K32)</f>
        <v/>
      </c>
      <c r="M32" s="14">
        <f>IF($J32="","",IF($J32&lt;2.5,"Abaixo",IF($J32&lt;3.5,"Atende",IF($J32&lt;=4.2,"Supera","Referência"))))</f>
        <v/>
      </c>
      <c r="N32" s="14">
        <f>IF($B32="","",COUNTIFS('Ocorrências'!$U$5:$U$604,$A32&amp;"|"&amp;Config!$B$7))</f>
        <v/>
      </c>
      <c r="O32" s="14">
        <f>IF($B32="","",COUNTIFS('Ocorrências'!$U$5:$U$604,$A32&amp;"|"&amp;Config!$B$7,'Ocorrências'!$F$5:$F$604,"Reconhecimento")+COUNTIFS('Ocorrências'!$U$5:$U$604,$A32&amp;"|"&amp;Config!$B$7,'Ocorrências'!$F$5:$F$604,"Positiva"))</f>
        <v/>
      </c>
      <c r="P32" s="14">
        <f>IF($B32="","",COUNTIFS('Ocorrências'!$U$5:$U$604,$A32&amp;"|"&amp;Config!$B$7,'Ocorrências'!$F$5:$F$604,"Ponto de atenção")+COUNTIFS('Ocorrências'!$U$5:$U$604,$A32&amp;"|"&amp;Config!$B$7,'Ocorrências'!$F$5:$F$604,"Incidente"))</f>
        <v/>
      </c>
      <c r="Q32" s="14">
        <f>IF($B32="","",COUNTIFS('Ocorrências'!$U$5:$U$604,$A32&amp;"|"&amp;Config!$B$7,'Ocorrências'!$F$5:$F$604,"Ponto de atenção",'Ocorrências'!$L$5:$L$604,"Não")+COUNTIFS('Ocorrências'!$U$5:$U$604,$A32&amp;"|"&amp;Config!$B$7,'Ocorrências'!$F$5:$F$604,"Incidente",'Ocorrências'!$L$5:$L$604,"Não"))</f>
        <v/>
      </c>
      <c r="R32" s="14">
        <f>IF($B32="","",IF(INDEX(Pessoas!$J$5:$J$64,MATCH($A32,Pessoas!$A$5:$A$64,0))="","nunca",Config!$B$6-INDEX(Pessoas!$J$5:$J$64,MATCH($A32,Pessoas!$A$5:$A$64,0))))</f>
        <v/>
      </c>
      <c r="S32" s="14">
        <f>IF($B32="","",COUNTIFS('Avaliação'!$Y$5:$Y$404,$A32&amp;"|"&amp;Config!$B$7,'Avaliação'!$N$5:$N$404,"&gt;=2"))</f>
        <v/>
      </c>
      <c r="T32" s="14">
        <f>IF($B32="","",COUNTIFS('Avaliação'!$Y$5:$Y$404,$A32&amp;"|"&amp;Config!$B$7,'Avaliação'!$V$5:$V$404,"SEM LASTRO"))</f>
        <v/>
      </c>
      <c r="U32" s="14">
        <f>IF($B32="","",IF(AND($Q32&gt;0,COUNTIFS('Avaliação'!$Y$5:$Y$404,$A32&amp;"|"&amp;Config!$B$7,'Avaliação'!$P$5:$P$404,"&gt;=3")&gt;0),$Q32,0))</f>
        <v/>
      </c>
      <c r="V32" s="14">
        <f>IF($B32="","",IF($U32&gt;0,"Nota sustentada por omissão",IF($T32&gt;0,"Nota sem lastro",IF($J32="","Sem avaliação no ciclo",IF($S32&gt;0,"Calibrar divergência",IF($L32&lt;-0.3,"Abaixo da expectativa",IF($Q32&gt;0,"Negativa não conversada",IF(OR($R32="nunca",$R32&gt;30),"1:1 atrasada","OK"))))))))</f>
        <v/>
      </c>
      <c r="W32" s="15">
        <f>IF(ISNUMBER($F32),$F32*Config!$B$22,0)+IF(ISNUMBER($G32),$G32*Config!$B$23,0)+IF(ISNUMBER($H32),$H32*Config!$B$24,0)+IF(ISNUMBER($I32),$I32*Config!$B$25,0)</f>
        <v/>
      </c>
      <c r="X32" s="15">
        <f>IF(ISNUMBER($F32),Config!$B$22,0)+IF(ISNUMBER($G32),Config!$B$23,0)+IF(ISNUMBER($H32),Config!$B$24,0)+IF(ISNUMBER($I32),Config!$B$25,0)</f>
        <v/>
      </c>
    </row>
    <row r="33">
      <c r="A33" s="14">
        <f>IF(Pessoas!$B31="","",Pessoas!$A31)</f>
        <v/>
      </c>
      <c r="B33" s="14">
        <f>IF(Pessoas!$B31="","",Pessoas!$B31)</f>
        <v/>
      </c>
      <c r="C33" s="14">
        <f>IF(Pessoas!$B31="","",Pessoas!$D31)</f>
        <v/>
      </c>
      <c r="D33" s="14">
        <f>IF(Pessoas!$B31="","",Pessoas!$L31)</f>
        <v/>
      </c>
      <c r="E33" s="14">
        <f>IF(Pessoas!$B31="","",Pessoas!$M31)</f>
        <v/>
      </c>
      <c r="F33" s="15">
        <f>IF($B33="","",IFERROR(AVERAGEIFS('Avaliação'!$P$5:$P$404,'Avaliação'!$Z$5:$Z$404,$A33&amp;"|"&amp;Config!$B$7&amp;"|"&amp;Config!$A$22),""))</f>
        <v/>
      </c>
      <c r="G33" s="15">
        <f>IF($B33="","",IFERROR(AVERAGEIFS('Avaliação'!$P$5:$P$404,'Avaliação'!$Z$5:$Z$404,$A33&amp;"|"&amp;Config!$B$7&amp;"|"&amp;Config!$A$23),""))</f>
        <v/>
      </c>
      <c r="H33" s="15">
        <f>IF($B33="","",IFERROR(AVERAGEIFS('Avaliação'!$P$5:$P$404,'Avaliação'!$Z$5:$Z$404,$A33&amp;"|"&amp;Config!$B$7&amp;"|"&amp;Config!$A$24),""))</f>
        <v/>
      </c>
      <c r="I33" s="15">
        <f>IF($B33="","",IFERROR(AVERAGEIFS('Avaliação'!$P$5:$P$404,'Avaliação'!$Z$5:$Z$404,$A33&amp;"|"&amp;Config!$B$7&amp;"|"&amp;Config!$A$25),""))</f>
        <v/>
      </c>
      <c r="J33" s="15">
        <f>IF($X33=0,"",$W33/$X33)</f>
        <v/>
      </c>
      <c r="K33" s="15">
        <f>IFERROR(INDEX(Config!$B$30:$B$33,MATCH($C33,Config!$A$30:$A$33,0)),"")</f>
        <v/>
      </c>
      <c r="L33" s="15">
        <f>IF(OR($J33="",$K33=""),"",$J33-$K33)</f>
        <v/>
      </c>
      <c r="M33" s="14">
        <f>IF($J33="","",IF($J33&lt;2.5,"Abaixo",IF($J33&lt;3.5,"Atende",IF($J33&lt;=4.2,"Supera","Referência"))))</f>
        <v/>
      </c>
      <c r="N33" s="14">
        <f>IF($B33="","",COUNTIFS('Ocorrências'!$U$5:$U$604,$A33&amp;"|"&amp;Config!$B$7))</f>
        <v/>
      </c>
      <c r="O33" s="14">
        <f>IF($B33="","",COUNTIFS('Ocorrências'!$U$5:$U$604,$A33&amp;"|"&amp;Config!$B$7,'Ocorrências'!$F$5:$F$604,"Reconhecimento")+COUNTIFS('Ocorrências'!$U$5:$U$604,$A33&amp;"|"&amp;Config!$B$7,'Ocorrências'!$F$5:$F$604,"Positiva"))</f>
        <v/>
      </c>
      <c r="P33" s="14">
        <f>IF($B33="","",COUNTIFS('Ocorrências'!$U$5:$U$604,$A33&amp;"|"&amp;Config!$B$7,'Ocorrências'!$F$5:$F$604,"Ponto de atenção")+COUNTIFS('Ocorrências'!$U$5:$U$604,$A33&amp;"|"&amp;Config!$B$7,'Ocorrências'!$F$5:$F$604,"Incidente"))</f>
        <v/>
      </c>
      <c r="Q33" s="14">
        <f>IF($B33="","",COUNTIFS('Ocorrências'!$U$5:$U$604,$A33&amp;"|"&amp;Config!$B$7,'Ocorrências'!$F$5:$F$604,"Ponto de atenção",'Ocorrências'!$L$5:$L$604,"Não")+COUNTIFS('Ocorrências'!$U$5:$U$604,$A33&amp;"|"&amp;Config!$B$7,'Ocorrências'!$F$5:$F$604,"Incidente",'Ocorrências'!$L$5:$L$604,"Não"))</f>
        <v/>
      </c>
      <c r="R33" s="14">
        <f>IF($B33="","",IF(INDEX(Pessoas!$J$5:$J$64,MATCH($A33,Pessoas!$A$5:$A$64,0))="","nunca",Config!$B$6-INDEX(Pessoas!$J$5:$J$64,MATCH($A33,Pessoas!$A$5:$A$64,0))))</f>
        <v/>
      </c>
      <c r="S33" s="14">
        <f>IF($B33="","",COUNTIFS('Avaliação'!$Y$5:$Y$404,$A33&amp;"|"&amp;Config!$B$7,'Avaliação'!$N$5:$N$404,"&gt;=2"))</f>
        <v/>
      </c>
      <c r="T33" s="14">
        <f>IF($B33="","",COUNTIFS('Avaliação'!$Y$5:$Y$404,$A33&amp;"|"&amp;Config!$B$7,'Avaliação'!$V$5:$V$404,"SEM LASTRO"))</f>
        <v/>
      </c>
      <c r="U33" s="14">
        <f>IF($B33="","",IF(AND($Q33&gt;0,COUNTIFS('Avaliação'!$Y$5:$Y$404,$A33&amp;"|"&amp;Config!$B$7,'Avaliação'!$P$5:$P$404,"&gt;=3")&gt;0),$Q33,0))</f>
        <v/>
      </c>
      <c r="V33" s="14">
        <f>IF($B33="","",IF($U33&gt;0,"Nota sustentada por omissão",IF($T33&gt;0,"Nota sem lastro",IF($J33="","Sem avaliação no ciclo",IF($S33&gt;0,"Calibrar divergência",IF($L33&lt;-0.3,"Abaixo da expectativa",IF($Q33&gt;0,"Negativa não conversada",IF(OR($R33="nunca",$R33&gt;30),"1:1 atrasada","OK"))))))))</f>
        <v/>
      </c>
      <c r="W33" s="15">
        <f>IF(ISNUMBER($F33),$F33*Config!$B$22,0)+IF(ISNUMBER($G33),$G33*Config!$B$23,0)+IF(ISNUMBER($H33),$H33*Config!$B$24,0)+IF(ISNUMBER($I33),$I33*Config!$B$25,0)</f>
        <v/>
      </c>
      <c r="X33" s="15">
        <f>IF(ISNUMBER($F33),Config!$B$22,0)+IF(ISNUMBER($G33),Config!$B$23,0)+IF(ISNUMBER($H33),Config!$B$24,0)+IF(ISNUMBER($I33),Config!$B$25,0)</f>
        <v/>
      </c>
    </row>
    <row r="34">
      <c r="A34" s="14">
        <f>IF(Pessoas!$B32="","",Pessoas!$A32)</f>
        <v/>
      </c>
      <c r="B34" s="14">
        <f>IF(Pessoas!$B32="","",Pessoas!$B32)</f>
        <v/>
      </c>
      <c r="C34" s="14">
        <f>IF(Pessoas!$B32="","",Pessoas!$D32)</f>
        <v/>
      </c>
      <c r="D34" s="14">
        <f>IF(Pessoas!$B32="","",Pessoas!$L32)</f>
        <v/>
      </c>
      <c r="E34" s="14">
        <f>IF(Pessoas!$B32="","",Pessoas!$M32)</f>
        <v/>
      </c>
      <c r="F34" s="15">
        <f>IF($B34="","",IFERROR(AVERAGEIFS('Avaliação'!$P$5:$P$404,'Avaliação'!$Z$5:$Z$404,$A34&amp;"|"&amp;Config!$B$7&amp;"|"&amp;Config!$A$22),""))</f>
        <v/>
      </c>
      <c r="G34" s="15">
        <f>IF($B34="","",IFERROR(AVERAGEIFS('Avaliação'!$P$5:$P$404,'Avaliação'!$Z$5:$Z$404,$A34&amp;"|"&amp;Config!$B$7&amp;"|"&amp;Config!$A$23),""))</f>
        <v/>
      </c>
      <c r="H34" s="15">
        <f>IF($B34="","",IFERROR(AVERAGEIFS('Avaliação'!$P$5:$P$404,'Avaliação'!$Z$5:$Z$404,$A34&amp;"|"&amp;Config!$B$7&amp;"|"&amp;Config!$A$24),""))</f>
        <v/>
      </c>
      <c r="I34" s="15">
        <f>IF($B34="","",IFERROR(AVERAGEIFS('Avaliação'!$P$5:$P$404,'Avaliação'!$Z$5:$Z$404,$A34&amp;"|"&amp;Config!$B$7&amp;"|"&amp;Config!$A$25),""))</f>
        <v/>
      </c>
      <c r="J34" s="15">
        <f>IF($X34=0,"",$W34/$X34)</f>
        <v/>
      </c>
      <c r="K34" s="15">
        <f>IFERROR(INDEX(Config!$B$30:$B$33,MATCH($C34,Config!$A$30:$A$33,0)),"")</f>
        <v/>
      </c>
      <c r="L34" s="15">
        <f>IF(OR($J34="",$K34=""),"",$J34-$K34)</f>
        <v/>
      </c>
      <c r="M34" s="14">
        <f>IF($J34="","",IF($J34&lt;2.5,"Abaixo",IF($J34&lt;3.5,"Atende",IF($J34&lt;=4.2,"Supera","Referência"))))</f>
        <v/>
      </c>
      <c r="N34" s="14">
        <f>IF($B34="","",COUNTIFS('Ocorrências'!$U$5:$U$604,$A34&amp;"|"&amp;Config!$B$7))</f>
        <v/>
      </c>
      <c r="O34" s="14">
        <f>IF($B34="","",COUNTIFS('Ocorrências'!$U$5:$U$604,$A34&amp;"|"&amp;Config!$B$7,'Ocorrências'!$F$5:$F$604,"Reconhecimento")+COUNTIFS('Ocorrências'!$U$5:$U$604,$A34&amp;"|"&amp;Config!$B$7,'Ocorrências'!$F$5:$F$604,"Positiva"))</f>
        <v/>
      </c>
      <c r="P34" s="14">
        <f>IF($B34="","",COUNTIFS('Ocorrências'!$U$5:$U$604,$A34&amp;"|"&amp;Config!$B$7,'Ocorrências'!$F$5:$F$604,"Ponto de atenção")+COUNTIFS('Ocorrências'!$U$5:$U$604,$A34&amp;"|"&amp;Config!$B$7,'Ocorrências'!$F$5:$F$604,"Incidente"))</f>
        <v/>
      </c>
      <c r="Q34" s="14">
        <f>IF($B34="","",COUNTIFS('Ocorrências'!$U$5:$U$604,$A34&amp;"|"&amp;Config!$B$7,'Ocorrências'!$F$5:$F$604,"Ponto de atenção",'Ocorrências'!$L$5:$L$604,"Não")+COUNTIFS('Ocorrências'!$U$5:$U$604,$A34&amp;"|"&amp;Config!$B$7,'Ocorrências'!$F$5:$F$604,"Incidente",'Ocorrências'!$L$5:$L$604,"Não"))</f>
        <v/>
      </c>
      <c r="R34" s="14">
        <f>IF($B34="","",IF(INDEX(Pessoas!$J$5:$J$64,MATCH($A34,Pessoas!$A$5:$A$64,0))="","nunca",Config!$B$6-INDEX(Pessoas!$J$5:$J$64,MATCH($A34,Pessoas!$A$5:$A$64,0))))</f>
        <v/>
      </c>
      <c r="S34" s="14">
        <f>IF($B34="","",COUNTIFS('Avaliação'!$Y$5:$Y$404,$A34&amp;"|"&amp;Config!$B$7,'Avaliação'!$N$5:$N$404,"&gt;=2"))</f>
        <v/>
      </c>
      <c r="T34" s="14">
        <f>IF($B34="","",COUNTIFS('Avaliação'!$Y$5:$Y$404,$A34&amp;"|"&amp;Config!$B$7,'Avaliação'!$V$5:$V$404,"SEM LASTRO"))</f>
        <v/>
      </c>
      <c r="U34" s="14">
        <f>IF($B34="","",IF(AND($Q34&gt;0,COUNTIFS('Avaliação'!$Y$5:$Y$404,$A34&amp;"|"&amp;Config!$B$7,'Avaliação'!$P$5:$P$404,"&gt;=3")&gt;0),$Q34,0))</f>
        <v/>
      </c>
      <c r="V34" s="14">
        <f>IF($B34="","",IF($U34&gt;0,"Nota sustentada por omissão",IF($T34&gt;0,"Nota sem lastro",IF($J34="","Sem avaliação no ciclo",IF($S34&gt;0,"Calibrar divergência",IF($L34&lt;-0.3,"Abaixo da expectativa",IF($Q34&gt;0,"Negativa não conversada",IF(OR($R34="nunca",$R34&gt;30),"1:1 atrasada","OK"))))))))</f>
        <v/>
      </c>
      <c r="W34" s="15">
        <f>IF(ISNUMBER($F34),$F34*Config!$B$22,0)+IF(ISNUMBER($G34),$G34*Config!$B$23,0)+IF(ISNUMBER($H34),$H34*Config!$B$24,0)+IF(ISNUMBER($I34),$I34*Config!$B$25,0)</f>
        <v/>
      </c>
      <c r="X34" s="15">
        <f>IF(ISNUMBER($F34),Config!$B$22,0)+IF(ISNUMBER($G34),Config!$B$23,0)+IF(ISNUMBER($H34),Config!$B$24,0)+IF(ISNUMBER($I34),Config!$B$25,0)</f>
        <v/>
      </c>
    </row>
    <row r="35">
      <c r="A35" s="14">
        <f>IF(Pessoas!$B33="","",Pessoas!$A33)</f>
        <v/>
      </c>
      <c r="B35" s="14">
        <f>IF(Pessoas!$B33="","",Pessoas!$B33)</f>
        <v/>
      </c>
      <c r="C35" s="14">
        <f>IF(Pessoas!$B33="","",Pessoas!$D33)</f>
        <v/>
      </c>
      <c r="D35" s="14">
        <f>IF(Pessoas!$B33="","",Pessoas!$L33)</f>
        <v/>
      </c>
      <c r="E35" s="14">
        <f>IF(Pessoas!$B33="","",Pessoas!$M33)</f>
        <v/>
      </c>
      <c r="F35" s="15">
        <f>IF($B35="","",IFERROR(AVERAGEIFS('Avaliação'!$P$5:$P$404,'Avaliação'!$Z$5:$Z$404,$A35&amp;"|"&amp;Config!$B$7&amp;"|"&amp;Config!$A$22),""))</f>
        <v/>
      </c>
      <c r="G35" s="15">
        <f>IF($B35="","",IFERROR(AVERAGEIFS('Avaliação'!$P$5:$P$404,'Avaliação'!$Z$5:$Z$404,$A35&amp;"|"&amp;Config!$B$7&amp;"|"&amp;Config!$A$23),""))</f>
        <v/>
      </c>
      <c r="H35" s="15">
        <f>IF($B35="","",IFERROR(AVERAGEIFS('Avaliação'!$P$5:$P$404,'Avaliação'!$Z$5:$Z$404,$A35&amp;"|"&amp;Config!$B$7&amp;"|"&amp;Config!$A$24),""))</f>
        <v/>
      </c>
      <c r="I35" s="15">
        <f>IF($B35="","",IFERROR(AVERAGEIFS('Avaliação'!$P$5:$P$404,'Avaliação'!$Z$5:$Z$404,$A35&amp;"|"&amp;Config!$B$7&amp;"|"&amp;Config!$A$25),""))</f>
        <v/>
      </c>
      <c r="J35" s="15">
        <f>IF($X35=0,"",$W35/$X35)</f>
        <v/>
      </c>
      <c r="K35" s="15">
        <f>IFERROR(INDEX(Config!$B$30:$B$33,MATCH($C35,Config!$A$30:$A$33,0)),"")</f>
        <v/>
      </c>
      <c r="L35" s="15">
        <f>IF(OR($J35="",$K35=""),"",$J35-$K35)</f>
        <v/>
      </c>
      <c r="M35" s="14">
        <f>IF($J35="","",IF($J35&lt;2.5,"Abaixo",IF($J35&lt;3.5,"Atende",IF($J35&lt;=4.2,"Supera","Referência"))))</f>
        <v/>
      </c>
      <c r="N35" s="14">
        <f>IF($B35="","",COUNTIFS('Ocorrências'!$U$5:$U$604,$A35&amp;"|"&amp;Config!$B$7))</f>
        <v/>
      </c>
      <c r="O35" s="14">
        <f>IF($B35="","",COUNTIFS('Ocorrências'!$U$5:$U$604,$A35&amp;"|"&amp;Config!$B$7,'Ocorrências'!$F$5:$F$604,"Reconhecimento")+COUNTIFS('Ocorrências'!$U$5:$U$604,$A35&amp;"|"&amp;Config!$B$7,'Ocorrências'!$F$5:$F$604,"Positiva"))</f>
        <v/>
      </c>
      <c r="P35" s="14">
        <f>IF($B35="","",COUNTIFS('Ocorrências'!$U$5:$U$604,$A35&amp;"|"&amp;Config!$B$7,'Ocorrências'!$F$5:$F$604,"Ponto de atenção")+COUNTIFS('Ocorrências'!$U$5:$U$604,$A35&amp;"|"&amp;Config!$B$7,'Ocorrências'!$F$5:$F$604,"Incidente"))</f>
        <v/>
      </c>
      <c r="Q35" s="14">
        <f>IF($B35="","",COUNTIFS('Ocorrências'!$U$5:$U$604,$A35&amp;"|"&amp;Config!$B$7,'Ocorrências'!$F$5:$F$604,"Ponto de atenção",'Ocorrências'!$L$5:$L$604,"Não")+COUNTIFS('Ocorrências'!$U$5:$U$604,$A35&amp;"|"&amp;Config!$B$7,'Ocorrências'!$F$5:$F$604,"Incidente",'Ocorrências'!$L$5:$L$604,"Não"))</f>
        <v/>
      </c>
      <c r="R35" s="14">
        <f>IF($B35="","",IF(INDEX(Pessoas!$J$5:$J$64,MATCH($A35,Pessoas!$A$5:$A$64,0))="","nunca",Config!$B$6-INDEX(Pessoas!$J$5:$J$64,MATCH($A35,Pessoas!$A$5:$A$64,0))))</f>
        <v/>
      </c>
      <c r="S35" s="14">
        <f>IF($B35="","",COUNTIFS('Avaliação'!$Y$5:$Y$404,$A35&amp;"|"&amp;Config!$B$7,'Avaliação'!$N$5:$N$404,"&gt;=2"))</f>
        <v/>
      </c>
      <c r="T35" s="14">
        <f>IF($B35="","",COUNTIFS('Avaliação'!$Y$5:$Y$404,$A35&amp;"|"&amp;Config!$B$7,'Avaliação'!$V$5:$V$404,"SEM LASTRO"))</f>
        <v/>
      </c>
      <c r="U35" s="14">
        <f>IF($B35="","",IF(AND($Q35&gt;0,COUNTIFS('Avaliação'!$Y$5:$Y$404,$A35&amp;"|"&amp;Config!$B$7,'Avaliação'!$P$5:$P$404,"&gt;=3")&gt;0),$Q35,0))</f>
        <v/>
      </c>
      <c r="V35" s="14">
        <f>IF($B35="","",IF($U35&gt;0,"Nota sustentada por omissão",IF($T35&gt;0,"Nota sem lastro",IF($J35="","Sem avaliação no ciclo",IF($S35&gt;0,"Calibrar divergência",IF($L35&lt;-0.3,"Abaixo da expectativa",IF($Q35&gt;0,"Negativa não conversada",IF(OR($R35="nunca",$R35&gt;30),"1:1 atrasada","OK"))))))))</f>
        <v/>
      </c>
      <c r="W35" s="15">
        <f>IF(ISNUMBER($F35),$F35*Config!$B$22,0)+IF(ISNUMBER($G35),$G35*Config!$B$23,0)+IF(ISNUMBER($H35),$H35*Config!$B$24,0)+IF(ISNUMBER($I35),$I35*Config!$B$25,0)</f>
        <v/>
      </c>
      <c r="X35" s="15">
        <f>IF(ISNUMBER($F35),Config!$B$22,0)+IF(ISNUMBER($G35),Config!$B$23,0)+IF(ISNUMBER($H35),Config!$B$24,0)+IF(ISNUMBER($I35),Config!$B$25,0)</f>
        <v/>
      </c>
    </row>
    <row r="36">
      <c r="A36" s="14">
        <f>IF(Pessoas!$B34="","",Pessoas!$A34)</f>
        <v/>
      </c>
      <c r="B36" s="14">
        <f>IF(Pessoas!$B34="","",Pessoas!$B34)</f>
        <v/>
      </c>
      <c r="C36" s="14">
        <f>IF(Pessoas!$B34="","",Pessoas!$D34)</f>
        <v/>
      </c>
      <c r="D36" s="14">
        <f>IF(Pessoas!$B34="","",Pessoas!$L34)</f>
        <v/>
      </c>
      <c r="E36" s="14">
        <f>IF(Pessoas!$B34="","",Pessoas!$M34)</f>
        <v/>
      </c>
      <c r="F36" s="15">
        <f>IF($B36="","",IFERROR(AVERAGEIFS('Avaliação'!$P$5:$P$404,'Avaliação'!$Z$5:$Z$404,$A36&amp;"|"&amp;Config!$B$7&amp;"|"&amp;Config!$A$22),""))</f>
        <v/>
      </c>
      <c r="G36" s="15">
        <f>IF($B36="","",IFERROR(AVERAGEIFS('Avaliação'!$P$5:$P$404,'Avaliação'!$Z$5:$Z$404,$A36&amp;"|"&amp;Config!$B$7&amp;"|"&amp;Config!$A$23),""))</f>
        <v/>
      </c>
      <c r="H36" s="15">
        <f>IF($B36="","",IFERROR(AVERAGEIFS('Avaliação'!$P$5:$P$404,'Avaliação'!$Z$5:$Z$404,$A36&amp;"|"&amp;Config!$B$7&amp;"|"&amp;Config!$A$24),""))</f>
        <v/>
      </c>
      <c r="I36" s="15">
        <f>IF($B36="","",IFERROR(AVERAGEIFS('Avaliação'!$P$5:$P$404,'Avaliação'!$Z$5:$Z$404,$A36&amp;"|"&amp;Config!$B$7&amp;"|"&amp;Config!$A$25),""))</f>
        <v/>
      </c>
      <c r="J36" s="15">
        <f>IF($X36=0,"",$W36/$X36)</f>
        <v/>
      </c>
      <c r="K36" s="15">
        <f>IFERROR(INDEX(Config!$B$30:$B$33,MATCH($C36,Config!$A$30:$A$33,0)),"")</f>
        <v/>
      </c>
      <c r="L36" s="15">
        <f>IF(OR($J36="",$K36=""),"",$J36-$K36)</f>
        <v/>
      </c>
      <c r="M36" s="14">
        <f>IF($J36="","",IF($J36&lt;2.5,"Abaixo",IF($J36&lt;3.5,"Atende",IF($J36&lt;=4.2,"Supera","Referência"))))</f>
        <v/>
      </c>
      <c r="N36" s="14">
        <f>IF($B36="","",COUNTIFS('Ocorrências'!$U$5:$U$604,$A36&amp;"|"&amp;Config!$B$7))</f>
        <v/>
      </c>
      <c r="O36" s="14">
        <f>IF($B36="","",COUNTIFS('Ocorrências'!$U$5:$U$604,$A36&amp;"|"&amp;Config!$B$7,'Ocorrências'!$F$5:$F$604,"Reconhecimento")+COUNTIFS('Ocorrências'!$U$5:$U$604,$A36&amp;"|"&amp;Config!$B$7,'Ocorrências'!$F$5:$F$604,"Positiva"))</f>
        <v/>
      </c>
      <c r="P36" s="14">
        <f>IF($B36="","",COUNTIFS('Ocorrências'!$U$5:$U$604,$A36&amp;"|"&amp;Config!$B$7,'Ocorrências'!$F$5:$F$604,"Ponto de atenção")+COUNTIFS('Ocorrências'!$U$5:$U$604,$A36&amp;"|"&amp;Config!$B$7,'Ocorrências'!$F$5:$F$604,"Incidente"))</f>
        <v/>
      </c>
      <c r="Q36" s="14">
        <f>IF($B36="","",COUNTIFS('Ocorrências'!$U$5:$U$604,$A36&amp;"|"&amp;Config!$B$7,'Ocorrências'!$F$5:$F$604,"Ponto de atenção",'Ocorrências'!$L$5:$L$604,"Não")+COUNTIFS('Ocorrências'!$U$5:$U$604,$A36&amp;"|"&amp;Config!$B$7,'Ocorrências'!$F$5:$F$604,"Incidente",'Ocorrências'!$L$5:$L$604,"Não"))</f>
        <v/>
      </c>
      <c r="R36" s="14">
        <f>IF($B36="","",IF(INDEX(Pessoas!$J$5:$J$64,MATCH($A36,Pessoas!$A$5:$A$64,0))="","nunca",Config!$B$6-INDEX(Pessoas!$J$5:$J$64,MATCH($A36,Pessoas!$A$5:$A$64,0))))</f>
        <v/>
      </c>
      <c r="S36" s="14">
        <f>IF($B36="","",COUNTIFS('Avaliação'!$Y$5:$Y$404,$A36&amp;"|"&amp;Config!$B$7,'Avaliação'!$N$5:$N$404,"&gt;=2"))</f>
        <v/>
      </c>
      <c r="T36" s="14">
        <f>IF($B36="","",COUNTIFS('Avaliação'!$Y$5:$Y$404,$A36&amp;"|"&amp;Config!$B$7,'Avaliação'!$V$5:$V$404,"SEM LASTRO"))</f>
        <v/>
      </c>
      <c r="U36" s="14">
        <f>IF($B36="","",IF(AND($Q36&gt;0,COUNTIFS('Avaliação'!$Y$5:$Y$404,$A36&amp;"|"&amp;Config!$B$7,'Avaliação'!$P$5:$P$404,"&gt;=3")&gt;0),$Q36,0))</f>
        <v/>
      </c>
      <c r="V36" s="14">
        <f>IF($B36="","",IF($U36&gt;0,"Nota sustentada por omissão",IF($T36&gt;0,"Nota sem lastro",IF($J36="","Sem avaliação no ciclo",IF($S36&gt;0,"Calibrar divergência",IF($L36&lt;-0.3,"Abaixo da expectativa",IF($Q36&gt;0,"Negativa não conversada",IF(OR($R36="nunca",$R36&gt;30),"1:1 atrasada","OK"))))))))</f>
        <v/>
      </c>
      <c r="W36" s="15">
        <f>IF(ISNUMBER($F36),$F36*Config!$B$22,0)+IF(ISNUMBER($G36),$G36*Config!$B$23,0)+IF(ISNUMBER($H36),$H36*Config!$B$24,0)+IF(ISNUMBER($I36),$I36*Config!$B$25,0)</f>
        <v/>
      </c>
      <c r="X36" s="15">
        <f>IF(ISNUMBER($F36),Config!$B$22,0)+IF(ISNUMBER($G36),Config!$B$23,0)+IF(ISNUMBER($H36),Config!$B$24,0)+IF(ISNUMBER($I36),Config!$B$25,0)</f>
        <v/>
      </c>
    </row>
    <row r="37">
      <c r="A37" s="14">
        <f>IF(Pessoas!$B35="","",Pessoas!$A35)</f>
        <v/>
      </c>
      <c r="B37" s="14">
        <f>IF(Pessoas!$B35="","",Pessoas!$B35)</f>
        <v/>
      </c>
      <c r="C37" s="14">
        <f>IF(Pessoas!$B35="","",Pessoas!$D35)</f>
        <v/>
      </c>
      <c r="D37" s="14">
        <f>IF(Pessoas!$B35="","",Pessoas!$L35)</f>
        <v/>
      </c>
      <c r="E37" s="14">
        <f>IF(Pessoas!$B35="","",Pessoas!$M35)</f>
        <v/>
      </c>
      <c r="F37" s="15">
        <f>IF($B37="","",IFERROR(AVERAGEIFS('Avaliação'!$P$5:$P$404,'Avaliação'!$Z$5:$Z$404,$A37&amp;"|"&amp;Config!$B$7&amp;"|"&amp;Config!$A$22),""))</f>
        <v/>
      </c>
      <c r="G37" s="15">
        <f>IF($B37="","",IFERROR(AVERAGEIFS('Avaliação'!$P$5:$P$404,'Avaliação'!$Z$5:$Z$404,$A37&amp;"|"&amp;Config!$B$7&amp;"|"&amp;Config!$A$23),""))</f>
        <v/>
      </c>
      <c r="H37" s="15">
        <f>IF($B37="","",IFERROR(AVERAGEIFS('Avaliação'!$P$5:$P$404,'Avaliação'!$Z$5:$Z$404,$A37&amp;"|"&amp;Config!$B$7&amp;"|"&amp;Config!$A$24),""))</f>
        <v/>
      </c>
      <c r="I37" s="15">
        <f>IF($B37="","",IFERROR(AVERAGEIFS('Avaliação'!$P$5:$P$404,'Avaliação'!$Z$5:$Z$404,$A37&amp;"|"&amp;Config!$B$7&amp;"|"&amp;Config!$A$25),""))</f>
        <v/>
      </c>
      <c r="J37" s="15">
        <f>IF($X37=0,"",$W37/$X37)</f>
        <v/>
      </c>
      <c r="K37" s="15">
        <f>IFERROR(INDEX(Config!$B$30:$B$33,MATCH($C37,Config!$A$30:$A$33,0)),"")</f>
        <v/>
      </c>
      <c r="L37" s="15">
        <f>IF(OR($J37="",$K37=""),"",$J37-$K37)</f>
        <v/>
      </c>
      <c r="M37" s="14">
        <f>IF($J37="","",IF($J37&lt;2.5,"Abaixo",IF($J37&lt;3.5,"Atende",IF($J37&lt;=4.2,"Supera","Referência"))))</f>
        <v/>
      </c>
      <c r="N37" s="14">
        <f>IF($B37="","",COUNTIFS('Ocorrências'!$U$5:$U$604,$A37&amp;"|"&amp;Config!$B$7))</f>
        <v/>
      </c>
      <c r="O37" s="14">
        <f>IF($B37="","",COUNTIFS('Ocorrências'!$U$5:$U$604,$A37&amp;"|"&amp;Config!$B$7,'Ocorrências'!$F$5:$F$604,"Reconhecimento")+COUNTIFS('Ocorrências'!$U$5:$U$604,$A37&amp;"|"&amp;Config!$B$7,'Ocorrências'!$F$5:$F$604,"Positiva"))</f>
        <v/>
      </c>
      <c r="P37" s="14">
        <f>IF($B37="","",COUNTIFS('Ocorrências'!$U$5:$U$604,$A37&amp;"|"&amp;Config!$B$7,'Ocorrências'!$F$5:$F$604,"Ponto de atenção")+COUNTIFS('Ocorrências'!$U$5:$U$604,$A37&amp;"|"&amp;Config!$B$7,'Ocorrências'!$F$5:$F$604,"Incidente"))</f>
        <v/>
      </c>
      <c r="Q37" s="14">
        <f>IF($B37="","",COUNTIFS('Ocorrências'!$U$5:$U$604,$A37&amp;"|"&amp;Config!$B$7,'Ocorrências'!$F$5:$F$604,"Ponto de atenção",'Ocorrências'!$L$5:$L$604,"Não")+COUNTIFS('Ocorrências'!$U$5:$U$604,$A37&amp;"|"&amp;Config!$B$7,'Ocorrências'!$F$5:$F$604,"Incidente",'Ocorrências'!$L$5:$L$604,"Não"))</f>
        <v/>
      </c>
      <c r="R37" s="14">
        <f>IF($B37="","",IF(INDEX(Pessoas!$J$5:$J$64,MATCH($A37,Pessoas!$A$5:$A$64,0))="","nunca",Config!$B$6-INDEX(Pessoas!$J$5:$J$64,MATCH($A37,Pessoas!$A$5:$A$64,0))))</f>
        <v/>
      </c>
      <c r="S37" s="14">
        <f>IF($B37="","",COUNTIFS('Avaliação'!$Y$5:$Y$404,$A37&amp;"|"&amp;Config!$B$7,'Avaliação'!$N$5:$N$404,"&gt;=2"))</f>
        <v/>
      </c>
      <c r="T37" s="14">
        <f>IF($B37="","",COUNTIFS('Avaliação'!$Y$5:$Y$404,$A37&amp;"|"&amp;Config!$B$7,'Avaliação'!$V$5:$V$404,"SEM LASTRO"))</f>
        <v/>
      </c>
      <c r="U37" s="14">
        <f>IF($B37="","",IF(AND($Q37&gt;0,COUNTIFS('Avaliação'!$Y$5:$Y$404,$A37&amp;"|"&amp;Config!$B$7,'Avaliação'!$P$5:$P$404,"&gt;=3")&gt;0),$Q37,0))</f>
        <v/>
      </c>
      <c r="V37" s="14">
        <f>IF($B37="","",IF($U37&gt;0,"Nota sustentada por omissão",IF($T37&gt;0,"Nota sem lastro",IF($J37="","Sem avaliação no ciclo",IF($S37&gt;0,"Calibrar divergência",IF($L37&lt;-0.3,"Abaixo da expectativa",IF($Q37&gt;0,"Negativa não conversada",IF(OR($R37="nunca",$R37&gt;30),"1:1 atrasada","OK"))))))))</f>
        <v/>
      </c>
      <c r="W37" s="15">
        <f>IF(ISNUMBER($F37),$F37*Config!$B$22,0)+IF(ISNUMBER($G37),$G37*Config!$B$23,0)+IF(ISNUMBER($H37),$H37*Config!$B$24,0)+IF(ISNUMBER($I37),$I37*Config!$B$25,0)</f>
        <v/>
      </c>
      <c r="X37" s="15">
        <f>IF(ISNUMBER($F37),Config!$B$22,0)+IF(ISNUMBER($G37),Config!$B$23,0)+IF(ISNUMBER($H37),Config!$B$24,0)+IF(ISNUMBER($I37),Config!$B$25,0)</f>
        <v/>
      </c>
    </row>
    <row r="38">
      <c r="A38" s="14">
        <f>IF(Pessoas!$B36="","",Pessoas!$A36)</f>
        <v/>
      </c>
      <c r="B38" s="14">
        <f>IF(Pessoas!$B36="","",Pessoas!$B36)</f>
        <v/>
      </c>
      <c r="C38" s="14">
        <f>IF(Pessoas!$B36="","",Pessoas!$D36)</f>
        <v/>
      </c>
      <c r="D38" s="14">
        <f>IF(Pessoas!$B36="","",Pessoas!$L36)</f>
        <v/>
      </c>
      <c r="E38" s="14">
        <f>IF(Pessoas!$B36="","",Pessoas!$M36)</f>
        <v/>
      </c>
      <c r="F38" s="15">
        <f>IF($B38="","",IFERROR(AVERAGEIFS('Avaliação'!$P$5:$P$404,'Avaliação'!$Z$5:$Z$404,$A38&amp;"|"&amp;Config!$B$7&amp;"|"&amp;Config!$A$22),""))</f>
        <v/>
      </c>
      <c r="G38" s="15">
        <f>IF($B38="","",IFERROR(AVERAGEIFS('Avaliação'!$P$5:$P$404,'Avaliação'!$Z$5:$Z$404,$A38&amp;"|"&amp;Config!$B$7&amp;"|"&amp;Config!$A$23),""))</f>
        <v/>
      </c>
      <c r="H38" s="15">
        <f>IF($B38="","",IFERROR(AVERAGEIFS('Avaliação'!$P$5:$P$404,'Avaliação'!$Z$5:$Z$404,$A38&amp;"|"&amp;Config!$B$7&amp;"|"&amp;Config!$A$24),""))</f>
        <v/>
      </c>
      <c r="I38" s="15">
        <f>IF($B38="","",IFERROR(AVERAGEIFS('Avaliação'!$P$5:$P$404,'Avaliação'!$Z$5:$Z$404,$A38&amp;"|"&amp;Config!$B$7&amp;"|"&amp;Config!$A$25),""))</f>
        <v/>
      </c>
      <c r="J38" s="15">
        <f>IF($X38=0,"",$W38/$X38)</f>
        <v/>
      </c>
      <c r="K38" s="15">
        <f>IFERROR(INDEX(Config!$B$30:$B$33,MATCH($C38,Config!$A$30:$A$33,0)),"")</f>
        <v/>
      </c>
      <c r="L38" s="15">
        <f>IF(OR($J38="",$K38=""),"",$J38-$K38)</f>
        <v/>
      </c>
      <c r="M38" s="14">
        <f>IF($J38="","",IF($J38&lt;2.5,"Abaixo",IF($J38&lt;3.5,"Atende",IF($J38&lt;=4.2,"Supera","Referência"))))</f>
        <v/>
      </c>
      <c r="N38" s="14">
        <f>IF($B38="","",COUNTIFS('Ocorrências'!$U$5:$U$604,$A38&amp;"|"&amp;Config!$B$7))</f>
        <v/>
      </c>
      <c r="O38" s="14">
        <f>IF($B38="","",COUNTIFS('Ocorrências'!$U$5:$U$604,$A38&amp;"|"&amp;Config!$B$7,'Ocorrências'!$F$5:$F$604,"Reconhecimento")+COUNTIFS('Ocorrências'!$U$5:$U$604,$A38&amp;"|"&amp;Config!$B$7,'Ocorrências'!$F$5:$F$604,"Positiva"))</f>
        <v/>
      </c>
      <c r="P38" s="14">
        <f>IF($B38="","",COUNTIFS('Ocorrências'!$U$5:$U$604,$A38&amp;"|"&amp;Config!$B$7,'Ocorrências'!$F$5:$F$604,"Ponto de atenção")+COUNTIFS('Ocorrências'!$U$5:$U$604,$A38&amp;"|"&amp;Config!$B$7,'Ocorrências'!$F$5:$F$604,"Incidente"))</f>
        <v/>
      </c>
      <c r="Q38" s="14">
        <f>IF($B38="","",COUNTIFS('Ocorrências'!$U$5:$U$604,$A38&amp;"|"&amp;Config!$B$7,'Ocorrências'!$F$5:$F$604,"Ponto de atenção",'Ocorrências'!$L$5:$L$604,"Não")+COUNTIFS('Ocorrências'!$U$5:$U$604,$A38&amp;"|"&amp;Config!$B$7,'Ocorrências'!$F$5:$F$604,"Incidente",'Ocorrências'!$L$5:$L$604,"Não"))</f>
        <v/>
      </c>
      <c r="R38" s="14">
        <f>IF($B38="","",IF(INDEX(Pessoas!$J$5:$J$64,MATCH($A38,Pessoas!$A$5:$A$64,0))="","nunca",Config!$B$6-INDEX(Pessoas!$J$5:$J$64,MATCH($A38,Pessoas!$A$5:$A$64,0))))</f>
        <v/>
      </c>
      <c r="S38" s="14">
        <f>IF($B38="","",COUNTIFS('Avaliação'!$Y$5:$Y$404,$A38&amp;"|"&amp;Config!$B$7,'Avaliação'!$N$5:$N$404,"&gt;=2"))</f>
        <v/>
      </c>
      <c r="T38" s="14">
        <f>IF($B38="","",COUNTIFS('Avaliação'!$Y$5:$Y$404,$A38&amp;"|"&amp;Config!$B$7,'Avaliação'!$V$5:$V$404,"SEM LASTRO"))</f>
        <v/>
      </c>
      <c r="U38" s="14">
        <f>IF($B38="","",IF(AND($Q38&gt;0,COUNTIFS('Avaliação'!$Y$5:$Y$404,$A38&amp;"|"&amp;Config!$B$7,'Avaliação'!$P$5:$P$404,"&gt;=3")&gt;0),$Q38,0))</f>
        <v/>
      </c>
      <c r="V38" s="14">
        <f>IF($B38="","",IF($U38&gt;0,"Nota sustentada por omissão",IF($T38&gt;0,"Nota sem lastro",IF($J38="","Sem avaliação no ciclo",IF($S38&gt;0,"Calibrar divergência",IF($L38&lt;-0.3,"Abaixo da expectativa",IF($Q38&gt;0,"Negativa não conversada",IF(OR($R38="nunca",$R38&gt;30),"1:1 atrasada","OK"))))))))</f>
        <v/>
      </c>
      <c r="W38" s="15">
        <f>IF(ISNUMBER($F38),$F38*Config!$B$22,0)+IF(ISNUMBER($G38),$G38*Config!$B$23,0)+IF(ISNUMBER($H38),$H38*Config!$B$24,0)+IF(ISNUMBER($I38),$I38*Config!$B$25,0)</f>
        <v/>
      </c>
      <c r="X38" s="15">
        <f>IF(ISNUMBER($F38),Config!$B$22,0)+IF(ISNUMBER($G38),Config!$B$23,0)+IF(ISNUMBER($H38),Config!$B$24,0)+IF(ISNUMBER($I38),Config!$B$25,0)</f>
        <v/>
      </c>
    </row>
    <row r="39">
      <c r="A39" s="14">
        <f>IF(Pessoas!$B37="","",Pessoas!$A37)</f>
        <v/>
      </c>
      <c r="B39" s="14">
        <f>IF(Pessoas!$B37="","",Pessoas!$B37)</f>
        <v/>
      </c>
      <c r="C39" s="14">
        <f>IF(Pessoas!$B37="","",Pessoas!$D37)</f>
        <v/>
      </c>
      <c r="D39" s="14">
        <f>IF(Pessoas!$B37="","",Pessoas!$L37)</f>
        <v/>
      </c>
      <c r="E39" s="14">
        <f>IF(Pessoas!$B37="","",Pessoas!$M37)</f>
        <v/>
      </c>
      <c r="F39" s="15">
        <f>IF($B39="","",IFERROR(AVERAGEIFS('Avaliação'!$P$5:$P$404,'Avaliação'!$Z$5:$Z$404,$A39&amp;"|"&amp;Config!$B$7&amp;"|"&amp;Config!$A$22),""))</f>
        <v/>
      </c>
      <c r="G39" s="15">
        <f>IF($B39="","",IFERROR(AVERAGEIFS('Avaliação'!$P$5:$P$404,'Avaliação'!$Z$5:$Z$404,$A39&amp;"|"&amp;Config!$B$7&amp;"|"&amp;Config!$A$23),""))</f>
        <v/>
      </c>
      <c r="H39" s="15">
        <f>IF($B39="","",IFERROR(AVERAGEIFS('Avaliação'!$P$5:$P$404,'Avaliação'!$Z$5:$Z$404,$A39&amp;"|"&amp;Config!$B$7&amp;"|"&amp;Config!$A$24),""))</f>
        <v/>
      </c>
      <c r="I39" s="15">
        <f>IF($B39="","",IFERROR(AVERAGEIFS('Avaliação'!$P$5:$P$404,'Avaliação'!$Z$5:$Z$404,$A39&amp;"|"&amp;Config!$B$7&amp;"|"&amp;Config!$A$25),""))</f>
        <v/>
      </c>
      <c r="J39" s="15">
        <f>IF($X39=0,"",$W39/$X39)</f>
        <v/>
      </c>
      <c r="K39" s="15">
        <f>IFERROR(INDEX(Config!$B$30:$B$33,MATCH($C39,Config!$A$30:$A$33,0)),"")</f>
        <v/>
      </c>
      <c r="L39" s="15">
        <f>IF(OR($J39="",$K39=""),"",$J39-$K39)</f>
        <v/>
      </c>
      <c r="M39" s="14">
        <f>IF($J39="","",IF($J39&lt;2.5,"Abaixo",IF($J39&lt;3.5,"Atende",IF($J39&lt;=4.2,"Supera","Referência"))))</f>
        <v/>
      </c>
      <c r="N39" s="14">
        <f>IF($B39="","",COUNTIFS('Ocorrências'!$U$5:$U$604,$A39&amp;"|"&amp;Config!$B$7))</f>
        <v/>
      </c>
      <c r="O39" s="14">
        <f>IF($B39="","",COUNTIFS('Ocorrências'!$U$5:$U$604,$A39&amp;"|"&amp;Config!$B$7,'Ocorrências'!$F$5:$F$604,"Reconhecimento")+COUNTIFS('Ocorrências'!$U$5:$U$604,$A39&amp;"|"&amp;Config!$B$7,'Ocorrências'!$F$5:$F$604,"Positiva"))</f>
        <v/>
      </c>
      <c r="P39" s="14">
        <f>IF($B39="","",COUNTIFS('Ocorrências'!$U$5:$U$604,$A39&amp;"|"&amp;Config!$B$7,'Ocorrências'!$F$5:$F$604,"Ponto de atenção")+COUNTIFS('Ocorrências'!$U$5:$U$604,$A39&amp;"|"&amp;Config!$B$7,'Ocorrências'!$F$5:$F$604,"Incidente"))</f>
        <v/>
      </c>
      <c r="Q39" s="14">
        <f>IF($B39="","",COUNTIFS('Ocorrências'!$U$5:$U$604,$A39&amp;"|"&amp;Config!$B$7,'Ocorrências'!$F$5:$F$604,"Ponto de atenção",'Ocorrências'!$L$5:$L$604,"Não")+COUNTIFS('Ocorrências'!$U$5:$U$604,$A39&amp;"|"&amp;Config!$B$7,'Ocorrências'!$F$5:$F$604,"Incidente",'Ocorrências'!$L$5:$L$604,"Não"))</f>
        <v/>
      </c>
      <c r="R39" s="14">
        <f>IF($B39="","",IF(INDEX(Pessoas!$J$5:$J$64,MATCH($A39,Pessoas!$A$5:$A$64,0))="","nunca",Config!$B$6-INDEX(Pessoas!$J$5:$J$64,MATCH($A39,Pessoas!$A$5:$A$64,0))))</f>
        <v/>
      </c>
      <c r="S39" s="14">
        <f>IF($B39="","",COUNTIFS('Avaliação'!$Y$5:$Y$404,$A39&amp;"|"&amp;Config!$B$7,'Avaliação'!$N$5:$N$404,"&gt;=2"))</f>
        <v/>
      </c>
      <c r="T39" s="14">
        <f>IF($B39="","",COUNTIFS('Avaliação'!$Y$5:$Y$404,$A39&amp;"|"&amp;Config!$B$7,'Avaliação'!$V$5:$V$404,"SEM LASTRO"))</f>
        <v/>
      </c>
      <c r="U39" s="14">
        <f>IF($B39="","",IF(AND($Q39&gt;0,COUNTIFS('Avaliação'!$Y$5:$Y$404,$A39&amp;"|"&amp;Config!$B$7,'Avaliação'!$P$5:$P$404,"&gt;=3")&gt;0),$Q39,0))</f>
        <v/>
      </c>
      <c r="V39" s="14">
        <f>IF($B39="","",IF($U39&gt;0,"Nota sustentada por omissão",IF($T39&gt;0,"Nota sem lastro",IF($J39="","Sem avaliação no ciclo",IF($S39&gt;0,"Calibrar divergência",IF($L39&lt;-0.3,"Abaixo da expectativa",IF($Q39&gt;0,"Negativa não conversada",IF(OR($R39="nunca",$R39&gt;30),"1:1 atrasada","OK"))))))))</f>
        <v/>
      </c>
      <c r="W39" s="15">
        <f>IF(ISNUMBER($F39),$F39*Config!$B$22,0)+IF(ISNUMBER($G39),$G39*Config!$B$23,0)+IF(ISNUMBER($H39),$H39*Config!$B$24,0)+IF(ISNUMBER($I39),$I39*Config!$B$25,0)</f>
        <v/>
      </c>
      <c r="X39" s="15">
        <f>IF(ISNUMBER($F39),Config!$B$22,0)+IF(ISNUMBER($G39),Config!$B$23,0)+IF(ISNUMBER($H39),Config!$B$24,0)+IF(ISNUMBER($I39),Config!$B$25,0)</f>
        <v/>
      </c>
    </row>
    <row r="40">
      <c r="A40" s="14">
        <f>IF(Pessoas!$B38="","",Pessoas!$A38)</f>
        <v/>
      </c>
      <c r="B40" s="14">
        <f>IF(Pessoas!$B38="","",Pessoas!$B38)</f>
        <v/>
      </c>
      <c r="C40" s="14">
        <f>IF(Pessoas!$B38="","",Pessoas!$D38)</f>
        <v/>
      </c>
      <c r="D40" s="14">
        <f>IF(Pessoas!$B38="","",Pessoas!$L38)</f>
        <v/>
      </c>
      <c r="E40" s="14">
        <f>IF(Pessoas!$B38="","",Pessoas!$M38)</f>
        <v/>
      </c>
      <c r="F40" s="15">
        <f>IF($B40="","",IFERROR(AVERAGEIFS('Avaliação'!$P$5:$P$404,'Avaliação'!$Z$5:$Z$404,$A40&amp;"|"&amp;Config!$B$7&amp;"|"&amp;Config!$A$22),""))</f>
        <v/>
      </c>
      <c r="G40" s="15">
        <f>IF($B40="","",IFERROR(AVERAGEIFS('Avaliação'!$P$5:$P$404,'Avaliação'!$Z$5:$Z$404,$A40&amp;"|"&amp;Config!$B$7&amp;"|"&amp;Config!$A$23),""))</f>
        <v/>
      </c>
      <c r="H40" s="15">
        <f>IF($B40="","",IFERROR(AVERAGEIFS('Avaliação'!$P$5:$P$404,'Avaliação'!$Z$5:$Z$404,$A40&amp;"|"&amp;Config!$B$7&amp;"|"&amp;Config!$A$24),""))</f>
        <v/>
      </c>
      <c r="I40" s="15">
        <f>IF($B40="","",IFERROR(AVERAGEIFS('Avaliação'!$P$5:$P$404,'Avaliação'!$Z$5:$Z$404,$A40&amp;"|"&amp;Config!$B$7&amp;"|"&amp;Config!$A$25),""))</f>
        <v/>
      </c>
      <c r="J40" s="15">
        <f>IF($X40=0,"",$W40/$X40)</f>
        <v/>
      </c>
      <c r="K40" s="15">
        <f>IFERROR(INDEX(Config!$B$30:$B$33,MATCH($C40,Config!$A$30:$A$33,0)),"")</f>
        <v/>
      </c>
      <c r="L40" s="15">
        <f>IF(OR($J40="",$K40=""),"",$J40-$K40)</f>
        <v/>
      </c>
      <c r="M40" s="14">
        <f>IF($J40="","",IF($J40&lt;2.5,"Abaixo",IF($J40&lt;3.5,"Atende",IF($J40&lt;=4.2,"Supera","Referência"))))</f>
        <v/>
      </c>
      <c r="N40" s="14">
        <f>IF($B40="","",COUNTIFS('Ocorrências'!$U$5:$U$604,$A40&amp;"|"&amp;Config!$B$7))</f>
        <v/>
      </c>
      <c r="O40" s="14">
        <f>IF($B40="","",COUNTIFS('Ocorrências'!$U$5:$U$604,$A40&amp;"|"&amp;Config!$B$7,'Ocorrências'!$F$5:$F$604,"Reconhecimento")+COUNTIFS('Ocorrências'!$U$5:$U$604,$A40&amp;"|"&amp;Config!$B$7,'Ocorrências'!$F$5:$F$604,"Positiva"))</f>
        <v/>
      </c>
      <c r="P40" s="14">
        <f>IF($B40="","",COUNTIFS('Ocorrências'!$U$5:$U$604,$A40&amp;"|"&amp;Config!$B$7,'Ocorrências'!$F$5:$F$604,"Ponto de atenção")+COUNTIFS('Ocorrências'!$U$5:$U$604,$A40&amp;"|"&amp;Config!$B$7,'Ocorrências'!$F$5:$F$604,"Incidente"))</f>
        <v/>
      </c>
      <c r="Q40" s="14">
        <f>IF($B40="","",COUNTIFS('Ocorrências'!$U$5:$U$604,$A40&amp;"|"&amp;Config!$B$7,'Ocorrências'!$F$5:$F$604,"Ponto de atenção",'Ocorrências'!$L$5:$L$604,"Não")+COUNTIFS('Ocorrências'!$U$5:$U$604,$A40&amp;"|"&amp;Config!$B$7,'Ocorrências'!$F$5:$F$604,"Incidente",'Ocorrências'!$L$5:$L$604,"Não"))</f>
        <v/>
      </c>
      <c r="R40" s="14">
        <f>IF($B40="","",IF(INDEX(Pessoas!$J$5:$J$64,MATCH($A40,Pessoas!$A$5:$A$64,0))="","nunca",Config!$B$6-INDEX(Pessoas!$J$5:$J$64,MATCH($A40,Pessoas!$A$5:$A$64,0))))</f>
        <v/>
      </c>
      <c r="S40" s="14">
        <f>IF($B40="","",COUNTIFS('Avaliação'!$Y$5:$Y$404,$A40&amp;"|"&amp;Config!$B$7,'Avaliação'!$N$5:$N$404,"&gt;=2"))</f>
        <v/>
      </c>
      <c r="T40" s="14">
        <f>IF($B40="","",COUNTIFS('Avaliação'!$Y$5:$Y$404,$A40&amp;"|"&amp;Config!$B$7,'Avaliação'!$V$5:$V$404,"SEM LASTRO"))</f>
        <v/>
      </c>
      <c r="U40" s="14">
        <f>IF($B40="","",IF(AND($Q40&gt;0,COUNTIFS('Avaliação'!$Y$5:$Y$404,$A40&amp;"|"&amp;Config!$B$7,'Avaliação'!$P$5:$P$404,"&gt;=3")&gt;0),$Q40,0))</f>
        <v/>
      </c>
      <c r="V40" s="14">
        <f>IF($B40="","",IF($U40&gt;0,"Nota sustentada por omissão",IF($T40&gt;0,"Nota sem lastro",IF($J40="","Sem avaliação no ciclo",IF($S40&gt;0,"Calibrar divergência",IF($L40&lt;-0.3,"Abaixo da expectativa",IF($Q40&gt;0,"Negativa não conversada",IF(OR($R40="nunca",$R40&gt;30),"1:1 atrasada","OK"))))))))</f>
        <v/>
      </c>
      <c r="W40" s="15">
        <f>IF(ISNUMBER($F40),$F40*Config!$B$22,0)+IF(ISNUMBER($G40),$G40*Config!$B$23,0)+IF(ISNUMBER($H40),$H40*Config!$B$24,0)+IF(ISNUMBER($I40),$I40*Config!$B$25,0)</f>
        <v/>
      </c>
      <c r="X40" s="15">
        <f>IF(ISNUMBER($F40),Config!$B$22,0)+IF(ISNUMBER($G40),Config!$B$23,0)+IF(ISNUMBER($H40),Config!$B$24,0)+IF(ISNUMBER($I40),Config!$B$25,0)</f>
        <v/>
      </c>
    </row>
    <row r="41">
      <c r="A41" s="14">
        <f>IF(Pessoas!$B39="","",Pessoas!$A39)</f>
        <v/>
      </c>
      <c r="B41" s="14">
        <f>IF(Pessoas!$B39="","",Pessoas!$B39)</f>
        <v/>
      </c>
      <c r="C41" s="14">
        <f>IF(Pessoas!$B39="","",Pessoas!$D39)</f>
        <v/>
      </c>
      <c r="D41" s="14">
        <f>IF(Pessoas!$B39="","",Pessoas!$L39)</f>
        <v/>
      </c>
      <c r="E41" s="14">
        <f>IF(Pessoas!$B39="","",Pessoas!$M39)</f>
        <v/>
      </c>
      <c r="F41" s="15">
        <f>IF($B41="","",IFERROR(AVERAGEIFS('Avaliação'!$P$5:$P$404,'Avaliação'!$Z$5:$Z$404,$A41&amp;"|"&amp;Config!$B$7&amp;"|"&amp;Config!$A$22),""))</f>
        <v/>
      </c>
      <c r="G41" s="15">
        <f>IF($B41="","",IFERROR(AVERAGEIFS('Avaliação'!$P$5:$P$404,'Avaliação'!$Z$5:$Z$404,$A41&amp;"|"&amp;Config!$B$7&amp;"|"&amp;Config!$A$23),""))</f>
        <v/>
      </c>
      <c r="H41" s="15">
        <f>IF($B41="","",IFERROR(AVERAGEIFS('Avaliação'!$P$5:$P$404,'Avaliação'!$Z$5:$Z$404,$A41&amp;"|"&amp;Config!$B$7&amp;"|"&amp;Config!$A$24),""))</f>
        <v/>
      </c>
      <c r="I41" s="15">
        <f>IF($B41="","",IFERROR(AVERAGEIFS('Avaliação'!$P$5:$P$404,'Avaliação'!$Z$5:$Z$404,$A41&amp;"|"&amp;Config!$B$7&amp;"|"&amp;Config!$A$25),""))</f>
        <v/>
      </c>
      <c r="J41" s="15">
        <f>IF($X41=0,"",$W41/$X41)</f>
        <v/>
      </c>
      <c r="K41" s="15">
        <f>IFERROR(INDEX(Config!$B$30:$B$33,MATCH($C41,Config!$A$30:$A$33,0)),"")</f>
        <v/>
      </c>
      <c r="L41" s="15">
        <f>IF(OR($J41="",$K41=""),"",$J41-$K41)</f>
        <v/>
      </c>
      <c r="M41" s="14">
        <f>IF($J41="","",IF($J41&lt;2.5,"Abaixo",IF($J41&lt;3.5,"Atende",IF($J41&lt;=4.2,"Supera","Referência"))))</f>
        <v/>
      </c>
      <c r="N41" s="14">
        <f>IF($B41="","",COUNTIFS('Ocorrências'!$U$5:$U$604,$A41&amp;"|"&amp;Config!$B$7))</f>
        <v/>
      </c>
      <c r="O41" s="14">
        <f>IF($B41="","",COUNTIFS('Ocorrências'!$U$5:$U$604,$A41&amp;"|"&amp;Config!$B$7,'Ocorrências'!$F$5:$F$604,"Reconhecimento")+COUNTIFS('Ocorrências'!$U$5:$U$604,$A41&amp;"|"&amp;Config!$B$7,'Ocorrências'!$F$5:$F$604,"Positiva"))</f>
        <v/>
      </c>
      <c r="P41" s="14">
        <f>IF($B41="","",COUNTIFS('Ocorrências'!$U$5:$U$604,$A41&amp;"|"&amp;Config!$B$7,'Ocorrências'!$F$5:$F$604,"Ponto de atenção")+COUNTIFS('Ocorrências'!$U$5:$U$604,$A41&amp;"|"&amp;Config!$B$7,'Ocorrências'!$F$5:$F$604,"Incidente"))</f>
        <v/>
      </c>
      <c r="Q41" s="14">
        <f>IF($B41="","",COUNTIFS('Ocorrências'!$U$5:$U$604,$A41&amp;"|"&amp;Config!$B$7,'Ocorrências'!$F$5:$F$604,"Ponto de atenção",'Ocorrências'!$L$5:$L$604,"Não")+COUNTIFS('Ocorrências'!$U$5:$U$604,$A41&amp;"|"&amp;Config!$B$7,'Ocorrências'!$F$5:$F$604,"Incidente",'Ocorrências'!$L$5:$L$604,"Não"))</f>
        <v/>
      </c>
      <c r="R41" s="14">
        <f>IF($B41="","",IF(INDEX(Pessoas!$J$5:$J$64,MATCH($A41,Pessoas!$A$5:$A$64,0))="","nunca",Config!$B$6-INDEX(Pessoas!$J$5:$J$64,MATCH($A41,Pessoas!$A$5:$A$64,0))))</f>
        <v/>
      </c>
      <c r="S41" s="14">
        <f>IF($B41="","",COUNTIFS('Avaliação'!$Y$5:$Y$404,$A41&amp;"|"&amp;Config!$B$7,'Avaliação'!$N$5:$N$404,"&gt;=2"))</f>
        <v/>
      </c>
      <c r="T41" s="14">
        <f>IF($B41="","",COUNTIFS('Avaliação'!$Y$5:$Y$404,$A41&amp;"|"&amp;Config!$B$7,'Avaliação'!$V$5:$V$404,"SEM LASTRO"))</f>
        <v/>
      </c>
      <c r="U41" s="14">
        <f>IF($B41="","",IF(AND($Q41&gt;0,COUNTIFS('Avaliação'!$Y$5:$Y$404,$A41&amp;"|"&amp;Config!$B$7,'Avaliação'!$P$5:$P$404,"&gt;=3")&gt;0),$Q41,0))</f>
        <v/>
      </c>
      <c r="V41" s="14">
        <f>IF($B41="","",IF($U41&gt;0,"Nota sustentada por omissão",IF($T41&gt;0,"Nota sem lastro",IF($J41="","Sem avaliação no ciclo",IF($S41&gt;0,"Calibrar divergência",IF($L41&lt;-0.3,"Abaixo da expectativa",IF($Q41&gt;0,"Negativa não conversada",IF(OR($R41="nunca",$R41&gt;30),"1:1 atrasada","OK"))))))))</f>
        <v/>
      </c>
      <c r="W41" s="15">
        <f>IF(ISNUMBER($F41),$F41*Config!$B$22,0)+IF(ISNUMBER($G41),$G41*Config!$B$23,0)+IF(ISNUMBER($H41),$H41*Config!$B$24,0)+IF(ISNUMBER($I41),$I41*Config!$B$25,0)</f>
        <v/>
      </c>
      <c r="X41" s="15">
        <f>IF(ISNUMBER($F41),Config!$B$22,0)+IF(ISNUMBER($G41),Config!$B$23,0)+IF(ISNUMBER($H41),Config!$B$24,0)+IF(ISNUMBER($I41),Config!$B$25,0)</f>
        <v/>
      </c>
    </row>
    <row r="42">
      <c r="A42" s="14">
        <f>IF(Pessoas!$B40="","",Pessoas!$A40)</f>
        <v/>
      </c>
      <c r="B42" s="14">
        <f>IF(Pessoas!$B40="","",Pessoas!$B40)</f>
        <v/>
      </c>
      <c r="C42" s="14">
        <f>IF(Pessoas!$B40="","",Pessoas!$D40)</f>
        <v/>
      </c>
      <c r="D42" s="14">
        <f>IF(Pessoas!$B40="","",Pessoas!$L40)</f>
        <v/>
      </c>
      <c r="E42" s="14">
        <f>IF(Pessoas!$B40="","",Pessoas!$M40)</f>
        <v/>
      </c>
      <c r="F42" s="15">
        <f>IF($B42="","",IFERROR(AVERAGEIFS('Avaliação'!$P$5:$P$404,'Avaliação'!$Z$5:$Z$404,$A42&amp;"|"&amp;Config!$B$7&amp;"|"&amp;Config!$A$22),""))</f>
        <v/>
      </c>
      <c r="G42" s="15">
        <f>IF($B42="","",IFERROR(AVERAGEIFS('Avaliação'!$P$5:$P$404,'Avaliação'!$Z$5:$Z$404,$A42&amp;"|"&amp;Config!$B$7&amp;"|"&amp;Config!$A$23),""))</f>
        <v/>
      </c>
      <c r="H42" s="15">
        <f>IF($B42="","",IFERROR(AVERAGEIFS('Avaliação'!$P$5:$P$404,'Avaliação'!$Z$5:$Z$404,$A42&amp;"|"&amp;Config!$B$7&amp;"|"&amp;Config!$A$24),""))</f>
        <v/>
      </c>
      <c r="I42" s="15">
        <f>IF($B42="","",IFERROR(AVERAGEIFS('Avaliação'!$P$5:$P$404,'Avaliação'!$Z$5:$Z$404,$A42&amp;"|"&amp;Config!$B$7&amp;"|"&amp;Config!$A$25),""))</f>
        <v/>
      </c>
      <c r="J42" s="15">
        <f>IF($X42=0,"",$W42/$X42)</f>
        <v/>
      </c>
      <c r="K42" s="15">
        <f>IFERROR(INDEX(Config!$B$30:$B$33,MATCH($C42,Config!$A$30:$A$33,0)),"")</f>
        <v/>
      </c>
      <c r="L42" s="15">
        <f>IF(OR($J42="",$K42=""),"",$J42-$K42)</f>
        <v/>
      </c>
      <c r="M42" s="14">
        <f>IF($J42="","",IF($J42&lt;2.5,"Abaixo",IF($J42&lt;3.5,"Atende",IF($J42&lt;=4.2,"Supera","Referência"))))</f>
        <v/>
      </c>
      <c r="N42" s="14">
        <f>IF($B42="","",COUNTIFS('Ocorrências'!$U$5:$U$604,$A42&amp;"|"&amp;Config!$B$7))</f>
        <v/>
      </c>
      <c r="O42" s="14">
        <f>IF($B42="","",COUNTIFS('Ocorrências'!$U$5:$U$604,$A42&amp;"|"&amp;Config!$B$7,'Ocorrências'!$F$5:$F$604,"Reconhecimento")+COUNTIFS('Ocorrências'!$U$5:$U$604,$A42&amp;"|"&amp;Config!$B$7,'Ocorrências'!$F$5:$F$604,"Positiva"))</f>
        <v/>
      </c>
      <c r="P42" s="14">
        <f>IF($B42="","",COUNTIFS('Ocorrências'!$U$5:$U$604,$A42&amp;"|"&amp;Config!$B$7,'Ocorrências'!$F$5:$F$604,"Ponto de atenção")+COUNTIFS('Ocorrências'!$U$5:$U$604,$A42&amp;"|"&amp;Config!$B$7,'Ocorrências'!$F$5:$F$604,"Incidente"))</f>
        <v/>
      </c>
      <c r="Q42" s="14">
        <f>IF($B42="","",COUNTIFS('Ocorrências'!$U$5:$U$604,$A42&amp;"|"&amp;Config!$B$7,'Ocorrências'!$F$5:$F$604,"Ponto de atenção",'Ocorrências'!$L$5:$L$604,"Não")+COUNTIFS('Ocorrências'!$U$5:$U$604,$A42&amp;"|"&amp;Config!$B$7,'Ocorrências'!$F$5:$F$604,"Incidente",'Ocorrências'!$L$5:$L$604,"Não"))</f>
        <v/>
      </c>
      <c r="R42" s="14">
        <f>IF($B42="","",IF(INDEX(Pessoas!$J$5:$J$64,MATCH($A42,Pessoas!$A$5:$A$64,0))="","nunca",Config!$B$6-INDEX(Pessoas!$J$5:$J$64,MATCH($A42,Pessoas!$A$5:$A$64,0))))</f>
        <v/>
      </c>
      <c r="S42" s="14">
        <f>IF($B42="","",COUNTIFS('Avaliação'!$Y$5:$Y$404,$A42&amp;"|"&amp;Config!$B$7,'Avaliação'!$N$5:$N$404,"&gt;=2"))</f>
        <v/>
      </c>
      <c r="T42" s="14">
        <f>IF($B42="","",COUNTIFS('Avaliação'!$Y$5:$Y$404,$A42&amp;"|"&amp;Config!$B$7,'Avaliação'!$V$5:$V$404,"SEM LASTRO"))</f>
        <v/>
      </c>
      <c r="U42" s="14">
        <f>IF($B42="","",IF(AND($Q42&gt;0,COUNTIFS('Avaliação'!$Y$5:$Y$404,$A42&amp;"|"&amp;Config!$B$7,'Avaliação'!$P$5:$P$404,"&gt;=3")&gt;0),$Q42,0))</f>
        <v/>
      </c>
      <c r="V42" s="14">
        <f>IF($B42="","",IF($U42&gt;0,"Nota sustentada por omissão",IF($T42&gt;0,"Nota sem lastro",IF($J42="","Sem avaliação no ciclo",IF($S42&gt;0,"Calibrar divergência",IF($L42&lt;-0.3,"Abaixo da expectativa",IF($Q42&gt;0,"Negativa não conversada",IF(OR($R42="nunca",$R42&gt;30),"1:1 atrasada","OK"))))))))</f>
        <v/>
      </c>
      <c r="W42" s="15">
        <f>IF(ISNUMBER($F42),$F42*Config!$B$22,0)+IF(ISNUMBER($G42),$G42*Config!$B$23,0)+IF(ISNUMBER($H42),$H42*Config!$B$24,0)+IF(ISNUMBER($I42),$I42*Config!$B$25,0)</f>
        <v/>
      </c>
      <c r="X42" s="15">
        <f>IF(ISNUMBER($F42),Config!$B$22,0)+IF(ISNUMBER($G42),Config!$B$23,0)+IF(ISNUMBER($H42),Config!$B$24,0)+IF(ISNUMBER($I42),Config!$B$25,0)</f>
        <v/>
      </c>
    </row>
    <row r="43">
      <c r="A43" s="14">
        <f>IF(Pessoas!$B41="","",Pessoas!$A41)</f>
        <v/>
      </c>
      <c r="B43" s="14">
        <f>IF(Pessoas!$B41="","",Pessoas!$B41)</f>
        <v/>
      </c>
      <c r="C43" s="14">
        <f>IF(Pessoas!$B41="","",Pessoas!$D41)</f>
        <v/>
      </c>
      <c r="D43" s="14">
        <f>IF(Pessoas!$B41="","",Pessoas!$L41)</f>
        <v/>
      </c>
      <c r="E43" s="14">
        <f>IF(Pessoas!$B41="","",Pessoas!$M41)</f>
        <v/>
      </c>
      <c r="F43" s="15">
        <f>IF($B43="","",IFERROR(AVERAGEIFS('Avaliação'!$P$5:$P$404,'Avaliação'!$Z$5:$Z$404,$A43&amp;"|"&amp;Config!$B$7&amp;"|"&amp;Config!$A$22),""))</f>
        <v/>
      </c>
      <c r="G43" s="15">
        <f>IF($B43="","",IFERROR(AVERAGEIFS('Avaliação'!$P$5:$P$404,'Avaliação'!$Z$5:$Z$404,$A43&amp;"|"&amp;Config!$B$7&amp;"|"&amp;Config!$A$23),""))</f>
        <v/>
      </c>
      <c r="H43" s="15">
        <f>IF($B43="","",IFERROR(AVERAGEIFS('Avaliação'!$P$5:$P$404,'Avaliação'!$Z$5:$Z$404,$A43&amp;"|"&amp;Config!$B$7&amp;"|"&amp;Config!$A$24),""))</f>
        <v/>
      </c>
      <c r="I43" s="15">
        <f>IF($B43="","",IFERROR(AVERAGEIFS('Avaliação'!$P$5:$P$404,'Avaliação'!$Z$5:$Z$404,$A43&amp;"|"&amp;Config!$B$7&amp;"|"&amp;Config!$A$25),""))</f>
        <v/>
      </c>
      <c r="J43" s="15">
        <f>IF($X43=0,"",$W43/$X43)</f>
        <v/>
      </c>
      <c r="K43" s="15">
        <f>IFERROR(INDEX(Config!$B$30:$B$33,MATCH($C43,Config!$A$30:$A$33,0)),"")</f>
        <v/>
      </c>
      <c r="L43" s="15">
        <f>IF(OR($J43="",$K43=""),"",$J43-$K43)</f>
        <v/>
      </c>
      <c r="M43" s="14">
        <f>IF($J43="","",IF($J43&lt;2.5,"Abaixo",IF($J43&lt;3.5,"Atende",IF($J43&lt;=4.2,"Supera","Referência"))))</f>
        <v/>
      </c>
      <c r="N43" s="14">
        <f>IF($B43="","",COUNTIFS('Ocorrências'!$U$5:$U$604,$A43&amp;"|"&amp;Config!$B$7))</f>
        <v/>
      </c>
      <c r="O43" s="14">
        <f>IF($B43="","",COUNTIFS('Ocorrências'!$U$5:$U$604,$A43&amp;"|"&amp;Config!$B$7,'Ocorrências'!$F$5:$F$604,"Reconhecimento")+COUNTIFS('Ocorrências'!$U$5:$U$604,$A43&amp;"|"&amp;Config!$B$7,'Ocorrências'!$F$5:$F$604,"Positiva"))</f>
        <v/>
      </c>
      <c r="P43" s="14">
        <f>IF($B43="","",COUNTIFS('Ocorrências'!$U$5:$U$604,$A43&amp;"|"&amp;Config!$B$7,'Ocorrências'!$F$5:$F$604,"Ponto de atenção")+COUNTIFS('Ocorrências'!$U$5:$U$604,$A43&amp;"|"&amp;Config!$B$7,'Ocorrências'!$F$5:$F$604,"Incidente"))</f>
        <v/>
      </c>
      <c r="Q43" s="14">
        <f>IF($B43="","",COUNTIFS('Ocorrências'!$U$5:$U$604,$A43&amp;"|"&amp;Config!$B$7,'Ocorrências'!$F$5:$F$604,"Ponto de atenção",'Ocorrências'!$L$5:$L$604,"Não")+COUNTIFS('Ocorrências'!$U$5:$U$604,$A43&amp;"|"&amp;Config!$B$7,'Ocorrências'!$F$5:$F$604,"Incidente",'Ocorrências'!$L$5:$L$604,"Não"))</f>
        <v/>
      </c>
      <c r="R43" s="14">
        <f>IF($B43="","",IF(INDEX(Pessoas!$J$5:$J$64,MATCH($A43,Pessoas!$A$5:$A$64,0))="","nunca",Config!$B$6-INDEX(Pessoas!$J$5:$J$64,MATCH($A43,Pessoas!$A$5:$A$64,0))))</f>
        <v/>
      </c>
      <c r="S43" s="14">
        <f>IF($B43="","",COUNTIFS('Avaliação'!$Y$5:$Y$404,$A43&amp;"|"&amp;Config!$B$7,'Avaliação'!$N$5:$N$404,"&gt;=2"))</f>
        <v/>
      </c>
      <c r="T43" s="14">
        <f>IF($B43="","",COUNTIFS('Avaliação'!$Y$5:$Y$404,$A43&amp;"|"&amp;Config!$B$7,'Avaliação'!$V$5:$V$404,"SEM LASTRO"))</f>
        <v/>
      </c>
      <c r="U43" s="14">
        <f>IF($B43="","",IF(AND($Q43&gt;0,COUNTIFS('Avaliação'!$Y$5:$Y$404,$A43&amp;"|"&amp;Config!$B$7,'Avaliação'!$P$5:$P$404,"&gt;=3")&gt;0),$Q43,0))</f>
        <v/>
      </c>
      <c r="V43" s="14">
        <f>IF($B43="","",IF($U43&gt;0,"Nota sustentada por omissão",IF($T43&gt;0,"Nota sem lastro",IF($J43="","Sem avaliação no ciclo",IF($S43&gt;0,"Calibrar divergência",IF($L43&lt;-0.3,"Abaixo da expectativa",IF($Q43&gt;0,"Negativa não conversada",IF(OR($R43="nunca",$R43&gt;30),"1:1 atrasada","OK"))))))))</f>
        <v/>
      </c>
      <c r="W43" s="15">
        <f>IF(ISNUMBER($F43),$F43*Config!$B$22,0)+IF(ISNUMBER($G43),$G43*Config!$B$23,0)+IF(ISNUMBER($H43),$H43*Config!$B$24,0)+IF(ISNUMBER($I43),$I43*Config!$B$25,0)</f>
        <v/>
      </c>
      <c r="X43" s="15">
        <f>IF(ISNUMBER($F43),Config!$B$22,0)+IF(ISNUMBER($G43),Config!$B$23,0)+IF(ISNUMBER($H43),Config!$B$24,0)+IF(ISNUMBER($I43),Config!$B$25,0)</f>
        <v/>
      </c>
    </row>
    <row r="44">
      <c r="A44" s="14">
        <f>IF(Pessoas!$B42="","",Pessoas!$A42)</f>
        <v/>
      </c>
      <c r="B44" s="14">
        <f>IF(Pessoas!$B42="","",Pessoas!$B42)</f>
        <v/>
      </c>
      <c r="C44" s="14">
        <f>IF(Pessoas!$B42="","",Pessoas!$D42)</f>
        <v/>
      </c>
      <c r="D44" s="14">
        <f>IF(Pessoas!$B42="","",Pessoas!$L42)</f>
        <v/>
      </c>
      <c r="E44" s="14">
        <f>IF(Pessoas!$B42="","",Pessoas!$M42)</f>
        <v/>
      </c>
      <c r="F44" s="15">
        <f>IF($B44="","",IFERROR(AVERAGEIFS('Avaliação'!$P$5:$P$404,'Avaliação'!$Z$5:$Z$404,$A44&amp;"|"&amp;Config!$B$7&amp;"|"&amp;Config!$A$22),""))</f>
        <v/>
      </c>
      <c r="G44" s="15">
        <f>IF($B44="","",IFERROR(AVERAGEIFS('Avaliação'!$P$5:$P$404,'Avaliação'!$Z$5:$Z$404,$A44&amp;"|"&amp;Config!$B$7&amp;"|"&amp;Config!$A$23),""))</f>
        <v/>
      </c>
      <c r="H44" s="15">
        <f>IF($B44="","",IFERROR(AVERAGEIFS('Avaliação'!$P$5:$P$404,'Avaliação'!$Z$5:$Z$404,$A44&amp;"|"&amp;Config!$B$7&amp;"|"&amp;Config!$A$24),""))</f>
        <v/>
      </c>
      <c r="I44" s="15">
        <f>IF($B44="","",IFERROR(AVERAGEIFS('Avaliação'!$P$5:$P$404,'Avaliação'!$Z$5:$Z$404,$A44&amp;"|"&amp;Config!$B$7&amp;"|"&amp;Config!$A$25),""))</f>
        <v/>
      </c>
      <c r="J44" s="15">
        <f>IF($X44=0,"",$W44/$X44)</f>
        <v/>
      </c>
      <c r="K44" s="15">
        <f>IFERROR(INDEX(Config!$B$30:$B$33,MATCH($C44,Config!$A$30:$A$33,0)),"")</f>
        <v/>
      </c>
      <c r="L44" s="15">
        <f>IF(OR($J44="",$K44=""),"",$J44-$K44)</f>
        <v/>
      </c>
      <c r="M44" s="14">
        <f>IF($J44="","",IF($J44&lt;2.5,"Abaixo",IF($J44&lt;3.5,"Atende",IF($J44&lt;=4.2,"Supera","Referência"))))</f>
        <v/>
      </c>
      <c r="N44" s="14">
        <f>IF($B44="","",COUNTIFS('Ocorrências'!$U$5:$U$604,$A44&amp;"|"&amp;Config!$B$7))</f>
        <v/>
      </c>
      <c r="O44" s="14">
        <f>IF($B44="","",COUNTIFS('Ocorrências'!$U$5:$U$604,$A44&amp;"|"&amp;Config!$B$7,'Ocorrências'!$F$5:$F$604,"Reconhecimento")+COUNTIFS('Ocorrências'!$U$5:$U$604,$A44&amp;"|"&amp;Config!$B$7,'Ocorrências'!$F$5:$F$604,"Positiva"))</f>
        <v/>
      </c>
      <c r="P44" s="14">
        <f>IF($B44="","",COUNTIFS('Ocorrências'!$U$5:$U$604,$A44&amp;"|"&amp;Config!$B$7,'Ocorrências'!$F$5:$F$604,"Ponto de atenção")+COUNTIFS('Ocorrências'!$U$5:$U$604,$A44&amp;"|"&amp;Config!$B$7,'Ocorrências'!$F$5:$F$604,"Incidente"))</f>
        <v/>
      </c>
      <c r="Q44" s="14">
        <f>IF($B44="","",COUNTIFS('Ocorrências'!$U$5:$U$604,$A44&amp;"|"&amp;Config!$B$7,'Ocorrências'!$F$5:$F$604,"Ponto de atenção",'Ocorrências'!$L$5:$L$604,"Não")+COUNTIFS('Ocorrências'!$U$5:$U$604,$A44&amp;"|"&amp;Config!$B$7,'Ocorrências'!$F$5:$F$604,"Incidente",'Ocorrências'!$L$5:$L$604,"Não"))</f>
        <v/>
      </c>
      <c r="R44" s="14">
        <f>IF($B44="","",IF(INDEX(Pessoas!$J$5:$J$64,MATCH($A44,Pessoas!$A$5:$A$64,0))="","nunca",Config!$B$6-INDEX(Pessoas!$J$5:$J$64,MATCH($A44,Pessoas!$A$5:$A$64,0))))</f>
        <v/>
      </c>
      <c r="S44" s="14">
        <f>IF($B44="","",COUNTIFS('Avaliação'!$Y$5:$Y$404,$A44&amp;"|"&amp;Config!$B$7,'Avaliação'!$N$5:$N$404,"&gt;=2"))</f>
        <v/>
      </c>
      <c r="T44" s="14">
        <f>IF($B44="","",COUNTIFS('Avaliação'!$Y$5:$Y$404,$A44&amp;"|"&amp;Config!$B$7,'Avaliação'!$V$5:$V$404,"SEM LASTRO"))</f>
        <v/>
      </c>
      <c r="U44" s="14">
        <f>IF($B44="","",IF(AND($Q44&gt;0,COUNTIFS('Avaliação'!$Y$5:$Y$404,$A44&amp;"|"&amp;Config!$B$7,'Avaliação'!$P$5:$P$404,"&gt;=3")&gt;0),$Q44,0))</f>
        <v/>
      </c>
      <c r="V44" s="14">
        <f>IF($B44="","",IF($U44&gt;0,"Nota sustentada por omissão",IF($T44&gt;0,"Nota sem lastro",IF($J44="","Sem avaliação no ciclo",IF($S44&gt;0,"Calibrar divergência",IF($L44&lt;-0.3,"Abaixo da expectativa",IF($Q44&gt;0,"Negativa não conversada",IF(OR($R44="nunca",$R44&gt;30),"1:1 atrasada","OK"))))))))</f>
        <v/>
      </c>
      <c r="W44" s="15">
        <f>IF(ISNUMBER($F44),$F44*Config!$B$22,0)+IF(ISNUMBER($G44),$G44*Config!$B$23,0)+IF(ISNUMBER($H44),$H44*Config!$B$24,0)+IF(ISNUMBER($I44),$I44*Config!$B$25,0)</f>
        <v/>
      </c>
      <c r="X44" s="15">
        <f>IF(ISNUMBER($F44),Config!$B$22,0)+IF(ISNUMBER($G44),Config!$B$23,0)+IF(ISNUMBER($H44),Config!$B$24,0)+IF(ISNUMBER($I44),Config!$B$25,0)</f>
        <v/>
      </c>
    </row>
    <row r="45">
      <c r="A45" s="14">
        <f>IF(Pessoas!$B43="","",Pessoas!$A43)</f>
        <v/>
      </c>
      <c r="B45" s="14">
        <f>IF(Pessoas!$B43="","",Pessoas!$B43)</f>
        <v/>
      </c>
      <c r="C45" s="14">
        <f>IF(Pessoas!$B43="","",Pessoas!$D43)</f>
        <v/>
      </c>
      <c r="D45" s="14">
        <f>IF(Pessoas!$B43="","",Pessoas!$L43)</f>
        <v/>
      </c>
      <c r="E45" s="14">
        <f>IF(Pessoas!$B43="","",Pessoas!$M43)</f>
        <v/>
      </c>
      <c r="F45" s="15">
        <f>IF($B45="","",IFERROR(AVERAGEIFS('Avaliação'!$P$5:$P$404,'Avaliação'!$Z$5:$Z$404,$A45&amp;"|"&amp;Config!$B$7&amp;"|"&amp;Config!$A$22),""))</f>
        <v/>
      </c>
      <c r="G45" s="15">
        <f>IF($B45="","",IFERROR(AVERAGEIFS('Avaliação'!$P$5:$P$404,'Avaliação'!$Z$5:$Z$404,$A45&amp;"|"&amp;Config!$B$7&amp;"|"&amp;Config!$A$23),""))</f>
        <v/>
      </c>
      <c r="H45" s="15">
        <f>IF($B45="","",IFERROR(AVERAGEIFS('Avaliação'!$P$5:$P$404,'Avaliação'!$Z$5:$Z$404,$A45&amp;"|"&amp;Config!$B$7&amp;"|"&amp;Config!$A$24),""))</f>
        <v/>
      </c>
      <c r="I45" s="15">
        <f>IF($B45="","",IFERROR(AVERAGEIFS('Avaliação'!$P$5:$P$404,'Avaliação'!$Z$5:$Z$404,$A45&amp;"|"&amp;Config!$B$7&amp;"|"&amp;Config!$A$25),""))</f>
        <v/>
      </c>
      <c r="J45" s="15">
        <f>IF($X45=0,"",$W45/$X45)</f>
        <v/>
      </c>
      <c r="K45" s="15">
        <f>IFERROR(INDEX(Config!$B$30:$B$33,MATCH($C45,Config!$A$30:$A$33,0)),"")</f>
        <v/>
      </c>
      <c r="L45" s="15">
        <f>IF(OR($J45="",$K45=""),"",$J45-$K45)</f>
        <v/>
      </c>
      <c r="M45" s="14">
        <f>IF($J45="","",IF($J45&lt;2.5,"Abaixo",IF($J45&lt;3.5,"Atende",IF($J45&lt;=4.2,"Supera","Referência"))))</f>
        <v/>
      </c>
      <c r="N45" s="14">
        <f>IF($B45="","",COUNTIFS('Ocorrências'!$U$5:$U$604,$A45&amp;"|"&amp;Config!$B$7))</f>
        <v/>
      </c>
      <c r="O45" s="14">
        <f>IF($B45="","",COUNTIFS('Ocorrências'!$U$5:$U$604,$A45&amp;"|"&amp;Config!$B$7,'Ocorrências'!$F$5:$F$604,"Reconhecimento")+COUNTIFS('Ocorrências'!$U$5:$U$604,$A45&amp;"|"&amp;Config!$B$7,'Ocorrências'!$F$5:$F$604,"Positiva"))</f>
        <v/>
      </c>
      <c r="P45" s="14">
        <f>IF($B45="","",COUNTIFS('Ocorrências'!$U$5:$U$604,$A45&amp;"|"&amp;Config!$B$7,'Ocorrências'!$F$5:$F$604,"Ponto de atenção")+COUNTIFS('Ocorrências'!$U$5:$U$604,$A45&amp;"|"&amp;Config!$B$7,'Ocorrências'!$F$5:$F$604,"Incidente"))</f>
        <v/>
      </c>
      <c r="Q45" s="14">
        <f>IF($B45="","",COUNTIFS('Ocorrências'!$U$5:$U$604,$A45&amp;"|"&amp;Config!$B$7,'Ocorrências'!$F$5:$F$604,"Ponto de atenção",'Ocorrências'!$L$5:$L$604,"Não")+COUNTIFS('Ocorrências'!$U$5:$U$604,$A45&amp;"|"&amp;Config!$B$7,'Ocorrências'!$F$5:$F$604,"Incidente",'Ocorrências'!$L$5:$L$604,"Não"))</f>
        <v/>
      </c>
      <c r="R45" s="14">
        <f>IF($B45="","",IF(INDEX(Pessoas!$J$5:$J$64,MATCH($A45,Pessoas!$A$5:$A$64,0))="","nunca",Config!$B$6-INDEX(Pessoas!$J$5:$J$64,MATCH($A45,Pessoas!$A$5:$A$64,0))))</f>
        <v/>
      </c>
      <c r="S45" s="14">
        <f>IF($B45="","",COUNTIFS('Avaliação'!$Y$5:$Y$404,$A45&amp;"|"&amp;Config!$B$7,'Avaliação'!$N$5:$N$404,"&gt;=2"))</f>
        <v/>
      </c>
      <c r="T45" s="14">
        <f>IF($B45="","",COUNTIFS('Avaliação'!$Y$5:$Y$404,$A45&amp;"|"&amp;Config!$B$7,'Avaliação'!$V$5:$V$404,"SEM LASTRO"))</f>
        <v/>
      </c>
      <c r="U45" s="14">
        <f>IF($B45="","",IF(AND($Q45&gt;0,COUNTIFS('Avaliação'!$Y$5:$Y$404,$A45&amp;"|"&amp;Config!$B$7,'Avaliação'!$P$5:$P$404,"&gt;=3")&gt;0),$Q45,0))</f>
        <v/>
      </c>
      <c r="V45" s="14">
        <f>IF($B45="","",IF($U45&gt;0,"Nota sustentada por omissão",IF($T45&gt;0,"Nota sem lastro",IF($J45="","Sem avaliação no ciclo",IF($S45&gt;0,"Calibrar divergência",IF($L45&lt;-0.3,"Abaixo da expectativa",IF($Q45&gt;0,"Negativa não conversada",IF(OR($R45="nunca",$R45&gt;30),"1:1 atrasada","OK"))))))))</f>
        <v/>
      </c>
      <c r="W45" s="15">
        <f>IF(ISNUMBER($F45),$F45*Config!$B$22,0)+IF(ISNUMBER($G45),$G45*Config!$B$23,0)+IF(ISNUMBER($H45),$H45*Config!$B$24,0)+IF(ISNUMBER($I45),$I45*Config!$B$25,0)</f>
        <v/>
      </c>
      <c r="X45" s="15">
        <f>IF(ISNUMBER($F45),Config!$B$22,0)+IF(ISNUMBER($G45),Config!$B$23,0)+IF(ISNUMBER($H45),Config!$B$24,0)+IF(ISNUMBER($I45),Config!$B$25,0)</f>
        <v/>
      </c>
    </row>
    <row r="46">
      <c r="A46" s="14">
        <f>IF(Pessoas!$B44="","",Pessoas!$A44)</f>
        <v/>
      </c>
      <c r="B46" s="14">
        <f>IF(Pessoas!$B44="","",Pessoas!$B44)</f>
        <v/>
      </c>
      <c r="C46" s="14">
        <f>IF(Pessoas!$B44="","",Pessoas!$D44)</f>
        <v/>
      </c>
      <c r="D46" s="14">
        <f>IF(Pessoas!$B44="","",Pessoas!$L44)</f>
        <v/>
      </c>
      <c r="E46" s="14">
        <f>IF(Pessoas!$B44="","",Pessoas!$M44)</f>
        <v/>
      </c>
      <c r="F46" s="15">
        <f>IF($B46="","",IFERROR(AVERAGEIFS('Avaliação'!$P$5:$P$404,'Avaliação'!$Z$5:$Z$404,$A46&amp;"|"&amp;Config!$B$7&amp;"|"&amp;Config!$A$22),""))</f>
        <v/>
      </c>
      <c r="G46" s="15">
        <f>IF($B46="","",IFERROR(AVERAGEIFS('Avaliação'!$P$5:$P$404,'Avaliação'!$Z$5:$Z$404,$A46&amp;"|"&amp;Config!$B$7&amp;"|"&amp;Config!$A$23),""))</f>
        <v/>
      </c>
      <c r="H46" s="15">
        <f>IF($B46="","",IFERROR(AVERAGEIFS('Avaliação'!$P$5:$P$404,'Avaliação'!$Z$5:$Z$404,$A46&amp;"|"&amp;Config!$B$7&amp;"|"&amp;Config!$A$24),""))</f>
        <v/>
      </c>
      <c r="I46" s="15">
        <f>IF($B46="","",IFERROR(AVERAGEIFS('Avaliação'!$P$5:$P$404,'Avaliação'!$Z$5:$Z$404,$A46&amp;"|"&amp;Config!$B$7&amp;"|"&amp;Config!$A$25),""))</f>
        <v/>
      </c>
      <c r="J46" s="15">
        <f>IF($X46=0,"",$W46/$X46)</f>
        <v/>
      </c>
      <c r="K46" s="15">
        <f>IFERROR(INDEX(Config!$B$30:$B$33,MATCH($C46,Config!$A$30:$A$33,0)),"")</f>
        <v/>
      </c>
      <c r="L46" s="15">
        <f>IF(OR($J46="",$K46=""),"",$J46-$K46)</f>
        <v/>
      </c>
      <c r="M46" s="14">
        <f>IF($J46="","",IF($J46&lt;2.5,"Abaixo",IF($J46&lt;3.5,"Atende",IF($J46&lt;=4.2,"Supera","Referência"))))</f>
        <v/>
      </c>
      <c r="N46" s="14">
        <f>IF($B46="","",COUNTIFS('Ocorrências'!$U$5:$U$604,$A46&amp;"|"&amp;Config!$B$7))</f>
        <v/>
      </c>
      <c r="O46" s="14">
        <f>IF($B46="","",COUNTIFS('Ocorrências'!$U$5:$U$604,$A46&amp;"|"&amp;Config!$B$7,'Ocorrências'!$F$5:$F$604,"Reconhecimento")+COUNTIFS('Ocorrências'!$U$5:$U$604,$A46&amp;"|"&amp;Config!$B$7,'Ocorrências'!$F$5:$F$604,"Positiva"))</f>
        <v/>
      </c>
      <c r="P46" s="14">
        <f>IF($B46="","",COUNTIFS('Ocorrências'!$U$5:$U$604,$A46&amp;"|"&amp;Config!$B$7,'Ocorrências'!$F$5:$F$604,"Ponto de atenção")+COUNTIFS('Ocorrências'!$U$5:$U$604,$A46&amp;"|"&amp;Config!$B$7,'Ocorrências'!$F$5:$F$604,"Incidente"))</f>
        <v/>
      </c>
      <c r="Q46" s="14">
        <f>IF($B46="","",COUNTIFS('Ocorrências'!$U$5:$U$604,$A46&amp;"|"&amp;Config!$B$7,'Ocorrências'!$F$5:$F$604,"Ponto de atenção",'Ocorrências'!$L$5:$L$604,"Não")+COUNTIFS('Ocorrências'!$U$5:$U$604,$A46&amp;"|"&amp;Config!$B$7,'Ocorrências'!$F$5:$F$604,"Incidente",'Ocorrências'!$L$5:$L$604,"Não"))</f>
        <v/>
      </c>
      <c r="R46" s="14">
        <f>IF($B46="","",IF(INDEX(Pessoas!$J$5:$J$64,MATCH($A46,Pessoas!$A$5:$A$64,0))="","nunca",Config!$B$6-INDEX(Pessoas!$J$5:$J$64,MATCH($A46,Pessoas!$A$5:$A$64,0))))</f>
        <v/>
      </c>
      <c r="S46" s="14">
        <f>IF($B46="","",COUNTIFS('Avaliação'!$Y$5:$Y$404,$A46&amp;"|"&amp;Config!$B$7,'Avaliação'!$N$5:$N$404,"&gt;=2"))</f>
        <v/>
      </c>
      <c r="T46" s="14">
        <f>IF($B46="","",COUNTIFS('Avaliação'!$Y$5:$Y$404,$A46&amp;"|"&amp;Config!$B$7,'Avaliação'!$V$5:$V$404,"SEM LASTRO"))</f>
        <v/>
      </c>
      <c r="U46" s="14">
        <f>IF($B46="","",IF(AND($Q46&gt;0,COUNTIFS('Avaliação'!$Y$5:$Y$404,$A46&amp;"|"&amp;Config!$B$7,'Avaliação'!$P$5:$P$404,"&gt;=3")&gt;0),$Q46,0))</f>
        <v/>
      </c>
      <c r="V46" s="14">
        <f>IF($B46="","",IF($U46&gt;0,"Nota sustentada por omissão",IF($T46&gt;0,"Nota sem lastro",IF($J46="","Sem avaliação no ciclo",IF($S46&gt;0,"Calibrar divergência",IF($L46&lt;-0.3,"Abaixo da expectativa",IF($Q46&gt;0,"Negativa não conversada",IF(OR($R46="nunca",$R46&gt;30),"1:1 atrasada","OK"))))))))</f>
        <v/>
      </c>
      <c r="W46" s="15">
        <f>IF(ISNUMBER($F46),$F46*Config!$B$22,0)+IF(ISNUMBER($G46),$G46*Config!$B$23,0)+IF(ISNUMBER($H46),$H46*Config!$B$24,0)+IF(ISNUMBER($I46),$I46*Config!$B$25,0)</f>
        <v/>
      </c>
      <c r="X46" s="15">
        <f>IF(ISNUMBER($F46),Config!$B$22,0)+IF(ISNUMBER($G46),Config!$B$23,0)+IF(ISNUMBER($H46),Config!$B$24,0)+IF(ISNUMBER($I46),Config!$B$25,0)</f>
        <v/>
      </c>
    </row>
    <row r="47">
      <c r="A47" s="14">
        <f>IF(Pessoas!$B45="","",Pessoas!$A45)</f>
        <v/>
      </c>
      <c r="B47" s="14">
        <f>IF(Pessoas!$B45="","",Pessoas!$B45)</f>
        <v/>
      </c>
      <c r="C47" s="14">
        <f>IF(Pessoas!$B45="","",Pessoas!$D45)</f>
        <v/>
      </c>
      <c r="D47" s="14">
        <f>IF(Pessoas!$B45="","",Pessoas!$L45)</f>
        <v/>
      </c>
      <c r="E47" s="14">
        <f>IF(Pessoas!$B45="","",Pessoas!$M45)</f>
        <v/>
      </c>
      <c r="F47" s="15">
        <f>IF($B47="","",IFERROR(AVERAGEIFS('Avaliação'!$P$5:$P$404,'Avaliação'!$Z$5:$Z$404,$A47&amp;"|"&amp;Config!$B$7&amp;"|"&amp;Config!$A$22),""))</f>
        <v/>
      </c>
      <c r="G47" s="15">
        <f>IF($B47="","",IFERROR(AVERAGEIFS('Avaliação'!$P$5:$P$404,'Avaliação'!$Z$5:$Z$404,$A47&amp;"|"&amp;Config!$B$7&amp;"|"&amp;Config!$A$23),""))</f>
        <v/>
      </c>
      <c r="H47" s="15">
        <f>IF($B47="","",IFERROR(AVERAGEIFS('Avaliação'!$P$5:$P$404,'Avaliação'!$Z$5:$Z$404,$A47&amp;"|"&amp;Config!$B$7&amp;"|"&amp;Config!$A$24),""))</f>
        <v/>
      </c>
      <c r="I47" s="15">
        <f>IF($B47="","",IFERROR(AVERAGEIFS('Avaliação'!$P$5:$P$404,'Avaliação'!$Z$5:$Z$404,$A47&amp;"|"&amp;Config!$B$7&amp;"|"&amp;Config!$A$25),""))</f>
        <v/>
      </c>
      <c r="J47" s="15">
        <f>IF($X47=0,"",$W47/$X47)</f>
        <v/>
      </c>
      <c r="K47" s="15">
        <f>IFERROR(INDEX(Config!$B$30:$B$33,MATCH($C47,Config!$A$30:$A$33,0)),"")</f>
        <v/>
      </c>
      <c r="L47" s="15">
        <f>IF(OR($J47="",$K47=""),"",$J47-$K47)</f>
        <v/>
      </c>
      <c r="M47" s="14">
        <f>IF($J47="","",IF($J47&lt;2.5,"Abaixo",IF($J47&lt;3.5,"Atende",IF($J47&lt;=4.2,"Supera","Referência"))))</f>
        <v/>
      </c>
      <c r="N47" s="14">
        <f>IF($B47="","",COUNTIFS('Ocorrências'!$U$5:$U$604,$A47&amp;"|"&amp;Config!$B$7))</f>
        <v/>
      </c>
      <c r="O47" s="14">
        <f>IF($B47="","",COUNTIFS('Ocorrências'!$U$5:$U$604,$A47&amp;"|"&amp;Config!$B$7,'Ocorrências'!$F$5:$F$604,"Reconhecimento")+COUNTIFS('Ocorrências'!$U$5:$U$604,$A47&amp;"|"&amp;Config!$B$7,'Ocorrências'!$F$5:$F$604,"Positiva"))</f>
        <v/>
      </c>
      <c r="P47" s="14">
        <f>IF($B47="","",COUNTIFS('Ocorrências'!$U$5:$U$604,$A47&amp;"|"&amp;Config!$B$7,'Ocorrências'!$F$5:$F$604,"Ponto de atenção")+COUNTIFS('Ocorrências'!$U$5:$U$604,$A47&amp;"|"&amp;Config!$B$7,'Ocorrências'!$F$5:$F$604,"Incidente"))</f>
        <v/>
      </c>
      <c r="Q47" s="14">
        <f>IF($B47="","",COUNTIFS('Ocorrências'!$U$5:$U$604,$A47&amp;"|"&amp;Config!$B$7,'Ocorrências'!$F$5:$F$604,"Ponto de atenção",'Ocorrências'!$L$5:$L$604,"Não")+COUNTIFS('Ocorrências'!$U$5:$U$604,$A47&amp;"|"&amp;Config!$B$7,'Ocorrências'!$F$5:$F$604,"Incidente",'Ocorrências'!$L$5:$L$604,"Não"))</f>
        <v/>
      </c>
      <c r="R47" s="14">
        <f>IF($B47="","",IF(INDEX(Pessoas!$J$5:$J$64,MATCH($A47,Pessoas!$A$5:$A$64,0))="","nunca",Config!$B$6-INDEX(Pessoas!$J$5:$J$64,MATCH($A47,Pessoas!$A$5:$A$64,0))))</f>
        <v/>
      </c>
      <c r="S47" s="14">
        <f>IF($B47="","",COUNTIFS('Avaliação'!$Y$5:$Y$404,$A47&amp;"|"&amp;Config!$B$7,'Avaliação'!$N$5:$N$404,"&gt;=2"))</f>
        <v/>
      </c>
      <c r="T47" s="14">
        <f>IF($B47="","",COUNTIFS('Avaliação'!$Y$5:$Y$404,$A47&amp;"|"&amp;Config!$B$7,'Avaliação'!$V$5:$V$404,"SEM LASTRO"))</f>
        <v/>
      </c>
      <c r="U47" s="14">
        <f>IF($B47="","",IF(AND($Q47&gt;0,COUNTIFS('Avaliação'!$Y$5:$Y$404,$A47&amp;"|"&amp;Config!$B$7,'Avaliação'!$P$5:$P$404,"&gt;=3")&gt;0),$Q47,0))</f>
        <v/>
      </c>
      <c r="V47" s="14">
        <f>IF($B47="","",IF($U47&gt;0,"Nota sustentada por omissão",IF($T47&gt;0,"Nota sem lastro",IF($J47="","Sem avaliação no ciclo",IF($S47&gt;0,"Calibrar divergência",IF($L47&lt;-0.3,"Abaixo da expectativa",IF($Q47&gt;0,"Negativa não conversada",IF(OR($R47="nunca",$R47&gt;30),"1:1 atrasada","OK"))))))))</f>
        <v/>
      </c>
      <c r="W47" s="15">
        <f>IF(ISNUMBER($F47),$F47*Config!$B$22,0)+IF(ISNUMBER($G47),$G47*Config!$B$23,0)+IF(ISNUMBER($H47),$H47*Config!$B$24,0)+IF(ISNUMBER($I47),$I47*Config!$B$25,0)</f>
        <v/>
      </c>
      <c r="X47" s="15">
        <f>IF(ISNUMBER($F47),Config!$B$22,0)+IF(ISNUMBER($G47),Config!$B$23,0)+IF(ISNUMBER($H47),Config!$B$24,0)+IF(ISNUMBER($I47),Config!$B$25,0)</f>
        <v/>
      </c>
    </row>
    <row r="48">
      <c r="A48" s="14">
        <f>IF(Pessoas!$B46="","",Pessoas!$A46)</f>
        <v/>
      </c>
      <c r="B48" s="14">
        <f>IF(Pessoas!$B46="","",Pessoas!$B46)</f>
        <v/>
      </c>
      <c r="C48" s="14">
        <f>IF(Pessoas!$B46="","",Pessoas!$D46)</f>
        <v/>
      </c>
      <c r="D48" s="14">
        <f>IF(Pessoas!$B46="","",Pessoas!$L46)</f>
        <v/>
      </c>
      <c r="E48" s="14">
        <f>IF(Pessoas!$B46="","",Pessoas!$M46)</f>
        <v/>
      </c>
      <c r="F48" s="15">
        <f>IF($B48="","",IFERROR(AVERAGEIFS('Avaliação'!$P$5:$P$404,'Avaliação'!$Z$5:$Z$404,$A48&amp;"|"&amp;Config!$B$7&amp;"|"&amp;Config!$A$22),""))</f>
        <v/>
      </c>
      <c r="G48" s="15">
        <f>IF($B48="","",IFERROR(AVERAGEIFS('Avaliação'!$P$5:$P$404,'Avaliação'!$Z$5:$Z$404,$A48&amp;"|"&amp;Config!$B$7&amp;"|"&amp;Config!$A$23),""))</f>
        <v/>
      </c>
      <c r="H48" s="15">
        <f>IF($B48="","",IFERROR(AVERAGEIFS('Avaliação'!$P$5:$P$404,'Avaliação'!$Z$5:$Z$404,$A48&amp;"|"&amp;Config!$B$7&amp;"|"&amp;Config!$A$24),""))</f>
        <v/>
      </c>
      <c r="I48" s="15">
        <f>IF($B48="","",IFERROR(AVERAGEIFS('Avaliação'!$P$5:$P$404,'Avaliação'!$Z$5:$Z$404,$A48&amp;"|"&amp;Config!$B$7&amp;"|"&amp;Config!$A$25),""))</f>
        <v/>
      </c>
      <c r="J48" s="15">
        <f>IF($X48=0,"",$W48/$X48)</f>
        <v/>
      </c>
      <c r="K48" s="15">
        <f>IFERROR(INDEX(Config!$B$30:$B$33,MATCH($C48,Config!$A$30:$A$33,0)),"")</f>
        <v/>
      </c>
      <c r="L48" s="15">
        <f>IF(OR($J48="",$K48=""),"",$J48-$K48)</f>
        <v/>
      </c>
      <c r="M48" s="14">
        <f>IF($J48="","",IF($J48&lt;2.5,"Abaixo",IF($J48&lt;3.5,"Atende",IF($J48&lt;=4.2,"Supera","Referência"))))</f>
        <v/>
      </c>
      <c r="N48" s="14">
        <f>IF($B48="","",COUNTIFS('Ocorrências'!$U$5:$U$604,$A48&amp;"|"&amp;Config!$B$7))</f>
        <v/>
      </c>
      <c r="O48" s="14">
        <f>IF($B48="","",COUNTIFS('Ocorrências'!$U$5:$U$604,$A48&amp;"|"&amp;Config!$B$7,'Ocorrências'!$F$5:$F$604,"Reconhecimento")+COUNTIFS('Ocorrências'!$U$5:$U$604,$A48&amp;"|"&amp;Config!$B$7,'Ocorrências'!$F$5:$F$604,"Positiva"))</f>
        <v/>
      </c>
      <c r="P48" s="14">
        <f>IF($B48="","",COUNTIFS('Ocorrências'!$U$5:$U$604,$A48&amp;"|"&amp;Config!$B$7,'Ocorrências'!$F$5:$F$604,"Ponto de atenção")+COUNTIFS('Ocorrências'!$U$5:$U$604,$A48&amp;"|"&amp;Config!$B$7,'Ocorrências'!$F$5:$F$604,"Incidente"))</f>
        <v/>
      </c>
      <c r="Q48" s="14">
        <f>IF($B48="","",COUNTIFS('Ocorrências'!$U$5:$U$604,$A48&amp;"|"&amp;Config!$B$7,'Ocorrências'!$F$5:$F$604,"Ponto de atenção",'Ocorrências'!$L$5:$L$604,"Não")+COUNTIFS('Ocorrências'!$U$5:$U$604,$A48&amp;"|"&amp;Config!$B$7,'Ocorrências'!$F$5:$F$604,"Incidente",'Ocorrências'!$L$5:$L$604,"Não"))</f>
        <v/>
      </c>
      <c r="R48" s="14">
        <f>IF($B48="","",IF(INDEX(Pessoas!$J$5:$J$64,MATCH($A48,Pessoas!$A$5:$A$64,0))="","nunca",Config!$B$6-INDEX(Pessoas!$J$5:$J$64,MATCH($A48,Pessoas!$A$5:$A$64,0))))</f>
        <v/>
      </c>
      <c r="S48" s="14">
        <f>IF($B48="","",COUNTIFS('Avaliação'!$Y$5:$Y$404,$A48&amp;"|"&amp;Config!$B$7,'Avaliação'!$N$5:$N$404,"&gt;=2"))</f>
        <v/>
      </c>
      <c r="T48" s="14">
        <f>IF($B48="","",COUNTIFS('Avaliação'!$Y$5:$Y$404,$A48&amp;"|"&amp;Config!$B$7,'Avaliação'!$V$5:$V$404,"SEM LASTRO"))</f>
        <v/>
      </c>
      <c r="U48" s="14">
        <f>IF($B48="","",IF(AND($Q48&gt;0,COUNTIFS('Avaliação'!$Y$5:$Y$404,$A48&amp;"|"&amp;Config!$B$7,'Avaliação'!$P$5:$P$404,"&gt;=3")&gt;0),$Q48,0))</f>
        <v/>
      </c>
      <c r="V48" s="14">
        <f>IF($B48="","",IF($U48&gt;0,"Nota sustentada por omissão",IF($T48&gt;0,"Nota sem lastro",IF($J48="","Sem avaliação no ciclo",IF($S48&gt;0,"Calibrar divergência",IF($L48&lt;-0.3,"Abaixo da expectativa",IF($Q48&gt;0,"Negativa não conversada",IF(OR($R48="nunca",$R48&gt;30),"1:1 atrasada","OK"))))))))</f>
        <v/>
      </c>
      <c r="W48" s="15">
        <f>IF(ISNUMBER($F48),$F48*Config!$B$22,0)+IF(ISNUMBER($G48),$G48*Config!$B$23,0)+IF(ISNUMBER($H48),$H48*Config!$B$24,0)+IF(ISNUMBER($I48),$I48*Config!$B$25,0)</f>
        <v/>
      </c>
      <c r="X48" s="15">
        <f>IF(ISNUMBER($F48),Config!$B$22,0)+IF(ISNUMBER($G48),Config!$B$23,0)+IF(ISNUMBER($H48),Config!$B$24,0)+IF(ISNUMBER($I48),Config!$B$25,0)</f>
        <v/>
      </c>
    </row>
    <row r="49">
      <c r="A49" s="14">
        <f>IF(Pessoas!$B47="","",Pessoas!$A47)</f>
        <v/>
      </c>
      <c r="B49" s="14">
        <f>IF(Pessoas!$B47="","",Pessoas!$B47)</f>
        <v/>
      </c>
      <c r="C49" s="14">
        <f>IF(Pessoas!$B47="","",Pessoas!$D47)</f>
        <v/>
      </c>
      <c r="D49" s="14">
        <f>IF(Pessoas!$B47="","",Pessoas!$L47)</f>
        <v/>
      </c>
      <c r="E49" s="14">
        <f>IF(Pessoas!$B47="","",Pessoas!$M47)</f>
        <v/>
      </c>
      <c r="F49" s="15">
        <f>IF($B49="","",IFERROR(AVERAGEIFS('Avaliação'!$P$5:$P$404,'Avaliação'!$Z$5:$Z$404,$A49&amp;"|"&amp;Config!$B$7&amp;"|"&amp;Config!$A$22),""))</f>
        <v/>
      </c>
      <c r="G49" s="15">
        <f>IF($B49="","",IFERROR(AVERAGEIFS('Avaliação'!$P$5:$P$404,'Avaliação'!$Z$5:$Z$404,$A49&amp;"|"&amp;Config!$B$7&amp;"|"&amp;Config!$A$23),""))</f>
        <v/>
      </c>
      <c r="H49" s="15">
        <f>IF($B49="","",IFERROR(AVERAGEIFS('Avaliação'!$P$5:$P$404,'Avaliação'!$Z$5:$Z$404,$A49&amp;"|"&amp;Config!$B$7&amp;"|"&amp;Config!$A$24),""))</f>
        <v/>
      </c>
      <c r="I49" s="15">
        <f>IF($B49="","",IFERROR(AVERAGEIFS('Avaliação'!$P$5:$P$404,'Avaliação'!$Z$5:$Z$404,$A49&amp;"|"&amp;Config!$B$7&amp;"|"&amp;Config!$A$25),""))</f>
        <v/>
      </c>
      <c r="J49" s="15">
        <f>IF($X49=0,"",$W49/$X49)</f>
        <v/>
      </c>
      <c r="K49" s="15">
        <f>IFERROR(INDEX(Config!$B$30:$B$33,MATCH($C49,Config!$A$30:$A$33,0)),"")</f>
        <v/>
      </c>
      <c r="L49" s="15">
        <f>IF(OR($J49="",$K49=""),"",$J49-$K49)</f>
        <v/>
      </c>
      <c r="M49" s="14">
        <f>IF($J49="","",IF($J49&lt;2.5,"Abaixo",IF($J49&lt;3.5,"Atende",IF($J49&lt;=4.2,"Supera","Referência"))))</f>
        <v/>
      </c>
      <c r="N49" s="14">
        <f>IF($B49="","",COUNTIFS('Ocorrências'!$U$5:$U$604,$A49&amp;"|"&amp;Config!$B$7))</f>
        <v/>
      </c>
      <c r="O49" s="14">
        <f>IF($B49="","",COUNTIFS('Ocorrências'!$U$5:$U$604,$A49&amp;"|"&amp;Config!$B$7,'Ocorrências'!$F$5:$F$604,"Reconhecimento")+COUNTIFS('Ocorrências'!$U$5:$U$604,$A49&amp;"|"&amp;Config!$B$7,'Ocorrências'!$F$5:$F$604,"Positiva"))</f>
        <v/>
      </c>
      <c r="P49" s="14">
        <f>IF($B49="","",COUNTIFS('Ocorrências'!$U$5:$U$604,$A49&amp;"|"&amp;Config!$B$7,'Ocorrências'!$F$5:$F$604,"Ponto de atenção")+COUNTIFS('Ocorrências'!$U$5:$U$604,$A49&amp;"|"&amp;Config!$B$7,'Ocorrências'!$F$5:$F$604,"Incidente"))</f>
        <v/>
      </c>
      <c r="Q49" s="14">
        <f>IF($B49="","",COUNTIFS('Ocorrências'!$U$5:$U$604,$A49&amp;"|"&amp;Config!$B$7,'Ocorrências'!$F$5:$F$604,"Ponto de atenção",'Ocorrências'!$L$5:$L$604,"Não")+COUNTIFS('Ocorrências'!$U$5:$U$604,$A49&amp;"|"&amp;Config!$B$7,'Ocorrências'!$F$5:$F$604,"Incidente",'Ocorrências'!$L$5:$L$604,"Não"))</f>
        <v/>
      </c>
      <c r="R49" s="14">
        <f>IF($B49="","",IF(INDEX(Pessoas!$J$5:$J$64,MATCH($A49,Pessoas!$A$5:$A$64,0))="","nunca",Config!$B$6-INDEX(Pessoas!$J$5:$J$64,MATCH($A49,Pessoas!$A$5:$A$64,0))))</f>
        <v/>
      </c>
      <c r="S49" s="14">
        <f>IF($B49="","",COUNTIFS('Avaliação'!$Y$5:$Y$404,$A49&amp;"|"&amp;Config!$B$7,'Avaliação'!$N$5:$N$404,"&gt;=2"))</f>
        <v/>
      </c>
      <c r="T49" s="14">
        <f>IF($B49="","",COUNTIFS('Avaliação'!$Y$5:$Y$404,$A49&amp;"|"&amp;Config!$B$7,'Avaliação'!$V$5:$V$404,"SEM LASTRO"))</f>
        <v/>
      </c>
      <c r="U49" s="14">
        <f>IF($B49="","",IF(AND($Q49&gt;0,COUNTIFS('Avaliação'!$Y$5:$Y$404,$A49&amp;"|"&amp;Config!$B$7,'Avaliação'!$P$5:$P$404,"&gt;=3")&gt;0),$Q49,0))</f>
        <v/>
      </c>
      <c r="V49" s="14">
        <f>IF($B49="","",IF($U49&gt;0,"Nota sustentada por omissão",IF($T49&gt;0,"Nota sem lastro",IF($J49="","Sem avaliação no ciclo",IF($S49&gt;0,"Calibrar divergência",IF($L49&lt;-0.3,"Abaixo da expectativa",IF($Q49&gt;0,"Negativa não conversada",IF(OR($R49="nunca",$R49&gt;30),"1:1 atrasada","OK"))))))))</f>
        <v/>
      </c>
      <c r="W49" s="15">
        <f>IF(ISNUMBER($F49),$F49*Config!$B$22,0)+IF(ISNUMBER($G49),$G49*Config!$B$23,0)+IF(ISNUMBER($H49),$H49*Config!$B$24,0)+IF(ISNUMBER($I49),$I49*Config!$B$25,0)</f>
        <v/>
      </c>
      <c r="X49" s="15">
        <f>IF(ISNUMBER($F49),Config!$B$22,0)+IF(ISNUMBER($G49),Config!$B$23,0)+IF(ISNUMBER($H49),Config!$B$24,0)+IF(ISNUMBER($I49),Config!$B$25,0)</f>
        <v/>
      </c>
    </row>
    <row r="50">
      <c r="A50" s="14">
        <f>IF(Pessoas!$B48="","",Pessoas!$A48)</f>
        <v/>
      </c>
      <c r="B50" s="14">
        <f>IF(Pessoas!$B48="","",Pessoas!$B48)</f>
        <v/>
      </c>
      <c r="C50" s="14">
        <f>IF(Pessoas!$B48="","",Pessoas!$D48)</f>
        <v/>
      </c>
      <c r="D50" s="14">
        <f>IF(Pessoas!$B48="","",Pessoas!$L48)</f>
        <v/>
      </c>
      <c r="E50" s="14">
        <f>IF(Pessoas!$B48="","",Pessoas!$M48)</f>
        <v/>
      </c>
      <c r="F50" s="15">
        <f>IF($B50="","",IFERROR(AVERAGEIFS('Avaliação'!$P$5:$P$404,'Avaliação'!$Z$5:$Z$404,$A50&amp;"|"&amp;Config!$B$7&amp;"|"&amp;Config!$A$22),""))</f>
        <v/>
      </c>
      <c r="G50" s="15">
        <f>IF($B50="","",IFERROR(AVERAGEIFS('Avaliação'!$P$5:$P$404,'Avaliação'!$Z$5:$Z$404,$A50&amp;"|"&amp;Config!$B$7&amp;"|"&amp;Config!$A$23),""))</f>
        <v/>
      </c>
      <c r="H50" s="15">
        <f>IF($B50="","",IFERROR(AVERAGEIFS('Avaliação'!$P$5:$P$404,'Avaliação'!$Z$5:$Z$404,$A50&amp;"|"&amp;Config!$B$7&amp;"|"&amp;Config!$A$24),""))</f>
        <v/>
      </c>
      <c r="I50" s="15">
        <f>IF($B50="","",IFERROR(AVERAGEIFS('Avaliação'!$P$5:$P$404,'Avaliação'!$Z$5:$Z$404,$A50&amp;"|"&amp;Config!$B$7&amp;"|"&amp;Config!$A$25),""))</f>
        <v/>
      </c>
      <c r="J50" s="15">
        <f>IF($X50=0,"",$W50/$X50)</f>
        <v/>
      </c>
      <c r="K50" s="15">
        <f>IFERROR(INDEX(Config!$B$30:$B$33,MATCH($C50,Config!$A$30:$A$33,0)),"")</f>
        <v/>
      </c>
      <c r="L50" s="15">
        <f>IF(OR($J50="",$K50=""),"",$J50-$K50)</f>
        <v/>
      </c>
      <c r="M50" s="14">
        <f>IF($J50="","",IF($J50&lt;2.5,"Abaixo",IF($J50&lt;3.5,"Atende",IF($J50&lt;=4.2,"Supera","Referência"))))</f>
        <v/>
      </c>
      <c r="N50" s="14">
        <f>IF($B50="","",COUNTIFS('Ocorrências'!$U$5:$U$604,$A50&amp;"|"&amp;Config!$B$7))</f>
        <v/>
      </c>
      <c r="O50" s="14">
        <f>IF($B50="","",COUNTIFS('Ocorrências'!$U$5:$U$604,$A50&amp;"|"&amp;Config!$B$7,'Ocorrências'!$F$5:$F$604,"Reconhecimento")+COUNTIFS('Ocorrências'!$U$5:$U$604,$A50&amp;"|"&amp;Config!$B$7,'Ocorrências'!$F$5:$F$604,"Positiva"))</f>
        <v/>
      </c>
      <c r="P50" s="14">
        <f>IF($B50="","",COUNTIFS('Ocorrências'!$U$5:$U$604,$A50&amp;"|"&amp;Config!$B$7,'Ocorrências'!$F$5:$F$604,"Ponto de atenção")+COUNTIFS('Ocorrências'!$U$5:$U$604,$A50&amp;"|"&amp;Config!$B$7,'Ocorrências'!$F$5:$F$604,"Incidente"))</f>
        <v/>
      </c>
      <c r="Q50" s="14">
        <f>IF($B50="","",COUNTIFS('Ocorrências'!$U$5:$U$604,$A50&amp;"|"&amp;Config!$B$7,'Ocorrências'!$F$5:$F$604,"Ponto de atenção",'Ocorrências'!$L$5:$L$604,"Não")+COUNTIFS('Ocorrências'!$U$5:$U$604,$A50&amp;"|"&amp;Config!$B$7,'Ocorrências'!$F$5:$F$604,"Incidente",'Ocorrências'!$L$5:$L$604,"Não"))</f>
        <v/>
      </c>
      <c r="R50" s="14">
        <f>IF($B50="","",IF(INDEX(Pessoas!$J$5:$J$64,MATCH($A50,Pessoas!$A$5:$A$64,0))="","nunca",Config!$B$6-INDEX(Pessoas!$J$5:$J$64,MATCH($A50,Pessoas!$A$5:$A$64,0))))</f>
        <v/>
      </c>
      <c r="S50" s="14">
        <f>IF($B50="","",COUNTIFS('Avaliação'!$Y$5:$Y$404,$A50&amp;"|"&amp;Config!$B$7,'Avaliação'!$N$5:$N$404,"&gt;=2"))</f>
        <v/>
      </c>
      <c r="T50" s="14">
        <f>IF($B50="","",COUNTIFS('Avaliação'!$Y$5:$Y$404,$A50&amp;"|"&amp;Config!$B$7,'Avaliação'!$V$5:$V$404,"SEM LASTRO"))</f>
        <v/>
      </c>
      <c r="U50" s="14">
        <f>IF($B50="","",IF(AND($Q50&gt;0,COUNTIFS('Avaliação'!$Y$5:$Y$404,$A50&amp;"|"&amp;Config!$B$7,'Avaliação'!$P$5:$P$404,"&gt;=3")&gt;0),$Q50,0))</f>
        <v/>
      </c>
      <c r="V50" s="14">
        <f>IF($B50="","",IF($U50&gt;0,"Nota sustentada por omissão",IF($T50&gt;0,"Nota sem lastro",IF($J50="","Sem avaliação no ciclo",IF($S50&gt;0,"Calibrar divergência",IF($L50&lt;-0.3,"Abaixo da expectativa",IF($Q50&gt;0,"Negativa não conversada",IF(OR($R50="nunca",$R50&gt;30),"1:1 atrasada","OK"))))))))</f>
        <v/>
      </c>
      <c r="W50" s="15">
        <f>IF(ISNUMBER($F50),$F50*Config!$B$22,0)+IF(ISNUMBER($G50),$G50*Config!$B$23,0)+IF(ISNUMBER($H50),$H50*Config!$B$24,0)+IF(ISNUMBER($I50),$I50*Config!$B$25,0)</f>
        <v/>
      </c>
      <c r="X50" s="15">
        <f>IF(ISNUMBER($F50),Config!$B$22,0)+IF(ISNUMBER($G50),Config!$B$23,0)+IF(ISNUMBER($H50),Config!$B$24,0)+IF(ISNUMBER($I50),Config!$B$25,0)</f>
        <v/>
      </c>
    </row>
    <row r="51">
      <c r="A51" s="14">
        <f>IF(Pessoas!$B49="","",Pessoas!$A49)</f>
        <v/>
      </c>
      <c r="B51" s="14">
        <f>IF(Pessoas!$B49="","",Pessoas!$B49)</f>
        <v/>
      </c>
      <c r="C51" s="14">
        <f>IF(Pessoas!$B49="","",Pessoas!$D49)</f>
        <v/>
      </c>
      <c r="D51" s="14">
        <f>IF(Pessoas!$B49="","",Pessoas!$L49)</f>
        <v/>
      </c>
      <c r="E51" s="14">
        <f>IF(Pessoas!$B49="","",Pessoas!$M49)</f>
        <v/>
      </c>
      <c r="F51" s="15">
        <f>IF($B51="","",IFERROR(AVERAGEIFS('Avaliação'!$P$5:$P$404,'Avaliação'!$Z$5:$Z$404,$A51&amp;"|"&amp;Config!$B$7&amp;"|"&amp;Config!$A$22),""))</f>
        <v/>
      </c>
      <c r="G51" s="15">
        <f>IF($B51="","",IFERROR(AVERAGEIFS('Avaliação'!$P$5:$P$404,'Avaliação'!$Z$5:$Z$404,$A51&amp;"|"&amp;Config!$B$7&amp;"|"&amp;Config!$A$23),""))</f>
        <v/>
      </c>
      <c r="H51" s="15">
        <f>IF($B51="","",IFERROR(AVERAGEIFS('Avaliação'!$P$5:$P$404,'Avaliação'!$Z$5:$Z$404,$A51&amp;"|"&amp;Config!$B$7&amp;"|"&amp;Config!$A$24),""))</f>
        <v/>
      </c>
      <c r="I51" s="15">
        <f>IF($B51="","",IFERROR(AVERAGEIFS('Avaliação'!$P$5:$P$404,'Avaliação'!$Z$5:$Z$404,$A51&amp;"|"&amp;Config!$B$7&amp;"|"&amp;Config!$A$25),""))</f>
        <v/>
      </c>
      <c r="J51" s="15">
        <f>IF($X51=0,"",$W51/$X51)</f>
        <v/>
      </c>
      <c r="K51" s="15">
        <f>IFERROR(INDEX(Config!$B$30:$B$33,MATCH($C51,Config!$A$30:$A$33,0)),"")</f>
        <v/>
      </c>
      <c r="L51" s="15">
        <f>IF(OR($J51="",$K51=""),"",$J51-$K51)</f>
        <v/>
      </c>
      <c r="M51" s="14">
        <f>IF($J51="","",IF($J51&lt;2.5,"Abaixo",IF($J51&lt;3.5,"Atende",IF($J51&lt;=4.2,"Supera","Referência"))))</f>
        <v/>
      </c>
      <c r="N51" s="14">
        <f>IF($B51="","",COUNTIFS('Ocorrências'!$U$5:$U$604,$A51&amp;"|"&amp;Config!$B$7))</f>
        <v/>
      </c>
      <c r="O51" s="14">
        <f>IF($B51="","",COUNTIFS('Ocorrências'!$U$5:$U$604,$A51&amp;"|"&amp;Config!$B$7,'Ocorrências'!$F$5:$F$604,"Reconhecimento")+COUNTIFS('Ocorrências'!$U$5:$U$604,$A51&amp;"|"&amp;Config!$B$7,'Ocorrências'!$F$5:$F$604,"Positiva"))</f>
        <v/>
      </c>
      <c r="P51" s="14">
        <f>IF($B51="","",COUNTIFS('Ocorrências'!$U$5:$U$604,$A51&amp;"|"&amp;Config!$B$7,'Ocorrências'!$F$5:$F$604,"Ponto de atenção")+COUNTIFS('Ocorrências'!$U$5:$U$604,$A51&amp;"|"&amp;Config!$B$7,'Ocorrências'!$F$5:$F$604,"Incidente"))</f>
        <v/>
      </c>
      <c r="Q51" s="14">
        <f>IF($B51="","",COUNTIFS('Ocorrências'!$U$5:$U$604,$A51&amp;"|"&amp;Config!$B$7,'Ocorrências'!$F$5:$F$604,"Ponto de atenção",'Ocorrências'!$L$5:$L$604,"Não")+COUNTIFS('Ocorrências'!$U$5:$U$604,$A51&amp;"|"&amp;Config!$B$7,'Ocorrências'!$F$5:$F$604,"Incidente",'Ocorrências'!$L$5:$L$604,"Não"))</f>
        <v/>
      </c>
      <c r="R51" s="14">
        <f>IF($B51="","",IF(INDEX(Pessoas!$J$5:$J$64,MATCH($A51,Pessoas!$A$5:$A$64,0))="","nunca",Config!$B$6-INDEX(Pessoas!$J$5:$J$64,MATCH($A51,Pessoas!$A$5:$A$64,0))))</f>
        <v/>
      </c>
      <c r="S51" s="14">
        <f>IF($B51="","",COUNTIFS('Avaliação'!$Y$5:$Y$404,$A51&amp;"|"&amp;Config!$B$7,'Avaliação'!$N$5:$N$404,"&gt;=2"))</f>
        <v/>
      </c>
      <c r="T51" s="14">
        <f>IF($B51="","",COUNTIFS('Avaliação'!$Y$5:$Y$404,$A51&amp;"|"&amp;Config!$B$7,'Avaliação'!$V$5:$V$404,"SEM LASTRO"))</f>
        <v/>
      </c>
      <c r="U51" s="14">
        <f>IF($B51="","",IF(AND($Q51&gt;0,COUNTIFS('Avaliação'!$Y$5:$Y$404,$A51&amp;"|"&amp;Config!$B$7,'Avaliação'!$P$5:$P$404,"&gt;=3")&gt;0),$Q51,0))</f>
        <v/>
      </c>
      <c r="V51" s="14">
        <f>IF($B51="","",IF($U51&gt;0,"Nota sustentada por omissão",IF($T51&gt;0,"Nota sem lastro",IF($J51="","Sem avaliação no ciclo",IF($S51&gt;0,"Calibrar divergência",IF($L51&lt;-0.3,"Abaixo da expectativa",IF($Q51&gt;0,"Negativa não conversada",IF(OR($R51="nunca",$R51&gt;30),"1:1 atrasada","OK"))))))))</f>
        <v/>
      </c>
      <c r="W51" s="15">
        <f>IF(ISNUMBER($F51),$F51*Config!$B$22,0)+IF(ISNUMBER($G51),$G51*Config!$B$23,0)+IF(ISNUMBER($H51),$H51*Config!$B$24,0)+IF(ISNUMBER($I51),$I51*Config!$B$25,0)</f>
        <v/>
      </c>
      <c r="X51" s="15">
        <f>IF(ISNUMBER($F51),Config!$B$22,0)+IF(ISNUMBER($G51),Config!$B$23,0)+IF(ISNUMBER($H51),Config!$B$24,0)+IF(ISNUMBER($I51),Config!$B$25,0)</f>
        <v/>
      </c>
    </row>
    <row r="52">
      <c r="A52" s="14">
        <f>IF(Pessoas!$B50="","",Pessoas!$A50)</f>
        <v/>
      </c>
      <c r="B52" s="14">
        <f>IF(Pessoas!$B50="","",Pessoas!$B50)</f>
        <v/>
      </c>
      <c r="C52" s="14">
        <f>IF(Pessoas!$B50="","",Pessoas!$D50)</f>
        <v/>
      </c>
      <c r="D52" s="14">
        <f>IF(Pessoas!$B50="","",Pessoas!$L50)</f>
        <v/>
      </c>
      <c r="E52" s="14">
        <f>IF(Pessoas!$B50="","",Pessoas!$M50)</f>
        <v/>
      </c>
      <c r="F52" s="15">
        <f>IF($B52="","",IFERROR(AVERAGEIFS('Avaliação'!$P$5:$P$404,'Avaliação'!$Z$5:$Z$404,$A52&amp;"|"&amp;Config!$B$7&amp;"|"&amp;Config!$A$22),""))</f>
        <v/>
      </c>
      <c r="G52" s="15">
        <f>IF($B52="","",IFERROR(AVERAGEIFS('Avaliação'!$P$5:$P$404,'Avaliação'!$Z$5:$Z$404,$A52&amp;"|"&amp;Config!$B$7&amp;"|"&amp;Config!$A$23),""))</f>
        <v/>
      </c>
      <c r="H52" s="15">
        <f>IF($B52="","",IFERROR(AVERAGEIFS('Avaliação'!$P$5:$P$404,'Avaliação'!$Z$5:$Z$404,$A52&amp;"|"&amp;Config!$B$7&amp;"|"&amp;Config!$A$24),""))</f>
        <v/>
      </c>
      <c r="I52" s="15">
        <f>IF($B52="","",IFERROR(AVERAGEIFS('Avaliação'!$P$5:$P$404,'Avaliação'!$Z$5:$Z$404,$A52&amp;"|"&amp;Config!$B$7&amp;"|"&amp;Config!$A$25),""))</f>
        <v/>
      </c>
      <c r="J52" s="15">
        <f>IF($X52=0,"",$W52/$X52)</f>
        <v/>
      </c>
      <c r="K52" s="15">
        <f>IFERROR(INDEX(Config!$B$30:$B$33,MATCH($C52,Config!$A$30:$A$33,0)),"")</f>
        <v/>
      </c>
      <c r="L52" s="15">
        <f>IF(OR($J52="",$K52=""),"",$J52-$K52)</f>
        <v/>
      </c>
      <c r="M52" s="14">
        <f>IF($J52="","",IF($J52&lt;2.5,"Abaixo",IF($J52&lt;3.5,"Atende",IF($J52&lt;=4.2,"Supera","Referência"))))</f>
        <v/>
      </c>
      <c r="N52" s="14">
        <f>IF($B52="","",COUNTIFS('Ocorrências'!$U$5:$U$604,$A52&amp;"|"&amp;Config!$B$7))</f>
        <v/>
      </c>
      <c r="O52" s="14">
        <f>IF($B52="","",COUNTIFS('Ocorrências'!$U$5:$U$604,$A52&amp;"|"&amp;Config!$B$7,'Ocorrências'!$F$5:$F$604,"Reconhecimento")+COUNTIFS('Ocorrências'!$U$5:$U$604,$A52&amp;"|"&amp;Config!$B$7,'Ocorrências'!$F$5:$F$604,"Positiva"))</f>
        <v/>
      </c>
      <c r="P52" s="14">
        <f>IF($B52="","",COUNTIFS('Ocorrências'!$U$5:$U$604,$A52&amp;"|"&amp;Config!$B$7,'Ocorrências'!$F$5:$F$604,"Ponto de atenção")+COUNTIFS('Ocorrências'!$U$5:$U$604,$A52&amp;"|"&amp;Config!$B$7,'Ocorrências'!$F$5:$F$604,"Incidente"))</f>
        <v/>
      </c>
      <c r="Q52" s="14">
        <f>IF($B52="","",COUNTIFS('Ocorrências'!$U$5:$U$604,$A52&amp;"|"&amp;Config!$B$7,'Ocorrências'!$F$5:$F$604,"Ponto de atenção",'Ocorrências'!$L$5:$L$604,"Não")+COUNTIFS('Ocorrências'!$U$5:$U$604,$A52&amp;"|"&amp;Config!$B$7,'Ocorrências'!$F$5:$F$604,"Incidente",'Ocorrências'!$L$5:$L$604,"Não"))</f>
        <v/>
      </c>
      <c r="R52" s="14">
        <f>IF($B52="","",IF(INDEX(Pessoas!$J$5:$J$64,MATCH($A52,Pessoas!$A$5:$A$64,0))="","nunca",Config!$B$6-INDEX(Pessoas!$J$5:$J$64,MATCH($A52,Pessoas!$A$5:$A$64,0))))</f>
        <v/>
      </c>
      <c r="S52" s="14">
        <f>IF($B52="","",COUNTIFS('Avaliação'!$Y$5:$Y$404,$A52&amp;"|"&amp;Config!$B$7,'Avaliação'!$N$5:$N$404,"&gt;=2"))</f>
        <v/>
      </c>
      <c r="T52" s="14">
        <f>IF($B52="","",COUNTIFS('Avaliação'!$Y$5:$Y$404,$A52&amp;"|"&amp;Config!$B$7,'Avaliação'!$V$5:$V$404,"SEM LASTRO"))</f>
        <v/>
      </c>
      <c r="U52" s="14">
        <f>IF($B52="","",IF(AND($Q52&gt;0,COUNTIFS('Avaliação'!$Y$5:$Y$404,$A52&amp;"|"&amp;Config!$B$7,'Avaliação'!$P$5:$P$404,"&gt;=3")&gt;0),$Q52,0))</f>
        <v/>
      </c>
      <c r="V52" s="14">
        <f>IF($B52="","",IF($U52&gt;0,"Nota sustentada por omissão",IF($T52&gt;0,"Nota sem lastro",IF($J52="","Sem avaliação no ciclo",IF($S52&gt;0,"Calibrar divergência",IF($L52&lt;-0.3,"Abaixo da expectativa",IF($Q52&gt;0,"Negativa não conversada",IF(OR($R52="nunca",$R52&gt;30),"1:1 atrasada","OK"))))))))</f>
        <v/>
      </c>
      <c r="W52" s="15">
        <f>IF(ISNUMBER($F52),$F52*Config!$B$22,0)+IF(ISNUMBER($G52),$G52*Config!$B$23,0)+IF(ISNUMBER($H52),$H52*Config!$B$24,0)+IF(ISNUMBER($I52),$I52*Config!$B$25,0)</f>
        <v/>
      </c>
      <c r="X52" s="15">
        <f>IF(ISNUMBER($F52),Config!$B$22,0)+IF(ISNUMBER($G52),Config!$B$23,0)+IF(ISNUMBER($H52),Config!$B$24,0)+IF(ISNUMBER($I52),Config!$B$25,0)</f>
        <v/>
      </c>
    </row>
    <row r="53">
      <c r="A53" s="14">
        <f>IF(Pessoas!$B51="","",Pessoas!$A51)</f>
        <v/>
      </c>
      <c r="B53" s="14">
        <f>IF(Pessoas!$B51="","",Pessoas!$B51)</f>
        <v/>
      </c>
      <c r="C53" s="14">
        <f>IF(Pessoas!$B51="","",Pessoas!$D51)</f>
        <v/>
      </c>
      <c r="D53" s="14">
        <f>IF(Pessoas!$B51="","",Pessoas!$L51)</f>
        <v/>
      </c>
      <c r="E53" s="14">
        <f>IF(Pessoas!$B51="","",Pessoas!$M51)</f>
        <v/>
      </c>
      <c r="F53" s="15">
        <f>IF($B53="","",IFERROR(AVERAGEIFS('Avaliação'!$P$5:$P$404,'Avaliação'!$Z$5:$Z$404,$A53&amp;"|"&amp;Config!$B$7&amp;"|"&amp;Config!$A$22),""))</f>
        <v/>
      </c>
      <c r="G53" s="15">
        <f>IF($B53="","",IFERROR(AVERAGEIFS('Avaliação'!$P$5:$P$404,'Avaliação'!$Z$5:$Z$404,$A53&amp;"|"&amp;Config!$B$7&amp;"|"&amp;Config!$A$23),""))</f>
        <v/>
      </c>
      <c r="H53" s="15">
        <f>IF($B53="","",IFERROR(AVERAGEIFS('Avaliação'!$P$5:$P$404,'Avaliação'!$Z$5:$Z$404,$A53&amp;"|"&amp;Config!$B$7&amp;"|"&amp;Config!$A$24),""))</f>
        <v/>
      </c>
      <c r="I53" s="15">
        <f>IF($B53="","",IFERROR(AVERAGEIFS('Avaliação'!$P$5:$P$404,'Avaliação'!$Z$5:$Z$404,$A53&amp;"|"&amp;Config!$B$7&amp;"|"&amp;Config!$A$25),""))</f>
        <v/>
      </c>
      <c r="J53" s="15">
        <f>IF($X53=0,"",$W53/$X53)</f>
        <v/>
      </c>
      <c r="K53" s="15">
        <f>IFERROR(INDEX(Config!$B$30:$B$33,MATCH($C53,Config!$A$30:$A$33,0)),"")</f>
        <v/>
      </c>
      <c r="L53" s="15">
        <f>IF(OR($J53="",$K53=""),"",$J53-$K53)</f>
        <v/>
      </c>
      <c r="M53" s="14">
        <f>IF($J53="","",IF($J53&lt;2.5,"Abaixo",IF($J53&lt;3.5,"Atende",IF($J53&lt;=4.2,"Supera","Referência"))))</f>
        <v/>
      </c>
      <c r="N53" s="14">
        <f>IF($B53="","",COUNTIFS('Ocorrências'!$U$5:$U$604,$A53&amp;"|"&amp;Config!$B$7))</f>
        <v/>
      </c>
      <c r="O53" s="14">
        <f>IF($B53="","",COUNTIFS('Ocorrências'!$U$5:$U$604,$A53&amp;"|"&amp;Config!$B$7,'Ocorrências'!$F$5:$F$604,"Reconhecimento")+COUNTIFS('Ocorrências'!$U$5:$U$604,$A53&amp;"|"&amp;Config!$B$7,'Ocorrências'!$F$5:$F$604,"Positiva"))</f>
        <v/>
      </c>
      <c r="P53" s="14">
        <f>IF($B53="","",COUNTIFS('Ocorrências'!$U$5:$U$604,$A53&amp;"|"&amp;Config!$B$7,'Ocorrências'!$F$5:$F$604,"Ponto de atenção")+COUNTIFS('Ocorrências'!$U$5:$U$604,$A53&amp;"|"&amp;Config!$B$7,'Ocorrências'!$F$5:$F$604,"Incidente"))</f>
        <v/>
      </c>
      <c r="Q53" s="14">
        <f>IF($B53="","",COUNTIFS('Ocorrências'!$U$5:$U$604,$A53&amp;"|"&amp;Config!$B$7,'Ocorrências'!$F$5:$F$604,"Ponto de atenção",'Ocorrências'!$L$5:$L$604,"Não")+COUNTIFS('Ocorrências'!$U$5:$U$604,$A53&amp;"|"&amp;Config!$B$7,'Ocorrências'!$F$5:$F$604,"Incidente",'Ocorrências'!$L$5:$L$604,"Não"))</f>
        <v/>
      </c>
      <c r="R53" s="14">
        <f>IF($B53="","",IF(INDEX(Pessoas!$J$5:$J$64,MATCH($A53,Pessoas!$A$5:$A$64,0))="","nunca",Config!$B$6-INDEX(Pessoas!$J$5:$J$64,MATCH($A53,Pessoas!$A$5:$A$64,0))))</f>
        <v/>
      </c>
      <c r="S53" s="14">
        <f>IF($B53="","",COUNTIFS('Avaliação'!$Y$5:$Y$404,$A53&amp;"|"&amp;Config!$B$7,'Avaliação'!$N$5:$N$404,"&gt;=2"))</f>
        <v/>
      </c>
      <c r="T53" s="14">
        <f>IF($B53="","",COUNTIFS('Avaliação'!$Y$5:$Y$404,$A53&amp;"|"&amp;Config!$B$7,'Avaliação'!$V$5:$V$404,"SEM LASTRO"))</f>
        <v/>
      </c>
      <c r="U53" s="14">
        <f>IF($B53="","",IF(AND($Q53&gt;0,COUNTIFS('Avaliação'!$Y$5:$Y$404,$A53&amp;"|"&amp;Config!$B$7,'Avaliação'!$P$5:$P$404,"&gt;=3")&gt;0),$Q53,0))</f>
        <v/>
      </c>
      <c r="V53" s="14">
        <f>IF($B53="","",IF($U53&gt;0,"Nota sustentada por omissão",IF($T53&gt;0,"Nota sem lastro",IF($J53="","Sem avaliação no ciclo",IF($S53&gt;0,"Calibrar divergência",IF($L53&lt;-0.3,"Abaixo da expectativa",IF($Q53&gt;0,"Negativa não conversada",IF(OR($R53="nunca",$R53&gt;30),"1:1 atrasada","OK"))))))))</f>
        <v/>
      </c>
      <c r="W53" s="15">
        <f>IF(ISNUMBER($F53),$F53*Config!$B$22,0)+IF(ISNUMBER($G53),$G53*Config!$B$23,0)+IF(ISNUMBER($H53),$H53*Config!$B$24,0)+IF(ISNUMBER($I53),$I53*Config!$B$25,0)</f>
        <v/>
      </c>
      <c r="X53" s="15">
        <f>IF(ISNUMBER($F53),Config!$B$22,0)+IF(ISNUMBER($G53),Config!$B$23,0)+IF(ISNUMBER($H53),Config!$B$24,0)+IF(ISNUMBER($I53),Config!$B$25,0)</f>
        <v/>
      </c>
    </row>
    <row r="54">
      <c r="A54" s="14">
        <f>IF(Pessoas!$B52="","",Pessoas!$A52)</f>
        <v/>
      </c>
      <c r="B54" s="14">
        <f>IF(Pessoas!$B52="","",Pessoas!$B52)</f>
        <v/>
      </c>
      <c r="C54" s="14">
        <f>IF(Pessoas!$B52="","",Pessoas!$D52)</f>
        <v/>
      </c>
      <c r="D54" s="14">
        <f>IF(Pessoas!$B52="","",Pessoas!$L52)</f>
        <v/>
      </c>
      <c r="E54" s="14">
        <f>IF(Pessoas!$B52="","",Pessoas!$M52)</f>
        <v/>
      </c>
      <c r="F54" s="15">
        <f>IF($B54="","",IFERROR(AVERAGEIFS('Avaliação'!$P$5:$P$404,'Avaliação'!$Z$5:$Z$404,$A54&amp;"|"&amp;Config!$B$7&amp;"|"&amp;Config!$A$22),""))</f>
        <v/>
      </c>
      <c r="G54" s="15">
        <f>IF($B54="","",IFERROR(AVERAGEIFS('Avaliação'!$P$5:$P$404,'Avaliação'!$Z$5:$Z$404,$A54&amp;"|"&amp;Config!$B$7&amp;"|"&amp;Config!$A$23),""))</f>
        <v/>
      </c>
      <c r="H54" s="15">
        <f>IF($B54="","",IFERROR(AVERAGEIFS('Avaliação'!$P$5:$P$404,'Avaliação'!$Z$5:$Z$404,$A54&amp;"|"&amp;Config!$B$7&amp;"|"&amp;Config!$A$24),""))</f>
        <v/>
      </c>
      <c r="I54" s="15">
        <f>IF($B54="","",IFERROR(AVERAGEIFS('Avaliação'!$P$5:$P$404,'Avaliação'!$Z$5:$Z$404,$A54&amp;"|"&amp;Config!$B$7&amp;"|"&amp;Config!$A$25),""))</f>
        <v/>
      </c>
      <c r="J54" s="15">
        <f>IF($X54=0,"",$W54/$X54)</f>
        <v/>
      </c>
      <c r="K54" s="15">
        <f>IFERROR(INDEX(Config!$B$30:$B$33,MATCH($C54,Config!$A$30:$A$33,0)),"")</f>
        <v/>
      </c>
      <c r="L54" s="15">
        <f>IF(OR($J54="",$K54=""),"",$J54-$K54)</f>
        <v/>
      </c>
      <c r="M54" s="14">
        <f>IF($J54="","",IF($J54&lt;2.5,"Abaixo",IF($J54&lt;3.5,"Atende",IF($J54&lt;=4.2,"Supera","Referência"))))</f>
        <v/>
      </c>
      <c r="N54" s="14">
        <f>IF($B54="","",COUNTIFS('Ocorrências'!$U$5:$U$604,$A54&amp;"|"&amp;Config!$B$7))</f>
        <v/>
      </c>
      <c r="O54" s="14">
        <f>IF($B54="","",COUNTIFS('Ocorrências'!$U$5:$U$604,$A54&amp;"|"&amp;Config!$B$7,'Ocorrências'!$F$5:$F$604,"Reconhecimento")+COUNTIFS('Ocorrências'!$U$5:$U$604,$A54&amp;"|"&amp;Config!$B$7,'Ocorrências'!$F$5:$F$604,"Positiva"))</f>
        <v/>
      </c>
      <c r="P54" s="14">
        <f>IF($B54="","",COUNTIFS('Ocorrências'!$U$5:$U$604,$A54&amp;"|"&amp;Config!$B$7,'Ocorrências'!$F$5:$F$604,"Ponto de atenção")+COUNTIFS('Ocorrências'!$U$5:$U$604,$A54&amp;"|"&amp;Config!$B$7,'Ocorrências'!$F$5:$F$604,"Incidente"))</f>
        <v/>
      </c>
      <c r="Q54" s="14">
        <f>IF($B54="","",COUNTIFS('Ocorrências'!$U$5:$U$604,$A54&amp;"|"&amp;Config!$B$7,'Ocorrências'!$F$5:$F$604,"Ponto de atenção",'Ocorrências'!$L$5:$L$604,"Não")+COUNTIFS('Ocorrências'!$U$5:$U$604,$A54&amp;"|"&amp;Config!$B$7,'Ocorrências'!$F$5:$F$604,"Incidente",'Ocorrências'!$L$5:$L$604,"Não"))</f>
        <v/>
      </c>
      <c r="R54" s="14">
        <f>IF($B54="","",IF(INDEX(Pessoas!$J$5:$J$64,MATCH($A54,Pessoas!$A$5:$A$64,0))="","nunca",Config!$B$6-INDEX(Pessoas!$J$5:$J$64,MATCH($A54,Pessoas!$A$5:$A$64,0))))</f>
        <v/>
      </c>
      <c r="S54" s="14">
        <f>IF($B54="","",COUNTIFS('Avaliação'!$Y$5:$Y$404,$A54&amp;"|"&amp;Config!$B$7,'Avaliação'!$N$5:$N$404,"&gt;=2"))</f>
        <v/>
      </c>
      <c r="T54" s="14">
        <f>IF($B54="","",COUNTIFS('Avaliação'!$Y$5:$Y$404,$A54&amp;"|"&amp;Config!$B$7,'Avaliação'!$V$5:$V$404,"SEM LASTRO"))</f>
        <v/>
      </c>
      <c r="U54" s="14">
        <f>IF($B54="","",IF(AND($Q54&gt;0,COUNTIFS('Avaliação'!$Y$5:$Y$404,$A54&amp;"|"&amp;Config!$B$7,'Avaliação'!$P$5:$P$404,"&gt;=3")&gt;0),$Q54,0))</f>
        <v/>
      </c>
      <c r="V54" s="14">
        <f>IF($B54="","",IF($U54&gt;0,"Nota sustentada por omissão",IF($T54&gt;0,"Nota sem lastro",IF($J54="","Sem avaliação no ciclo",IF($S54&gt;0,"Calibrar divergência",IF($L54&lt;-0.3,"Abaixo da expectativa",IF($Q54&gt;0,"Negativa não conversada",IF(OR($R54="nunca",$R54&gt;30),"1:1 atrasada","OK"))))))))</f>
        <v/>
      </c>
      <c r="W54" s="15">
        <f>IF(ISNUMBER($F54),$F54*Config!$B$22,0)+IF(ISNUMBER($G54),$G54*Config!$B$23,0)+IF(ISNUMBER($H54),$H54*Config!$B$24,0)+IF(ISNUMBER($I54),$I54*Config!$B$25,0)</f>
        <v/>
      </c>
      <c r="X54" s="15">
        <f>IF(ISNUMBER($F54),Config!$B$22,0)+IF(ISNUMBER($G54),Config!$B$23,0)+IF(ISNUMBER($H54),Config!$B$24,0)+IF(ISNUMBER($I54),Config!$B$25,0)</f>
        <v/>
      </c>
    </row>
    <row r="55">
      <c r="A55" s="14">
        <f>IF(Pessoas!$B53="","",Pessoas!$A53)</f>
        <v/>
      </c>
      <c r="B55" s="14">
        <f>IF(Pessoas!$B53="","",Pessoas!$B53)</f>
        <v/>
      </c>
      <c r="C55" s="14">
        <f>IF(Pessoas!$B53="","",Pessoas!$D53)</f>
        <v/>
      </c>
      <c r="D55" s="14">
        <f>IF(Pessoas!$B53="","",Pessoas!$L53)</f>
        <v/>
      </c>
      <c r="E55" s="14">
        <f>IF(Pessoas!$B53="","",Pessoas!$M53)</f>
        <v/>
      </c>
      <c r="F55" s="15">
        <f>IF($B55="","",IFERROR(AVERAGEIFS('Avaliação'!$P$5:$P$404,'Avaliação'!$Z$5:$Z$404,$A55&amp;"|"&amp;Config!$B$7&amp;"|"&amp;Config!$A$22),""))</f>
        <v/>
      </c>
      <c r="G55" s="15">
        <f>IF($B55="","",IFERROR(AVERAGEIFS('Avaliação'!$P$5:$P$404,'Avaliação'!$Z$5:$Z$404,$A55&amp;"|"&amp;Config!$B$7&amp;"|"&amp;Config!$A$23),""))</f>
        <v/>
      </c>
      <c r="H55" s="15">
        <f>IF($B55="","",IFERROR(AVERAGEIFS('Avaliação'!$P$5:$P$404,'Avaliação'!$Z$5:$Z$404,$A55&amp;"|"&amp;Config!$B$7&amp;"|"&amp;Config!$A$24),""))</f>
        <v/>
      </c>
      <c r="I55" s="15">
        <f>IF($B55="","",IFERROR(AVERAGEIFS('Avaliação'!$P$5:$P$404,'Avaliação'!$Z$5:$Z$404,$A55&amp;"|"&amp;Config!$B$7&amp;"|"&amp;Config!$A$25),""))</f>
        <v/>
      </c>
      <c r="J55" s="15">
        <f>IF($X55=0,"",$W55/$X55)</f>
        <v/>
      </c>
      <c r="K55" s="15">
        <f>IFERROR(INDEX(Config!$B$30:$B$33,MATCH($C55,Config!$A$30:$A$33,0)),"")</f>
        <v/>
      </c>
      <c r="L55" s="15">
        <f>IF(OR($J55="",$K55=""),"",$J55-$K55)</f>
        <v/>
      </c>
      <c r="M55" s="14">
        <f>IF($J55="","",IF($J55&lt;2.5,"Abaixo",IF($J55&lt;3.5,"Atende",IF($J55&lt;=4.2,"Supera","Referência"))))</f>
        <v/>
      </c>
      <c r="N55" s="14">
        <f>IF($B55="","",COUNTIFS('Ocorrências'!$U$5:$U$604,$A55&amp;"|"&amp;Config!$B$7))</f>
        <v/>
      </c>
      <c r="O55" s="14">
        <f>IF($B55="","",COUNTIFS('Ocorrências'!$U$5:$U$604,$A55&amp;"|"&amp;Config!$B$7,'Ocorrências'!$F$5:$F$604,"Reconhecimento")+COUNTIFS('Ocorrências'!$U$5:$U$604,$A55&amp;"|"&amp;Config!$B$7,'Ocorrências'!$F$5:$F$604,"Positiva"))</f>
        <v/>
      </c>
      <c r="P55" s="14">
        <f>IF($B55="","",COUNTIFS('Ocorrências'!$U$5:$U$604,$A55&amp;"|"&amp;Config!$B$7,'Ocorrências'!$F$5:$F$604,"Ponto de atenção")+COUNTIFS('Ocorrências'!$U$5:$U$604,$A55&amp;"|"&amp;Config!$B$7,'Ocorrências'!$F$5:$F$604,"Incidente"))</f>
        <v/>
      </c>
      <c r="Q55" s="14">
        <f>IF($B55="","",COUNTIFS('Ocorrências'!$U$5:$U$604,$A55&amp;"|"&amp;Config!$B$7,'Ocorrências'!$F$5:$F$604,"Ponto de atenção",'Ocorrências'!$L$5:$L$604,"Não")+COUNTIFS('Ocorrências'!$U$5:$U$604,$A55&amp;"|"&amp;Config!$B$7,'Ocorrências'!$F$5:$F$604,"Incidente",'Ocorrências'!$L$5:$L$604,"Não"))</f>
        <v/>
      </c>
      <c r="R55" s="14">
        <f>IF($B55="","",IF(INDEX(Pessoas!$J$5:$J$64,MATCH($A55,Pessoas!$A$5:$A$64,0))="","nunca",Config!$B$6-INDEX(Pessoas!$J$5:$J$64,MATCH($A55,Pessoas!$A$5:$A$64,0))))</f>
        <v/>
      </c>
      <c r="S55" s="14">
        <f>IF($B55="","",COUNTIFS('Avaliação'!$Y$5:$Y$404,$A55&amp;"|"&amp;Config!$B$7,'Avaliação'!$N$5:$N$404,"&gt;=2"))</f>
        <v/>
      </c>
      <c r="T55" s="14">
        <f>IF($B55="","",COUNTIFS('Avaliação'!$Y$5:$Y$404,$A55&amp;"|"&amp;Config!$B$7,'Avaliação'!$V$5:$V$404,"SEM LASTRO"))</f>
        <v/>
      </c>
      <c r="U55" s="14">
        <f>IF($B55="","",IF(AND($Q55&gt;0,COUNTIFS('Avaliação'!$Y$5:$Y$404,$A55&amp;"|"&amp;Config!$B$7,'Avaliação'!$P$5:$P$404,"&gt;=3")&gt;0),$Q55,0))</f>
        <v/>
      </c>
      <c r="V55" s="14">
        <f>IF($B55="","",IF($U55&gt;0,"Nota sustentada por omissão",IF($T55&gt;0,"Nota sem lastro",IF($J55="","Sem avaliação no ciclo",IF($S55&gt;0,"Calibrar divergência",IF($L55&lt;-0.3,"Abaixo da expectativa",IF($Q55&gt;0,"Negativa não conversada",IF(OR($R55="nunca",$R55&gt;30),"1:1 atrasada","OK"))))))))</f>
        <v/>
      </c>
      <c r="W55" s="15">
        <f>IF(ISNUMBER($F55),$F55*Config!$B$22,0)+IF(ISNUMBER($G55),$G55*Config!$B$23,0)+IF(ISNUMBER($H55),$H55*Config!$B$24,0)+IF(ISNUMBER($I55),$I55*Config!$B$25,0)</f>
        <v/>
      </c>
      <c r="X55" s="15">
        <f>IF(ISNUMBER($F55),Config!$B$22,0)+IF(ISNUMBER($G55),Config!$B$23,0)+IF(ISNUMBER($H55),Config!$B$24,0)+IF(ISNUMBER($I55),Config!$B$25,0)</f>
        <v/>
      </c>
    </row>
    <row r="56">
      <c r="A56" s="14">
        <f>IF(Pessoas!$B54="","",Pessoas!$A54)</f>
        <v/>
      </c>
      <c r="B56" s="14">
        <f>IF(Pessoas!$B54="","",Pessoas!$B54)</f>
        <v/>
      </c>
      <c r="C56" s="14">
        <f>IF(Pessoas!$B54="","",Pessoas!$D54)</f>
        <v/>
      </c>
      <c r="D56" s="14">
        <f>IF(Pessoas!$B54="","",Pessoas!$L54)</f>
        <v/>
      </c>
      <c r="E56" s="14">
        <f>IF(Pessoas!$B54="","",Pessoas!$M54)</f>
        <v/>
      </c>
      <c r="F56" s="15">
        <f>IF($B56="","",IFERROR(AVERAGEIFS('Avaliação'!$P$5:$P$404,'Avaliação'!$Z$5:$Z$404,$A56&amp;"|"&amp;Config!$B$7&amp;"|"&amp;Config!$A$22),""))</f>
        <v/>
      </c>
      <c r="G56" s="15">
        <f>IF($B56="","",IFERROR(AVERAGEIFS('Avaliação'!$P$5:$P$404,'Avaliação'!$Z$5:$Z$404,$A56&amp;"|"&amp;Config!$B$7&amp;"|"&amp;Config!$A$23),""))</f>
        <v/>
      </c>
      <c r="H56" s="15">
        <f>IF($B56="","",IFERROR(AVERAGEIFS('Avaliação'!$P$5:$P$404,'Avaliação'!$Z$5:$Z$404,$A56&amp;"|"&amp;Config!$B$7&amp;"|"&amp;Config!$A$24),""))</f>
        <v/>
      </c>
      <c r="I56" s="15">
        <f>IF($B56="","",IFERROR(AVERAGEIFS('Avaliação'!$P$5:$P$404,'Avaliação'!$Z$5:$Z$404,$A56&amp;"|"&amp;Config!$B$7&amp;"|"&amp;Config!$A$25),""))</f>
        <v/>
      </c>
      <c r="J56" s="15">
        <f>IF($X56=0,"",$W56/$X56)</f>
        <v/>
      </c>
      <c r="K56" s="15">
        <f>IFERROR(INDEX(Config!$B$30:$B$33,MATCH($C56,Config!$A$30:$A$33,0)),"")</f>
        <v/>
      </c>
      <c r="L56" s="15">
        <f>IF(OR($J56="",$K56=""),"",$J56-$K56)</f>
        <v/>
      </c>
      <c r="M56" s="14">
        <f>IF($J56="","",IF($J56&lt;2.5,"Abaixo",IF($J56&lt;3.5,"Atende",IF($J56&lt;=4.2,"Supera","Referência"))))</f>
        <v/>
      </c>
      <c r="N56" s="14">
        <f>IF($B56="","",COUNTIFS('Ocorrências'!$U$5:$U$604,$A56&amp;"|"&amp;Config!$B$7))</f>
        <v/>
      </c>
      <c r="O56" s="14">
        <f>IF($B56="","",COUNTIFS('Ocorrências'!$U$5:$U$604,$A56&amp;"|"&amp;Config!$B$7,'Ocorrências'!$F$5:$F$604,"Reconhecimento")+COUNTIFS('Ocorrências'!$U$5:$U$604,$A56&amp;"|"&amp;Config!$B$7,'Ocorrências'!$F$5:$F$604,"Positiva"))</f>
        <v/>
      </c>
      <c r="P56" s="14">
        <f>IF($B56="","",COUNTIFS('Ocorrências'!$U$5:$U$604,$A56&amp;"|"&amp;Config!$B$7,'Ocorrências'!$F$5:$F$604,"Ponto de atenção")+COUNTIFS('Ocorrências'!$U$5:$U$604,$A56&amp;"|"&amp;Config!$B$7,'Ocorrências'!$F$5:$F$604,"Incidente"))</f>
        <v/>
      </c>
      <c r="Q56" s="14">
        <f>IF($B56="","",COUNTIFS('Ocorrências'!$U$5:$U$604,$A56&amp;"|"&amp;Config!$B$7,'Ocorrências'!$F$5:$F$604,"Ponto de atenção",'Ocorrências'!$L$5:$L$604,"Não")+COUNTIFS('Ocorrências'!$U$5:$U$604,$A56&amp;"|"&amp;Config!$B$7,'Ocorrências'!$F$5:$F$604,"Incidente",'Ocorrências'!$L$5:$L$604,"Não"))</f>
        <v/>
      </c>
      <c r="R56" s="14">
        <f>IF($B56="","",IF(INDEX(Pessoas!$J$5:$J$64,MATCH($A56,Pessoas!$A$5:$A$64,0))="","nunca",Config!$B$6-INDEX(Pessoas!$J$5:$J$64,MATCH($A56,Pessoas!$A$5:$A$64,0))))</f>
        <v/>
      </c>
      <c r="S56" s="14">
        <f>IF($B56="","",COUNTIFS('Avaliação'!$Y$5:$Y$404,$A56&amp;"|"&amp;Config!$B$7,'Avaliação'!$N$5:$N$404,"&gt;=2"))</f>
        <v/>
      </c>
      <c r="T56" s="14">
        <f>IF($B56="","",COUNTIFS('Avaliação'!$Y$5:$Y$404,$A56&amp;"|"&amp;Config!$B$7,'Avaliação'!$V$5:$V$404,"SEM LASTRO"))</f>
        <v/>
      </c>
      <c r="U56" s="14">
        <f>IF($B56="","",IF(AND($Q56&gt;0,COUNTIFS('Avaliação'!$Y$5:$Y$404,$A56&amp;"|"&amp;Config!$B$7,'Avaliação'!$P$5:$P$404,"&gt;=3")&gt;0),$Q56,0))</f>
        <v/>
      </c>
      <c r="V56" s="14">
        <f>IF($B56="","",IF($U56&gt;0,"Nota sustentada por omissão",IF($T56&gt;0,"Nota sem lastro",IF($J56="","Sem avaliação no ciclo",IF($S56&gt;0,"Calibrar divergência",IF($L56&lt;-0.3,"Abaixo da expectativa",IF($Q56&gt;0,"Negativa não conversada",IF(OR($R56="nunca",$R56&gt;30),"1:1 atrasada","OK"))))))))</f>
        <v/>
      </c>
      <c r="W56" s="15">
        <f>IF(ISNUMBER($F56),$F56*Config!$B$22,0)+IF(ISNUMBER($G56),$G56*Config!$B$23,0)+IF(ISNUMBER($H56),$H56*Config!$B$24,0)+IF(ISNUMBER($I56),$I56*Config!$B$25,0)</f>
        <v/>
      </c>
      <c r="X56" s="15">
        <f>IF(ISNUMBER($F56),Config!$B$22,0)+IF(ISNUMBER($G56),Config!$B$23,0)+IF(ISNUMBER($H56),Config!$B$24,0)+IF(ISNUMBER($I56),Config!$B$25,0)</f>
        <v/>
      </c>
    </row>
    <row r="57">
      <c r="A57" s="14">
        <f>IF(Pessoas!$B55="","",Pessoas!$A55)</f>
        <v/>
      </c>
      <c r="B57" s="14">
        <f>IF(Pessoas!$B55="","",Pessoas!$B55)</f>
        <v/>
      </c>
      <c r="C57" s="14">
        <f>IF(Pessoas!$B55="","",Pessoas!$D55)</f>
        <v/>
      </c>
      <c r="D57" s="14">
        <f>IF(Pessoas!$B55="","",Pessoas!$L55)</f>
        <v/>
      </c>
      <c r="E57" s="14">
        <f>IF(Pessoas!$B55="","",Pessoas!$M55)</f>
        <v/>
      </c>
      <c r="F57" s="15">
        <f>IF($B57="","",IFERROR(AVERAGEIFS('Avaliação'!$P$5:$P$404,'Avaliação'!$Z$5:$Z$404,$A57&amp;"|"&amp;Config!$B$7&amp;"|"&amp;Config!$A$22),""))</f>
        <v/>
      </c>
      <c r="G57" s="15">
        <f>IF($B57="","",IFERROR(AVERAGEIFS('Avaliação'!$P$5:$P$404,'Avaliação'!$Z$5:$Z$404,$A57&amp;"|"&amp;Config!$B$7&amp;"|"&amp;Config!$A$23),""))</f>
        <v/>
      </c>
      <c r="H57" s="15">
        <f>IF($B57="","",IFERROR(AVERAGEIFS('Avaliação'!$P$5:$P$404,'Avaliação'!$Z$5:$Z$404,$A57&amp;"|"&amp;Config!$B$7&amp;"|"&amp;Config!$A$24),""))</f>
        <v/>
      </c>
      <c r="I57" s="15">
        <f>IF($B57="","",IFERROR(AVERAGEIFS('Avaliação'!$P$5:$P$404,'Avaliação'!$Z$5:$Z$404,$A57&amp;"|"&amp;Config!$B$7&amp;"|"&amp;Config!$A$25),""))</f>
        <v/>
      </c>
      <c r="J57" s="15">
        <f>IF($X57=0,"",$W57/$X57)</f>
        <v/>
      </c>
      <c r="K57" s="15">
        <f>IFERROR(INDEX(Config!$B$30:$B$33,MATCH($C57,Config!$A$30:$A$33,0)),"")</f>
        <v/>
      </c>
      <c r="L57" s="15">
        <f>IF(OR($J57="",$K57=""),"",$J57-$K57)</f>
        <v/>
      </c>
      <c r="M57" s="14">
        <f>IF($J57="","",IF($J57&lt;2.5,"Abaixo",IF($J57&lt;3.5,"Atende",IF($J57&lt;=4.2,"Supera","Referência"))))</f>
        <v/>
      </c>
      <c r="N57" s="14">
        <f>IF($B57="","",COUNTIFS('Ocorrências'!$U$5:$U$604,$A57&amp;"|"&amp;Config!$B$7))</f>
        <v/>
      </c>
      <c r="O57" s="14">
        <f>IF($B57="","",COUNTIFS('Ocorrências'!$U$5:$U$604,$A57&amp;"|"&amp;Config!$B$7,'Ocorrências'!$F$5:$F$604,"Reconhecimento")+COUNTIFS('Ocorrências'!$U$5:$U$604,$A57&amp;"|"&amp;Config!$B$7,'Ocorrências'!$F$5:$F$604,"Positiva"))</f>
        <v/>
      </c>
      <c r="P57" s="14">
        <f>IF($B57="","",COUNTIFS('Ocorrências'!$U$5:$U$604,$A57&amp;"|"&amp;Config!$B$7,'Ocorrências'!$F$5:$F$604,"Ponto de atenção")+COUNTIFS('Ocorrências'!$U$5:$U$604,$A57&amp;"|"&amp;Config!$B$7,'Ocorrências'!$F$5:$F$604,"Incidente"))</f>
        <v/>
      </c>
      <c r="Q57" s="14">
        <f>IF($B57="","",COUNTIFS('Ocorrências'!$U$5:$U$604,$A57&amp;"|"&amp;Config!$B$7,'Ocorrências'!$F$5:$F$604,"Ponto de atenção",'Ocorrências'!$L$5:$L$604,"Não")+COUNTIFS('Ocorrências'!$U$5:$U$604,$A57&amp;"|"&amp;Config!$B$7,'Ocorrências'!$F$5:$F$604,"Incidente",'Ocorrências'!$L$5:$L$604,"Não"))</f>
        <v/>
      </c>
      <c r="R57" s="14">
        <f>IF($B57="","",IF(INDEX(Pessoas!$J$5:$J$64,MATCH($A57,Pessoas!$A$5:$A$64,0))="","nunca",Config!$B$6-INDEX(Pessoas!$J$5:$J$64,MATCH($A57,Pessoas!$A$5:$A$64,0))))</f>
        <v/>
      </c>
      <c r="S57" s="14">
        <f>IF($B57="","",COUNTIFS('Avaliação'!$Y$5:$Y$404,$A57&amp;"|"&amp;Config!$B$7,'Avaliação'!$N$5:$N$404,"&gt;=2"))</f>
        <v/>
      </c>
      <c r="T57" s="14">
        <f>IF($B57="","",COUNTIFS('Avaliação'!$Y$5:$Y$404,$A57&amp;"|"&amp;Config!$B$7,'Avaliação'!$V$5:$V$404,"SEM LASTRO"))</f>
        <v/>
      </c>
      <c r="U57" s="14">
        <f>IF($B57="","",IF(AND($Q57&gt;0,COUNTIFS('Avaliação'!$Y$5:$Y$404,$A57&amp;"|"&amp;Config!$B$7,'Avaliação'!$P$5:$P$404,"&gt;=3")&gt;0),$Q57,0))</f>
        <v/>
      </c>
      <c r="V57" s="14">
        <f>IF($B57="","",IF($U57&gt;0,"Nota sustentada por omissão",IF($T57&gt;0,"Nota sem lastro",IF($J57="","Sem avaliação no ciclo",IF($S57&gt;0,"Calibrar divergência",IF($L57&lt;-0.3,"Abaixo da expectativa",IF($Q57&gt;0,"Negativa não conversada",IF(OR($R57="nunca",$R57&gt;30),"1:1 atrasada","OK"))))))))</f>
        <v/>
      </c>
      <c r="W57" s="15">
        <f>IF(ISNUMBER($F57),$F57*Config!$B$22,0)+IF(ISNUMBER($G57),$G57*Config!$B$23,0)+IF(ISNUMBER($H57),$H57*Config!$B$24,0)+IF(ISNUMBER($I57),$I57*Config!$B$25,0)</f>
        <v/>
      </c>
      <c r="X57" s="15">
        <f>IF(ISNUMBER($F57),Config!$B$22,0)+IF(ISNUMBER($G57),Config!$B$23,0)+IF(ISNUMBER($H57),Config!$B$24,0)+IF(ISNUMBER($I57),Config!$B$25,0)</f>
        <v/>
      </c>
    </row>
    <row r="58">
      <c r="A58" s="14">
        <f>IF(Pessoas!$B56="","",Pessoas!$A56)</f>
        <v/>
      </c>
      <c r="B58" s="14">
        <f>IF(Pessoas!$B56="","",Pessoas!$B56)</f>
        <v/>
      </c>
      <c r="C58" s="14">
        <f>IF(Pessoas!$B56="","",Pessoas!$D56)</f>
        <v/>
      </c>
      <c r="D58" s="14">
        <f>IF(Pessoas!$B56="","",Pessoas!$L56)</f>
        <v/>
      </c>
      <c r="E58" s="14">
        <f>IF(Pessoas!$B56="","",Pessoas!$M56)</f>
        <v/>
      </c>
      <c r="F58" s="15">
        <f>IF($B58="","",IFERROR(AVERAGEIFS('Avaliação'!$P$5:$P$404,'Avaliação'!$Z$5:$Z$404,$A58&amp;"|"&amp;Config!$B$7&amp;"|"&amp;Config!$A$22),""))</f>
        <v/>
      </c>
      <c r="G58" s="15">
        <f>IF($B58="","",IFERROR(AVERAGEIFS('Avaliação'!$P$5:$P$404,'Avaliação'!$Z$5:$Z$404,$A58&amp;"|"&amp;Config!$B$7&amp;"|"&amp;Config!$A$23),""))</f>
        <v/>
      </c>
      <c r="H58" s="15">
        <f>IF($B58="","",IFERROR(AVERAGEIFS('Avaliação'!$P$5:$P$404,'Avaliação'!$Z$5:$Z$404,$A58&amp;"|"&amp;Config!$B$7&amp;"|"&amp;Config!$A$24),""))</f>
        <v/>
      </c>
      <c r="I58" s="15">
        <f>IF($B58="","",IFERROR(AVERAGEIFS('Avaliação'!$P$5:$P$404,'Avaliação'!$Z$5:$Z$404,$A58&amp;"|"&amp;Config!$B$7&amp;"|"&amp;Config!$A$25),""))</f>
        <v/>
      </c>
      <c r="J58" s="15">
        <f>IF($X58=0,"",$W58/$X58)</f>
        <v/>
      </c>
      <c r="K58" s="15">
        <f>IFERROR(INDEX(Config!$B$30:$B$33,MATCH($C58,Config!$A$30:$A$33,0)),"")</f>
        <v/>
      </c>
      <c r="L58" s="15">
        <f>IF(OR($J58="",$K58=""),"",$J58-$K58)</f>
        <v/>
      </c>
      <c r="M58" s="14">
        <f>IF($J58="","",IF($J58&lt;2.5,"Abaixo",IF($J58&lt;3.5,"Atende",IF($J58&lt;=4.2,"Supera","Referência"))))</f>
        <v/>
      </c>
      <c r="N58" s="14">
        <f>IF($B58="","",COUNTIFS('Ocorrências'!$U$5:$U$604,$A58&amp;"|"&amp;Config!$B$7))</f>
        <v/>
      </c>
      <c r="O58" s="14">
        <f>IF($B58="","",COUNTIFS('Ocorrências'!$U$5:$U$604,$A58&amp;"|"&amp;Config!$B$7,'Ocorrências'!$F$5:$F$604,"Reconhecimento")+COUNTIFS('Ocorrências'!$U$5:$U$604,$A58&amp;"|"&amp;Config!$B$7,'Ocorrências'!$F$5:$F$604,"Positiva"))</f>
        <v/>
      </c>
      <c r="P58" s="14">
        <f>IF($B58="","",COUNTIFS('Ocorrências'!$U$5:$U$604,$A58&amp;"|"&amp;Config!$B$7,'Ocorrências'!$F$5:$F$604,"Ponto de atenção")+COUNTIFS('Ocorrências'!$U$5:$U$604,$A58&amp;"|"&amp;Config!$B$7,'Ocorrências'!$F$5:$F$604,"Incidente"))</f>
        <v/>
      </c>
      <c r="Q58" s="14">
        <f>IF($B58="","",COUNTIFS('Ocorrências'!$U$5:$U$604,$A58&amp;"|"&amp;Config!$B$7,'Ocorrências'!$F$5:$F$604,"Ponto de atenção",'Ocorrências'!$L$5:$L$604,"Não")+COUNTIFS('Ocorrências'!$U$5:$U$604,$A58&amp;"|"&amp;Config!$B$7,'Ocorrências'!$F$5:$F$604,"Incidente",'Ocorrências'!$L$5:$L$604,"Não"))</f>
        <v/>
      </c>
      <c r="R58" s="14">
        <f>IF($B58="","",IF(INDEX(Pessoas!$J$5:$J$64,MATCH($A58,Pessoas!$A$5:$A$64,0))="","nunca",Config!$B$6-INDEX(Pessoas!$J$5:$J$64,MATCH($A58,Pessoas!$A$5:$A$64,0))))</f>
        <v/>
      </c>
      <c r="S58" s="14">
        <f>IF($B58="","",COUNTIFS('Avaliação'!$Y$5:$Y$404,$A58&amp;"|"&amp;Config!$B$7,'Avaliação'!$N$5:$N$404,"&gt;=2"))</f>
        <v/>
      </c>
      <c r="T58" s="14">
        <f>IF($B58="","",COUNTIFS('Avaliação'!$Y$5:$Y$404,$A58&amp;"|"&amp;Config!$B$7,'Avaliação'!$V$5:$V$404,"SEM LASTRO"))</f>
        <v/>
      </c>
      <c r="U58" s="14">
        <f>IF($B58="","",IF(AND($Q58&gt;0,COUNTIFS('Avaliação'!$Y$5:$Y$404,$A58&amp;"|"&amp;Config!$B$7,'Avaliação'!$P$5:$P$404,"&gt;=3")&gt;0),$Q58,0))</f>
        <v/>
      </c>
      <c r="V58" s="14">
        <f>IF($B58="","",IF($U58&gt;0,"Nota sustentada por omissão",IF($T58&gt;0,"Nota sem lastro",IF($J58="","Sem avaliação no ciclo",IF($S58&gt;0,"Calibrar divergência",IF($L58&lt;-0.3,"Abaixo da expectativa",IF($Q58&gt;0,"Negativa não conversada",IF(OR($R58="nunca",$R58&gt;30),"1:1 atrasada","OK"))))))))</f>
        <v/>
      </c>
      <c r="W58" s="15">
        <f>IF(ISNUMBER($F58),$F58*Config!$B$22,0)+IF(ISNUMBER($G58),$G58*Config!$B$23,0)+IF(ISNUMBER($H58),$H58*Config!$B$24,0)+IF(ISNUMBER($I58),$I58*Config!$B$25,0)</f>
        <v/>
      </c>
      <c r="X58" s="15">
        <f>IF(ISNUMBER($F58),Config!$B$22,0)+IF(ISNUMBER($G58),Config!$B$23,0)+IF(ISNUMBER($H58),Config!$B$24,0)+IF(ISNUMBER($I58),Config!$B$25,0)</f>
        <v/>
      </c>
    </row>
    <row r="59">
      <c r="A59" s="14">
        <f>IF(Pessoas!$B57="","",Pessoas!$A57)</f>
        <v/>
      </c>
      <c r="B59" s="14">
        <f>IF(Pessoas!$B57="","",Pessoas!$B57)</f>
        <v/>
      </c>
      <c r="C59" s="14">
        <f>IF(Pessoas!$B57="","",Pessoas!$D57)</f>
        <v/>
      </c>
      <c r="D59" s="14">
        <f>IF(Pessoas!$B57="","",Pessoas!$L57)</f>
        <v/>
      </c>
      <c r="E59" s="14">
        <f>IF(Pessoas!$B57="","",Pessoas!$M57)</f>
        <v/>
      </c>
      <c r="F59" s="15">
        <f>IF($B59="","",IFERROR(AVERAGEIFS('Avaliação'!$P$5:$P$404,'Avaliação'!$Z$5:$Z$404,$A59&amp;"|"&amp;Config!$B$7&amp;"|"&amp;Config!$A$22),""))</f>
        <v/>
      </c>
      <c r="G59" s="15">
        <f>IF($B59="","",IFERROR(AVERAGEIFS('Avaliação'!$P$5:$P$404,'Avaliação'!$Z$5:$Z$404,$A59&amp;"|"&amp;Config!$B$7&amp;"|"&amp;Config!$A$23),""))</f>
        <v/>
      </c>
      <c r="H59" s="15">
        <f>IF($B59="","",IFERROR(AVERAGEIFS('Avaliação'!$P$5:$P$404,'Avaliação'!$Z$5:$Z$404,$A59&amp;"|"&amp;Config!$B$7&amp;"|"&amp;Config!$A$24),""))</f>
        <v/>
      </c>
      <c r="I59" s="15">
        <f>IF($B59="","",IFERROR(AVERAGEIFS('Avaliação'!$P$5:$P$404,'Avaliação'!$Z$5:$Z$404,$A59&amp;"|"&amp;Config!$B$7&amp;"|"&amp;Config!$A$25),""))</f>
        <v/>
      </c>
      <c r="J59" s="15">
        <f>IF($X59=0,"",$W59/$X59)</f>
        <v/>
      </c>
      <c r="K59" s="15">
        <f>IFERROR(INDEX(Config!$B$30:$B$33,MATCH($C59,Config!$A$30:$A$33,0)),"")</f>
        <v/>
      </c>
      <c r="L59" s="15">
        <f>IF(OR($J59="",$K59=""),"",$J59-$K59)</f>
        <v/>
      </c>
      <c r="M59" s="14">
        <f>IF($J59="","",IF($J59&lt;2.5,"Abaixo",IF($J59&lt;3.5,"Atende",IF($J59&lt;=4.2,"Supera","Referência"))))</f>
        <v/>
      </c>
      <c r="N59" s="14">
        <f>IF($B59="","",COUNTIFS('Ocorrências'!$U$5:$U$604,$A59&amp;"|"&amp;Config!$B$7))</f>
        <v/>
      </c>
      <c r="O59" s="14">
        <f>IF($B59="","",COUNTIFS('Ocorrências'!$U$5:$U$604,$A59&amp;"|"&amp;Config!$B$7,'Ocorrências'!$F$5:$F$604,"Reconhecimento")+COUNTIFS('Ocorrências'!$U$5:$U$604,$A59&amp;"|"&amp;Config!$B$7,'Ocorrências'!$F$5:$F$604,"Positiva"))</f>
        <v/>
      </c>
      <c r="P59" s="14">
        <f>IF($B59="","",COUNTIFS('Ocorrências'!$U$5:$U$604,$A59&amp;"|"&amp;Config!$B$7,'Ocorrências'!$F$5:$F$604,"Ponto de atenção")+COUNTIFS('Ocorrências'!$U$5:$U$604,$A59&amp;"|"&amp;Config!$B$7,'Ocorrências'!$F$5:$F$604,"Incidente"))</f>
        <v/>
      </c>
      <c r="Q59" s="14">
        <f>IF($B59="","",COUNTIFS('Ocorrências'!$U$5:$U$604,$A59&amp;"|"&amp;Config!$B$7,'Ocorrências'!$F$5:$F$604,"Ponto de atenção",'Ocorrências'!$L$5:$L$604,"Não")+COUNTIFS('Ocorrências'!$U$5:$U$604,$A59&amp;"|"&amp;Config!$B$7,'Ocorrências'!$F$5:$F$604,"Incidente",'Ocorrências'!$L$5:$L$604,"Não"))</f>
        <v/>
      </c>
      <c r="R59" s="14">
        <f>IF($B59="","",IF(INDEX(Pessoas!$J$5:$J$64,MATCH($A59,Pessoas!$A$5:$A$64,0))="","nunca",Config!$B$6-INDEX(Pessoas!$J$5:$J$64,MATCH($A59,Pessoas!$A$5:$A$64,0))))</f>
        <v/>
      </c>
      <c r="S59" s="14">
        <f>IF($B59="","",COUNTIFS('Avaliação'!$Y$5:$Y$404,$A59&amp;"|"&amp;Config!$B$7,'Avaliação'!$N$5:$N$404,"&gt;=2"))</f>
        <v/>
      </c>
      <c r="T59" s="14">
        <f>IF($B59="","",COUNTIFS('Avaliação'!$Y$5:$Y$404,$A59&amp;"|"&amp;Config!$B$7,'Avaliação'!$V$5:$V$404,"SEM LASTRO"))</f>
        <v/>
      </c>
      <c r="U59" s="14">
        <f>IF($B59="","",IF(AND($Q59&gt;0,COUNTIFS('Avaliação'!$Y$5:$Y$404,$A59&amp;"|"&amp;Config!$B$7,'Avaliação'!$P$5:$P$404,"&gt;=3")&gt;0),$Q59,0))</f>
        <v/>
      </c>
      <c r="V59" s="14">
        <f>IF($B59="","",IF($U59&gt;0,"Nota sustentada por omissão",IF($T59&gt;0,"Nota sem lastro",IF($J59="","Sem avaliação no ciclo",IF($S59&gt;0,"Calibrar divergência",IF($L59&lt;-0.3,"Abaixo da expectativa",IF($Q59&gt;0,"Negativa não conversada",IF(OR($R59="nunca",$R59&gt;30),"1:1 atrasada","OK"))))))))</f>
        <v/>
      </c>
      <c r="W59" s="15">
        <f>IF(ISNUMBER($F59),$F59*Config!$B$22,0)+IF(ISNUMBER($G59),$G59*Config!$B$23,0)+IF(ISNUMBER($H59),$H59*Config!$B$24,0)+IF(ISNUMBER($I59),$I59*Config!$B$25,0)</f>
        <v/>
      </c>
      <c r="X59" s="15">
        <f>IF(ISNUMBER($F59),Config!$B$22,0)+IF(ISNUMBER($G59),Config!$B$23,0)+IF(ISNUMBER($H59),Config!$B$24,0)+IF(ISNUMBER($I59),Config!$B$25,0)</f>
        <v/>
      </c>
    </row>
    <row r="60">
      <c r="A60" s="14">
        <f>IF(Pessoas!$B58="","",Pessoas!$A58)</f>
        <v/>
      </c>
      <c r="B60" s="14">
        <f>IF(Pessoas!$B58="","",Pessoas!$B58)</f>
        <v/>
      </c>
      <c r="C60" s="14">
        <f>IF(Pessoas!$B58="","",Pessoas!$D58)</f>
        <v/>
      </c>
      <c r="D60" s="14">
        <f>IF(Pessoas!$B58="","",Pessoas!$L58)</f>
        <v/>
      </c>
      <c r="E60" s="14">
        <f>IF(Pessoas!$B58="","",Pessoas!$M58)</f>
        <v/>
      </c>
      <c r="F60" s="15">
        <f>IF($B60="","",IFERROR(AVERAGEIFS('Avaliação'!$P$5:$P$404,'Avaliação'!$Z$5:$Z$404,$A60&amp;"|"&amp;Config!$B$7&amp;"|"&amp;Config!$A$22),""))</f>
        <v/>
      </c>
      <c r="G60" s="15">
        <f>IF($B60="","",IFERROR(AVERAGEIFS('Avaliação'!$P$5:$P$404,'Avaliação'!$Z$5:$Z$404,$A60&amp;"|"&amp;Config!$B$7&amp;"|"&amp;Config!$A$23),""))</f>
        <v/>
      </c>
      <c r="H60" s="15">
        <f>IF($B60="","",IFERROR(AVERAGEIFS('Avaliação'!$P$5:$P$404,'Avaliação'!$Z$5:$Z$404,$A60&amp;"|"&amp;Config!$B$7&amp;"|"&amp;Config!$A$24),""))</f>
        <v/>
      </c>
      <c r="I60" s="15">
        <f>IF($B60="","",IFERROR(AVERAGEIFS('Avaliação'!$P$5:$P$404,'Avaliação'!$Z$5:$Z$404,$A60&amp;"|"&amp;Config!$B$7&amp;"|"&amp;Config!$A$25),""))</f>
        <v/>
      </c>
      <c r="J60" s="15">
        <f>IF($X60=0,"",$W60/$X60)</f>
        <v/>
      </c>
      <c r="K60" s="15">
        <f>IFERROR(INDEX(Config!$B$30:$B$33,MATCH($C60,Config!$A$30:$A$33,0)),"")</f>
        <v/>
      </c>
      <c r="L60" s="15">
        <f>IF(OR($J60="",$K60=""),"",$J60-$K60)</f>
        <v/>
      </c>
      <c r="M60" s="14">
        <f>IF($J60="","",IF($J60&lt;2.5,"Abaixo",IF($J60&lt;3.5,"Atende",IF($J60&lt;=4.2,"Supera","Referência"))))</f>
        <v/>
      </c>
      <c r="N60" s="14">
        <f>IF($B60="","",COUNTIFS('Ocorrências'!$U$5:$U$604,$A60&amp;"|"&amp;Config!$B$7))</f>
        <v/>
      </c>
      <c r="O60" s="14">
        <f>IF($B60="","",COUNTIFS('Ocorrências'!$U$5:$U$604,$A60&amp;"|"&amp;Config!$B$7,'Ocorrências'!$F$5:$F$604,"Reconhecimento")+COUNTIFS('Ocorrências'!$U$5:$U$604,$A60&amp;"|"&amp;Config!$B$7,'Ocorrências'!$F$5:$F$604,"Positiva"))</f>
        <v/>
      </c>
      <c r="P60" s="14">
        <f>IF($B60="","",COUNTIFS('Ocorrências'!$U$5:$U$604,$A60&amp;"|"&amp;Config!$B$7,'Ocorrências'!$F$5:$F$604,"Ponto de atenção")+COUNTIFS('Ocorrências'!$U$5:$U$604,$A60&amp;"|"&amp;Config!$B$7,'Ocorrências'!$F$5:$F$604,"Incidente"))</f>
        <v/>
      </c>
      <c r="Q60" s="14">
        <f>IF($B60="","",COUNTIFS('Ocorrências'!$U$5:$U$604,$A60&amp;"|"&amp;Config!$B$7,'Ocorrências'!$F$5:$F$604,"Ponto de atenção",'Ocorrências'!$L$5:$L$604,"Não")+COUNTIFS('Ocorrências'!$U$5:$U$604,$A60&amp;"|"&amp;Config!$B$7,'Ocorrências'!$F$5:$F$604,"Incidente",'Ocorrências'!$L$5:$L$604,"Não"))</f>
        <v/>
      </c>
      <c r="R60" s="14">
        <f>IF($B60="","",IF(INDEX(Pessoas!$J$5:$J$64,MATCH($A60,Pessoas!$A$5:$A$64,0))="","nunca",Config!$B$6-INDEX(Pessoas!$J$5:$J$64,MATCH($A60,Pessoas!$A$5:$A$64,0))))</f>
        <v/>
      </c>
      <c r="S60" s="14">
        <f>IF($B60="","",COUNTIFS('Avaliação'!$Y$5:$Y$404,$A60&amp;"|"&amp;Config!$B$7,'Avaliação'!$N$5:$N$404,"&gt;=2"))</f>
        <v/>
      </c>
      <c r="T60" s="14">
        <f>IF($B60="","",COUNTIFS('Avaliação'!$Y$5:$Y$404,$A60&amp;"|"&amp;Config!$B$7,'Avaliação'!$V$5:$V$404,"SEM LASTRO"))</f>
        <v/>
      </c>
      <c r="U60" s="14">
        <f>IF($B60="","",IF(AND($Q60&gt;0,COUNTIFS('Avaliação'!$Y$5:$Y$404,$A60&amp;"|"&amp;Config!$B$7,'Avaliação'!$P$5:$P$404,"&gt;=3")&gt;0),$Q60,0))</f>
        <v/>
      </c>
      <c r="V60" s="14">
        <f>IF($B60="","",IF($U60&gt;0,"Nota sustentada por omissão",IF($T60&gt;0,"Nota sem lastro",IF($J60="","Sem avaliação no ciclo",IF($S60&gt;0,"Calibrar divergência",IF($L60&lt;-0.3,"Abaixo da expectativa",IF($Q60&gt;0,"Negativa não conversada",IF(OR($R60="nunca",$R60&gt;30),"1:1 atrasada","OK"))))))))</f>
        <v/>
      </c>
      <c r="W60" s="15">
        <f>IF(ISNUMBER($F60),$F60*Config!$B$22,0)+IF(ISNUMBER($G60),$G60*Config!$B$23,0)+IF(ISNUMBER($H60),$H60*Config!$B$24,0)+IF(ISNUMBER($I60),$I60*Config!$B$25,0)</f>
        <v/>
      </c>
      <c r="X60" s="15">
        <f>IF(ISNUMBER($F60),Config!$B$22,0)+IF(ISNUMBER($G60),Config!$B$23,0)+IF(ISNUMBER($H60),Config!$B$24,0)+IF(ISNUMBER($I60),Config!$B$25,0)</f>
        <v/>
      </c>
    </row>
    <row r="61">
      <c r="A61" s="14">
        <f>IF(Pessoas!$B59="","",Pessoas!$A59)</f>
        <v/>
      </c>
      <c r="B61" s="14">
        <f>IF(Pessoas!$B59="","",Pessoas!$B59)</f>
        <v/>
      </c>
      <c r="C61" s="14">
        <f>IF(Pessoas!$B59="","",Pessoas!$D59)</f>
        <v/>
      </c>
      <c r="D61" s="14">
        <f>IF(Pessoas!$B59="","",Pessoas!$L59)</f>
        <v/>
      </c>
      <c r="E61" s="14">
        <f>IF(Pessoas!$B59="","",Pessoas!$M59)</f>
        <v/>
      </c>
      <c r="F61" s="15">
        <f>IF($B61="","",IFERROR(AVERAGEIFS('Avaliação'!$P$5:$P$404,'Avaliação'!$Z$5:$Z$404,$A61&amp;"|"&amp;Config!$B$7&amp;"|"&amp;Config!$A$22),""))</f>
        <v/>
      </c>
      <c r="G61" s="15">
        <f>IF($B61="","",IFERROR(AVERAGEIFS('Avaliação'!$P$5:$P$404,'Avaliação'!$Z$5:$Z$404,$A61&amp;"|"&amp;Config!$B$7&amp;"|"&amp;Config!$A$23),""))</f>
        <v/>
      </c>
      <c r="H61" s="15">
        <f>IF($B61="","",IFERROR(AVERAGEIFS('Avaliação'!$P$5:$P$404,'Avaliação'!$Z$5:$Z$404,$A61&amp;"|"&amp;Config!$B$7&amp;"|"&amp;Config!$A$24),""))</f>
        <v/>
      </c>
      <c r="I61" s="15">
        <f>IF($B61="","",IFERROR(AVERAGEIFS('Avaliação'!$P$5:$P$404,'Avaliação'!$Z$5:$Z$404,$A61&amp;"|"&amp;Config!$B$7&amp;"|"&amp;Config!$A$25),""))</f>
        <v/>
      </c>
      <c r="J61" s="15">
        <f>IF($X61=0,"",$W61/$X61)</f>
        <v/>
      </c>
      <c r="K61" s="15">
        <f>IFERROR(INDEX(Config!$B$30:$B$33,MATCH($C61,Config!$A$30:$A$33,0)),"")</f>
        <v/>
      </c>
      <c r="L61" s="15">
        <f>IF(OR($J61="",$K61=""),"",$J61-$K61)</f>
        <v/>
      </c>
      <c r="M61" s="14">
        <f>IF($J61="","",IF($J61&lt;2.5,"Abaixo",IF($J61&lt;3.5,"Atende",IF($J61&lt;=4.2,"Supera","Referência"))))</f>
        <v/>
      </c>
      <c r="N61" s="14">
        <f>IF($B61="","",COUNTIFS('Ocorrências'!$U$5:$U$604,$A61&amp;"|"&amp;Config!$B$7))</f>
        <v/>
      </c>
      <c r="O61" s="14">
        <f>IF($B61="","",COUNTIFS('Ocorrências'!$U$5:$U$604,$A61&amp;"|"&amp;Config!$B$7,'Ocorrências'!$F$5:$F$604,"Reconhecimento")+COUNTIFS('Ocorrências'!$U$5:$U$604,$A61&amp;"|"&amp;Config!$B$7,'Ocorrências'!$F$5:$F$604,"Positiva"))</f>
        <v/>
      </c>
      <c r="P61" s="14">
        <f>IF($B61="","",COUNTIFS('Ocorrências'!$U$5:$U$604,$A61&amp;"|"&amp;Config!$B$7,'Ocorrências'!$F$5:$F$604,"Ponto de atenção")+COUNTIFS('Ocorrências'!$U$5:$U$604,$A61&amp;"|"&amp;Config!$B$7,'Ocorrências'!$F$5:$F$604,"Incidente"))</f>
        <v/>
      </c>
      <c r="Q61" s="14">
        <f>IF($B61="","",COUNTIFS('Ocorrências'!$U$5:$U$604,$A61&amp;"|"&amp;Config!$B$7,'Ocorrências'!$F$5:$F$604,"Ponto de atenção",'Ocorrências'!$L$5:$L$604,"Não")+COUNTIFS('Ocorrências'!$U$5:$U$604,$A61&amp;"|"&amp;Config!$B$7,'Ocorrências'!$F$5:$F$604,"Incidente",'Ocorrências'!$L$5:$L$604,"Não"))</f>
        <v/>
      </c>
      <c r="R61" s="14">
        <f>IF($B61="","",IF(INDEX(Pessoas!$J$5:$J$64,MATCH($A61,Pessoas!$A$5:$A$64,0))="","nunca",Config!$B$6-INDEX(Pessoas!$J$5:$J$64,MATCH($A61,Pessoas!$A$5:$A$64,0))))</f>
        <v/>
      </c>
      <c r="S61" s="14">
        <f>IF($B61="","",COUNTIFS('Avaliação'!$Y$5:$Y$404,$A61&amp;"|"&amp;Config!$B$7,'Avaliação'!$N$5:$N$404,"&gt;=2"))</f>
        <v/>
      </c>
      <c r="T61" s="14">
        <f>IF($B61="","",COUNTIFS('Avaliação'!$Y$5:$Y$404,$A61&amp;"|"&amp;Config!$B$7,'Avaliação'!$V$5:$V$404,"SEM LASTRO"))</f>
        <v/>
      </c>
      <c r="U61" s="14">
        <f>IF($B61="","",IF(AND($Q61&gt;0,COUNTIFS('Avaliação'!$Y$5:$Y$404,$A61&amp;"|"&amp;Config!$B$7,'Avaliação'!$P$5:$P$404,"&gt;=3")&gt;0),$Q61,0))</f>
        <v/>
      </c>
      <c r="V61" s="14">
        <f>IF($B61="","",IF($U61&gt;0,"Nota sustentada por omissão",IF($T61&gt;0,"Nota sem lastro",IF($J61="","Sem avaliação no ciclo",IF($S61&gt;0,"Calibrar divergência",IF($L61&lt;-0.3,"Abaixo da expectativa",IF($Q61&gt;0,"Negativa não conversada",IF(OR($R61="nunca",$R61&gt;30),"1:1 atrasada","OK"))))))))</f>
        <v/>
      </c>
      <c r="W61" s="15">
        <f>IF(ISNUMBER($F61),$F61*Config!$B$22,0)+IF(ISNUMBER($G61),$G61*Config!$B$23,0)+IF(ISNUMBER($H61),$H61*Config!$B$24,0)+IF(ISNUMBER($I61),$I61*Config!$B$25,0)</f>
        <v/>
      </c>
      <c r="X61" s="15">
        <f>IF(ISNUMBER($F61),Config!$B$22,0)+IF(ISNUMBER($G61),Config!$B$23,0)+IF(ISNUMBER($H61),Config!$B$24,0)+IF(ISNUMBER($I61),Config!$B$25,0)</f>
        <v/>
      </c>
    </row>
    <row r="62">
      <c r="A62" s="14">
        <f>IF(Pessoas!$B60="","",Pessoas!$A60)</f>
        <v/>
      </c>
      <c r="B62" s="14">
        <f>IF(Pessoas!$B60="","",Pessoas!$B60)</f>
        <v/>
      </c>
      <c r="C62" s="14">
        <f>IF(Pessoas!$B60="","",Pessoas!$D60)</f>
        <v/>
      </c>
      <c r="D62" s="14">
        <f>IF(Pessoas!$B60="","",Pessoas!$L60)</f>
        <v/>
      </c>
      <c r="E62" s="14">
        <f>IF(Pessoas!$B60="","",Pessoas!$M60)</f>
        <v/>
      </c>
      <c r="F62" s="15">
        <f>IF($B62="","",IFERROR(AVERAGEIFS('Avaliação'!$P$5:$P$404,'Avaliação'!$Z$5:$Z$404,$A62&amp;"|"&amp;Config!$B$7&amp;"|"&amp;Config!$A$22),""))</f>
        <v/>
      </c>
      <c r="G62" s="15">
        <f>IF($B62="","",IFERROR(AVERAGEIFS('Avaliação'!$P$5:$P$404,'Avaliação'!$Z$5:$Z$404,$A62&amp;"|"&amp;Config!$B$7&amp;"|"&amp;Config!$A$23),""))</f>
        <v/>
      </c>
      <c r="H62" s="15">
        <f>IF($B62="","",IFERROR(AVERAGEIFS('Avaliação'!$P$5:$P$404,'Avaliação'!$Z$5:$Z$404,$A62&amp;"|"&amp;Config!$B$7&amp;"|"&amp;Config!$A$24),""))</f>
        <v/>
      </c>
      <c r="I62" s="15">
        <f>IF($B62="","",IFERROR(AVERAGEIFS('Avaliação'!$P$5:$P$404,'Avaliação'!$Z$5:$Z$404,$A62&amp;"|"&amp;Config!$B$7&amp;"|"&amp;Config!$A$25),""))</f>
        <v/>
      </c>
      <c r="J62" s="15">
        <f>IF($X62=0,"",$W62/$X62)</f>
        <v/>
      </c>
      <c r="K62" s="15">
        <f>IFERROR(INDEX(Config!$B$30:$B$33,MATCH($C62,Config!$A$30:$A$33,0)),"")</f>
        <v/>
      </c>
      <c r="L62" s="15">
        <f>IF(OR($J62="",$K62=""),"",$J62-$K62)</f>
        <v/>
      </c>
      <c r="M62" s="14">
        <f>IF($J62="","",IF($J62&lt;2.5,"Abaixo",IF($J62&lt;3.5,"Atende",IF($J62&lt;=4.2,"Supera","Referência"))))</f>
        <v/>
      </c>
      <c r="N62" s="14">
        <f>IF($B62="","",COUNTIFS('Ocorrências'!$U$5:$U$604,$A62&amp;"|"&amp;Config!$B$7))</f>
        <v/>
      </c>
      <c r="O62" s="14">
        <f>IF($B62="","",COUNTIFS('Ocorrências'!$U$5:$U$604,$A62&amp;"|"&amp;Config!$B$7,'Ocorrências'!$F$5:$F$604,"Reconhecimento")+COUNTIFS('Ocorrências'!$U$5:$U$604,$A62&amp;"|"&amp;Config!$B$7,'Ocorrências'!$F$5:$F$604,"Positiva"))</f>
        <v/>
      </c>
      <c r="P62" s="14">
        <f>IF($B62="","",COUNTIFS('Ocorrências'!$U$5:$U$604,$A62&amp;"|"&amp;Config!$B$7,'Ocorrências'!$F$5:$F$604,"Ponto de atenção")+COUNTIFS('Ocorrências'!$U$5:$U$604,$A62&amp;"|"&amp;Config!$B$7,'Ocorrências'!$F$5:$F$604,"Incidente"))</f>
        <v/>
      </c>
      <c r="Q62" s="14">
        <f>IF($B62="","",COUNTIFS('Ocorrências'!$U$5:$U$604,$A62&amp;"|"&amp;Config!$B$7,'Ocorrências'!$F$5:$F$604,"Ponto de atenção",'Ocorrências'!$L$5:$L$604,"Não")+COUNTIFS('Ocorrências'!$U$5:$U$604,$A62&amp;"|"&amp;Config!$B$7,'Ocorrências'!$F$5:$F$604,"Incidente",'Ocorrências'!$L$5:$L$604,"Não"))</f>
        <v/>
      </c>
      <c r="R62" s="14">
        <f>IF($B62="","",IF(INDEX(Pessoas!$J$5:$J$64,MATCH($A62,Pessoas!$A$5:$A$64,0))="","nunca",Config!$B$6-INDEX(Pessoas!$J$5:$J$64,MATCH($A62,Pessoas!$A$5:$A$64,0))))</f>
        <v/>
      </c>
      <c r="S62" s="14">
        <f>IF($B62="","",COUNTIFS('Avaliação'!$Y$5:$Y$404,$A62&amp;"|"&amp;Config!$B$7,'Avaliação'!$N$5:$N$404,"&gt;=2"))</f>
        <v/>
      </c>
      <c r="T62" s="14">
        <f>IF($B62="","",COUNTIFS('Avaliação'!$Y$5:$Y$404,$A62&amp;"|"&amp;Config!$B$7,'Avaliação'!$V$5:$V$404,"SEM LASTRO"))</f>
        <v/>
      </c>
      <c r="U62" s="14">
        <f>IF($B62="","",IF(AND($Q62&gt;0,COUNTIFS('Avaliação'!$Y$5:$Y$404,$A62&amp;"|"&amp;Config!$B$7,'Avaliação'!$P$5:$P$404,"&gt;=3")&gt;0),$Q62,0))</f>
        <v/>
      </c>
      <c r="V62" s="14">
        <f>IF($B62="","",IF($U62&gt;0,"Nota sustentada por omissão",IF($T62&gt;0,"Nota sem lastro",IF($J62="","Sem avaliação no ciclo",IF($S62&gt;0,"Calibrar divergência",IF($L62&lt;-0.3,"Abaixo da expectativa",IF($Q62&gt;0,"Negativa não conversada",IF(OR($R62="nunca",$R62&gt;30),"1:1 atrasada","OK"))))))))</f>
        <v/>
      </c>
      <c r="W62" s="15">
        <f>IF(ISNUMBER($F62),$F62*Config!$B$22,0)+IF(ISNUMBER($G62),$G62*Config!$B$23,0)+IF(ISNUMBER($H62),$H62*Config!$B$24,0)+IF(ISNUMBER($I62),$I62*Config!$B$25,0)</f>
        <v/>
      </c>
      <c r="X62" s="15">
        <f>IF(ISNUMBER($F62),Config!$B$22,0)+IF(ISNUMBER($G62),Config!$B$23,0)+IF(ISNUMBER($H62),Config!$B$24,0)+IF(ISNUMBER($I62),Config!$B$25,0)</f>
        <v/>
      </c>
    </row>
    <row r="63">
      <c r="A63" s="14">
        <f>IF(Pessoas!$B61="","",Pessoas!$A61)</f>
        <v/>
      </c>
      <c r="B63" s="14">
        <f>IF(Pessoas!$B61="","",Pessoas!$B61)</f>
        <v/>
      </c>
      <c r="C63" s="14">
        <f>IF(Pessoas!$B61="","",Pessoas!$D61)</f>
        <v/>
      </c>
      <c r="D63" s="14">
        <f>IF(Pessoas!$B61="","",Pessoas!$L61)</f>
        <v/>
      </c>
      <c r="E63" s="14">
        <f>IF(Pessoas!$B61="","",Pessoas!$M61)</f>
        <v/>
      </c>
      <c r="F63" s="15">
        <f>IF($B63="","",IFERROR(AVERAGEIFS('Avaliação'!$P$5:$P$404,'Avaliação'!$Z$5:$Z$404,$A63&amp;"|"&amp;Config!$B$7&amp;"|"&amp;Config!$A$22),""))</f>
        <v/>
      </c>
      <c r="G63" s="15">
        <f>IF($B63="","",IFERROR(AVERAGEIFS('Avaliação'!$P$5:$P$404,'Avaliação'!$Z$5:$Z$404,$A63&amp;"|"&amp;Config!$B$7&amp;"|"&amp;Config!$A$23),""))</f>
        <v/>
      </c>
      <c r="H63" s="15">
        <f>IF($B63="","",IFERROR(AVERAGEIFS('Avaliação'!$P$5:$P$404,'Avaliação'!$Z$5:$Z$404,$A63&amp;"|"&amp;Config!$B$7&amp;"|"&amp;Config!$A$24),""))</f>
        <v/>
      </c>
      <c r="I63" s="15">
        <f>IF($B63="","",IFERROR(AVERAGEIFS('Avaliação'!$P$5:$P$404,'Avaliação'!$Z$5:$Z$404,$A63&amp;"|"&amp;Config!$B$7&amp;"|"&amp;Config!$A$25),""))</f>
        <v/>
      </c>
      <c r="J63" s="15">
        <f>IF($X63=0,"",$W63/$X63)</f>
        <v/>
      </c>
      <c r="K63" s="15">
        <f>IFERROR(INDEX(Config!$B$30:$B$33,MATCH($C63,Config!$A$30:$A$33,0)),"")</f>
        <v/>
      </c>
      <c r="L63" s="15">
        <f>IF(OR($J63="",$K63=""),"",$J63-$K63)</f>
        <v/>
      </c>
      <c r="M63" s="14">
        <f>IF($J63="","",IF($J63&lt;2.5,"Abaixo",IF($J63&lt;3.5,"Atende",IF($J63&lt;=4.2,"Supera","Referência"))))</f>
        <v/>
      </c>
      <c r="N63" s="14">
        <f>IF($B63="","",COUNTIFS('Ocorrências'!$U$5:$U$604,$A63&amp;"|"&amp;Config!$B$7))</f>
        <v/>
      </c>
      <c r="O63" s="14">
        <f>IF($B63="","",COUNTIFS('Ocorrências'!$U$5:$U$604,$A63&amp;"|"&amp;Config!$B$7,'Ocorrências'!$F$5:$F$604,"Reconhecimento")+COUNTIFS('Ocorrências'!$U$5:$U$604,$A63&amp;"|"&amp;Config!$B$7,'Ocorrências'!$F$5:$F$604,"Positiva"))</f>
        <v/>
      </c>
      <c r="P63" s="14">
        <f>IF($B63="","",COUNTIFS('Ocorrências'!$U$5:$U$604,$A63&amp;"|"&amp;Config!$B$7,'Ocorrências'!$F$5:$F$604,"Ponto de atenção")+COUNTIFS('Ocorrências'!$U$5:$U$604,$A63&amp;"|"&amp;Config!$B$7,'Ocorrências'!$F$5:$F$604,"Incidente"))</f>
        <v/>
      </c>
      <c r="Q63" s="14">
        <f>IF($B63="","",COUNTIFS('Ocorrências'!$U$5:$U$604,$A63&amp;"|"&amp;Config!$B$7,'Ocorrências'!$F$5:$F$604,"Ponto de atenção",'Ocorrências'!$L$5:$L$604,"Não")+COUNTIFS('Ocorrências'!$U$5:$U$604,$A63&amp;"|"&amp;Config!$B$7,'Ocorrências'!$F$5:$F$604,"Incidente",'Ocorrências'!$L$5:$L$604,"Não"))</f>
        <v/>
      </c>
      <c r="R63" s="14">
        <f>IF($B63="","",IF(INDEX(Pessoas!$J$5:$J$64,MATCH($A63,Pessoas!$A$5:$A$64,0))="","nunca",Config!$B$6-INDEX(Pessoas!$J$5:$J$64,MATCH($A63,Pessoas!$A$5:$A$64,0))))</f>
        <v/>
      </c>
      <c r="S63" s="14">
        <f>IF($B63="","",COUNTIFS('Avaliação'!$Y$5:$Y$404,$A63&amp;"|"&amp;Config!$B$7,'Avaliação'!$N$5:$N$404,"&gt;=2"))</f>
        <v/>
      </c>
      <c r="T63" s="14">
        <f>IF($B63="","",COUNTIFS('Avaliação'!$Y$5:$Y$404,$A63&amp;"|"&amp;Config!$B$7,'Avaliação'!$V$5:$V$404,"SEM LASTRO"))</f>
        <v/>
      </c>
      <c r="U63" s="14">
        <f>IF($B63="","",IF(AND($Q63&gt;0,COUNTIFS('Avaliação'!$Y$5:$Y$404,$A63&amp;"|"&amp;Config!$B$7,'Avaliação'!$P$5:$P$404,"&gt;=3")&gt;0),$Q63,0))</f>
        <v/>
      </c>
      <c r="V63" s="14">
        <f>IF($B63="","",IF($U63&gt;0,"Nota sustentada por omissão",IF($T63&gt;0,"Nota sem lastro",IF($J63="","Sem avaliação no ciclo",IF($S63&gt;0,"Calibrar divergência",IF($L63&lt;-0.3,"Abaixo da expectativa",IF($Q63&gt;0,"Negativa não conversada",IF(OR($R63="nunca",$R63&gt;30),"1:1 atrasada","OK"))))))))</f>
        <v/>
      </c>
      <c r="W63" s="15">
        <f>IF(ISNUMBER($F63),$F63*Config!$B$22,0)+IF(ISNUMBER($G63),$G63*Config!$B$23,0)+IF(ISNUMBER($H63),$H63*Config!$B$24,0)+IF(ISNUMBER($I63),$I63*Config!$B$25,0)</f>
        <v/>
      </c>
      <c r="X63" s="15">
        <f>IF(ISNUMBER($F63),Config!$B$22,0)+IF(ISNUMBER($G63),Config!$B$23,0)+IF(ISNUMBER($H63),Config!$B$24,0)+IF(ISNUMBER($I63),Config!$B$25,0)</f>
        <v/>
      </c>
    </row>
    <row r="64">
      <c r="A64" s="14">
        <f>IF(Pessoas!$B62="","",Pessoas!$A62)</f>
        <v/>
      </c>
      <c r="B64" s="14">
        <f>IF(Pessoas!$B62="","",Pessoas!$B62)</f>
        <v/>
      </c>
      <c r="C64" s="14">
        <f>IF(Pessoas!$B62="","",Pessoas!$D62)</f>
        <v/>
      </c>
      <c r="D64" s="14">
        <f>IF(Pessoas!$B62="","",Pessoas!$L62)</f>
        <v/>
      </c>
      <c r="E64" s="14">
        <f>IF(Pessoas!$B62="","",Pessoas!$M62)</f>
        <v/>
      </c>
      <c r="F64" s="15">
        <f>IF($B64="","",IFERROR(AVERAGEIFS('Avaliação'!$P$5:$P$404,'Avaliação'!$Z$5:$Z$404,$A64&amp;"|"&amp;Config!$B$7&amp;"|"&amp;Config!$A$22),""))</f>
        <v/>
      </c>
      <c r="G64" s="15">
        <f>IF($B64="","",IFERROR(AVERAGEIFS('Avaliação'!$P$5:$P$404,'Avaliação'!$Z$5:$Z$404,$A64&amp;"|"&amp;Config!$B$7&amp;"|"&amp;Config!$A$23),""))</f>
        <v/>
      </c>
      <c r="H64" s="15">
        <f>IF($B64="","",IFERROR(AVERAGEIFS('Avaliação'!$P$5:$P$404,'Avaliação'!$Z$5:$Z$404,$A64&amp;"|"&amp;Config!$B$7&amp;"|"&amp;Config!$A$24),""))</f>
        <v/>
      </c>
      <c r="I64" s="15">
        <f>IF($B64="","",IFERROR(AVERAGEIFS('Avaliação'!$P$5:$P$404,'Avaliação'!$Z$5:$Z$404,$A64&amp;"|"&amp;Config!$B$7&amp;"|"&amp;Config!$A$25),""))</f>
        <v/>
      </c>
      <c r="J64" s="15">
        <f>IF($X64=0,"",$W64/$X64)</f>
        <v/>
      </c>
      <c r="K64" s="15">
        <f>IFERROR(INDEX(Config!$B$30:$B$33,MATCH($C64,Config!$A$30:$A$33,0)),"")</f>
        <v/>
      </c>
      <c r="L64" s="15">
        <f>IF(OR($J64="",$K64=""),"",$J64-$K64)</f>
        <v/>
      </c>
      <c r="M64" s="14">
        <f>IF($J64="","",IF($J64&lt;2.5,"Abaixo",IF($J64&lt;3.5,"Atende",IF($J64&lt;=4.2,"Supera","Referência"))))</f>
        <v/>
      </c>
      <c r="N64" s="14">
        <f>IF($B64="","",COUNTIFS('Ocorrências'!$U$5:$U$604,$A64&amp;"|"&amp;Config!$B$7))</f>
        <v/>
      </c>
      <c r="O64" s="14">
        <f>IF($B64="","",COUNTIFS('Ocorrências'!$U$5:$U$604,$A64&amp;"|"&amp;Config!$B$7,'Ocorrências'!$F$5:$F$604,"Reconhecimento")+COUNTIFS('Ocorrências'!$U$5:$U$604,$A64&amp;"|"&amp;Config!$B$7,'Ocorrências'!$F$5:$F$604,"Positiva"))</f>
        <v/>
      </c>
      <c r="P64" s="14">
        <f>IF($B64="","",COUNTIFS('Ocorrências'!$U$5:$U$604,$A64&amp;"|"&amp;Config!$B$7,'Ocorrências'!$F$5:$F$604,"Ponto de atenção")+COUNTIFS('Ocorrências'!$U$5:$U$604,$A64&amp;"|"&amp;Config!$B$7,'Ocorrências'!$F$5:$F$604,"Incidente"))</f>
        <v/>
      </c>
      <c r="Q64" s="14">
        <f>IF($B64="","",COUNTIFS('Ocorrências'!$U$5:$U$604,$A64&amp;"|"&amp;Config!$B$7,'Ocorrências'!$F$5:$F$604,"Ponto de atenção",'Ocorrências'!$L$5:$L$604,"Não")+COUNTIFS('Ocorrências'!$U$5:$U$604,$A64&amp;"|"&amp;Config!$B$7,'Ocorrências'!$F$5:$F$604,"Incidente",'Ocorrências'!$L$5:$L$604,"Não"))</f>
        <v/>
      </c>
      <c r="R64" s="14">
        <f>IF($B64="","",IF(INDEX(Pessoas!$J$5:$J$64,MATCH($A64,Pessoas!$A$5:$A$64,0))="","nunca",Config!$B$6-INDEX(Pessoas!$J$5:$J$64,MATCH($A64,Pessoas!$A$5:$A$64,0))))</f>
        <v/>
      </c>
      <c r="S64" s="14">
        <f>IF($B64="","",COUNTIFS('Avaliação'!$Y$5:$Y$404,$A64&amp;"|"&amp;Config!$B$7,'Avaliação'!$N$5:$N$404,"&gt;=2"))</f>
        <v/>
      </c>
      <c r="T64" s="14">
        <f>IF($B64="","",COUNTIFS('Avaliação'!$Y$5:$Y$404,$A64&amp;"|"&amp;Config!$B$7,'Avaliação'!$V$5:$V$404,"SEM LASTRO"))</f>
        <v/>
      </c>
      <c r="U64" s="14">
        <f>IF($B64="","",IF(AND($Q64&gt;0,COUNTIFS('Avaliação'!$Y$5:$Y$404,$A64&amp;"|"&amp;Config!$B$7,'Avaliação'!$P$5:$P$404,"&gt;=3")&gt;0),$Q64,0))</f>
        <v/>
      </c>
      <c r="V64" s="14">
        <f>IF($B64="","",IF($U64&gt;0,"Nota sustentada por omissão",IF($T64&gt;0,"Nota sem lastro",IF($J64="","Sem avaliação no ciclo",IF($S64&gt;0,"Calibrar divergência",IF($L64&lt;-0.3,"Abaixo da expectativa",IF($Q64&gt;0,"Negativa não conversada",IF(OR($R64="nunca",$R64&gt;30),"1:1 atrasada","OK"))))))))</f>
        <v/>
      </c>
      <c r="W64" s="15">
        <f>IF(ISNUMBER($F64),$F64*Config!$B$22,0)+IF(ISNUMBER($G64),$G64*Config!$B$23,0)+IF(ISNUMBER($H64),$H64*Config!$B$24,0)+IF(ISNUMBER($I64),$I64*Config!$B$25,0)</f>
        <v/>
      </c>
      <c r="X64" s="15">
        <f>IF(ISNUMBER($F64),Config!$B$22,0)+IF(ISNUMBER($G64),Config!$B$23,0)+IF(ISNUMBER($H64),Config!$B$24,0)+IF(ISNUMBER($I64),Config!$B$25,0)</f>
        <v/>
      </c>
    </row>
  </sheetData>
  <autoFilter ref="A6:V64"/>
  <conditionalFormatting sqref="A4">
    <cfRule type="expression" priority="1" dxfId="0">
      <formula>COUNTIF('Ocorrências'!$A$5:$A$604,"&gt;0")&gt;480</formula>
    </cfRule>
  </conditionalFormatting>
  <conditionalFormatting sqref="A7:V64">
    <cfRule type="expression" priority="2" dxfId="1">
      <formula>$V7="Nota sustentada por omissão"</formula>
    </cfRule>
    <cfRule type="expression" priority="3" dxfId="1">
      <formula>$V7="Nota sem lastro"</formula>
    </cfRule>
    <cfRule type="expression" priority="4" dxfId="0">
      <formula>$V7="Abaixo da expectativa"</formula>
    </cfRule>
    <cfRule type="expression" priority="5" dxfId="0">
      <formula>$V7="Negativa não conversada"</formula>
    </cfRule>
    <cfRule type="expression" priority="6" dxfId="2">
      <formula>$V7="OK"</formula>
    </cfRule>
  </conditionalFormatting>
  <conditionalFormatting sqref="L7:L64">
    <cfRule type="cellIs" priority="7" operator="lessThan" dxfId="3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15" customWidth="1" min="4" max="4"/>
    <col width="13" customWidth="1" min="5" max="5"/>
    <col width="19" customWidth="1" min="6" max="6"/>
    <col width="22" customWidth="1" min="7" max="7"/>
    <col width="56" customWidth="1" min="8" max="8"/>
    <col width="11" customWidth="1" min="9" max="9"/>
    <col width="11" customWidth="1" min="10" max="10"/>
    <col width="42" customWidth="1" min="11" max="11"/>
    <col width="12" customWidth="1" min="12" max="12"/>
    <col width="14" customWidth="1" min="13" max="13"/>
    <col width="15" customWidth="1" min="14" max="14"/>
    <col width="40" customWidth="1" min="15" max="15"/>
    <col width="12" customWidth="1" min="16" max="16"/>
    <col width="13" customWidth="1" min="17" max="17"/>
    <col width="15" customWidth="1" min="18" max="18"/>
    <col width="26" customWidth="1" min="19" max="19"/>
    <col width="9" customWidth="1" min="20" max="20"/>
    <col width="15" customWidth="1" min="21" max="21"/>
    <col width="22" customWidth="1" min="22" max="22"/>
    <col width="20" customWidth="1" min="23" max="23"/>
    <col width="16" customWidth="1" min="24" max="24"/>
    <col width="11" customWidth="1" min="25" max="25"/>
    <col width="11" customWidth="1" min="26" max="26"/>
    <col width="12" customWidth="1" min="27" max="27"/>
    <col width="8" customWidth="1" min="28" max="28"/>
  </cols>
  <sheetData>
    <row r="1" ht="22" customHeight="1">
      <c r="A1" s="1" t="inlineStr">
        <is>
          <t>Ocorrências — o registro contínuo</t>
        </is>
      </c>
    </row>
    <row r="2">
      <c r="A2" s="2" t="inlineStr">
        <is>
          <t>Bloco rápido (A–J): alvo de 45 segundos, um único campo de texto. Bloco de sinalização (K–S): só para Ponto de atenção e Incidente.</t>
        </is>
      </c>
    </row>
    <row r="3">
      <c r="A3" s="16" t="inlineStr">
        <is>
          <t>O FATO não aceita adjetivo de personalidade. "Subiu hotfix sem aprovação na sexta 18h" ✔  ·  "É descuidado" ✘.  Nada de saúde, vida pessoal, motivo de ausência ou conduta — conduta vai para o RH, em processo próprio.</t>
        </is>
      </c>
    </row>
    <row r="4" ht="32" customHeight="1">
      <c r="A4" s="17" t="inlineStr">
        <is>
          <t>Data do fato</t>
        </is>
      </c>
      <c r="B4" s="17" t="inlineStr">
        <is>
          <t>Pessoa</t>
        </is>
      </c>
      <c r="C4" s="17" t="inlineStr">
        <is>
          <t>ID_PESSOA</t>
        </is>
      </c>
      <c r="D4" s="17" t="inlineStr">
        <is>
          <t>Registrado por</t>
        </is>
      </c>
      <c r="E4" s="17" t="inlineStr">
        <is>
          <t>Papel do autor</t>
        </is>
      </c>
      <c r="F4" s="17" t="inlineStr">
        <is>
          <t>Tipo</t>
        </is>
      </c>
      <c r="G4" s="17" t="inlineStr">
        <is>
          <t>Competência</t>
        </is>
      </c>
      <c r="H4" s="17" t="inlineStr">
        <is>
          <t>Fato observável</t>
        </is>
      </c>
      <c r="I4" s="17" t="inlineStr">
        <is>
          <t>Impacto</t>
        </is>
      </c>
      <c r="J4" s="17" t="inlineStr">
        <is>
          <t>Confidenc.</t>
        </is>
      </c>
      <c r="K4" s="12" t="inlineStr">
        <is>
          <t>Consequência observada</t>
        </is>
      </c>
      <c r="L4" s="12" t="inlineStr">
        <is>
          <t>Comunicado?</t>
        </is>
      </c>
      <c r="M4" s="12" t="inlineStr">
        <is>
          <t>Data da comunicação</t>
        </is>
      </c>
      <c r="N4" s="12" t="inlineStr">
        <is>
          <t>Quem comunicou</t>
        </is>
      </c>
      <c r="O4" s="12" t="inlineStr">
        <is>
          <t>Expectativa declarada</t>
        </is>
      </c>
      <c r="P4" s="12" t="inlineStr">
        <is>
          <t>Prazo dado</t>
        </is>
      </c>
      <c r="Q4" s="12" t="inlineStr">
        <is>
          <t>Reavaliação em</t>
        </is>
      </c>
      <c r="R4" s="12" t="inlineStr">
        <is>
          <t>Reação da pessoa</t>
        </is>
      </c>
      <c r="S4" s="12" t="inlineStr">
        <is>
          <t>Desfecho</t>
        </is>
      </c>
      <c r="T4" s="12" t="inlineStr">
        <is>
          <t>Idx ciclo</t>
        </is>
      </c>
      <c r="U4" s="12" t="inlineStr">
        <is>
          <t>chave ID|ciclo</t>
        </is>
      </c>
      <c r="V4" s="12" t="inlineStr">
        <is>
          <t>chave ID|ciclo|comp</t>
        </is>
      </c>
      <c r="W4" s="12" t="inlineStr">
        <is>
          <t>Registro válido?</t>
        </is>
      </c>
      <c r="X4" s="12" t="inlineStr">
        <is>
          <t>Viaja no handover?</t>
        </is>
      </c>
      <c r="Y4" s="12" t="inlineStr">
        <is>
          <t>novo avaliador</t>
        </is>
      </c>
      <c r="Z4" s="12" t="inlineStr">
        <is>
          <t>Exibição</t>
        </is>
      </c>
      <c r="AA4" s="12" t="inlineStr">
        <is>
          <t>negativa comunicada</t>
        </is>
      </c>
      <c r="AB4" s="12" t="inlineStr">
        <is>
          <t>seq 1a1</t>
        </is>
      </c>
    </row>
    <row r="5">
      <c r="A5" s="18" t="n">
        <v>46212</v>
      </c>
      <c r="B5" s="19" t="inlineStr">
        <is>
          <t>Ana Ribeiro</t>
        </is>
      </c>
      <c r="C5" s="14">
        <f>IFERROR(INDEX(Pessoas!$A$5:$A$64,MATCH($B5,Pessoas!$B$5:$B$64,0)),"")</f>
        <v/>
      </c>
      <c r="D5" s="19" t="inlineStr">
        <is>
          <t>Rafael Souza</t>
        </is>
      </c>
      <c r="E5" s="19" t="inlineStr">
        <is>
          <t>Líder Técnico</t>
        </is>
      </c>
      <c r="F5" s="19" t="inlineStr">
        <is>
          <t>Positiva</t>
        </is>
      </c>
      <c r="G5" s="19" t="inlineStr">
        <is>
          <t>Comunicação e colaboração</t>
        </is>
      </c>
      <c r="H5" s="19" t="inlineStr">
        <is>
          <t>No PR #812 apontou uma condição de corrida no resgate de cupom antes do merge, com o trecho e a sugestão de UPDATE atômico.</t>
        </is>
      </c>
      <c r="I5" s="19" t="inlineStr">
        <is>
          <t>Entrega</t>
        </is>
      </c>
      <c r="J5" s="19" t="inlineStr">
        <is>
          <t>Squad</t>
        </is>
      </c>
      <c r="K5" s="19" t="n"/>
      <c r="L5" s="19" t="n"/>
      <c r="M5" s="18" t="n"/>
      <c r="N5" s="19" t="n"/>
      <c r="O5" s="19" t="n"/>
      <c r="P5" s="19" t="n"/>
      <c r="Q5" s="20">
        <f>IF(OR($M5="",$P5=""),"",$M5+IF($P5="7 dias",7,IF($P5="14 dias",14,90)))</f>
        <v/>
      </c>
      <c r="R5" s="19" t="n"/>
      <c r="S5" s="19" t="n"/>
      <c r="T5" s="14">
        <f>IF($A5="","",YEAR($A5)*4+ROUNDUP(MONTH($A5)/3,0))</f>
        <v/>
      </c>
      <c r="U5" s="14">
        <f>IF($C5="","",$C5&amp;"|"&amp;$T5)</f>
        <v/>
      </c>
      <c r="V5" s="14">
        <f>IF($C5="","",$C5&amp;"|"&amp;$T5&amp;"|"&amp;$G5)</f>
        <v/>
      </c>
      <c r="W5" s="14">
        <f>IF($A5="","",IF(OR($B5="",$F5="",$G5="",$H5="",$I5=""),"Faltam campos básicos",IF(AND(OR($F5="Ponto de atenção",$F5="Incidente"),OR($K5="",$L5="",$O5="",$P5="")),"Faltam campos de sinalização","OK")))</f>
        <v/>
      </c>
      <c r="X5" s="14">
        <f>IF($A5="","",IF(AND(OR($F5="Ponto de atenção",$F5="Incidente"),$L5&lt;&gt;"Sim"),"Não",IF(AND($S5="",$W5&lt;&gt;"OK"),"Não","Sim")))</f>
        <v/>
      </c>
      <c r="Y5" s="14">
        <f>IF($C5="",0,IF(COUNTIFS($C$5:$C5,$C5,$D$5:$D5,$D5)=1,1,0))</f>
        <v/>
      </c>
      <c r="Z5" s="14">
        <f>IF($A5="","",IF(Config!$B$7-$T5&gt;2,"Arquivada",IF(Config!$B$7-$T5&gt;0,"Histórico","Ativa")))</f>
        <v/>
      </c>
      <c r="AA5" s="14">
        <f>IF($A5="",0,IF(AND(OR($F5="Ponto de atenção",$F5="Incidente"),$L5="Sim"),1,0))</f>
        <v/>
      </c>
      <c r="AB5" s="14">
        <f>IF(OR($C5="",$C5&lt;&gt;'1a1'!$B$4,$T5&lt;&gt;Config!$B$7),"",COUNTIFS($C$5:$C5,'1a1'!$B$4,$T$5:$T5,Config!$B$7))</f>
        <v/>
      </c>
    </row>
    <row r="6">
      <c r="A6" s="18" t="n">
        <v>46253</v>
      </c>
      <c r="B6" s="19" t="inlineStr">
        <is>
          <t>Ana Ribeiro</t>
        </is>
      </c>
      <c r="C6" s="14">
        <f>IFERROR(INDEX(Pessoas!$A$5:$A$64,MATCH($B6,Pessoas!$B$5:$B$64,0)),"")</f>
        <v/>
      </c>
      <c r="D6" s="19" t="inlineStr">
        <is>
          <t>Rafael Souza</t>
        </is>
      </c>
      <c r="E6" s="19" t="inlineStr">
        <is>
          <t>Líder Técnico</t>
        </is>
      </c>
      <c r="F6" s="19" t="inlineStr">
        <is>
          <t>Ponto de atenção</t>
        </is>
      </c>
      <c r="G6" s="19" t="inlineStr">
        <is>
          <t>Qualidade da entrega</t>
        </is>
      </c>
      <c r="H6" s="19" t="inlineStr">
        <is>
          <t>PR #857 voltou em 3 rodadas: nas duas primeiras faltava teste do caminho de erro na rota de resgate.</t>
        </is>
      </c>
      <c r="I6" s="19" t="inlineStr">
        <is>
          <t>Entrega</t>
        </is>
      </c>
      <c r="J6" s="19" t="inlineStr">
        <is>
          <t>Squad</t>
        </is>
      </c>
      <c r="K6" s="19" t="inlineStr">
        <is>
          <t>Atrasou o merge em 2 dias e consumiu 3 rodadas de review do time.</t>
        </is>
      </c>
      <c r="L6" s="19" t="inlineStr">
        <is>
          <t>Sim</t>
        </is>
      </c>
      <c r="M6" s="18" t="n">
        <v>46254</v>
      </c>
      <c r="N6" s="19" t="inlineStr">
        <is>
          <t>Rafael Souza</t>
        </is>
      </c>
      <c r="O6" s="19" t="inlineStr">
        <is>
          <t>Incluir teste de caminho de erro antes de abrir o PR, nos próximos 3 PRs de rota nova.</t>
        </is>
      </c>
      <c r="P6" s="19" t="inlineStr">
        <is>
          <t>1 ciclo</t>
        </is>
      </c>
      <c r="Q6" s="20">
        <f>IF(OR($M6="",$P6=""),"",$M6+IF($P6="7 dias",7,IF($P6="14 dias",14,90)))</f>
        <v/>
      </c>
      <c r="R6" s="19" t="inlineStr">
        <is>
          <t>Em acompanhamento</t>
        </is>
      </c>
      <c r="S6" s="19" t="n"/>
      <c r="T6" s="14">
        <f>IF($A6="","",YEAR($A6)*4+ROUNDUP(MONTH($A6)/3,0))</f>
        <v/>
      </c>
      <c r="U6" s="14">
        <f>IF($C6="","",$C6&amp;"|"&amp;$T6)</f>
        <v/>
      </c>
      <c r="V6" s="14">
        <f>IF($C6="","",$C6&amp;"|"&amp;$T6&amp;"|"&amp;$G6)</f>
        <v/>
      </c>
      <c r="W6" s="14">
        <f>IF($A6="","",IF(OR($B6="",$F6="",$G6="",$H6="",$I6=""),"Faltam campos básicos",IF(AND(OR($F6="Ponto de atenção",$F6="Incidente"),OR($K6="",$L6="",$O6="",$P6="")),"Faltam campos de sinalização","OK")))</f>
        <v/>
      </c>
      <c r="X6" s="14">
        <f>IF($A6="","",IF(AND(OR($F6="Ponto de atenção",$F6="Incidente"),$L6&lt;&gt;"Sim"),"Não",IF(AND($S6="",$W6&lt;&gt;"OK"),"Não","Sim")))</f>
        <v/>
      </c>
      <c r="Y6" s="14">
        <f>IF($C6="",0,IF(COUNTIFS($C$5:$C6,$C6,$D$5:$D6,$D6)=1,1,0))</f>
        <v/>
      </c>
      <c r="Z6" s="14">
        <f>IF($A6="","",IF(Config!$B$7-$T6&gt;2,"Arquivada",IF(Config!$B$7-$T6&gt;0,"Histórico","Ativa")))</f>
        <v/>
      </c>
      <c r="AA6" s="14">
        <f>IF($A6="",0,IF(AND(OR($F6="Ponto de atenção",$F6="Incidente"),$L6="Sim"),1,0))</f>
        <v/>
      </c>
      <c r="AB6" s="14">
        <f>IF(OR($C6="",$C6&lt;&gt;'1a1'!$B$4,$T6&lt;&gt;Config!$B$7),"",COUNTIFS($C$5:$C6,'1a1'!$B$4,$T$5:$T6,Config!$B$7))</f>
        <v/>
      </c>
    </row>
    <row r="7">
      <c r="A7" s="18" t="n">
        <v>46225</v>
      </c>
      <c r="B7" s="19" t="inlineStr">
        <is>
          <t>Bruno Tavares</t>
        </is>
      </c>
      <c r="C7" s="14">
        <f>IFERROR(INDEX(Pessoas!$A$5:$A$64,MATCH($B7,Pessoas!$B$5:$B$64,0)),"")</f>
        <v/>
      </c>
      <c r="D7" s="19" t="inlineStr">
        <is>
          <t>Marcos Lima</t>
        </is>
      </c>
      <c r="E7" s="19" t="inlineStr">
        <is>
          <t>GP</t>
        </is>
      </c>
      <c r="F7" s="19" t="inlineStr">
        <is>
          <t>Ponto de atenção</t>
        </is>
      </c>
      <c r="G7" s="19" t="inlineStr">
        <is>
          <t>Previsibilidade</t>
        </is>
      </c>
      <c r="H7" s="19" t="inlineStr">
        <is>
          <t>Card CB-118 ficou 4 dias sem atualização e o bloqueio, falta de credencial de homologação, só foi comunicado na review.</t>
        </is>
      </c>
      <c r="I7" s="19" t="inlineStr">
        <is>
          <t>Entrega</t>
        </is>
      </c>
      <c r="J7" s="19" t="inlineStr">
        <is>
          <t>Squad</t>
        </is>
      </c>
      <c r="K7" s="19" t="inlineStr">
        <is>
          <t>A sprint fechou com o item em carry over e o PO replanejou a demo com o cliente em cima da hora.</t>
        </is>
      </c>
      <c r="L7" s="19" t="inlineStr">
        <is>
          <t>Sim</t>
        </is>
      </c>
      <c r="M7" s="18" t="n">
        <v>46226</v>
      </c>
      <c r="N7" s="19" t="inlineStr">
        <is>
          <t>Marcos Lima</t>
        </is>
      </c>
      <c r="O7" s="19" t="inlineStr">
        <is>
          <t>Comunicar bloqueio na daily do mesmo dia em que ele ocorre.</t>
        </is>
      </c>
      <c r="P7" s="19" t="inlineStr">
        <is>
          <t>14 dias</t>
        </is>
      </c>
      <c r="Q7" s="20">
        <f>IF(OR($M7="",$P7=""),"",$M7+IF($P7="7 dias",7,IF($P7="14 dias",14,90)))</f>
        <v/>
      </c>
      <c r="R7" s="19" t="inlineStr">
        <is>
          <t>Encerrado — comportamento mudou</t>
        </is>
      </c>
      <c r="S7" s="19" t="n"/>
      <c r="T7" s="14">
        <f>IF($A7="","",YEAR($A7)*4+ROUNDUP(MONTH($A7)/3,0))</f>
        <v/>
      </c>
      <c r="U7" s="14">
        <f>IF($C7="","",$C7&amp;"|"&amp;$T7)</f>
        <v/>
      </c>
      <c r="V7" s="14">
        <f>IF($C7="","",$C7&amp;"|"&amp;$T7&amp;"|"&amp;$G7)</f>
        <v/>
      </c>
      <c r="W7" s="14">
        <f>IF($A7="","",IF(OR($B7="",$F7="",$G7="",$H7="",$I7=""),"Faltam campos básicos",IF(AND(OR($F7="Ponto de atenção",$F7="Incidente"),OR($K7="",$L7="",$O7="",$P7="")),"Faltam campos de sinalização","OK")))</f>
        <v/>
      </c>
      <c r="X7" s="14">
        <f>IF($A7="","",IF(AND(OR($F7="Ponto de atenção",$F7="Incidente"),$L7&lt;&gt;"Sim"),"Não",IF(AND($S7="",$W7&lt;&gt;"OK"),"Não","Sim")))</f>
        <v/>
      </c>
      <c r="Y7" s="14">
        <f>IF($C7="",0,IF(COUNTIFS($C$5:$C7,$C7,$D$5:$D7,$D7)=1,1,0))</f>
        <v/>
      </c>
      <c r="Z7" s="14">
        <f>IF($A7="","",IF(Config!$B$7-$T7&gt;2,"Arquivada",IF(Config!$B$7-$T7&gt;0,"Histórico","Ativa")))</f>
        <v/>
      </c>
      <c r="AA7" s="14">
        <f>IF($A7="",0,IF(AND(OR($F7="Ponto de atenção",$F7="Incidente"),$L7="Sim"),1,0))</f>
        <v/>
      </c>
      <c r="AB7" s="14">
        <f>IF(OR($C7="",$C7&lt;&gt;'1a1'!$B$4,$T7&lt;&gt;Config!$B$7),"",COUNTIFS($C$5:$C7,'1a1'!$B$4,$T$5:$T7,Config!$B$7))</f>
        <v/>
      </c>
    </row>
    <row r="8">
      <c r="A8" s="18" t="n">
        <v>46238</v>
      </c>
      <c r="B8" s="19" t="inlineStr">
        <is>
          <t>Bruno Tavares</t>
        </is>
      </c>
      <c r="C8" s="14">
        <f>IFERROR(INDEX(Pessoas!$A$5:$A$64,MATCH($B8,Pessoas!$B$5:$B$64,0)),"")</f>
        <v/>
      </c>
      <c r="D8" s="19" t="inlineStr">
        <is>
          <t>Marcos Lima</t>
        </is>
      </c>
      <c r="E8" s="19" t="inlineStr">
        <is>
          <t>GP</t>
        </is>
      </c>
      <c r="F8" s="19" t="inlineStr">
        <is>
          <t>Positiva</t>
        </is>
      </c>
      <c r="G8" s="19" t="inlineStr">
        <is>
          <t>Comunicação e colaboração</t>
        </is>
      </c>
      <c r="H8" s="19" t="inlineStr">
        <is>
          <t>Na daily de 04/08 avisou no mesmo dia que a integração de pagamento estava fora do ar, com print do erro e a alternativa de mockar.</t>
        </is>
      </c>
      <c r="I8" s="19" t="inlineStr">
        <is>
          <t>Equipe</t>
        </is>
      </c>
      <c r="J8" s="19" t="inlineStr">
        <is>
          <t>Squad</t>
        </is>
      </c>
      <c r="K8" s="19" t="n"/>
      <c r="L8" s="19" t="n"/>
      <c r="M8" s="18" t="n"/>
      <c r="N8" s="19" t="n"/>
      <c r="O8" s="19" t="n"/>
      <c r="P8" s="19" t="n"/>
      <c r="Q8" s="20">
        <f>IF(OR($M8="",$P8=""),"",$M8+IF($P8="7 dias",7,IF($P8="14 dias",14,90)))</f>
        <v/>
      </c>
      <c r="R8" s="19" t="n"/>
      <c r="S8" s="19" t="n"/>
      <c r="T8" s="14">
        <f>IF($A8="","",YEAR($A8)*4+ROUNDUP(MONTH($A8)/3,0))</f>
        <v/>
      </c>
      <c r="U8" s="14">
        <f>IF($C8="","",$C8&amp;"|"&amp;$T8)</f>
        <v/>
      </c>
      <c r="V8" s="14">
        <f>IF($C8="","",$C8&amp;"|"&amp;$T8&amp;"|"&amp;$G8)</f>
        <v/>
      </c>
      <c r="W8" s="14">
        <f>IF($A8="","",IF(OR($B8="",$F8="",$G8="",$H8="",$I8=""),"Faltam campos básicos",IF(AND(OR($F8="Ponto de atenção",$F8="Incidente"),OR($K8="",$L8="",$O8="",$P8="")),"Faltam campos de sinalização","OK")))</f>
        <v/>
      </c>
      <c r="X8" s="14">
        <f>IF($A8="","",IF(AND(OR($F8="Ponto de atenção",$F8="Incidente"),$L8&lt;&gt;"Sim"),"Não",IF(AND($S8="",$W8&lt;&gt;"OK"),"Não","Sim")))</f>
        <v/>
      </c>
      <c r="Y8" s="14">
        <f>IF($C8="",0,IF(COUNTIFS($C$5:$C8,$C8,$D$5:$D8,$D8)=1,1,0))</f>
        <v/>
      </c>
      <c r="Z8" s="14">
        <f>IF($A8="","",IF(Config!$B$7-$T8&gt;2,"Arquivada",IF(Config!$B$7-$T8&gt;0,"Histórico","Ativa")))</f>
        <v/>
      </c>
      <c r="AA8" s="14">
        <f>IF($A8="",0,IF(AND(OR($F8="Ponto de atenção",$F8="Incidente"),$L8="Sim"),1,0))</f>
        <v/>
      </c>
      <c r="AB8" s="14">
        <f>IF(OR($C8="",$C8&lt;&gt;'1a1'!$B$4,$T8&lt;&gt;Config!$B$7),"",COUNTIFS($C$5:$C8,'1a1'!$B$4,$T$5:$T8,Config!$B$7))</f>
        <v/>
      </c>
    </row>
    <row r="9">
      <c r="A9" s="18" t="n">
        <v>46259</v>
      </c>
      <c r="B9" s="19" t="inlineStr">
        <is>
          <t>Carla Nunes</t>
        </is>
      </c>
      <c r="C9" s="14">
        <f>IFERROR(INDEX(Pessoas!$A$5:$A$64,MATCH($B9,Pessoas!$B$5:$B$64,0)),"")</f>
        <v/>
      </c>
      <c r="D9" s="19" t="inlineStr">
        <is>
          <t>Rafael Souza</t>
        </is>
      </c>
      <c r="E9" s="19" t="inlineStr">
        <is>
          <t>Líder Técnico</t>
        </is>
      </c>
      <c r="F9" s="19" t="inlineStr">
        <is>
          <t>Reconhecimento</t>
        </is>
      </c>
      <c r="G9" s="19" t="inlineStr">
        <is>
          <t>Autonomia e ownership</t>
        </is>
      </c>
      <c r="H9" s="19" t="inlineStr">
        <is>
          <t>Escreveu a ADR-07 sobre o advisory lock no cooldown e conduziu a sessão de 40 min com as squads Alfa e Beta.</t>
        </is>
      </c>
      <c r="I9" s="19" t="inlineStr">
        <is>
          <t>Equipe</t>
        </is>
      </c>
      <c r="J9" s="19" t="inlineStr">
        <is>
          <t>Squad</t>
        </is>
      </c>
      <c r="K9" s="19" t="n"/>
      <c r="L9" s="19" t="n"/>
      <c r="M9" s="18" t="n"/>
      <c r="N9" s="19" t="n"/>
      <c r="O9" s="19" t="n"/>
      <c r="P9" s="19" t="n"/>
      <c r="Q9" s="20">
        <f>IF(OR($M9="",$P9=""),"",$M9+IF($P9="7 dias",7,IF($P9="14 dias",14,90)))</f>
        <v/>
      </c>
      <c r="R9" s="19" t="n"/>
      <c r="S9" s="19" t="n"/>
      <c r="T9" s="14">
        <f>IF($A9="","",YEAR($A9)*4+ROUNDUP(MONTH($A9)/3,0))</f>
        <v/>
      </c>
      <c r="U9" s="14">
        <f>IF($C9="","",$C9&amp;"|"&amp;$T9)</f>
        <v/>
      </c>
      <c r="V9" s="14">
        <f>IF($C9="","",$C9&amp;"|"&amp;$T9&amp;"|"&amp;$G9)</f>
        <v/>
      </c>
      <c r="W9" s="14">
        <f>IF($A9="","",IF(OR($B9="",$F9="",$G9="",$H9="",$I9=""),"Faltam campos básicos",IF(AND(OR($F9="Ponto de atenção",$F9="Incidente"),OR($K9="",$L9="",$O9="",$P9="")),"Faltam campos de sinalização","OK")))</f>
        <v/>
      </c>
      <c r="X9" s="14">
        <f>IF($A9="","",IF(AND(OR($F9="Ponto de atenção",$F9="Incidente"),$L9&lt;&gt;"Sim"),"Não",IF(AND($S9="",$W9&lt;&gt;"OK"),"Não","Sim")))</f>
        <v/>
      </c>
      <c r="Y9" s="14">
        <f>IF($C9="",0,IF(COUNTIFS($C$5:$C9,$C9,$D$5:$D9,$D9)=1,1,0))</f>
        <v/>
      </c>
      <c r="Z9" s="14">
        <f>IF($A9="","",IF(Config!$B$7-$T9&gt;2,"Arquivada",IF(Config!$B$7-$T9&gt;0,"Histórico","Ativa")))</f>
        <v/>
      </c>
      <c r="AA9" s="14">
        <f>IF($A9="",0,IF(AND(OR($F9="Ponto de atenção",$F9="Incidente"),$L9="Sim"),1,0))</f>
        <v/>
      </c>
      <c r="AB9" s="14">
        <f>IF(OR($C9="",$C9&lt;&gt;'1a1'!$B$4,$T9&lt;&gt;Config!$B$7),"",COUNTIFS($C$5:$C9,'1a1'!$B$4,$T$5:$T9,Config!$B$7))</f>
        <v/>
      </c>
    </row>
    <row r="10">
      <c r="A10" s="18" t="n">
        <v>46246</v>
      </c>
      <c r="B10" s="19" t="inlineStr">
        <is>
          <t>Carla Nunes</t>
        </is>
      </c>
      <c r="C10" s="14">
        <f>IFERROR(INDEX(Pessoas!$A$5:$A$64,MATCH($B10,Pessoas!$B$5:$B$64,0)),"")</f>
        <v/>
      </c>
      <c r="D10" s="19" t="inlineStr">
        <is>
          <t>Marcos Lima</t>
        </is>
      </c>
      <c r="E10" s="19" t="inlineStr">
        <is>
          <t>GP</t>
        </is>
      </c>
      <c r="F10" s="19" t="inlineStr">
        <is>
          <t>Contexto atenuante</t>
        </is>
      </c>
      <c r="G10" s="19" t="inlineStr">
        <is>
          <t>Previsibilidade</t>
        </is>
      </c>
      <c r="H10" s="19" t="inlineStr">
        <is>
          <t>Assumiu o on-call do Contrato B por duas semanas cobrindo férias, além dos 50% de alocação no Motor de Cobrança.</t>
        </is>
      </c>
      <c r="I10" s="19" t="inlineStr">
        <is>
          <t>Entrega</t>
        </is>
      </c>
      <c r="J10" s="19" t="inlineStr">
        <is>
          <t>Squad</t>
        </is>
      </c>
      <c r="K10" s="19" t="n"/>
      <c r="L10" s="19" t="n"/>
      <c r="M10" s="18" t="n"/>
      <c r="N10" s="19" t="n"/>
      <c r="O10" s="19" t="n"/>
      <c r="P10" s="19" t="n"/>
      <c r="Q10" s="20">
        <f>IF(OR($M10="",$P10=""),"",$M10+IF($P10="7 dias",7,IF($P10="14 dias",14,90)))</f>
        <v/>
      </c>
      <c r="R10" s="19" t="n"/>
      <c r="S10" s="19" t="n"/>
      <c r="T10" s="14">
        <f>IF($A10="","",YEAR($A10)*4+ROUNDUP(MONTH($A10)/3,0))</f>
        <v/>
      </c>
      <c r="U10" s="14">
        <f>IF($C10="","",$C10&amp;"|"&amp;$T10)</f>
        <v/>
      </c>
      <c r="V10" s="14">
        <f>IF($C10="","",$C10&amp;"|"&amp;$T10&amp;"|"&amp;$G10)</f>
        <v/>
      </c>
      <c r="W10" s="14">
        <f>IF($A10="","",IF(OR($B10="",$F10="",$G10="",$H10="",$I10=""),"Faltam campos básicos",IF(AND(OR($F10="Ponto de atenção",$F10="Incidente"),OR($K10="",$L10="",$O10="",$P10="")),"Faltam campos de sinalização","OK")))</f>
        <v/>
      </c>
      <c r="X10" s="14">
        <f>IF($A10="","",IF(AND(OR($F10="Ponto de atenção",$F10="Incidente"),$L10&lt;&gt;"Sim"),"Não",IF(AND($S10="",$W10&lt;&gt;"OK"),"Não","Sim")))</f>
        <v/>
      </c>
      <c r="Y10" s="14">
        <f>IF($C10="",0,IF(COUNTIFS($C$5:$C10,$C10,$D$5:$D10,$D10)=1,1,0))</f>
        <v/>
      </c>
      <c r="Z10" s="14">
        <f>IF($A10="","",IF(Config!$B$7-$T10&gt;2,"Arquivada",IF(Config!$B$7-$T10&gt;0,"Histórico","Ativa")))</f>
        <v/>
      </c>
      <c r="AA10" s="14">
        <f>IF($A10="",0,IF(AND(OR($F10="Ponto de atenção",$F10="Incidente"),$L10="Sim"),1,0))</f>
        <v/>
      </c>
      <c r="AB10" s="14">
        <f>IF(OR($C10="",$C10&lt;&gt;'1a1'!$B$4,$T10&lt;&gt;Config!$B$7),"",COUNTIFS($C$5:$C10,'1a1'!$B$4,$T$5:$T10,Config!$B$7))</f>
        <v/>
      </c>
    </row>
    <row r="11">
      <c r="A11" s="18" t="n"/>
      <c r="B11" s="19" t="n"/>
      <c r="C11" s="14">
        <f>IFERROR(INDEX(Pessoas!$A$5:$A$64,MATCH($B11,Pessoas!$B$5:$B$64,0)),"")</f>
        <v/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8" t="n"/>
      <c r="N11" s="19" t="n"/>
      <c r="O11" s="19" t="n"/>
      <c r="P11" s="19" t="n"/>
      <c r="Q11" s="20">
        <f>IF(OR($M11="",$P11=""),"",$M11+IF($P11="7 dias",7,IF($P11="14 dias",14,90)))</f>
        <v/>
      </c>
      <c r="R11" s="19" t="n"/>
      <c r="S11" s="19" t="n"/>
      <c r="T11" s="14">
        <f>IF($A11="","",YEAR($A11)*4+ROUNDUP(MONTH($A11)/3,0))</f>
        <v/>
      </c>
      <c r="U11" s="14">
        <f>IF($C11="","",$C11&amp;"|"&amp;$T11)</f>
        <v/>
      </c>
      <c r="V11" s="14">
        <f>IF($C11="","",$C11&amp;"|"&amp;$T11&amp;"|"&amp;$G11)</f>
        <v/>
      </c>
      <c r="W11" s="14">
        <f>IF($A11="","",IF(OR($B11="",$F11="",$G11="",$H11="",$I11=""),"Faltam campos básicos",IF(AND(OR($F11="Ponto de atenção",$F11="Incidente"),OR($K11="",$L11="",$O11="",$P11="")),"Faltam campos de sinalização","OK")))</f>
        <v/>
      </c>
      <c r="X11" s="14">
        <f>IF($A11="","",IF(AND(OR($F11="Ponto de atenção",$F11="Incidente"),$L11&lt;&gt;"Sim"),"Não",IF(AND($S11="",$W11&lt;&gt;"OK"),"Não","Sim")))</f>
        <v/>
      </c>
      <c r="Y11" s="14">
        <f>IF($C11="",0,IF(COUNTIFS($C$5:$C11,$C11,$D$5:$D11,$D11)=1,1,0))</f>
        <v/>
      </c>
      <c r="Z11" s="14">
        <f>IF($A11="","",IF(Config!$B$7-$T11&gt;2,"Arquivada",IF(Config!$B$7-$T11&gt;0,"Histórico","Ativa")))</f>
        <v/>
      </c>
      <c r="AA11" s="14">
        <f>IF($A11="",0,IF(AND(OR($F11="Ponto de atenção",$F11="Incidente"),$L11="Sim"),1,0))</f>
        <v/>
      </c>
      <c r="AB11" s="14">
        <f>IF(OR($C11="",$C11&lt;&gt;'1a1'!$B$4,$T11&lt;&gt;Config!$B$7),"",COUNTIFS($C$5:$C11,'1a1'!$B$4,$T$5:$T11,Config!$B$7))</f>
        <v/>
      </c>
    </row>
    <row r="12">
      <c r="A12" s="18" t="n"/>
      <c r="B12" s="19" t="n"/>
      <c r="C12" s="14">
        <f>IFERROR(INDEX(Pessoas!$A$5:$A$64,MATCH($B12,Pessoas!$B$5:$B$64,0)),"")</f>
        <v/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8" t="n"/>
      <c r="N12" s="19" t="n"/>
      <c r="O12" s="19" t="n"/>
      <c r="P12" s="19" t="n"/>
      <c r="Q12" s="20">
        <f>IF(OR($M12="",$P12=""),"",$M12+IF($P12="7 dias",7,IF($P12="14 dias",14,90)))</f>
        <v/>
      </c>
      <c r="R12" s="19" t="n"/>
      <c r="S12" s="19" t="n"/>
      <c r="T12" s="14">
        <f>IF($A12="","",YEAR($A12)*4+ROUNDUP(MONTH($A12)/3,0))</f>
        <v/>
      </c>
      <c r="U12" s="14">
        <f>IF($C12="","",$C12&amp;"|"&amp;$T12)</f>
        <v/>
      </c>
      <c r="V12" s="14">
        <f>IF($C12="","",$C12&amp;"|"&amp;$T12&amp;"|"&amp;$G12)</f>
        <v/>
      </c>
      <c r="W12" s="14">
        <f>IF($A12="","",IF(OR($B12="",$F12="",$G12="",$H12="",$I12=""),"Faltam campos básicos",IF(AND(OR($F12="Ponto de atenção",$F12="Incidente"),OR($K12="",$L12="",$O12="",$P12="")),"Faltam campos de sinalização","OK")))</f>
        <v/>
      </c>
      <c r="X12" s="14">
        <f>IF($A12="","",IF(AND(OR($F12="Ponto de atenção",$F12="Incidente"),$L12&lt;&gt;"Sim"),"Não",IF(AND($S12="",$W12&lt;&gt;"OK"),"Não","Sim")))</f>
        <v/>
      </c>
      <c r="Y12" s="14">
        <f>IF($C12="",0,IF(COUNTIFS($C$5:$C12,$C12,$D$5:$D12,$D12)=1,1,0))</f>
        <v/>
      </c>
      <c r="Z12" s="14">
        <f>IF($A12="","",IF(Config!$B$7-$T12&gt;2,"Arquivada",IF(Config!$B$7-$T12&gt;0,"Histórico","Ativa")))</f>
        <v/>
      </c>
      <c r="AA12" s="14">
        <f>IF($A12="",0,IF(AND(OR($F12="Ponto de atenção",$F12="Incidente"),$L12="Sim"),1,0))</f>
        <v/>
      </c>
      <c r="AB12" s="14">
        <f>IF(OR($C12="",$C12&lt;&gt;'1a1'!$B$4,$T12&lt;&gt;Config!$B$7),"",COUNTIFS($C$5:$C12,'1a1'!$B$4,$T$5:$T12,Config!$B$7))</f>
        <v/>
      </c>
    </row>
    <row r="13">
      <c r="A13" s="18" t="n"/>
      <c r="B13" s="19" t="n"/>
      <c r="C13" s="14">
        <f>IFERROR(INDEX(Pessoas!$A$5:$A$64,MATCH($B13,Pessoas!$B$5:$B$64,0)),"")</f>
        <v/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8" t="n"/>
      <c r="N13" s="19" t="n"/>
      <c r="O13" s="19" t="n"/>
      <c r="P13" s="19" t="n"/>
      <c r="Q13" s="20">
        <f>IF(OR($M13="",$P13=""),"",$M13+IF($P13="7 dias",7,IF($P13="14 dias",14,90)))</f>
        <v/>
      </c>
      <c r="R13" s="19" t="n"/>
      <c r="S13" s="19" t="n"/>
      <c r="T13" s="14">
        <f>IF($A13="","",YEAR($A13)*4+ROUNDUP(MONTH($A13)/3,0))</f>
        <v/>
      </c>
      <c r="U13" s="14">
        <f>IF($C13="","",$C13&amp;"|"&amp;$T13)</f>
        <v/>
      </c>
      <c r="V13" s="14">
        <f>IF($C13="","",$C13&amp;"|"&amp;$T13&amp;"|"&amp;$G13)</f>
        <v/>
      </c>
      <c r="W13" s="14">
        <f>IF($A13="","",IF(OR($B13="",$F13="",$G13="",$H13="",$I13=""),"Faltam campos básicos",IF(AND(OR($F13="Ponto de atenção",$F13="Incidente"),OR($K13="",$L13="",$O13="",$P13="")),"Faltam campos de sinalização","OK")))</f>
        <v/>
      </c>
      <c r="X13" s="14">
        <f>IF($A13="","",IF(AND(OR($F13="Ponto de atenção",$F13="Incidente"),$L13&lt;&gt;"Sim"),"Não",IF(AND($S13="",$W13&lt;&gt;"OK"),"Não","Sim")))</f>
        <v/>
      </c>
      <c r="Y13" s="14">
        <f>IF($C13="",0,IF(COUNTIFS($C$5:$C13,$C13,$D$5:$D13,$D13)=1,1,0))</f>
        <v/>
      </c>
      <c r="Z13" s="14">
        <f>IF($A13="","",IF(Config!$B$7-$T13&gt;2,"Arquivada",IF(Config!$B$7-$T13&gt;0,"Histórico","Ativa")))</f>
        <v/>
      </c>
      <c r="AA13" s="14">
        <f>IF($A13="",0,IF(AND(OR($F13="Ponto de atenção",$F13="Incidente"),$L13="Sim"),1,0))</f>
        <v/>
      </c>
      <c r="AB13" s="14">
        <f>IF(OR($C13="",$C13&lt;&gt;'1a1'!$B$4,$T13&lt;&gt;Config!$B$7),"",COUNTIFS($C$5:$C13,'1a1'!$B$4,$T$5:$T13,Config!$B$7))</f>
        <v/>
      </c>
    </row>
    <row r="14">
      <c r="A14" s="18" t="n"/>
      <c r="B14" s="19" t="n"/>
      <c r="C14" s="14">
        <f>IFERROR(INDEX(Pessoas!$A$5:$A$64,MATCH($B14,Pessoas!$B$5:$B$64,0)),"")</f>
        <v/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8" t="n"/>
      <c r="N14" s="19" t="n"/>
      <c r="O14" s="19" t="n"/>
      <c r="P14" s="19" t="n"/>
      <c r="Q14" s="20">
        <f>IF(OR($M14="",$P14=""),"",$M14+IF($P14="7 dias",7,IF($P14="14 dias",14,90)))</f>
        <v/>
      </c>
      <c r="R14" s="19" t="n"/>
      <c r="S14" s="19" t="n"/>
      <c r="T14" s="14">
        <f>IF($A14="","",YEAR($A14)*4+ROUNDUP(MONTH($A14)/3,0))</f>
        <v/>
      </c>
      <c r="U14" s="14">
        <f>IF($C14="","",$C14&amp;"|"&amp;$T14)</f>
        <v/>
      </c>
      <c r="V14" s="14">
        <f>IF($C14="","",$C14&amp;"|"&amp;$T14&amp;"|"&amp;$G14)</f>
        <v/>
      </c>
      <c r="W14" s="14">
        <f>IF($A14="","",IF(OR($B14="",$F14="",$G14="",$H14="",$I14=""),"Faltam campos básicos",IF(AND(OR($F14="Ponto de atenção",$F14="Incidente"),OR($K14="",$L14="",$O14="",$P14="")),"Faltam campos de sinalização","OK")))</f>
        <v/>
      </c>
      <c r="X14" s="14">
        <f>IF($A14="","",IF(AND(OR($F14="Ponto de atenção",$F14="Incidente"),$L14&lt;&gt;"Sim"),"Não",IF(AND($S14="",$W14&lt;&gt;"OK"),"Não","Sim")))</f>
        <v/>
      </c>
      <c r="Y14" s="14">
        <f>IF($C14="",0,IF(COUNTIFS($C$5:$C14,$C14,$D$5:$D14,$D14)=1,1,0))</f>
        <v/>
      </c>
      <c r="Z14" s="14">
        <f>IF($A14="","",IF(Config!$B$7-$T14&gt;2,"Arquivada",IF(Config!$B$7-$T14&gt;0,"Histórico","Ativa")))</f>
        <v/>
      </c>
      <c r="AA14" s="14">
        <f>IF($A14="",0,IF(AND(OR($F14="Ponto de atenção",$F14="Incidente"),$L14="Sim"),1,0))</f>
        <v/>
      </c>
      <c r="AB14" s="14">
        <f>IF(OR($C14="",$C14&lt;&gt;'1a1'!$B$4,$T14&lt;&gt;Config!$B$7),"",COUNTIFS($C$5:$C14,'1a1'!$B$4,$T$5:$T14,Config!$B$7))</f>
        <v/>
      </c>
    </row>
    <row r="15">
      <c r="A15" s="18" t="n"/>
      <c r="B15" s="19" t="n"/>
      <c r="C15" s="14">
        <f>IFERROR(INDEX(Pessoas!$A$5:$A$64,MATCH($B15,Pessoas!$B$5:$B$64,0)),"")</f>
        <v/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8" t="n"/>
      <c r="N15" s="19" t="n"/>
      <c r="O15" s="19" t="n"/>
      <c r="P15" s="19" t="n"/>
      <c r="Q15" s="20">
        <f>IF(OR($M15="",$P15=""),"",$M15+IF($P15="7 dias",7,IF($P15="14 dias",14,90)))</f>
        <v/>
      </c>
      <c r="R15" s="19" t="n"/>
      <c r="S15" s="19" t="n"/>
      <c r="T15" s="14">
        <f>IF($A15="","",YEAR($A15)*4+ROUNDUP(MONTH($A15)/3,0))</f>
        <v/>
      </c>
      <c r="U15" s="14">
        <f>IF($C15="","",$C15&amp;"|"&amp;$T15)</f>
        <v/>
      </c>
      <c r="V15" s="14">
        <f>IF($C15="","",$C15&amp;"|"&amp;$T15&amp;"|"&amp;$G15)</f>
        <v/>
      </c>
      <c r="W15" s="14">
        <f>IF($A15="","",IF(OR($B15="",$F15="",$G15="",$H15="",$I15=""),"Faltam campos básicos",IF(AND(OR($F15="Ponto de atenção",$F15="Incidente"),OR($K15="",$L15="",$O15="",$P15="")),"Faltam campos de sinalização","OK")))</f>
        <v/>
      </c>
      <c r="X15" s="14">
        <f>IF($A15="","",IF(AND(OR($F15="Ponto de atenção",$F15="Incidente"),$L15&lt;&gt;"Sim"),"Não",IF(AND($S15="",$W15&lt;&gt;"OK"),"Não","Sim")))</f>
        <v/>
      </c>
      <c r="Y15" s="14">
        <f>IF($C15="",0,IF(COUNTIFS($C$5:$C15,$C15,$D$5:$D15,$D15)=1,1,0))</f>
        <v/>
      </c>
      <c r="Z15" s="14">
        <f>IF($A15="","",IF(Config!$B$7-$T15&gt;2,"Arquivada",IF(Config!$B$7-$T15&gt;0,"Histórico","Ativa")))</f>
        <v/>
      </c>
      <c r="AA15" s="14">
        <f>IF($A15="",0,IF(AND(OR($F15="Ponto de atenção",$F15="Incidente"),$L15="Sim"),1,0))</f>
        <v/>
      </c>
      <c r="AB15" s="14">
        <f>IF(OR($C15="",$C15&lt;&gt;'1a1'!$B$4,$T15&lt;&gt;Config!$B$7),"",COUNTIFS($C$5:$C15,'1a1'!$B$4,$T$5:$T15,Config!$B$7))</f>
        <v/>
      </c>
    </row>
    <row r="16">
      <c r="A16" s="18" t="n"/>
      <c r="B16" s="19" t="n"/>
      <c r="C16" s="14">
        <f>IFERROR(INDEX(Pessoas!$A$5:$A$64,MATCH($B16,Pessoas!$B$5:$B$64,0)),"")</f>
        <v/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8" t="n"/>
      <c r="N16" s="19" t="n"/>
      <c r="O16" s="19" t="n"/>
      <c r="P16" s="19" t="n"/>
      <c r="Q16" s="20">
        <f>IF(OR($M16="",$P16=""),"",$M16+IF($P16="7 dias",7,IF($P16="14 dias",14,90)))</f>
        <v/>
      </c>
      <c r="R16" s="19" t="n"/>
      <c r="S16" s="19" t="n"/>
      <c r="T16" s="14">
        <f>IF($A16="","",YEAR($A16)*4+ROUNDUP(MONTH($A16)/3,0))</f>
        <v/>
      </c>
      <c r="U16" s="14">
        <f>IF($C16="","",$C16&amp;"|"&amp;$T16)</f>
        <v/>
      </c>
      <c r="V16" s="14">
        <f>IF($C16="","",$C16&amp;"|"&amp;$T16&amp;"|"&amp;$G16)</f>
        <v/>
      </c>
      <c r="W16" s="14">
        <f>IF($A16="","",IF(OR($B16="",$F16="",$G16="",$H16="",$I16=""),"Faltam campos básicos",IF(AND(OR($F16="Ponto de atenção",$F16="Incidente"),OR($K16="",$L16="",$O16="",$P16="")),"Faltam campos de sinalização","OK")))</f>
        <v/>
      </c>
      <c r="X16" s="14">
        <f>IF($A16="","",IF(AND(OR($F16="Ponto de atenção",$F16="Incidente"),$L16&lt;&gt;"Sim"),"Não",IF(AND($S16="",$W16&lt;&gt;"OK"),"Não","Sim")))</f>
        <v/>
      </c>
      <c r="Y16" s="14">
        <f>IF($C16="",0,IF(COUNTIFS($C$5:$C16,$C16,$D$5:$D16,$D16)=1,1,0))</f>
        <v/>
      </c>
      <c r="Z16" s="14">
        <f>IF($A16="","",IF(Config!$B$7-$T16&gt;2,"Arquivada",IF(Config!$B$7-$T16&gt;0,"Histórico","Ativa")))</f>
        <v/>
      </c>
      <c r="AA16" s="14">
        <f>IF($A16="",0,IF(AND(OR($F16="Ponto de atenção",$F16="Incidente"),$L16="Sim"),1,0))</f>
        <v/>
      </c>
      <c r="AB16" s="14">
        <f>IF(OR($C16="",$C16&lt;&gt;'1a1'!$B$4,$T16&lt;&gt;Config!$B$7),"",COUNTIFS($C$5:$C16,'1a1'!$B$4,$T$5:$T16,Config!$B$7))</f>
        <v/>
      </c>
    </row>
    <row r="17">
      <c r="A17" s="18" t="n"/>
      <c r="B17" s="19" t="n"/>
      <c r="C17" s="14">
        <f>IFERROR(INDEX(Pessoas!$A$5:$A$64,MATCH($B17,Pessoas!$B$5:$B$64,0)),"")</f>
        <v/>
      </c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8" t="n"/>
      <c r="N17" s="19" t="n"/>
      <c r="O17" s="19" t="n"/>
      <c r="P17" s="19" t="n"/>
      <c r="Q17" s="20">
        <f>IF(OR($M17="",$P17=""),"",$M17+IF($P17="7 dias",7,IF($P17="14 dias",14,90)))</f>
        <v/>
      </c>
      <c r="R17" s="19" t="n"/>
      <c r="S17" s="19" t="n"/>
      <c r="T17" s="14">
        <f>IF($A17="","",YEAR($A17)*4+ROUNDUP(MONTH($A17)/3,0))</f>
        <v/>
      </c>
      <c r="U17" s="14">
        <f>IF($C17="","",$C17&amp;"|"&amp;$T17)</f>
        <v/>
      </c>
      <c r="V17" s="14">
        <f>IF($C17="","",$C17&amp;"|"&amp;$T17&amp;"|"&amp;$G17)</f>
        <v/>
      </c>
      <c r="W17" s="14">
        <f>IF($A17="","",IF(OR($B17="",$F17="",$G17="",$H17="",$I17=""),"Faltam campos básicos",IF(AND(OR($F17="Ponto de atenção",$F17="Incidente"),OR($K17="",$L17="",$O17="",$P17="")),"Faltam campos de sinalização","OK")))</f>
        <v/>
      </c>
      <c r="X17" s="14">
        <f>IF($A17="","",IF(AND(OR($F17="Ponto de atenção",$F17="Incidente"),$L17&lt;&gt;"Sim"),"Não",IF(AND($S17="",$W17&lt;&gt;"OK"),"Não","Sim")))</f>
        <v/>
      </c>
      <c r="Y17" s="14">
        <f>IF($C17="",0,IF(COUNTIFS($C$5:$C17,$C17,$D$5:$D17,$D17)=1,1,0))</f>
        <v/>
      </c>
      <c r="Z17" s="14">
        <f>IF($A17="","",IF(Config!$B$7-$T17&gt;2,"Arquivada",IF(Config!$B$7-$T17&gt;0,"Histórico","Ativa")))</f>
        <v/>
      </c>
      <c r="AA17" s="14">
        <f>IF($A17="",0,IF(AND(OR($F17="Ponto de atenção",$F17="Incidente"),$L17="Sim"),1,0))</f>
        <v/>
      </c>
      <c r="AB17" s="14">
        <f>IF(OR($C17="",$C17&lt;&gt;'1a1'!$B$4,$T17&lt;&gt;Config!$B$7),"",COUNTIFS($C$5:$C17,'1a1'!$B$4,$T$5:$T17,Config!$B$7))</f>
        <v/>
      </c>
    </row>
    <row r="18">
      <c r="A18" s="18" t="n"/>
      <c r="B18" s="19" t="n"/>
      <c r="C18" s="14">
        <f>IFERROR(INDEX(Pessoas!$A$5:$A$64,MATCH($B18,Pessoas!$B$5:$B$64,0)),"")</f>
        <v/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8" t="n"/>
      <c r="N18" s="19" t="n"/>
      <c r="O18" s="19" t="n"/>
      <c r="P18" s="19" t="n"/>
      <c r="Q18" s="20">
        <f>IF(OR($M18="",$P18=""),"",$M18+IF($P18="7 dias",7,IF($P18="14 dias",14,90)))</f>
        <v/>
      </c>
      <c r="R18" s="19" t="n"/>
      <c r="S18" s="19" t="n"/>
      <c r="T18" s="14">
        <f>IF($A18="","",YEAR($A18)*4+ROUNDUP(MONTH($A18)/3,0))</f>
        <v/>
      </c>
      <c r="U18" s="14">
        <f>IF($C18="","",$C18&amp;"|"&amp;$T18)</f>
        <v/>
      </c>
      <c r="V18" s="14">
        <f>IF($C18="","",$C18&amp;"|"&amp;$T18&amp;"|"&amp;$G18)</f>
        <v/>
      </c>
      <c r="W18" s="14">
        <f>IF($A18="","",IF(OR($B18="",$F18="",$G18="",$H18="",$I18=""),"Faltam campos básicos",IF(AND(OR($F18="Ponto de atenção",$F18="Incidente"),OR($K18="",$L18="",$O18="",$P18="")),"Faltam campos de sinalização","OK")))</f>
        <v/>
      </c>
      <c r="X18" s="14">
        <f>IF($A18="","",IF(AND(OR($F18="Ponto de atenção",$F18="Incidente"),$L18&lt;&gt;"Sim"),"Não",IF(AND($S18="",$W18&lt;&gt;"OK"),"Não","Sim")))</f>
        <v/>
      </c>
      <c r="Y18" s="14">
        <f>IF($C18="",0,IF(COUNTIFS($C$5:$C18,$C18,$D$5:$D18,$D18)=1,1,0))</f>
        <v/>
      </c>
      <c r="Z18" s="14">
        <f>IF($A18="","",IF(Config!$B$7-$T18&gt;2,"Arquivada",IF(Config!$B$7-$T18&gt;0,"Histórico","Ativa")))</f>
        <v/>
      </c>
      <c r="AA18" s="14">
        <f>IF($A18="",0,IF(AND(OR($F18="Ponto de atenção",$F18="Incidente"),$L18="Sim"),1,0))</f>
        <v/>
      </c>
      <c r="AB18" s="14">
        <f>IF(OR($C18="",$C18&lt;&gt;'1a1'!$B$4,$T18&lt;&gt;Config!$B$7),"",COUNTIFS($C$5:$C18,'1a1'!$B$4,$T$5:$T18,Config!$B$7))</f>
        <v/>
      </c>
    </row>
    <row r="19">
      <c r="A19" s="18" t="n"/>
      <c r="B19" s="19" t="n"/>
      <c r="C19" s="14">
        <f>IFERROR(INDEX(Pessoas!$A$5:$A$64,MATCH($B19,Pessoas!$B$5:$B$64,0)),"")</f>
        <v/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8" t="n"/>
      <c r="N19" s="19" t="n"/>
      <c r="O19" s="19" t="n"/>
      <c r="P19" s="19" t="n"/>
      <c r="Q19" s="20">
        <f>IF(OR($M19="",$P19=""),"",$M19+IF($P19="7 dias",7,IF($P19="14 dias",14,90)))</f>
        <v/>
      </c>
      <c r="R19" s="19" t="n"/>
      <c r="S19" s="19" t="n"/>
      <c r="T19" s="14">
        <f>IF($A19="","",YEAR($A19)*4+ROUNDUP(MONTH($A19)/3,0))</f>
        <v/>
      </c>
      <c r="U19" s="14">
        <f>IF($C19="","",$C19&amp;"|"&amp;$T19)</f>
        <v/>
      </c>
      <c r="V19" s="14">
        <f>IF($C19="","",$C19&amp;"|"&amp;$T19&amp;"|"&amp;$G19)</f>
        <v/>
      </c>
      <c r="W19" s="14">
        <f>IF($A19="","",IF(OR($B19="",$F19="",$G19="",$H19="",$I19=""),"Faltam campos básicos",IF(AND(OR($F19="Ponto de atenção",$F19="Incidente"),OR($K19="",$L19="",$O19="",$P19="")),"Faltam campos de sinalização","OK")))</f>
        <v/>
      </c>
      <c r="X19" s="14">
        <f>IF($A19="","",IF(AND(OR($F19="Ponto de atenção",$F19="Incidente"),$L19&lt;&gt;"Sim"),"Não",IF(AND($S19="",$W19&lt;&gt;"OK"),"Não","Sim")))</f>
        <v/>
      </c>
      <c r="Y19" s="14">
        <f>IF($C19="",0,IF(COUNTIFS($C$5:$C19,$C19,$D$5:$D19,$D19)=1,1,0))</f>
        <v/>
      </c>
      <c r="Z19" s="14">
        <f>IF($A19="","",IF(Config!$B$7-$T19&gt;2,"Arquivada",IF(Config!$B$7-$T19&gt;0,"Histórico","Ativa")))</f>
        <v/>
      </c>
      <c r="AA19" s="14">
        <f>IF($A19="",0,IF(AND(OR($F19="Ponto de atenção",$F19="Incidente"),$L19="Sim"),1,0))</f>
        <v/>
      </c>
      <c r="AB19" s="14">
        <f>IF(OR($C19="",$C19&lt;&gt;'1a1'!$B$4,$T19&lt;&gt;Config!$B$7),"",COUNTIFS($C$5:$C19,'1a1'!$B$4,$T$5:$T19,Config!$B$7))</f>
        <v/>
      </c>
    </row>
    <row r="20">
      <c r="A20" s="18" t="n"/>
      <c r="B20" s="19" t="n"/>
      <c r="C20" s="14">
        <f>IFERROR(INDEX(Pessoas!$A$5:$A$64,MATCH($B20,Pessoas!$B$5:$B$64,0)),"")</f>
        <v/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8" t="n"/>
      <c r="N20" s="19" t="n"/>
      <c r="O20" s="19" t="n"/>
      <c r="P20" s="19" t="n"/>
      <c r="Q20" s="20">
        <f>IF(OR($M20="",$P20=""),"",$M20+IF($P20="7 dias",7,IF($P20="14 dias",14,90)))</f>
        <v/>
      </c>
      <c r="R20" s="19" t="n"/>
      <c r="S20" s="19" t="n"/>
      <c r="T20" s="14">
        <f>IF($A20="","",YEAR($A20)*4+ROUNDUP(MONTH($A20)/3,0))</f>
        <v/>
      </c>
      <c r="U20" s="14">
        <f>IF($C20="","",$C20&amp;"|"&amp;$T20)</f>
        <v/>
      </c>
      <c r="V20" s="14">
        <f>IF($C20="","",$C20&amp;"|"&amp;$T20&amp;"|"&amp;$G20)</f>
        <v/>
      </c>
      <c r="W20" s="14">
        <f>IF($A20="","",IF(OR($B20="",$F20="",$G20="",$H20="",$I20=""),"Faltam campos básicos",IF(AND(OR($F20="Ponto de atenção",$F20="Incidente"),OR($K20="",$L20="",$O20="",$P20="")),"Faltam campos de sinalização","OK")))</f>
        <v/>
      </c>
      <c r="X20" s="14">
        <f>IF($A20="","",IF(AND(OR($F20="Ponto de atenção",$F20="Incidente"),$L20&lt;&gt;"Sim"),"Não",IF(AND($S20="",$W20&lt;&gt;"OK"),"Não","Sim")))</f>
        <v/>
      </c>
      <c r="Y20" s="14">
        <f>IF($C20="",0,IF(COUNTIFS($C$5:$C20,$C20,$D$5:$D20,$D20)=1,1,0))</f>
        <v/>
      </c>
      <c r="Z20" s="14">
        <f>IF($A20="","",IF(Config!$B$7-$T20&gt;2,"Arquivada",IF(Config!$B$7-$T20&gt;0,"Histórico","Ativa")))</f>
        <v/>
      </c>
      <c r="AA20" s="14">
        <f>IF($A20="",0,IF(AND(OR($F20="Ponto de atenção",$F20="Incidente"),$L20="Sim"),1,0))</f>
        <v/>
      </c>
      <c r="AB20" s="14">
        <f>IF(OR($C20="",$C20&lt;&gt;'1a1'!$B$4,$T20&lt;&gt;Config!$B$7),"",COUNTIFS($C$5:$C20,'1a1'!$B$4,$T$5:$T20,Config!$B$7))</f>
        <v/>
      </c>
    </row>
    <row r="21">
      <c r="A21" s="18" t="n"/>
      <c r="B21" s="19" t="n"/>
      <c r="C21" s="14">
        <f>IFERROR(INDEX(Pessoas!$A$5:$A$64,MATCH($B21,Pessoas!$B$5:$B$64,0)),"")</f>
        <v/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8" t="n"/>
      <c r="N21" s="19" t="n"/>
      <c r="O21" s="19" t="n"/>
      <c r="P21" s="19" t="n"/>
      <c r="Q21" s="20">
        <f>IF(OR($M21="",$P21=""),"",$M21+IF($P21="7 dias",7,IF($P21="14 dias",14,90)))</f>
        <v/>
      </c>
      <c r="R21" s="19" t="n"/>
      <c r="S21" s="19" t="n"/>
      <c r="T21" s="14">
        <f>IF($A21="","",YEAR($A21)*4+ROUNDUP(MONTH($A21)/3,0))</f>
        <v/>
      </c>
      <c r="U21" s="14">
        <f>IF($C21="","",$C21&amp;"|"&amp;$T21)</f>
        <v/>
      </c>
      <c r="V21" s="14">
        <f>IF($C21="","",$C21&amp;"|"&amp;$T21&amp;"|"&amp;$G21)</f>
        <v/>
      </c>
      <c r="W21" s="14">
        <f>IF($A21="","",IF(OR($B21="",$F21="",$G21="",$H21="",$I21=""),"Faltam campos básicos",IF(AND(OR($F21="Ponto de atenção",$F21="Incidente"),OR($K21="",$L21="",$O21="",$P21="")),"Faltam campos de sinalização","OK")))</f>
        <v/>
      </c>
      <c r="X21" s="14">
        <f>IF($A21="","",IF(AND(OR($F21="Ponto de atenção",$F21="Incidente"),$L21&lt;&gt;"Sim"),"Não",IF(AND($S21="",$W21&lt;&gt;"OK"),"Não","Sim")))</f>
        <v/>
      </c>
      <c r="Y21" s="14">
        <f>IF($C21="",0,IF(COUNTIFS($C$5:$C21,$C21,$D$5:$D21,$D21)=1,1,0))</f>
        <v/>
      </c>
      <c r="Z21" s="14">
        <f>IF($A21="","",IF(Config!$B$7-$T21&gt;2,"Arquivada",IF(Config!$B$7-$T21&gt;0,"Histórico","Ativa")))</f>
        <v/>
      </c>
      <c r="AA21" s="14">
        <f>IF($A21="",0,IF(AND(OR($F21="Ponto de atenção",$F21="Incidente"),$L21="Sim"),1,0))</f>
        <v/>
      </c>
      <c r="AB21" s="14">
        <f>IF(OR($C21="",$C21&lt;&gt;'1a1'!$B$4,$T21&lt;&gt;Config!$B$7),"",COUNTIFS($C$5:$C21,'1a1'!$B$4,$T$5:$T21,Config!$B$7))</f>
        <v/>
      </c>
    </row>
    <row r="22">
      <c r="A22" s="18" t="n"/>
      <c r="B22" s="19" t="n"/>
      <c r="C22" s="14">
        <f>IFERROR(INDEX(Pessoas!$A$5:$A$64,MATCH($B22,Pessoas!$B$5:$B$64,0)),"")</f>
        <v/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8" t="n"/>
      <c r="N22" s="19" t="n"/>
      <c r="O22" s="19" t="n"/>
      <c r="P22" s="19" t="n"/>
      <c r="Q22" s="20">
        <f>IF(OR($M22="",$P22=""),"",$M22+IF($P22="7 dias",7,IF($P22="14 dias",14,90)))</f>
        <v/>
      </c>
      <c r="R22" s="19" t="n"/>
      <c r="S22" s="19" t="n"/>
      <c r="T22" s="14">
        <f>IF($A22="","",YEAR($A22)*4+ROUNDUP(MONTH($A22)/3,0))</f>
        <v/>
      </c>
      <c r="U22" s="14">
        <f>IF($C22="","",$C22&amp;"|"&amp;$T22)</f>
        <v/>
      </c>
      <c r="V22" s="14">
        <f>IF($C22="","",$C22&amp;"|"&amp;$T22&amp;"|"&amp;$G22)</f>
        <v/>
      </c>
      <c r="W22" s="14">
        <f>IF($A22="","",IF(OR($B22="",$F22="",$G22="",$H22="",$I22=""),"Faltam campos básicos",IF(AND(OR($F22="Ponto de atenção",$F22="Incidente"),OR($K22="",$L22="",$O22="",$P22="")),"Faltam campos de sinalização","OK")))</f>
        <v/>
      </c>
      <c r="X22" s="14">
        <f>IF($A22="","",IF(AND(OR($F22="Ponto de atenção",$F22="Incidente"),$L22&lt;&gt;"Sim"),"Não",IF(AND($S22="",$W22&lt;&gt;"OK"),"Não","Sim")))</f>
        <v/>
      </c>
      <c r="Y22" s="14">
        <f>IF($C22="",0,IF(COUNTIFS($C$5:$C22,$C22,$D$5:$D22,$D22)=1,1,0))</f>
        <v/>
      </c>
      <c r="Z22" s="14">
        <f>IF($A22="","",IF(Config!$B$7-$T22&gt;2,"Arquivada",IF(Config!$B$7-$T22&gt;0,"Histórico","Ativa")))</f>
        <v/>
      </c>
      <c r="AA22" s="14">
        <f>IF($A22="",0,IF(AND(OR($F22="Ponto de atenção",$F22="Incidente"),$L22="Sim"),1,0))</f>
        <v/>
      </c>
      <c r="AB22" s="14">
        <f>IF(OR($C22="",$C22&lt;&gt;'1a1'!$B$4,$T22&lt;&gt;Config!$B$7),"",COUNTIFS($C$5:$C22,'1a1'!$B$4,$T$5:$T22,Config!$B$7))</f>
        <v/>
      </c>
    </row>
    <row r="23">
      <c r="A23" s="18" t="n"/>
      <c r="B23" s="19" t="n"/>
      <c r="C23" s="14">
        <f>IFERROR(INDEX(Pessoas!$A$5:$A$64,MATCH($B23,Pessoas!$B$5:$B$64,0)),"")</f>
        <v/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8" t="n"/>
      <c r="N23" s="19" t="n"/>
      <c r="O23" s="19" t="n"/>
      <c r="P23" s="19" t="n"/>
      <c r="Q23" s="20">
        <f>IF(OR($M23="",$P23=""),"",$M23+IF($P23="7 dias",7,IF($P23="14 dias",14,90)))</f>
        <v/>
      </c>
      <c r="R23" s="19" t="n"/>
      <c r="S23" s="19" t="n"/>
      <c r="T23" s="14">
        <f>IF($A23="","",YEAR($A23)*4+ROUNDUP(MONTH($A23)/3,0))</f>
        <v/>
      </c>
      <c r="U23" s="14">
        <f>IF($C23="","",$C23&amp;"|"&amp;$T23)</f>
        <v/>
      </c>
      <c r="V23" s="14">
        <f>IF($C23="","",$C23&amp;"|"&amp;$T23&amp;"|"&amp;$G23)</f>
        <v/>
      </c>
      <c r="W23" s="14">
        <f>IF($A23="","",IF(OR($B23="",$F23="",$G23="",$H23="",$I23=""),"Faltam campos básicos",IF(AND(OR($F23="Ponto de atenção",$F23="Incidente"),OR($K23="",$L23="",$O23="",$P23="")),"Faltam campos de sinalização","OK")))</f>
        <v/>
      </c>
      <c r="X23" s="14">
        <f>IF($A23="","",IF(AND(OR($F23="Ponto de atenção",$F23="Incidente"),$L23&lt;&gt;"Sim"),"Não",IF(AND($S23="",$W23&lt;&gt;"OK"),"Não","Sim")))</f>
        <v/>
      </c>
      <c r="Y23" s="14">
        <f>IF($C23="",0,IF(COUNTIFS($C$5:$C23,$C23,$D$5:$D23,$D23)=1,1,0))</f>
        <v/>
      </c>
      <c r="Z23" s="14">
        <f>IF($A23="","",IF(Config!$B$7-$T23&gt;2,"Arquivada",IF(Config!$B$7-$T23&gt;0,"Histórico","Ativa")))</f>
        <v/>
      </c>
      <c r="AA23" s="14">
        <f>IF($A23="",0,IF(AND(OR($F23="Ponto de atenção",$F23="Incidente"),$L23="Sim"),1,0))</f>
        <v/>
      </c>
      <c r="AB23" s="14">
        <f>IF(OR($C23="",$C23&lt;&gt;'1a1'!$B$4,$T23&lt;&gt;Config!$B$7),"",COUNTIFS($C$5:$C23,'1a1'!$B$4,$T$5:$T23,Config!$B$7))</f>
        <v/>
      </c>
    </row>
    <row r="24">
      <c r="A24" s="18" t="n"/>
      <c r="B24" s="19" t="n"/>
      <c r="C24" s="14">
        <f>IFERROR(INDEX(Pessoas!$A$5:$A$64,MATCH($B24,Pessoas!$B$5:$B$64,0)),"")</f>
        <v/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8" t="n"/>
      <c r="N24" s="19" t="n"/>
      <c r="O24" s="19" t="n"/>
      <c r="P24" s="19" t="n"/>
      <c r="Q24" s="20">
        <f>IF(OR($M24="",$P24=""),"",$M24+IF($P24="7 dias",7,IF($P24="14 dias",14,90)))</f>
        <v/>
      </c>
      <c r="R24" s="19" t="n"/>
      <c r="S24" s="19" t="n"/>
      <c r="T24" s="14">
        <f>IF($A24="","",YEAR($A24)*4+ROUNDUP(MONTH($A24)/3,0))</f>
        <v/>
      </c>
      <c r="U24" s="14">
        <f>IF($C24="","",$C24&amp;"|"&amp;$T24)</f>
        <v/>
      </c>
      <c r="V24" s="14">
        <f>IF($C24="","",$C24&amp;"|"&amp;$T24&amp;"|"&amp;$G24)</f>
        <v/>
      </c>
      <c r="W24" s="14">
        <f>IF($A24="","",IF(OR($B24="",$F24="",$G24="",$H24="",$I24=""),"Faltam campos básicos",IF(AND(OR($F24="Ponto de atenção",$F24="Incidente"),OR($K24="",$L24="",$O24="",$P24="")),"Faltam campos de sinalização","OK")))</f>
        <v/>
      </c>
      <c r="X24" s="14">
        <f>IF($A24="","",IF(AND(OR($F24="Ponto de atenção",$F24="Incidente"),$L24&lt;&gt;"Sim"),"Não",IF(AND($S24="",$W24&lt;&gt;"OK"),"Não","Sim")))</f>
        <v/>
      </c>
      <c r="Y24" s="14">
        <f>IF($C24="",0,IF(COUNTIFS($C$5:$C24,$C24,$D$5:$D24,$D24)=1,1,0))</f>
        <v/>
      </c>
      <c r="Z24" s="14">
        <f>IF($A24="","",IF(Config!$B$7-$T24&gt;2,"Arquivada",IF(Config!$B$7-$T24&gt;0,"Histórico","Ativa")))</f>
        <v/>
      </c>
      <c r="AA24" s="14">
        <f>IF($A24="",0,IF(AND(OR($F24="Ponto de atenção",$F24="Incidente"),$L24="Sim"),1,0))</f>
        <v/>
      </c>
      <c r="AB24" s="14">
        <f>IF(OR($C24="",$C24&lt;&gt;'1a1'!$B$4,$T24&lt;&gt;Config!$B$7),"",COUNTIFS($C$5:$C24,'1a1'!$B$4,$T$5:$T24,Config!$B$7))</f>
        <v/>
      </c>
    </row>
    <row r="25">
      <c r="A25" s="18" t="n"/>
      <c r="B25" s="19" t="n"/>
      <c r="C25" s="14">
        <f>IFERROR(INDEX(Pessoas!$A$5:$A$64,MATCH($B25,Pessoas!$B$5:$B$64,0)),"")</f>
        <v/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8" t="n"/>
      <c r="N25" s="19" t="n"/>
      <c r="O25" s="19" t="n"/>
      <c r="P25" s="19" t="n"/>
      <c r="Q25" s="20">
        <f>IF(OR($M25="",$P25=""),"",$M25+IF($P25="7 dias",7,IF($P25="14 dias",14,90)))</f>
        <v/>
      </c>
      <c r="R25" s="19" t="n"/>
      <c r="S25" s="19" t="n"/>
      <c r="T25" s="14">
        <f>IF($A25="","",YEAR($A25)*4+ROUNDUP(MONTH($A25)/3,0))</f>
        <v/>
      </c>
      <c r="U25" s="14">
        <f>IF($C25="","",$C25&amp;"|"&amp;$T25)</f>
        <v/>
      </c>
      <c r="V25" s="14">
        <f>IF($C25="","",$C25&amp;"|"&amp;$T25&amp;"|"&amp;$G25)</f>
        <v/>
      </c>
      <c r="W25" s="14">
        <f>IF($A25="","",IF(OR($B25="",$F25="",$G25="",$H25="",$I25=""),"Faltam campos básicos",IF(AND(OR($F25="Ponto de atenção",$F25="Incidente"),OR($K25="",$L25="",$O25="",$P25="")),"Faltam campos de sinalização","OK")))</f>
        <v/>
      </c>
      <c r="X25" s="14">
        <f>IF($A25="","",IF(AND(OR($F25="Ponto de atenção",$F25="Incidente"),$L25&lt;&gt;"Sim"),"Não",IF(AND($S25="",$W25&lt;&gt;"OK"),"Não","Sim")))</f>
        <v/>
      </c>
      <c r="Y25" s="14">
        <f>IF($C25="",0,IF(COUNTIFS($C$5:$C25,$C25,$D$5:$D25,$D25)=1,1,0))</f>
        <v/>
      </c>
      <c r="Z25" s="14">
        <f>IF($A25="","",IF(Config!$B$7-$T25&gt;2,"Arquivada",IF(Config!$B$7-$T25&gt;0,"Histórico","Ativa")))</f>
        <v/>
      </c>
      <c r="AA25" s="14">
        <f>IF($A25="",0,IF(AND(OR($F25="Ponto de atenção",$F25="Incidente"),$L25="Sim"),1,0))</f>
        <v/>
      </c>
      <c r="AB25" s="14">
        <f>IF(OR($C25="",$C25&lt;&gt;'1a1'!$B$4,$T25&lt;&gt;Config!$B$7),"",COUNTIFS($C$5:$C25,'1a1'!$B$4,$T$5:$T25,Config!$B$7))</f>
        <v/>
      </c>
    </row>
    <row r="26">
      <c r="A26" s="18" t="n"/>
      <c r="B26" s="19" t="n"/>
      <c r="C26" s="14">
        <f>IFERROR(INDEX(Pessoas!$A$5:$A$64,MATCH($B26,Pessoas!$B$5:$B$64,0)),"")</f>
        <v/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8" t="n"/>
      <c r="N26" s="19" t="n"/>
      <c r="O26" s="19" t="n"/>
      <c r="P26" s="19" t="n"/>
      <c r="Q26" s="20">
        <f>IF(OR($M26="",$P26=""),"",$M26+IF($P26="7 dias",7,IF($P26="14 dias",14,90)))</f>
        <v/>
      </c>
      <c r="R26" s="19" t="n"/>
      <c r="S26" s="19" t="n"/>
      <c r="T26" s="14">
        <f>IF($A26="","",YEAR($A26)*4+ROUNDUP(MONTH($A26)/3,0))</f>
        <v/>
      </c>
      <c r="U26" s="14">
        <f>IF($C26="","",$C26&amp;"|"&amp;$T26)</f>
        <v/>
      </c>
      <c r="V26" s="14">
        <f>IF($C26="","",$C26&amp;"|"&amp;$T26&amp;"|"&amp;$G26)</f>
        <v/>
      </c>
      <c r="W26" s="14">
        <f>IF($A26="","",IF(OR($B26="",$F26="",$G26="",$H26="",$I26=""),"Faltam campos básicos",IF(AND(OR($F26="Ponto de atenção",$F26="Incidente"),OR($K26="",$L26="",$O26="",$P26="")),"Faltam campos de sinalização","OK")))</f>
        <v/>
      </c>
      <c r="X26" s="14">
        <f>IF($A26="","",IF(AND(OR($F26="Ponto de atenção",$F26="Incidente"),$L26&lt;&gt;"Sim"),"Não",IF(AND($S26="",$W26&lt;&gt;"OK"),"Não","Sim")))</f>
        <v/>
      </c>
      <c r="Y26" s="14">
        <f>IF($C26="",0,IF(COUNTIFS($C$5:$C26,$C26,$D$5:$D26,$D26)=1,1,0))</f>
        <v/>
      </c>
      <c r="Z26" s="14">
        <f>IF($A26="","",IF(Config!$B$7-$T26&gt;2,"Arquivada",IF(Config!$B$7-$T26&gt;0,"Histórico","Ativa")))</f>
        <v/>
      </c>
      <c r="AA26" s="14">
        <f>IF($A26="",0,IF(AND(OR($F26="Ponto de atenção",$F26="Incidente"),$L26="Sim"),1,0))</f>
        <v/>
      </c>
      <c r="AB26" s="14">
        <f>IF(OR($C26="",$C26&lt;&gt;'1a1'!$B$4,$T26&lt;&gt;Config!$B$7),"",COUNTIFS($C$5:$C26,'1a1'!$B$4,$T$5:$T26,Config!$B$7))</f>
        <v/>
      </c>
    </row>
    <row r="27">
      <c r="A27" s="18" t="n"/>
      <c r="B27" s="19" t="n"/>
      <c r="C27" s="14">
        <f>IFERROR(INDEX(Pessoas!$A$5:$A$64,MATCH($B27,Pessoas!$B$5:$B$64,0)),"")</f>
        <v/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8" t="n"/>
      <c r="N27" s="19" t="n"/>
      <c r="O27" s="19" t="n"/>
      <c r="P27" s="19" t="n"/>
      <c r="Q27" s="20">
        <f>IF(OR($M27="",$P27=""),"",$M27+IF($P27="7 dias",7,IF($P27="14 dias",14,90)))</f>
        <v/>
      </c>
      <c r="R27" s="19" t="n"/>
      <c r="S27" s="19" t="n"/>
      <c r="T27" s="14">
        <f>IF($A27="","",YEAR($A27)*4+ROUNDUP(MONTH($A27)/3,0))</f>
        <v/>
      </c>
      <c r="U27" s="14">
        <f>IF($C27="","",$C27&amp;"|"&amp;$T27)</f>
        <v/>
      </c>
      <c r="V27" s="14">
        <f>IF($C27="","",$C27&amp;"|"&amp;$T27&amp;"|"&amp;$G27)</f>
        <v/>
      </c>
      <c r="W27" s="14">
        <f>IF($A27="","",IF(OR($B27="",$F27="",$G27="",$H27="",$I27=""),"Faltam campos básicos",IF(AND(OR($F27="Ponto de atenção",$F27="Incidente"),OR($K27="",$L27="",$O27="",$P27="")),"Faltam campos de sinalização","OK")))</f>
        <v/>
      </c>
      <c r="X27" s="14">
        <f>IF($A27="","",IF(AND(OR($F27="Ponto de atenção",$F27="Incidente"),$L27&lt;&gt;"Sim"),"Não",IF(AND($S27="",$W27&lt;&gt;"OK"),"Não","Sim")))</f>
        <v/>
      </c>
      <c r="Y27" s="14">
        <f>IF($C27="",0,IF(COUNTIFS($C$5:$C27,$C27,$D$5:$D27,$D27)=1,1,0))</f>
        <v/>
      </c>
      <c r="Z27" s="14">
        <f>IF($A27="","",IF(Config!$B$7-$T27&gt;2,"Arquivada",IF(Config!$B$7-$T27&gt;0,"Histórico","Ativa")))</f>
        <v/>
      </c>
      <c r="AA27" s="14">
        <f>IF($A27="",0,IF(AND(OR($F27="Ponto de atenção",$F27="Incidente"),$L27="Sim"),1,0))</f>
        <v/>
      </c>
      <c r="AB27" s="14">
        <f>IF(OR($C27="",$C27&lt;&gt;'1a1'!$B$4,$T27&lt;&gt;Config!$B$7),"",COUNTIFS($C$5:$C27,'1a1'!$B$4,$T$5:$T27,Config!$B$7))</f>
        <v/>
      </c>
    </row>
    <row r="28">
      <c r="A28" s="18" t="n"/>
      <c r="B28" s="19" t="n"/>
      <c r="C28" s="14">
        <f>IFERROR(INDEX(Pessoas!$A$5:$A$64,MATCH($B28,Pessoas!$B$5:$B$64,0)),"")</f>
        <v/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8" t="n"/>
      <c r="N28" s="19" t="n"/>
      <c r="O28" s="19" t="n"/>
      <c r="P28" s="19" t="n"/>
      <c r="Q28" s="20">
        <f>IF(OR($M28="",$P28=""),"",$M28+IF($P28="7 dias",7,IF($P28="14 dias",14,90)))</f>
        <v/>
      </c>
      <c r="R28" s="19" t="n"/>
      <c r="S28" s="19" t="n"/>
      <c r="T28" s="14">
        <f>IF($A28="","",YEAR($A28)*4+ROUNDUP(MONTH($A28)/3,0))</f>
        <v/>
      </c>
      <c r="U28" s="14">
        <f>IF($C28="","",$C28&amp;"|"&amp;$T28)</f>
        <v/>
      </c>
      <c r="V28" s="14">
        <f>IF($C28="","",$C28&amp;"|"&amp;$T28&amp;"|"&amp;$G28)</f>
        <v/>
      </c>
      <c r="W28" s="14">
        <f>IF($A28="","",IF(OR($B28="",$F28="",$G28="",$H28="",$I28=""),"Faltam campos básicos",IF(AND(OR($F28="Ponto de atenção",$F28="Incidente"),OR($K28="",$L28="",$O28="",$P28="")),"Faltam campos de sinalização","OK")))</f>
        <v/>
      </c>
      <c r="X28" s="14">
        <f>IF($A28="","",IF(AND(OR($F28="Ponto de atenção",$F28="Incidente"),$L28&lt;&gt;"Sim"),"Não",IF(AND($S28="",$W28&lt;&gt;"OK"),"Não","Sim")))</f>
        <v/>
      </c>
      <c r="Y28" s="14">
        <f>IF($C28="",0,IF(COUNTIFS($C$5:$C28,$C28,$D$5:$D28,$D28)=1,1,0))</f>
        <v/>
      </c>
      <c r="Z28" s="14">
        <f>IF($A28="","",IF(Config!$B$7-$T28&gt;2,"Arquivada",IF(Config!$B$7-$T28&gt;0,"Histórico","Ativa")))</f>
        <v/>
      </c>
      <c r="AA28" s="14">
        <f>IF($A28="",0,IF(AND(OR($F28="Ponto de atenção",$F28="Incidente"),$L28="Sim"),1,0))</f>
        <v/>
      </c>
      <c r="AB28" s="14">
        <f>IF(OR($C28="",$C28&lt;&gt;'1a1'!$B$4,$T28&lt;&gt;Config!$B$7),"",COUNTIFS($C$5:$C28,'1a1'!$B$4,$T$5:$T28,Config!$B$7))</f>
        <v/>
      </c>
    </row>
    <row r="29">
      <c r="A29" s="18" t="n"/>
      <c r="B29" s="19" t="n"/>
      <c r="C29" s="14">
        <f>IFERROR(INDEX(Pessoas!$A$5:$A$64,MATCH($B29,Pessoas!$B$5:$B$64,0)),"")</f>
        <v/>
      </c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8" t="n"/>
      <c r="N29" s="19" t="n"/>
      <c r="O29" s="19" t="n"/>
      <c r="P29" s="19" t="n"/>
      <c r="Q29" s="20">
        <f>IF(OR($M29="",$P29=""),"",$M29+IF($P29="7 dias",7,IF($P29="14 dias",14,90)))</f>
        <v/>
      </c>
      <c r="R29" s="19" t="n"/>
      <c r="S29" s="19" t="n"/>
      <c r="T29" s="14">
        <f>IF($A29="","",YEAR($A29)*4+ROUNDUP(MONTH($A29)/3,0))</f>
        <v/>
      </c>
      <c r="U29" s="14">
        <f>IF($C29="","",$C29&amp;"|"&amp;$T29)</f>
        <v/>
      </c>
      <c r="V29" s="14">
        <f>IF($C29="","",$C29&amp;"|"&amp;$T29&amp;"|"&amp;$G29)</f>
        <v/>
      </c>
      <c r="W29" s="14">
        <f>IF($A29="","",IF(OR($B29="",$F29="",$G29="",$H29="",$I29=""),"Faltam campos básicos",IF(AND(OR($F29="Ponto de atenção",$F29="Incidente"),OR($K29="",$L29="",$O29="",$P29="")),"Faltam campos de sinalização","OK")))</f>
        <v/>
      </c>
      <c r="X29" s="14">
        <f>IF($A29="","",IF(AND(OR($F29="Ponto de atenção",$F29="Incidente"),$L29&lt;&gt;"Sim"),"Não",IF(AND($S29="",$W29&lt;&gt;"OK"),"Não","Sim")))</f>
        <v/>
      </c>
      <c r="Y29" s="14">
        <f>IF($C29="",0,IF(COUNTIFS($C$5:$C29,$C29,$D$5:$D29,$D29)=1,1,0))</f>
        <v/>
      </c>
      <c r="Z29" s="14">
        <f>IF($A29="","",IF(Config!$B$7-$T29&gt;2,"Arquivada",IF(Config!$B$7-$T29&gt;0,"Histórico","Ativa")))</f>
        <v/>
      </c>
      <c r="AA29" s="14">
        <f>IF($A29="",0,IF(AND(OR($F29="Ponto de atenção",$F29="Incidente"),$L29="Sim"),1,0))</f>
        <v/>
      </c>
      <c r="AB29" s="14">
        <f>IF(OR($C29="",$C29&lt;&gt;'1a1'!$B$4,$T29&lt;&gt;Config!$B$7),"",COUNTIFS($C$5:$C29,'1a1'!$B$4,$T$5:$T29,Config!$B$7))</f>
        <v/>
      </c>
    </row>
    <row r="30">
      <c r="A30" s="18" t="n"/>
      <c r="B30" s="19" t="n"/>
      <c r="C30" s="14">
        <f>IFERROR(INDEX(Pessoas!$A$5:$A$64,MATCH($B30,Pessoas!$B$5:$B$64,0)),"")</f>
        <v/>
      </c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8" t="n"/>
      <c r="N30" s="19" t="n"/>
      <c r="O30" s="19" t="n"/>
      <c r="P30" s="19" t="n"/>
      <c r="Q30" s="20">
        <f>IF(OR($M30="",$P30=""),"",$M30+IF($P30="7 dias",7,IF($P30="14 dias",14,90)))</f>
        <v/>
      </c>
      <c r="R30" s="19" t="n"/>
      <c r="S30" s="19" t="n"/>
      <c r="T30" s="14">
        <f>IF($A30="","",YEAR($A30)*4+ROUNDUP(MONTH($A30)/3,0))</f>
        <v/>
      </c>
      <c r="U30" s="14">
        <f>IF($C30="","",$C30&amp;"|"&amp;$T30)</f>
        <v/>
      </c>
      <c r="V30" s="14">
        <f>IF($C30="","",$C30&amp;"|"&amp;$T30&amp;"|"&amp;$G30)</f>
        <v/>
      </c>
      <c r="W30" s="14">
        <f>IF($A30="","",IF(OR($B30="",$F30="",$G30="",$H30="",$I30=""),"Faltam campos básicos",IF(AND(OR($F30="Ponto de atenção",$F30="Incidente"),OR($K30="",$L30="",$O30="",$P30="")),"Faltam campos de sinalização","OK")))</f>
        <v/>
      </c>
      <c r="X30" s="14">
        <f>IF($A30="","",IF(AND(OR($F30="Ponto de atenção",$F30="Incidente"),$L30&lt;&gt;"Sim"),"Não",IF(AND($S30="",$W30&lt;&gt;"OK"),"Não","Sim")))</f>
        <v/>
      </c>
      <c r="Y30" s="14">
        <f>IF($C30="",0,IF(COUNTIFS($C$5:$C30,$C30,$D$5:$D30,$D30)=1,1,0))</f>
        <v/>
      </c>
      <c r="Z30" s="14">
        <f>IF($A30="","",IF(Config!$B$7-$T30&gt;2,"Arquivada",IF(Config!$B$7-$T30&gt;0,"Histórico","Ativa")))</f>
        <v/>
      </c>
      <c r="AA30" s="14">
        <f>IF($A30="",0,IF(AND(OR($F30="Ponto de atenção",$F30="Incidente"),$L30="Sim"),1,0))</f>
        <v/>
      </c>
      <c r="AB30" s="14">
        <f>IF(OR($C30="",$C30&lt;&gt;'1a1'!$B$4,$T30&lt;&gt;Config!$B$7),"",COUNTIFS($C$5:$C30,'1a1'!$B$4,$T$5:$T30,Config!$B$7))</f>
        <v/>
      </c>
    </row>
    <row r="31">
      <c r="A31" s="18" t="n"/>
      <c r="B31" s="19" t="n"/>
      <c r="C31" s="14">
        <f>IFERROR(INDEX(Pessoas!$A$5:$A$64,MATCH($B31,Pessoas!$B$5:$B$64,0)),"")</f>
        <v/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8" t="n"/>
      <c r="N31" s="19" t="n"/>
      <c r="O31" s="19" t="n"/>
      <c r="P31" s="19" t="n"/>
      <c r="Q31" s="20">
        <f>IF(OR($M31="",$P31=""),"",$M31+IF($P31="7 dias",7,IF($P31="14 dias",14,90)))</f>
        <v/>
      </c>
      <c r="R31" s="19" t="n"/>
      <c r="S31" s="19" t="n"/>
      <c r="T31" s="14">
        <f>IF($A31="","",YEAR($A31)*4+ROUNDUP(MONTH($A31)/3,0))</f>
        <v/>
      </c>
      <c r="U31" s="14">
        <f>IF($C31="","",$C31&amp;"|"&amp;$T31)</f>
        <v/>
      </c>
      <c r="V31" s="14">
        <f>IF($C31="","",$C31&amp;"|"&amp;$T31&amp;"|"&amp;$G31)</f>
        <v/>
      </c>
      <c r="W31" s="14">
        <f>IF($A31="","",IF(OR($B31="",$F31="",$G31="",$H31="",$I31=""),"Faltam campos básicos",IF(AND(OR($F31="Ponto de atenção",$F31="Incidente"),OR($K31="",$L31="",$O31="",$P31="")),"Faltam campos de sinalização","OK")))</f>
        <v/>
      </c>
      <c r="X31" s="14">
        <f>IF($A31="","",IF(AND(OR($F31="Ponto de atenção",$F31="Incidente"),$L31&lt;&gt;"Sim"),"Não",IF(AND($S31="",$W31&lt;&gt;"OK"),"Não","Sim")))</f>
        <v/>
      </c>
      <c r="Y31" s="14">
        <f>IF($C31="",0,IF(COUNTIFS($C$5:$C31,$C31,$D$5:$D31,$D31)=1,1,0))</f>
        <v/>
      </c>
      <c r="Z31" s="14">
        <f>IF($A31="","",IF(Config!$B$7-$T31&gt;2,"Arquivada",IF(Config!$B$7-$T31&gt;0,"Histórico","Ativa")))</f>
        <v/>
      </c>
      <c r="AA31" s="14">
        <f>IF($A31="",0,IF(AND(OR($F31="Ponto de atenção",$F31="Incidente"),$L31="Sim"),1,0))</f>
        <v/>
      </c>
      <c r="AB31" s="14">
        <f>IF(OR($C31="",$C31&lt;&gt;'1a1'!$B$4,$T31&lt;&gt;Config!$B$7),"",COUNTIFS($C$5:$C31,'1a1'!$B$4,$T$5:$T31,Config!$B$7))</f>
        <v/>
      </c>
    </row>
    <row r="32">
      <c r="A32" s="18" t="n"/>
      <c r="B32" s="19" t="n"/>
      <c r="C32" s="14">
        <f>IFERROR(INDEX(Pessoas!$A$5:$A$64,MATCH($B32,Pessoas!$B$5:$B$64,0)),"")</f>
        <v/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8" t="n"/>
      <c r="N32" s="19" t="n"/>
      <c r="O32" s="19" t="n"/>
      <c r="P32" s="19" t="n"/>
      <c r="Q32" s="20">
        <f>IF(OR($M32="",$P32=""),"",$M32+IF($P32="7 dias",7,IF($P32="14 dias",14,90)))</f>
        <v/>
      </c>
      <c r="R32" s="19" t="n"/>
      <c r="S32" s="19" t="n"/>
      <c r="T32" s="14">
        <f>IF($A32="","",YEAR($A32)*4+ROUNDUP(MONTH($A32)/3,0))</f>
        <v/>
      </c>
      <c r="U32" s="14">
        <f>IF($C32="","",$C32&amp;"|"&amp;$T32)</f>
        <v/>
      </c>
      <c r="V32" s="14">
        <f>IF($C32="","",$C32&amp;"|"&amp;$T32&amp;"|"&amp;$G32)</f>
        <v/>
      </c>
      <c r="W32" s="14">
        <f>IF($A32="","",IF(OR($B32="",$F32="",$G32="",$H32="",$I32=""),"Faltam campos básicos",IF(AND(OR($F32="Ponto de atenção",$F32="Incidente"),OR($K32="",$L32="",$O32="",$P32="")),"Faltam campos de sinalização","OK")))</f>
        <v/>
      </c>
      <c r="X32" s="14">
        <f>IF($A32="","",IF(AND(OR($F32="Ponto de atenção",$F32="Incidente"),$L32&lt;&gt;"Sim"),"Não",IF(AND($S32="",$W32&lt;&gt;"OK"),"Não","Sim")))</f>
        <v/>
      </c>
      <c r="Y32" s="14">
        <f>IF($C32="",0,IF(COUNTIFS($C$5:$C32,$C32,$D$5:$D32,$D32)=1,1,0))</f>
        <v/>
      </c>
      <c r="Z32" s="14">
        <f>IF($A32="","",IF(Config!$B$7-$T32&gt;2,"Arquivada",IF(Config!$B$7-$T32&gt;0,"Histórico","Ativa")))</f>
        <v/>
      </c>
      <c r="AA32" s="14">
        <f>IF($A32="",0,IF(AND(OR($F32="Ponto de atenção",$F32="Incidente"),$L32="Sim"),1,0))</f>
        <v/>
      </c>
      <c r="AB32" s="14">
        <f>IF(OR($C32="",$C32&lt;&gt;'1a1'!$B$4,$T32&lt;&gt;Config!$B$7),"",COUNTIFS($C$5:$C32,'1a1'!$B$4,$T$5:$T32,Config!$B$7))</f>
        <v/>
      </c>
    </row>
    <row r="33">
      <c r="A33" s="18" t="n"/>
      <c r="B33" s="19" t="n"/>
      <c r="C33" s="14">
        <f>IFERROR(INDEX(Pessoas!$A$5:$A$64,MATCH($B33,Pessoas!$B$5:$B$64,0)),"")</f>
        <v/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8" t="n"/>
      <c r="N33" s="19" t="n"/>
      <c r="O33" s="19" t="n"/>
      <c r="P33" s="19" t="n"/>
      <c r="Q33" s="20">
        <f>IF(OR($M33="",$P33=""),"",$M33+IF($P33="7 dias",7,IF($P33="14 dias",14,90)))</f>
        <v/>
      </c>
      <c r="R33" s="19" t="n"/>
      <c r="S33" s="19" t="n"/>
      <c r="T33" s="14">
        <f>IF($A33="","",YEAR($A33)*4+ROUNDUP(MONTH($A33)/3,0))</f>
        <v/>
      </c>
      <c r="U33" s="14">
        <f>IF($C33="","",$C33&amp;"|"&amp;$T33)</f>
        <v/>
      </c>
      <c r="V33" s="14">
        <f>IF($C33="","",$C33&amp;"|"&amp;$T33&amp;"|"&amp;$G33)</f>
        <v/>
      </c>
      <c r="W33" s="14">
        <f>IF($A33="","",IF(OR($B33="",$F33="",$G33="",$H33="",$I33=""),"Faltam campos básicos",IF(AND(OR($F33="Ponto de atenção",$F33="Incidente"),OR($K33="",$L33="",$O33="",$P33="")),"Faltam campos de sinalização","OK")))</f>
        <v/>
      </c>
      <c r="X33" s="14">
        <f>IF($A33="","",IF(AND(OR($F33="Ponto de atenção",$F33="Incidente"),$L33&lt;&gt;"Sim"),"Não",IF(AND($S33="",$W33&lt;&gt;"OK"),"Não","Sim")))</f>
        <v/>
      </c>
      <c r="Y33" s="14">
        <f>IF($C33="",0,IF(COUNTIFS($C$5:$C33,$C33,$D$5:$D33,$D33)=1,1,0))</f>
        <v/>
      </c>
      <c r="Z33" s="14">
        <f>IF($A33="","",IF(Config!$B$7-$T33&gt;2,"Arquivada",IF(Config!$B$7-$T33&gt;0,"Histórico","Ativa")))</f>
        <v/>
      </c>
      <c r="AA33" s="14">
        <f>IF($A33="",0,IF(AND(OR($F33="Ponto de atenção",$F33="Incidente"),$L33="Sim"),1,0))</f>
        <v/>
      </c>
      <c r="AB33" s="14">
        <f>IF(OR($C33="",$C33&lt;&gt;'1a1'!$B$4,$T33&lt;&gt;Config!$B$7),"",COUNTIFS($C$5:$C33,'1a1'!$B$4,$T$5:$T33,Config!$B$7))</f>
        <v/>
      </c>
    </row>
    <row r="34">
      <c r="A34" s="18" t="n"/>
      <c r="B34" s="19" t="n"/>
      <c r="C34" s="14">
        <f>IFERROR(INDEX(Pessoas!$A$5:$A$64,MATCH($B34,Pessoas!$B$5:$B$64,0)),"")</f>
        <v/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8" t="n"/>
      <c r="N34" s="19" t="n"/>
      <c r="O34" s="19" t="n"/>
      <c r="P34" s="19" t="n"/>
      <c r="Q34" s="20">
        <f>IF(OR($M34="",$P34=""),"",$M34+IF($P34="7 dias",7,IF($P34="14 dias",14,90)))</f>
        <v/>
      </c>
      <c r="R34" s="19" t="n"/>
      <c r="S34" s="19" t="n"/>
      <c r="T34" s="14">
        <f>IF($A34="","",YEAR($A34)*4+ROUNDUP(MONTH($A34)/3,0))</f>
        <v/>
      </c>
      <c r="U34" s="14">
        <f>IF($C34="","",$C34&amp;"|"&amp;$T34)</f>
        <v/>
      </c>
      <c r="V34" s="14">
        <f>IF($C34="","",$C34&amp;"|"&amp;$T34&amp;"|"&amp;$G34)</f>
        <v/>
      </c>
      <c r="W34" s="14">
        <f>IF($A34="","",IF(OR($B34="",$F34="",$G34="",$H34="",$I34=""),"Faltam campos básicos",IF(AND(OR($F34="Ponto de atenção",$F34="Incidente"),OR($K34="",$L34="",$O34="",$P34="")),"Faltam campos de sinalização","OK")))</f>
        <v/>
      </c>
      <c r="X34" s="14">
        <f>IF($A34="","",IF(AND(OR($F34="Ponto de atenção",$F34="Incidente"),$L34&lt;&gt;"Sim"),"Não",IF(AND($S34="",$W34&lt;&gt;"OK"),"Não","Sim")))</f>
        <v/>
      </c>
      <c r="Y34" s="14">
        <f>IF($C34="",0,IF(COUNTIFS($C$5:$C34,$C34,$D$5:$D34,$D34)=1,1,0))</f>
        <v/>
      </c>
      <c r="Z34" s="14">
        <f>IF($A34="","",IF(Config!$B$7-$T34&gt;2,"Arquivada",IF(Config!$B$7-$T34&gt;0,"Histórico","Ativa")))</f>
        <v/>
      </c>
      <c r="AA34" s="14">
        <f>IF($A34="",0,IF(AND(OR($F34="Ponto de atenção",$F34="Incidente"),$L34="Sim"),1,0))</f>
        <v/>
      </c>
      <c r="AB34" s="14">
        <f>IF(OR($C34="",$C34&lt;&gt;'1a1'!$B$4,$T34&lt;&gt;Config!$B$7),"",COUNTIFS($C$5:$C34,'1a1'!$B$4,$T$5:$T34,Config!$B$7))</f>
        <v/>
      </c>
    </row>
    <row r="35">
      <c r="A35" s="18" t="n"/>
      <c r="B35" s="19" t="n"/>
      <c r="C35" s="14">
        <f>IFERROR(INDEX(Pessoas!$A$5:$A$64,MATCH($B35,Pessoas!$B$5:$B$64,0)),"")</f>
        <v/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8" t="n"/>
      <c r="N35" s="19" t="n"/>
      <c r="O35" s="19" t="n"/>
      <c r="P35" s="19" t="n"/>
      <c r="Q35" s="20">
        <f>IF(OR($M35="",$P35=""),"",$M35+IF($P35="7 dias",7,IF($P35="14 dias",14,90)))</f>
        <v/>
      </c>
      <c r="R35" s="19" t="n"/>
      <c r="S35" s="19" t="n"/>
      <c r="T35" s="14">
        <f>IF($A35="","",YEAR($A35)*4+ROUNDUP(MONTH($A35)/3,0))</f>
        <v/>
      </c>
      <c r="U35" s="14">
        <f>IF($C35="","",$C35&amp;"|"&amp;$T35)</f>
        <v/>
      </c>
      <c r="V35" s="14">
        <f>IF($C35="","",$C35&amp;"|"&amp;$T35&amp;"|"&amp;$G35)</f>
        <v/>
      </c>
      <c r="W35" s="14">
        <f>IF($A35="","",IF(OR($B35="",$F35="",$G35="",$H35="",$I35=""),"Faltam campos básicos",IF(AND(OR($F35="Ponto de atenção",$F35="Incidente"),OR($K35="",$L35="",$O35="",$P35="")),"Faltam campos de sinalização","OK")))</f>
        <v/>
      </c>
      <c r="X35" s="14">
        <f>IF($A35="","",IF(AND(OR($F35="Ponto de atenção",$F35="Incidente"),$L35&lt;&gt;"Sim"),"Não",IF(AND($S35="",$W35&lt;&gt;"OK"),"Não","Sim")))</f>
        <v/>
      </c>
      <c r="Y35" s="14">
        <f>IF($C35="",0,IF(COUNTIFS($C$5:$C35,$C35,$D$5:$D35,$D35)=1,1,0))</f>
        <v/>
      </c>
      <c r="Z35" s="14">
        <f>IF($A35="","",IF(Config!$B$7-$T35&gt;2,"Arquivada",IF(Config!$B$7-$T35&gt;0,"Histórico","Ativa")))</f>
        <v/>
      </c>
      <c r="AA35" s="14">
        <f>IF($A35="",0,IF(AND(OR($F35="Ponto de atenção",$F35="Incidente"),$L35="Sim"),1,0))</f>
        <v/>
      </c>
      <c r="AB35" s="14">
        <f>IF(OR($C35="",$C35&lt;&gt;'1a1'!$B$4,$T35&lt;&gt;Config!$B$7),"",COUNTIFS($C$5:$C35,'1a1'!$B$4,$T$5:$T35,Config!$B$7))</f>
        <v/>
      </c>
    </row>
    <row r="36">
      <c r="A36" s="18" t="n"/>
      <c r="B36" s="19" t="n"/>
      <c r="C36" s="14">
        <f>IFERROR(INDEX(Pessoas!$A$5:$A$64,MATCH($B36,Pessoas!$B$5:$B$64,0)),"")</f>
        <v/>
      </c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8" t="n"/>
      <c r="N36" s="19" t="n"/>
      <c r="O36" s="19" t="n"/>
      <c r="P36" s="19" t="n"/>
      <c r="Q36" s="20">
        <f>IF(OR($M36="",$P36=""),"",$M36+IF($P36="7 dias",7,IF($P36="14 dias",14,90)))</f>
        <v/>
      </c>
      <c r="R36" s="19" t="n"/>
      <c r="S36" s="19" t="n"/>
      <c r="T36" s="14">
        <f>IF($A36="","",YEAR($A36)*4+ROUNDUP(MONTH($A36)/3,0))</f>
        <v/>
      </c>
      <c r="U36" s="14">
        <f>IF($C36="","",$C36&amp;"|"&amp;$T36)</f>
        <v/>
      </c>
      <c r="V36" s="14">
        <f>IF($C36="","",$C36&amp;"|"&amp;$T36&amp;"|"&amp;$G36)</f>
        <v/>
      </c>
      <c r="W36" s="14">
        <f>IF($A36="","",IF(OR($B36="",$F36="",$G36="",$H36="",$I36=""),"Faltam campos básicos",IF(AND(OR($F36="Ponto de atenção",$F36="Incidente"),OR($K36="",$L36="",$O36="",$P36="")),"Faltam campos de sinalização","OK")))</f>
        <v/>
      </c>
      <c r="X36" s="14">
        <f>IF($A36="","",IF(AND(OR($F36="Ponto de atenção",$F36="Incidente"),$L36&lt;&gt;"Sim"),"Não",IF(AND($S36="",$W36&lt;&gt;"OK"),"Não","Sim")))</f>
        <v/>
      </c>
      <c r="Y36" s="14">
        <f>IF($C36="",0,IF(COUNTIFS($C$5:$C36,$C36,$D$5:$D36,$D36)=1,1,0))</f>
        <v/>
      </c>
      <c r="Z36" s="14">
        <f>IF($A36="","",IF(Config!$B$7-$T36&gt;2,"Arquivada",IF(Config!$B$7-$T36&gt;0,"Histórico","Ativa")))</f>
        <v/>
      </c>
      <c r="AA36" s="14">
        <f>IF($A36="",0,IF(AND(OR($F36="Ponto de atenção",$F36="Incidente"),$L36="Sim"),1,0))</f>
        <v/>
      </c>
      <c r="AB36" s="14">
        <f>IF(OR($C36="",$C36&lt;&gt;'1a1'!$B$4,$T36&lt;&gt;Config!$B$7),"",COUNTIFS($C$5:$C36,'1a1'!$B$4,$T$5:$T36,Config!$B$7))</f>
        <v/>
      </c>
    </row>
    <row r="37">
      <c r="A37" s="18" t="n"/>
      <c r="B37" s="19" t="n"/>
      <c r="C37" s="14">
        <f>IFERROR(INDEX(Pessoas!$A$5:$A$64,MATCH($B37,Pessoas!$B$5:$B$64,0)),"")</f>
        <v/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8" t="n"/>
      <c r="N37" s="19" t="n"/>
      <c r="O37" s="19" t="n"/>
      <c r="P37" s="19" t="n"/>
      <c r="Q37" s="20">
        <f>IF(OR($M37="",$P37=""),"",$M37+IF($P37="7 dias",7,IF($P37="14 dias",14,90)))</f>
        <v/>
      </c>
      <c r="R37" s="19" t="n"/>
      <c r="S37" s="19" t="n"/>
      <c r="T37" s="14">
        <f>IF($A37="","",YEAR($A37)*4+ROUNDUP(MONTH($A37)/3,0))</f>
        <v/>
      </c>
      <c r="U37" s="14">
        <f>IF($C37="","",$C37&amp;"|"&amp;$T37)</f>
        <v/>
      </c>
      <c r="V37" s="14">
        <f>IF($C37="","",$C37&amp;"|"&amp;$T37&amp;"|"&amp;$G37)</f>
        <v/>
      </c>
      <c r="W37" s="14">
        <f>IF($A37="","",IF(OR($B37="",$F37="",$G37="",$H37="",$I37=""),"Faltam campos básicos",IF(AND(OR($F37="Ponto de atenção",$F37="Incidente"),OR($K37="",$L37="",$O37="",$P37="")),"Faltam campos de sinalização","OK")))</f>
        <v/>
      </c>
      <c r="X37" s="14">
        <f>IF($A37="","",IF(AND(OR($F37="Ponto de atenção",$F37="Incidente"),$L37&lt;&gt;"Sim"),"Não",IF(AND($S37="",$W37&lt;&gt;"OK"),"Não","Sim")))</f>
        <v/>
      </c>
      <c r="Y37" s="14">
        <f>IF($C37="",0,IF(COUNTIFS($C$5:$C37,$C37,$D$5:$D37,$D37)=1,1,0))</f>
        <v/>
      </c>
      <c r="Z37" s="14">
        <f>IF($A37="","",IF(Config!$B$7-$T37&gt;2,"Arquivada",IF(Config!$B$7-$T37&gt;0,"Histórico","Ativa")))</f>
        <v/>
      </c>
      <c r="AA37" s="14">
        <f>IF($A37="",0,IF(AND(OR($F37="Ponto de atenção",$F37="Incidente"),$L37="Sim"),1,0))</f>
        <v/>
      </c>
      <c r="AB37" s="14">
        <f>IF(OR($C37="",$C37&lt;&gt;'1a1'!$B$4,$T37&lt;&gt;Config!$B$7),"",COUNTIFS($C$5:$C37,'1a1'!$B$4,$T$5:$T37,Config!$B$7))</f>
        <v/>
      </c>
    </row>
    <row r="38">
      <c r="A38" s="18" t="n"/>
      <c r="B38" s="19" t="n"/>
      <c r="C38" s="14">
        <f>IFERROR(INDEX(Pessoas!$A$5:$A$64,MATCH($B38,Pessoas!$B$5:$B$64,0)),"")</f>
        <v/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8" t="n"/>
      <c r="N38" s="19" t="n"/>
      <c r="O38" s="19" t="n"/>
      <c r="P38" s="19" t="n"/>
      <c r="Q38" s="20">
        <f>IF(OR($M38="",$P38=""),"",$M38+IF($P38="7 dias",7,IF($P38="14 dias",14,90)))</f>
        <v/>
      </c>
      <c r="R38" s="19" t="n"/>
      <c r="S38" s="19" t="n"/>
      <c r="T38" s="14">
        <f>IF($A38="","",YEAR($A38)*4+ROUNDUP(MONTH($A38)/3,0))</f>
        <v/>
      </c>
      <c r="U38" s="14">
        <f>IF($C38="","",$C38&amp;"|"&amp;$T38)</f>
        <v/>
      </c>
      <c r="V38" s="14">
        <f>IF($C38="","",$C38&amp;"|"&amp;$T38&amp;"|"&amp;$G38)</f>
        <v/>
      </c>
      <c r="W38" s="14">
        <f>IF($A38="","",IF(OR($B38="",$F38="",$G38="",$H38="",$I38=""),"Faltam campos básicos",IF(AND(OR($F38="Ponto de atenção",$F38="Incidente"),OR($K38="",$L38="",$O38="",$P38="")),"Faltam campos de sinalização","OK")))</f>
        <v/>
      </c>
      <c r="X38" s="14">
        <f>IF($A38="","",IF(AND(OR($F38="Ponto de atenção",$F38="Incidente"),$L38&lt;&gt;"Sim"),"Não",IF(AND($S38="",$W38&lt;&gt;"OK"),"Não","Sim")))</f>
        <v/>
      </c>
      <c r="Y38" s="14">
        <f>IF($C38="",0,IF(COUNTIFS($C$5:$C38,$C38,$D$5:$D38,$D38)=1,1,0))</f>
        <v/>
      </c>
      <c r="Z38" s="14">
        <f>IF($A38="","",IF(Config!$B$7-$T38&gt;2,"Arquivada",IF(Config!$B$7-$T38&gt;0,"Histórico","Ativa")))</f>
        <v/>
      </c>
      <c r="AA38" s="14">
        <f>IF($A38="",0,IF(AND(OR($F38="Ponto de atenção",$F38="Incidente"),$L38="Sim"),1,0))</f>
        <v/>
      </c>
      <c r="AB38" s="14">
        <f>IF(OR($C38="",$C38&lt;&gt;'1a1'!$B$4,$T38&lt;&gt;Config!$B$7),"",COUNTIFS($C$5:$C38,'1a1'!$B$4,$T$5:$T38,Config!$B$7))</f>
        <v/>
      </c>
    </row>
    <row r="39">
      <c r="A39" s="18" t="n"/>
      <c r="B39" s="19" t="n"/>
      <c r="C39" s="14">
        <f>IFERROR(INDEX(Pessoas!$A$5:$A$64,MATCH($B39,Pessoas!$B$5:$B$64,0)),"")</f>
        <v/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8" t="n"/>
      <c r="N39" s="19" t="n"/>
      <c r="O39" s="19" t="n"/>
      <c r="P39" s="19" t="n"/>
      <c r="Q39" s="20">
        <f>IF(OR($M39="",$P39=""),"",$M39+IF($P39="7 dias",7,IF($P39="14 dias",14,90)))</f>
        <v/>
      </c>
      <c r="R39" s="19" t="n"/>
      <c r="S39" s="19" t="n"/>
      <c r="T39" s="14">
        <f>IF($A39="","",YEAR($A39)*4+ROUNDUP(MONTH($A39)/3,0))</f>
        <v/>
      </c>
      <c r="U39" s="14">
        <f>IF($C39="","",$C39&amp;"|"&amp;$T39)</f>
        <v/>
      </c>
      <c r="V39" s="14">
        <f>IF($C39="","",$C39&amp;"|"&amp;$T39&amp;"|"&amp;$G39)</f>
        <v/>
      </c>
      <c r="W39" s="14">
        <f>IF($A39="","",IF(OR($B39="",$F39="",$G39="",$H39="",$I39=""),"Faltam campos básicos",IF(AND(OR($F39="Ponto de atenção",$F39="Incidente"),OR($K39="",$L39="",$O39="",$P39="")),"Faltam campos de sinalização","OK")))</f>
        <v/>
      </c>
      <c r="X39" s="14">
        <f>IF($A39="","",IF(AND(OR($F39="Ponto de atenção",$F39="Incidente"),$L39&lt;&gt;"Sim"),"Não",IF(AND($S39="",$W39&lt;&gt;"OK"),"Não","Sim")))</f>
        <v/>
      </c>
      <c r="Y39" s="14">
        <f>IF($C39="",0,IF(COUNTIFS($C$5:$C39,$C39,$D$5:$D39,$D39)=1,1,0))</f>
        <v/>
      </c>
      <c r="Z39" s="14">
        <f>IF($A39="","",IF(Config!$B$7-$T39&gt;2,"Arquivada",IF(Config!$B$7-$T39&gt;0,"Histórico","Ativa")))</f>
        <v/>
      </c>
      <c r="AA39" s="14">
        <f>IF($A39="",0,IF(AND(OR($F39="Ponto de atenção",$F39="Incidente"),$L39="Sim"),1,0))</f>
        <v/>
      </c>
      <c r="AB39" s="14">
        <f>IF(OR($C39="",$C39&lt;&gt;'1a1'!$B$4,$T39&lt;&gt;Config!$B$7),"",COUNTIFS($C$5:$C39,'1a1'!$B$4,$T$5:$T39,Config!$B$7))</f>
        <v/>
      </c>
    </row>
    <row r="40">
      <c r="A40" s="18" t="n"/>
      <c r="B40" s="19" t="n"/>
      <c r="C40" s="14">
        <f>IFERROR(INDEX(Pessoas!$A$5:$A$64,MATCH($B40,Pessoas!$B$5:$B$64,0)),"")</f>
        <v/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8" t="n"/>
      <c r="N40" s="19" t="n"/>
      <c r="O40" s="19" t="n"/>
      <c r="P40" s="19" t="n"/>
      <c r="Q40" s="20">
        <f>IF(OR($M40="",$P40=""),"",$M40+IF($P40="7 dias",7,IF($P40="14 dias",14,90)))</f>
        <v/>
      </c>
      <c r="R40" s="19" t="n"/>
      <c r="S40" s="19" t="n"/>
      <c r="T40" s="14">
        <f>IF($A40="","",YEAR($A40)*4+ROUNDUP(MONTH($A40)/3,0))</f>
        <v/>
      </c>
      <c r="U40" s="14">
        <f>IF($C40="","",$C40&amp;"|"&amp;$T40)</f>
        <v/>
      </c>
      <c r="V40" s="14">
        <f>IF($C40="","",$C40&amp;"|"&amp;$T40&amp;"|"&amp;$G40)</f>
        <v/>
      </c>
      <c r="W40" s="14">
        <f>IF($A40="","",IF(OR($B40="",$F40="",$G40="",$H40="",$I40=""),"Faltam campos básicos",IF(AND(OR($F40="Ponto de atenção",$F40="Incidente"),OR($K40="",$L40="",$O40="",$P40="")),"Faltam campos de sinalização","OK")))</f>
        <v/>
      </c>
      <c r="X40" s="14">
        <f>IF($A40="","",IF(AND(OR($F40="Ponto de atenção",$F40="Incidente"),$L40&lt;&gt;"Sim"),"Não",IF(AND($S40="",$W40&lt;&gt;"OK"),"Não","Sim")))</f>
        <v/>
      </c>
      <c r="Y40" s="14">
        <f>IF($C40="",0,IF(COUNTIFS($C$5:$C40,$C40,$D$5:$D40,$D40)=1,1,0))</f>
        <v/>
      </c>
      <c r="Z40" s="14">
        <f>IF($A40="","",IF(Config!$B$7-$T40&gt;2,"Arquivada",IF(Config!$B$7-$T40&gt;0,"Histórico","Ativa")))</f>
        <v/>
      </c>
      <c r="AA40" s="14">
        <f>IF($A40="",0,IF(AND(OR($F40="Ponto de atenção",$F40="Incidente"),$L40="Sim"),1,0))</f>
        <v/>
      </c>
      <c r="AB40" s="14">
        <f>IF(OR($C40="",$C40&lt;&gt;'1a1'!$B$4,$T40&lt;&gt;Config!$B$7),"",COUNTIFS($C$5:$C40,'1a1'!$B$4,$T$5:$T40,Config!$B$7))</f>
        <v/>
      </c>
    </row>
    <row r="41">
      <c r="A41" s="18" t="n"/>
      <c r="B41" s="19" t="n"/>
      <c r="C41" s="14">
        <f>IFERROR(INDEX(Pessoas!$A$5:$A$64,MATCH($B41,Pessoas!$B$5:$B$64,0)),"")</f>
        <v/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8" t="n"/>
      <c r="N41" s="19" t="n"/>
      <c r="O41" s="19" t="n"/>
      <c r="P41" s="19" t="n"/>
      <c r="Q41" s="20">
        <f>IF(OR($M41="",$P41=""),"",$M41+IF($P41="7 dias",7,IF($P41="14 dias",14,90)))</f>
        <v/>
      </c>
      <c r="R41" s="19" t="n"/>
      <c r="S41" s="19" t="n"/>
      <c r="T41" s="14">
        <f>IF($A41="","",YEAR($A41)*4+ROUNDUP(MONTH($A41)/3,0))</f>
        <v/>
      </c>
      <c r="U41" s="14">
        <f>IF($C41="","",$C41&amp;"|"&amp;$T41)</f>
        <v/>
      </c>
      <c r="V41" s="14">
        <f>IF($C41="","",$C41&amp;"|"&amp;$T41&amp;"|"&amp;$G41)</f>
        <v/>
      </c>
      <c r="W41" s="14">
        <f>IF($A41="","",IF(OR($B41="",$F41="",$G41="",$H41="",$I41=""),"Faltam campos básicos",IF(AND(OR($F41="Ponto de atenção",$F41="Incidente"),OR($K41="",$L41="",$O41="",$P41="")),"Faltam campos de sinalização","OK")))</f>
        <v/>
      </c>
      <c r="X41" s="14">
        <f>IF($A41="","",IF(AND(OR($F41="Ponto de atenção",$F41="Incidente"),$L41&lt;&gt;"Sim"),"Não",IF(AND($S41="",$W41&lt;&gt;"OK"),"Não","Sim")))</f>
        <v/>
      </c>
      <c r="Y41" s="14">
        <f>IF($C41="",0,IF(COUNTIFS($C$5:$C41,$C41,$D$5:$D41,$D41)=1,1,0))</f>
        <v/>
      </c>
      <c r="Z41" s="14">
        <f>IF($A41="","",IF(Config!$B$7-$T41&gt;2,"Arquivada",IF(Config!$B$7-$T41&gt;0,"Histórico","Ativa")))</f>
        <v/>
      </c>
      <c r="AA41" s="14">
        <f>IF($A41="",0,IF(AND(OR($F41="Ponto de atenção",$F41="Incidente"),$L41="Sim"),1,0))</f>
        <v/>
      </c>
      <c r="AB41" s="14">
        <f>IF(OR($C41="",$C41&lt;&gt;'1a1'!$B$4,$T41&lt;&gt;Config!$B$7),"",COUNTIFS($C$5:$C41,'1a1'!$B$4,$T$5:$T41,Config!$B$7))</f>
        <v/>
      </c>
    </row>
    <row r="42">
      <c r="A42" s="18" t="n"/>
      <c r="B42" s="19" t="n"/>
      <c r="C42" s="14">
        <f>IFERROR(INDEX(Pessoas!$A$5:$A$64,MATCH($B42,Pessoas!$B$5:$B$64,0)),"")</f>
        <v/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8" t="n"/>
      <c r="N42" s="19" t="n"/>
      <c r="O42" s="19" t="n"/>
      <c r="P42" s="19" t="n"/>
      <c r="Q42" s="20">
        <f>IF(OR($M42="",$P42=""),"",$M42+IF($P42="7 dias",7,IF($P42="14 dias",14,90)))</f>
        <v/>
      </c>
      <c r="R42" s="19" t="n"/>
      <c r="S42" s="19" t="n"/>
      <c r="T42" s="14">
        <f>IF($A42="","",YEAR($A42)*4+ROUNDUP(MONTH($A42)/3,0))</f>
        <v/>
      </c>
      <c r="U42" s="14">
        <f>IF($C42="","",$C42&amp;"|"&amp;$T42)</f>
        <v/>
      </c>
      <c r="V42" s="14">
        <f>IF($C42="","",$C42&amp;"|"&amp;$T42&amp;"|"&amp;$G42)</f>
        <v/>
      </c>
      <c r="W42" s="14">
        <f>IF($A42="","",IF(OR($B42="",$F42="",$G42="",$H42="",$I42=""),"Faltam campos básicos",IF(AND(OR($F42="Ponto de atenção",$F42="Incidente"),OR($K42="",$L42="",$O42="",$P42="")),"Faltam campos de sinalização","OK")))</f>
        <v/>
      </c>
      <c r="X42" s="14">
        <f>IF($A42="","",IF(AND(OR($F42="Ponto de atenção",$F42="Incidente"),$L42&lt;&gt;"Sim"),"Não",IF(AND($S42="",$W42&lt;&gt;"OK"),"Não","Sim")))</f>
        <v/>
      </c>
      <c r="Y42" s="14">
        <f>IF($C42="",0,IF(COUNTIFS($C$5:$C42,$C42,$D$5:$D42,$D42)=1,1,0))</f>
        <v/>
      </c>
      <c r="Z42" s="14">
        <f>IF($A42="","",IF(Config!$B$7-$T42&gt;2,"Arquivada",IF(Config!$B$7-$T42&gt;0,"Histórico","Ativa")))</f>
        <v/>
      </c>
      <c r="AA42" s="14">
        <f>IF($A42="",0,IF(AND(OR($F42="Ponto de atenção",$F42="Incidente"),$L42="Sim"),1,0))</f>
        <v/>
      </c>
      <c r="AB42" s="14">
        <f>IF(OR($C42="",$C42&lt;&gt;'1a1'!$B$4,$T42&lt;&gt;Config!$B$7),"",COUNTIFS($C$5:$C42,'1a1'!$B$4,$T$5:$T42,Config!$B$7))</f>
        <v/>
      </c>
    </row>
    <row r="43">
      <c r="A43" s="18" t="n"/>
      <c r="B43" s="19" t="n"/>
      <c r="C43" s="14">
        <f>IFERROR(INDEX(Pessoas!$A$5:$A$64,MATCH($B43,Pessoas!$B$5:$B$64,0)),"")</f>
        <v/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8" t="n"/>
      <c r="N43" s="19" t="n"/>
      <c r="O43" s="19" t="n"/>
      <c r="P43" s="19" t="n"/>
      <c r="Q43" s="20">
        <f>IF(OR($M43="",$P43=""),"",$M43+IF($P43="7 dias",7,IF($P43="14 dias",14,90)))</f>
        <v/>
      </c>
      <c r="R43" s="19" t="n"/>
      <c r="S43" s="19" t="n"/>
      <c r="T43" s="14">
        <f>IF($A43="","",YEAR($A43)*4+ROUNDUP(MONTH($A43)/3,0))</f>
        <v/>
      </c>
      <c r="U43" s="14">
        <f>IF($C43="","",$C43&amp;"|"&amp;$T43)</f>
        <v/>
      </c>
      <c r="V43" s="14">
        <f>IF($C43="","",$C43&amp;"|"&amp;$T43&amp;"|"&amp;$G43)</f>
        <v/>
      </c>
      <c r="W43" s="14">
        <f>IF($A43="","",IF(OR($B43="",$F43="",$G43="",$H43="",$I43=""),"Faltam campos básicos",IF(AND(OR($F43="Ponto de atenção",$F43="Incidente"),OR($K43="",$L43="",$O43="",$P43="")),"Faltam campos de sinalização","OK")))</f>
        <v/>
      </c>
      <c r="X43" s="14">
        <f>IF($A43="","",IF(AND(OR($F43="Ponto de atenção",$F43="Incidente"),$L43&lt;&gt;"Sim"),"Não",IF(AND($S43="",$W43&lt;&gt;"OK"),"Não","Sim")))</f>
        <v/>
      </c>
      <c r="Y43" s="14">
        <f>IF($C43="",0,IF(COUNTIFS($C$5:$C43,$C43,$D$5:$D43,$D43)=1,1,0))</f>
        <v/>
      </c>
      <c r="Z43" s="14">
        <f>IF($A43="","",IF(Config!$B$7-$T43&gt;2,"Arquivada",IF(Config!$B$7-$T43&gt;0,"Histórico","Ativa")))</f>
        <v/>
      </c>
      <c r="AA43" s="14">
        <f>IF($A43="",0,IF(AND(OR($F43="Ponto de atenção",$F43="Incidente"),$L43="Sim"),1,0))</f>
        <v/>
      </c>
      <c r="AB43" s="14">
        <f>IF(OR($C43="",$C43&lt;&gt;'1a1'!$B$4,$T43&lt;&gt;Config!$B$7),"",COUNTIFS($C$5:$C43,'1a1'!$B$4,$T$5:$T43,Config!$B$7))</f>
        <v/>
      </c>
    </row>
    <row r="44">
      <c r="A44" s="18" t="n"/>
      <c r="B44" s="19" t="n"/>
      <c r="C44" s="14">
        <f>IFERROR(INDEX(Pessoas!$A$5:$A$64,MATCH($B44,Pessoas!$B$5:$B$64,0)),"")</f>
        <v/>
      </c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8" t="n"/>
      <c r="N44" s="19" t="n"/>
      <c r="O44" s="19" t="n"/>
      <c r="P44" s="19" t="n"/>
      <c r="Q44" s="20">
        <f>IF(OR($M44="",$P44=""),"",$M44+IF($P44="7 dias",7,IF($P44="14 dias",14,90)))</f>
        <v/>
      </c>
      <c r="R44" s="19" t="n"/>
      <c r="S44" s="19" t="n"/>
      <c r="T44" s="14">
        <f>IF($A44="","",YEAR($A44)*4+ROUNDUP(MONTH($A44)/3,0))</f>
        <v/>
      </c>
      <c r="U44" s="14">
        <f>IF($C44="","",$C44&amp;"|"&amp;$T44)</f>
        <v/>
      </c>
      <c r="V44" s="14">
        <f>IF($C44="","",$C44&amp;"|"&amp;$T44&amp;"|"&amp;$G44)</f>
        <v/>
      </c>
      <c r="W44" s="14">
        <f>IF($A44="","",IF(OR($B44="",$F44="",$G44="",$H44="",$I44=""),"Faltam campos básicos",IF(AND(OR($F44="Ponto de atenção",$F44="Incidente"),OR($K44="",$L44="",$O44="",$P44="")),"Faltam campos de sinalização","OK")))</f>
        <v/>
      </c>
      <c r="X44" s="14">
        <f>IF($A44="","",IF(AND(OR($F44="Ponto de atenção",$F44="Incidente"),$L44&lt;&gt;"Sim"),"Não",IF(AND($S44="",$W44&lt;&gt;"OK"),"Não","Sim")))</f>
        <v/>
      </c>
      <c r="Y44" s="14">
        <f>IF($C44="",0,IF(COUNTIFS($C$5:$C44,$C44,$D$5:$D44,$D44)=1,1,0))</f>
        <v/>
      </c>
      <c r="Z44" s="14">
        <f>IF($A44="","",IF(Config!$B$7-$T44&gt;2,"Arquivada",IF(Config!$B$7-$T44&gt;0,"Histórico","Ativa")))</f>
        <v/>
      </c>
      <c r="AA44" s="14">
        <f>IF($A44="",0,IF(AND(OR($F44="Ponto de atenção",$F44="Incidente"),$L44="Sim"),1,0))</f>
        <v/>
      </c>
      <c r="AB44" s="14">
        <f>IF(OR($C44="",$C44&lt;&gt;'1a1'!$B$4,$T44&lt;&gt;Config!$B$7),"",COUNTIFS($C$5:$C44,'1a1'!$B$4,$T$5:$T44,Config!$B$7))</f>
        <v/>
      </c>
    </row>
    <row r="45">
      <c r="A45" s="18" t="n"/>
      <c r="B45" s="19" t="n"/>
      <c r="C45" s="14">
        <f>IFERROR(INDEX(Pessoas!$A$5:$A$64,MATCH($B45,Pessoas!$B$5:$B$64,0)),"")</f>
        <v/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8" t="n"/>
      <c r="N45" s="19" t="n"/>
      <c r="O45" s="19" t="n"/>
      <c r="P45" s="19" t="n"/>
      <c r="Q45" s="20">
        <f>IF(OR($M45="",$P45=""),"",$M45+IF($P45="7 dias",7,IF($P45="14 dias",14,90)))</f>
        <v/>
      </c>
      <c r="R45" s="19" t="n"/>
      <c r="S45" s="19" t="n"/>
      <c r="T45" s="14">
        <f>IF($A45="","",YEAR($A45)*4+ROUNDUP(MONTH($A45)/3,0))</f>
        <v/>
      </c>
      <c r="U45" s="14">
        <f>IF($C45="","",$C45&amp;"|"&amp;$T45)</f>
        <v/>
      </c>
      <c r="V45" s="14">
        <f>IF($C45="","",$C45&amp;"|"&amp;$T45&amp;"|"&amp;$G45)</f>
        <v/>
      </c>
      <c r="W45" s="14">
        <f>IF($A45="","",IF(OR($B45="",$F45="",$G45="",$H45="",$I45=""),"Faltam campos básicos",IF(AND(OR($F45="Ponto de atenção",$F45="Incidente"),OR($K45="",$L45="",$O45="",$P45="")),"Faltam campos de sinalização","OK")))</f>
        <v/>
      </c>
      <c r="X45" s="14">
        <f>IF($A45="","",IF(AND(OR($F45="Ponto de atenção",$F45="Incidente"),$L45&lt;&gt;"Sim"),"Não",IF(AND($S45="",$W45&lt;&gt;"OK"),"Não","Sim")))</f>
        <v/>
      </c>
      <c r="Y45" s="14">
        <f>IF($C45="",0,IF(COUNTIFS($C$5:$C45,$C45,$D$5:$D45,$D45)=1,1,0))</f>
        <v/>
      </c>
      <c r="Z45" s="14">
        <f>IF($A45="","",IF(Config!$B$7-$T45&gt;2,"Arquivada",IF(Config!$B$7-$T45&gt;0,"Histórico","Ativa")))</f>
        <v/>
      </c>
      <c r="AA45" s="14">
        <f>IF($A45="",0,IF(AND(OR($F45="Ponto de atenção",$F45="Incidente"),$L45="Sim"),1,0))</f>
        <v/>
      </c>
      <c r="AB45" s="14">
        <f>IF(OR($C45="",$C45&lt;&gt;'1a1'!$B$4,$T45&lt;&gt;Config!$B$7),"",COUNTIFS($C$5:$C45,'1a1'!$B$4,$T$5:$T45,Config!$B$7))</f>
        <v/>
      </c>
    </row>
    <row r="46">
      <c r="A46" s="18" t="n"/>
      <c r="B46" s="19" t="n"/>
      <c r="C46" s="14">
        <f>IFERROR(INDEX(Pessoas!$A$5:$A$64,MATCH($B46,Pessoas!$B$5:$B$64,0)),"")</f>
        <v/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8" t="n"/>
      <c r="N46" s="19" t="n"/>
      <c r="O46" s="19" t="n"/>
      <c r="P46" s="19" t="n"/>
      <c r="Q46" s="20">
        <f>IF(OR($M46="",$P46=""),"",$M46+IF($P46="7 dias",7,IF($P46="14 dias",14,90)))</f>
        <v/>
      </c>
      <c r="R46" s="19" t="n"/>
      <c r="S46" s="19" t="n"/>
      <c r="T46" s="14">
        <f>IF($A46="","",YEAR($A46)*4+ROUNDUP(MONTH($A46)/3,0))</f>
        <v/>
      </c>
      <c r="U46" s="14">
        <f>IF($C46="","",$C46&amp;"|"&amp;$T46)</f>
        <v/>
      </c>
      <c r="V46" s="14">
        <f>IF($C46="","",$C46&amp;"|"&amp;$T46&amp;"|"&amp;$G46)</f>
        <v/>
      </c>
      <c r="W46" s="14">
        <f>IF($A46="","",IF(OR($B46="",$F46="",$G46="",$H46="",$I46=""),"Faltam campos básicos",IF(AND(OR($F46="Ponto de atenção",$F46="Incidente"),OR($K46="",$L46="",$O46="",$P46="")),"Faltam campos de sinalização","OK")))</f>
        <v/>
      </c>
      <c r="X46" s="14">
        <f>IF($A46="","",IF(AND(OR($F46="Ponto de atenção",$F46="Incidente"),$L46&lt;&gt;"Sim"),"Não",IF(AND($S46="",$W46&lt;&gt;"OK"),"Não","Sim")))</f>
        <v/>
      </c>
      <c r="Y46" s="14">
        <f>IF($C46="",0,IF(COUNTIFS($C$5:$C46,$C46,$D$5:$D46,$D46)=1,1,0))</f>
        <v/>
      </c>
      <c r="Z46" s="14">
        <f>IF($A46="","",IF(Config!$B$7-$T46&gt;2,"Arquivada",IF(Config!$B$7-$T46&gt;0,"Histórico","Ativa")))</f>
        <v/>
      </c>
      <c r="AA46" s="14">
        <f>IF($A46="",0,IF(AND(OR($F46="Ponto de atenção",$F46="Incidente"),$L46="Sim"),1,0))</f>
        <v/>
      </c>
      <c r="AB46" s="14">
        <f>IF(OR($C46="",$C46&lt;&gt;'1a1'!$B$4,$T46&lt;&gt;Config!$B$7),"",COUNTIFS($C$5:$C46,'1a1'!$B$4,$T$5:$T46,Config!$B$7))</f>
        <v/>
      </c>
    </row>
    <row r="47">
      <c r="A47" s="18" t="n"/>
      <c r="B47" s="19" t="n"/>
      <c r="C47" s="14">
        <f>IFERROR(INDEX(Pessoas!$A$5:$A$64,MATCH($B47,Pessoas!$B$5:$B$64,0)),"")</f>
        <v/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8" t="n"/>
      <c r="N47" s="19" t="n"/>
      <c r="O47" s="19" t="n"/>
      <c r="P47" s="19" t="n"/>
      <c r="Q47" s="20">
        <f>IF(OR($M47="",$P47=""),"",$M47+IF($P47="7 dias",7,IF($P47="14 dias",14,90)))</f>
        <v/>
      </c>
      <c r="R47" s="19" t="n"/>
      <c r="S47" s="19" t="n"/>
      <c r="T47" s="14">
        <f>IF($A47="","",YEAR($A47)*4+ROUNDUP(MONTH($A47)/3,0))</f>
        <v/>
      </c>
      <c r="U47" s="14">
        <f>IF($C47="","",$C47&amp;"|"&amp;$T47)</f>
        <v/>
      </c>
      <c r="V47" s="14">
        <f>IF($C47="","",$C47&amp;"|"&amp;$T47&amp;"|"&amp;$G47)</f>
        <v/>
      </c>
      <c r="W47" s="14">
        <f>IF($A47="","",IF(OR($B47="",$F47="",$G47="",$H47="",$I47=""),"Faltam campos básicos",IF(AND(OR($F47="Ponto de atenção",$F47="Incidente"),OR($K47="",$L47="",$O47="",$P47="")),"Faltam campos de sinalização","OK")))</f>
        <v/>
      </c>
      <c r="X47" s="14">
        <f>IF($A47="","",IF(AND(OR($F47="Ponto de atenção",$F47="Incidente"),$L47&lt;&gt;"Sim"),"Não",IF(AND($S47="",$W47&lt;&gt;"OK"),"Não","Sim")))</f>
        <v/>
      </c>
      <c r="Y47" s="14">
        <f>IF($C47="",0,IF(COUNTIFS($C$5:$C47,$C47,$D$5:$D47,$D47)=1,1,0))</f>
        <v/>
      </c>
      <c r="Z47" s="14">
        <f>IF($A47="","",IF(Config!$B$7-$T47&gt;2,"Arquivada",IF(Config!$B$7-$T47&gt;0,"Histórico","Ativa")))</f>
        <v/>
      </c>
      <c r="AA47" s="14">
        <f>IF($A47="",0,IF(AND(OR($F47="Ponto de atenção",$F47="Incidente"),$L47="Sim"),1,0))</f>
        <v/>
      </c>
      <c r="AB47" s="14">
        <f>IF(OR($C47="",$C47&lt;&gt;'1a1'!$B$4,$T47&lt;&gt;Config!$B$7),"",COUNTIFS($C$5:$C47,'1a1'!$B$4,$T$5:$T47,Config!$B$7))</f>
        <v/>
      </c>
    </row>
    <row r="48">
      <c r="A48" s="18" t="n"/>
      <c r="B48" s="19" t="n"/>
      <c r="C48" s="14">
        <f>IFERROR(INDEX(Pessoas!$A$5:$A$64,MATCH($B48,Pessoas!$B$5:$B$64,0)),"")</f>
        <v/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8" t="n"/>
      <c r="N48" s="19" t="n"/>
      <c r="O48" s="19" t="n"/>
      <c r="P48" s="19" t="n"/>
      <c r="Q48" s="20">
        <f>IF(OR($M48="",$P48=""),"",$M48+IF($P48="7 dias",7,IF($P48="14 dias",14,90)))</f>
        <v/>
      </c>
      <c r="R48" s="19" t="n"/>
      <c r="S48" s="19" t="n"/>
      <c r="T48" s="14">
        <f>IF($A48="","",YEAR($A48)*4+ROUNDUP(MONTH($A48)/3,0))</f>
        <v/>
      </c>
      <c r="U48" s="14">
        <f>IF($C48="","",$C48&amp;"|"&amp;$T48)</f>
        <v/>
      </c>
      <c r="V48" s="14">
        <f>IF($C48="","",$C48&amp;"|"&amp;$T48&amp;"|"&amp;$G48)</f>
        <v/>
      </c>
      <c r="W48" s="14">
        <f>IF($A48="","",IF(OR($B48="",$F48="",$G48="",$H48="",$I48=""),"Faltam campos básicos",IF(AND(OR($F48="Ponto de atenção",$F48="Incidente"),OR($K48="",$L48="",$O48="",$P48="")),"Faltam campos de sinalização","OK")))</f>
        <v/>
      </c>
      <c r="X48" s="14">
        <f>IF($A48="","",IF(AND(OR($F48="Ponto de atenção",$F48="Incidente"),$L48&lt;&gt;"Sim"),"Não",IF(AND($S48="",$W48&lt;&gt;"OK"),"Não","Sim")))</f>
        <v/>
      </c>
      <c r="Y48" s="14">
        <f>IF($C48="",0,IF(COUNTIFS($C$5:$C48,$C48,$D$5:$D48,$D48)=1,1,0))</f>
        <v/>
      </c>
      <c r="Z48" s="14">
        <f>IF($A48="","",IF(Config!$B$7-$T48&gt;2,"Arquivada",IF(Config!$B$7-$T48&gt;0,"Histórico","Ativa")))</f>
        <v/>
      </c>
      <c r="AA48" s="14">
        <f>IF($A48="",0,IF(AND(OR($F48="Ponto de atenção",$F48="Incidente"),$L48="Sim"),1,0))</f>
        <v/>
      </c>
      <c r="AB48" s="14">
        <f>IF(OR($C48="",$C48&lt;&gt;'1a1'!$B$4,$T48&lt;&gt;Config!$B$7),"",COUNTIFS($C$5:$C48,'1a1'!$B$4,$T$5:$T48,Config!$B$7))</f>
        <v/>
      </c>
    </row>
    <row r="49">
      <c r="A49" s="18" t="n"/>
      <c r="B49" s="19" t="n"/>
      <c r="C49" s="14">
        <f>IFERROR(INDEX(Pessoas!$A$5:$A$64,MATCH($B49,Pessoas!$B$5:$B$64,0)),"")</f>
        <v/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8" t="n"/>
      <c r="N49" s="19" t="n"/>
      <c r="O49" s="19" t="n"/>
      <c r="P49" s="19" t="n"/>
      <c r="Q49" s="20">
        <f>IF(OR($M49="",$P49=""),"",$M49+IF($P49="7 dias",7,IF($P49="14 dias",14,90)))</f>
        <v/>
      </c>
      <c r="R49" s="19" t="n"/>
      <c r="S49" s="19" t="n"/>
      <c r="T49" s="14">
        <f>IF($A49="","",YEAR($A49)*4+ROUNDUP(MONTH($A49)/3,0))</f>
        <v/>
      </c>
      <c r="U49" s="14">
        <f>IF($C49="","",$C49&amp;"|"&amp;$T49)</f>
        <v/>
      </c>
      <c r="V49" s="14">
        <f>IF($C49="","",$C49&amp;"|"&amp;$T49&amp;"|"&amp;$G49)</f>
        <v/>
      </c>
      <c r="W49" s="14">
        <f>IF($A49="","",IF(OR($B49="",$F49="",$G49="",$H49="",$I49=""),"Faltam campos básicos",IF(AND(OR($F49="Ponto de atenção",$F49="Incidente"),OR($K49="",$L49="",$O49="",$P49="")),"Faltam campos de sinalização","OK")))</f>
        <v/>
      </c>
      <c r="X49" s="14">
        <f>IF($A49="","",IF(AND(OR($F49="Ponto de atenção",$F49="Incidente"),$L49&lt;&gt;"Sim"),"Não",IF(AND($S49="",$W49&lt;&gt;"OK"),"Não","Sim")))</f>
        <v/>
      </c>
      <c r="Y49" s="14">
        <f>IF($C49="",0,IF(COUNTIFS($C$5:$C49,$C49,$D$5:$D49,$D49)=1,1,0))</f>
        <v/>
      </c>
      <c r="Z49" s="14">
        <f>IF($A49="","",IF(Config!$B$7-$T49&gt;2,"Arquivada",IF(Config!$B$7-$T49&gt;0,"Histórico","Ativa")))</f>
        <v/>
      </c>
      <c r="AA49" s="14">
        <f>IF($A49="",0,IF(AND(OR($F49="Ponto de atenção",$F49="Incidente"),$L49="Sim"),1,0))</f>
        <v/>
      </c>
      <c r="AB49" s="14">
        <f>IF(OR($C49="",$C49&lt;&gt;'1a1'!$B$4,$T49&lt;&gt;Config!$B$7),"",COUNTIFS($C$5:$C49,'1a1'!$B$4,$T$5:$T49,Config!$B$7))</f>
        <v/>
      </c>
    </row>
    <row r="50">
      <c r="A50" s="18" t="n"/>
      <c r="B50" s="19" t="n"/>
      <c r="C50" s="14">
        <f>IFERROR(INDEX(Pessoas!$A$5:$A$64,MATCH($B50,Pessoas!$B$5:$B$64,0)),"")</f>
        <v/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8" t="n"/>
      <c r="N50" s="19" t="n"/>
      <c r="O50" s="19" t="n"/>
      <c r="P50" s="19" t="n"/>
      <c r="Q50" s="20">
        <f>IF(OR($M50="",$P50=""),"",$M50+IF($P50="7 dias",7,IF($P50="14 dias",14,90)))</f>
        <v/>
      </c>
      <c r="R50" s="19" t="n"/>
      <c r="S50" s="19" t="n"/>
      <c r="T50" s="14">
        <f>IF($A50="","",YEAR($A50)*4+ROUNDUP(MONTH($A50)/3,0))</f>
        <v/>
      </c>
      <c r="U50" s="14">
        <f>IF($C50="","",$C50&amp;"|"&amp;$T50)</f>
        <v/>
      </c>
      <c r="V50" s="14">
        <f>IF($C50="","",$C50&amp;"|"&amp;$T50&amp;"|"&amp;$G50)</f>
        <v/>
      </c>
      <c r="W50" s="14">
        <f>IF($A50="","",IF(OR($B50="",$F50="",$G50="",$H50="",$I50=""),"Faltam campos básicos",IF(AND(OR($F50="Ponto de atenção",$F50="Incidente"),OR($K50="",$L50="",$O50="",$P50="")),"Faltam campos de sinalização","OK")))</f>
        <v/>
      </c>
      <c r="X50" s="14">
        <f>IF($A50="","",IF(AND(OR($F50="Ponto de atenção",$F50="Incidente"),$L50&lt;&gt;"Sim"),"Não",IF(AND($S50="",$W50&lt;&gt;"OK"),"Não","Sim")))</f>
        <v/>
      </c>
      <c r="Y50" s="14">
        <f>IF($C50="",0,IF(COUNTIFS($C$5:$C50,$C50,$D$5:$D50,$D50)=1,1,0))</f>
        <v/>
      </c>
      <c r="Z50" s="14">
        <f>IF($A50="","",IF(Config!$B$7-$T50&gt;2,"Arquivada",IF(Config!$B$7-$T50&gt;0,"Histórico","Ativa")))</f>
        <v/>
      </c>
      <c r="AA50" s="14">
        <f>IF($A50="",0,IF(AND(OR($F50="Ponto de atenção",$F50="Incidente"),$L50="Sim"),1,0))</f>
        <v/>
      </c>
      <c r="AB50" s="14">
        <f>IF(OR($C50="",$C50&lt;&gt;'1a1'!$B$4,$T50&lt;&gt;Config!$B$7),"",COUNTIFS($C$5:$C50,'1a1'!$B$4,$T$5:$T50,Config!$B$7))</f>
        <v/>
      </c>
    </row>
    <row r="51">
      <c r="A51" s="18" t="n"/>
      <c r="B51" s="19" t="n"/>
      <c r="C51" s="14">
        <f>IFERROR(INDEX(Pessoas!$A$5:$A$64,MATCH($B51,Pessoas!$B$5:$B$64,0)),"")</f>
        <v/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8" t="n"/>
      <c r="N51" s="19" t="n"/>
      <c r="O51" s="19" t="n"/>
      <c r="P51" s="19" t="n"/>
      <c r="Q51" s="20">
        <f>IF(OR($M51="",$P51=""),"",$M51+IF($P51="7 dias",7,IF($P51="14 dias",14,90)))</f>
        <v/>
      </c>
      <c r="R51" s="19" t="n"/>
      <c r="S51" s="19" t="n"/>
      <c r="T51" s="14">
        <f>IF($A51="","",YEAR($A51)*4+ROUNDUP(MONTH($A51)/3,0))</f>
        <v/>
      </c>
      <c r="U51" s="14">
        <f>IF($C51="","",$C51&amp;"|"&amp;$T51)</f>
        <v/>
      </c>
      <c r="V51" s="14">
        <f>IF($C51="","",$C51&amp;"|"&amp;$T51&amp;"|"&amp;$G51)</f>
        <v/>
      </c>
      <c r="W51" s="14">
        <f>IF($A51="","",IF(OR($B51="",$F51="",$G51="",$H51="",$I51=""),"Faltam campos básicos",IF(AND(OR($F51="Ponto de atenção",$F51="Incidente"),OR($K51="",$L51="",$O51="",$P51="")),"Faltam campos de sinalização","OK")))</f>
        <v/>
      </c>
      <c r="X51" s="14">
        <f>IF($A51="","",IF(AND(OR($F51="Ponto de atenção",$F51="Incidente"),$L51&lt;&gt;"Sim"),"Não",IF(AND($S51="",$W51&lt;&gt;"OK"),"Não","Sim")))</f>
        <v/>
      </c>
      <c r="Y51" s="14">
        <f>IF($C51="",0,IF(COUNTIFS($C$5:$C51,$C51,$D$5:$D51,$D51)=1,1,0))</f>
        <v/>
      </c>
      <c r="Z51" s="14">
        <f>IF($A51="","",IF(Config!$B$7-$T51&gt;2,"Arquivada",IF(Config!$B$7-$T51&gt;0,"Histórico","Ativa")))</f>
        <v/>
      </c>
      <c r="AA51" s="14">
        <f>IF($A51="",0,IF(AND(OR($F51="Ponto de atenção",$F51="Incidente"),$L51="Sim"),1,0))</f>
        <v/>
      </c>
      <c r="AB51" s="14">
        <f>IF(OR($C51="",$C51&lt;&gt;'1a1'!$B$4,$T51&lt;&gt;Config!$B$7),"",COUNTIFS($C$5:$C51,'1a1'!$B$4,$T$5:$T51,Config!$B$7))</f>
        <v/>
      </c>
    </row>
    <row r="52">
      <c r="A52" s="18" t="n"/>
      <c r="B52" s="19" t="n"/>
      <c r="C52" s="14">
        <f>IFERROR(INDEX(Pessoas!$A$5:$A$64,MATCH($B52,Pessoas!$B$5:$B$64,0)),"")</f>
        <v/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8" t="n"/>
      <c r="N52" s="19" t="n"/>
      <c r="O52" s="19" t="n"/>
      <c r="P52" s="19" t="n"/>
      <c r="Q52" s="20">
        <f>IF(OR($M52="",$P52=""),"",$M52+IF($P52="7 dias",7,IF($P52="14 dias",14,90)))</f>
        <v/>
      </c>
      <c r="R52" s="19" t="n"/>
      <c r="S52" s="19" t="n"/>
      <c r="T52" s="14">
        <f>IF($A52="","",YEAR($A52)*4+ROUNDUP(MONTH($A52)/3,0))</f>
        <v/>
      </c>
      <c r="U52" s="14">
        <f>IF($C52="","",$C52&amp;"|"&amp;$T52)</f>
        <v/>
      </c>
      <c r="V52" s="14">
        <f>IF($C52="","",$C52&amp;"|"&amp;$T52&amp;"|"&amp;$G52)</f>
        <v/>
      </c>
      <c r="W52" s="14">
        <f>IF($A52="","",IF(OR($B52="",$F52="",$G52="",$H52="",$I52=""),"Faltam campos básicos",IF(AND(OR($F52="Ponto de atenção",$F52="Incidente"),OR($K52="",$L52="",$O52="",$P52="")),"Faltam campos de sinalização","OK")))</f>
        <v/>
      </c>
      <c r="X52" s="14">
        <f>IF($A52="","",IF(AND(OR($F52="Ponto de atenção",$F52="Incidente"),$L52&lt;&gt;"Sim"),"Não",IF(AND($S52="",$W52&lt;&gt;"OK"),"Não","Sim")))</f>
        <v/>
      </c>
      <c r="Y52" s="14">
        <f>IF($C52="",0,IF(COUNTIFS($C$5:$C52,$C52,$D$5:$D52,$D52)=1,1,0))</f>
        <v/>
      </c>
      <c r="Z52" s="14">
        <f>IF($A52="","",IF(Config!$B$7-$T52&gt;2,"Arquivada",IF(Config!$B$7-$T52&gt;0,"Histórico","Ativa")))</f>
        <v/>
      </c>
      <c r="AA52" s="14">
        <f>IF($A52="",0,IF(AND(OR($F52="Ponto de atenção",$F52="Incidente"),$L52="Sim"),1,0))</f>
        <v/>
      </c>
      <c r="AB52" s="14">
        <f>IF(OR($C52="",$C52&lt;&gt;'1a1'!$B$4,$T52&lt;&gt;Config!$B$7),"",COUNTIFS($C$5:$C52,'1a1'!$B$4,$T$5:$T52,Config!$B$7))</f>
        <v/>
      </c>
    </row>
    <row r="53">
      <c r="A53" s="18" t="n"/>
      <c r="B53" s="19" t="n"/>
      <c r="C53" s="14">
        <f>IFERROR(INDEX(Pessoas!$A$5:$A$64,MATCH($B53,Pessoas!$B$5:$B$64,0)),"")</f>
        <v/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8" t="n"/>
      <c r="N53" s="19" t="n"/>
      <c r="O53" s="19" t="n"/>
      <c r="P53" s="19" t="n"/>
      <c r="Q53" s="20">
        <f>IF(OR($M53="",$P53=""),"",$M53+IF($P53="7 dias",7,IF($P53="14 dias",14,90)))</f>
        <v/>
      </c>
      <c r="R53" s="19" t="n"/>
      <c r="S53" s="19" t="n"/>
      <c r="T53" s="14">
        <f>IF($A53="","",YEAR($A53)*4+ROUNDUP(MONTH($A53)/3,0))</f>
        <v/>
      </c>
      <c r="U53" s="14">
        <f>IF($C53="","",$C53&amp;"|"&amp;$T53)</f>
        <v/>
      </c>
      <c r="V53" s="14">
        <f>IF($C53="","",$C53&amp;"|"&amp;$T53&amp;"|"&amp;$G53)</f>
        <v/>
      </c>
      <c r="W53" s="14">
        <f>IF($A53="","",IF(OR($B53="",$F53="",$G53="",$H53="",$I53=""),"Faltam campos básicos",IF(AND(OR($F53="Ponto de atenção",$F53="Incidente"),OR($K53="",$L53="",$O53="",$P53="")),"Faltam campos de sinalização","OK")))</f>
        <v/>
      </c>
      <c r="X53" s="14">
        <f>IF($A53="","",IF(AND(OR($F53="Ponto de atenção",$F53="Incidente"),$L53&lt;&gt;"Sim"),"Não",IF(AND($S53="",$W53&lt;&gt;"OK"),"Não","Sim")))</f>
        <v/>
      </c>
      <c r="Y53" s="14">
        <f>IF($C53="",0,IF(COUNTIFS($C$5:$C53,$C53,$D$5:$D53,$D53)=1,1,0))</f>
        <v/>
      </c>
      <c r="Z53" s="14">
        <f>IF($A53="","",IF(Config!$B$7-$T53&gt;2,"Arquivada",IF(Config!$B$7-$T53&gt;0,"Histórico","Ativa")))</f>
        <v/>
      </c>
      <c r="AA53" s="14">
        <f>IF($A53="",0,IF(AND(OR($F53="Ponto de atenção",$F53="Incidente"),$L53="Sim"),1,0))</f>
        <v/>
      </c>
      <c r="AB53" s="14">
        <f>IF(OR($C53="",$C53&lt;&gt;'1a1'!$B$4,$T53&lt;&gt;Config!$B$7),"",COUNTIFS($C$5:$C53,'1a1'!$B$4,$T$5:$T53,Config!$B$7))</f>
        <v/>
      </c>
    </row>
    <row r="54">
      <c r="A54" s="18" t="n"/>
      <c r="B54" s="19" t="n"/>
      <c r="C54" s="14">
        <f>IFERROR(INDEX(Pessoas!$A$5:$A$64,MATCH($B54,Pessoas!$B$5:$B$64,0)),"")</f>
        <v/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8" t="n"/>
      <c r="N54" s="19" t="n"/>
      <c r="O54" s="19" t="n"/>
      <c r="P54" s="19" t="n"/>
      <c r="Q54" s="20">
        <f>IF(OR($M54="",$P54=""),"",$M54+IF($P54="7 dias",7,IF($P54="14 dias",14,90)))</f>
        <v/>
      </c>
      <c r="R54" s="19" t="n"/>
      <c r="S54" s="19" t="n"/>
      <c r="T54" s="14">
        <f>IF($A54="","",YEAR($A54)*4+ROUNDUP(MONTH($A54)/3,0))</f>
        <v/>
      </c>
      <c r="U54" s="14">
        <f>IF($C54="","",$C54&amp;"|"&amp;$T54)</f>
        <v/>
      </c>
      <c r="V54" s="14">
        <f>IF($C54="","",$C54&amp;"|"&amp;$T54&amp;"|"&amp;$G54)</f>
        <v/>
      </c>
      <c r="W54" s="14">
        <f>IF($A54="","",IF(OR($B54="",$F54="",$G54="",$H54="",$I54=""),"Faltam campos básicos",IF(AND(OR($F54="Ponto de atenção",$F54="Incidente"),OR($K54="",$L54="",$O54="",$P54="")),"Faltam campos de sinalização","OK")))</f>
        <v/>
      </c>
      <c r="X54" s="14">
        <f>IF($A54="","",IF(AND(OR($F54="Ponto de atenção",$F54="Incidente"),$L54&lt;&gt;"Sim"),"Não",IF(AND($S54="",$W54&lt;&gt;"OK"),"Não","Sim")))</f>
        <v/>
      </c>
      <c r="Y54" s="14">
        <f>IF($C54="",0,IF(COUNTIFS($C$5:$C54,$C54,$D$5:$D54,$D54)=1,1,0))</f>
        <v/>
      </c>
      <c r="Z54" s="14">
        <f>IF($A54="","",IF(Config!$B$7-$T54&gt;2,"Arquivada",IF(Config!$B$7-$T54&gt;0,"Histórico","Ativa")))</f>
        <v/>
      </c>
      <c r="AA54" s="14">
        <f>IF($A54="",0,IF(AND(OR($F54="Ponto de atenção",$F54="Incidente"),$L54="Sim"),1,0))</f>
        <v/>
      </c>
      <c r="AB54" s="14">
        <f>IF(OR($C54="",$C54&lt;&gt;'1a1'!$B$4,$T54&lt;&gt;Config!$B$7),"",COUNTIFS($C$5:$C54,'1a1'!$B$4,$T$5:$T54,Config!$B$7))</f>
        <v/>
      </c>
    </row>
    <row r="55">
      <c r="A55" s="18" t="n"/>
      <c r="B55" s="19" t="n"/>
      <c r="C55" s="14">
        <f>IFERROR(INDEX(Pessoas!$A$5:$A$64,MATCH($B55,Pessoas!$B$5:$B$64,0)),"")</f>
        <v/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8" t="n"/>
      <c r="N55" s="19" t="n"/>
      <c r="O55" s="19" t="n"/>
      <c r="P55" s="19" t="n"/>
      <c r="Q55" s="20">
        <f>IF(OR($M55="",$P55=""),"",$M55+IF($P55="7 dias",7,IF($P55="14 dias",14,90)))</f>
        <v/>
      </c>
      <c r="R55" s="19" t="n"/>
      <c r="S55" s="19" t="n"/>
      <c r="T55" s="14">
        <f>IF($A55="","",YEAR($A55)*4+ROUNDUP(MONTH($A55)/3,0))</f>
        <v/>
      </c>
      <c r="U55" s="14">
        <f>IF($C55="","",$C55&amp;"|"&amp;$T55)</f>
        <v/>
      </c>
      <c r="V55" s="14">
        <f>IF($C55="","",$C55&amp;"|"&amp;$T55&amp;"|"&amp;$G55)</f>
        <v/>
      </c>
      <c r="W55" s="14">
        <f>IF($A55="","",IF(OR($B55="",$F55="",$G55="",$H55="",$I55=""),"Faltam campos básicos",IF(AND(OR($F55="Ponto de atenção",$F55="Incidente"),OR($K55="",$L55="",$O55="",$P55="")),"Faltam campos de sinalização","OK")))</f>
        <v/>
      </c>
      <c r="X55" s="14">
        <f>IF($A55="","",IF(AND(OR($F55="Ponto de atenção",$F55="Incidente"),$L55&lt;&gt;"Sim"),"Não",IF(AND($S55="",$W55&lt;&gt;"OK"),"Não","Sim")))</f>
        <v/>
      </c>
      <c r="Y55" s="14">
        <f>IF($C55="",0,IF(COUNTIFS($C$5:$C55,$C55,$D$5:$D55,$D55)=1,1,0))</f>
        <v/>
      </c>
      <c r="Z55" s="14">
        <f>IF($A55="","",IF(Config!$B$7-$T55&gt;2,"Arquivada",IF(Config!$B$7-$T55&gt;0,"Histórico","Ativa")))</f>
        <v/>
      </c>
      <c r="AA55" s="14">
        <f>IF($A55="",0,IF(AND(OR($F55="Ponto de atenção",$F55="Incidente"),$L55="Sim"),1,0))</f>
        <v/>
      </c>
      <c r="AB55" s="14">
        <f>IF(OR($C55="",$C55&lt;&gt;'1a1'!$B$4,$T55&lt;&gt;Config!$B$7),"",COUNTIFS($C$5:$C55,'1a1'!$B$4,$T$5:$T55,Config!$B$7))</f>
        <v/>
      </c>
    </row>
    <row r="56">
      <c r="A56" s="18" t="n"/>
      <c r="B56" s="19" t="n"/>
      <c r="C56" s="14">
        <f>IFERROR(INDEX(Pessoas!$A$5:$A$64,MATCH($B56,Pessoas!$B$5:$B$64,0)),"")</f>
        <v/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8" t="n"/>
      <c r="N56" s="19" t="n"/>
      <c r="O56" s="19" t="n"/>
      <c r="P56" s="19" t="n"/>
      <c r="Q56" s="20">
        <f>IF(OR($M56="",$P56=""),"",$M56+IF($P56="7 dias",7,IF($P56="14 dias",14,90)))</f>
        <v/>
      </c>
      <c r="R56" s="19" t="n"/>
      <c r="S56" s="19" t="n"/>
      <c r="T56" s="14">
        <f>IF($A56="","",YEAR($A56)*4+ROUNDUP(MONTH($A56)/3,0))</f>
        <v/>
      </c>
      <c r="U56" s="14">
        <f>IF($C56="","",$C56&amp;"|"&amp;$T56)</f>
        <v/>
      </c>
      <c r="V56" s="14">
        <f>IF($C56="","",$C56&amp;"|"&amp;$T56&amp;"|"&amp;$G56)</f>
        <v/>
      </c>
      <c r="W56" s="14">
        <f>IF($A56="","",IF(OR($B56="",$F56="",$G56="",$H56="",$I56=""),"Faltam campos básicos",IF(AND(OR($F56="Ponto de atenção",$F56="Incidente"),OR($K56="",$L56="",$O56="",$P56="")),"Faltam campos de sinalização","OK")))</f>
        <v/>
      </c>
      <c r="X56" s="14">
        <f>IF($A56="","",IF(AND(OR($F56="Ponto de atenção",$F56="Incidente"),$L56&lt;&gt;"Sim"),"Não",IF(AND($S56="",$W56&lt;&gt;"OK"),"Não","Sim")))</f>
        <v/>
      </c>
      <c r="Y56" s="14">
        <f>IF($C56="",0,IF(COUNTIFS($C$5:$C56,$C56,$D$5:$D56,$D56)=1,1,0))</f>
        <v/>
      </c>
      <c r="Z56" s="14">
        <f>IF($A56="","",IF(Config!$B$7-$T56&gt;2,"Arquivada",IF(Config!$B$7-$T56&gt;0,"Histórico","Ativa")))</f>
        <v/>
      </c>
      <c r="AA56" s="14">
        <f>IF($A56="",0,IF(AND(OR($F56="Ponto de atenção",$F56="Incidente"),$L56="Sim"),1,0))</f>
        <v/>
      </c>
      <c r="AB56" s="14">
        <f>IF(OR($C56="",$C56&lt;&gt;'1a1'!$B$4,$T56&lt;&gt;Config!$B$7),"",COUNTIFS($C$5:$C56,'1a1'!$B$4,$T$5:$T56,Config!$B$7))</f>
        <v/>
      </c>
    </row>
    <row r="57">
      <c r="A57" s="18" t="n"/>
      <c r="B57" s="19" t="n"/>
      <c r="C57" s="14">
        <f>IFERROR(INDEX(Pessoas!$A$5:$A$64,MATCH($B57,Pessoas!$B$5:$B$64,0)),"")</f>
        <v/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8" t="n"/>
      <c r="N57" s="19" t="n"/>
      <c r="O57" s="19" t="n"/>
      <c r="P57" s="19" t="n"/>
      <c r="Q57" s="20">
        <f>IF(OR($M57="",$P57=""),"",$M57+IF($P57="7 dias",7,IF($P57="14 dias",14,90)))</f>
        <v/>
      </c>
      <c r="R57" s="19" t="n"/>
      <c r="S57" s="19" t="n"/>
      <c r="T57" s="14">
        <f>IF($A57="","",YEAR($A57)*4+ROUNDUP(MONTH($A57)/3,0))</f>
        <v/>
      </c>
      <c r="U57" s="14">
        <f>IF($C57="","",$C57&amp;"|"&amp;$T57)</f>
        <v/>
      </c>
      <c r="V57" s="14">
        <f>IF($C57="","",$C57&amp;"|"&amp;$T57&amp;"|"&amp;$G57)</f>
        <v/>
      </c>
      <c r="W57" s="14">
        <f>IF($A57="","",IF(OR($B57="",$F57="",$G57="",$H57="",$I57=""),"Faltam campos básicos",IF(AND(OR($F57="Ponto de atenção",$F57="Incidente"),OR($K57="",$L57="",$O57="",$P57="")),"Faltam campos de sinalização","OK")))</f>
        <v/>
      </c>
      <c r="X57" s="14">
        <f>IF($A57="","",IF(AND(OR($F57="Ponto de atenção",$F57="Incidente"),$L57&lt;&gt;"Sim"),"Não",IF(AND($S57="",$W57&lt;&gt;"OK"),"Não","Sim")))</f>
        <v/>
      </c>
      <c r="Y57" s="14">
        <f>IF($C57="",0,IF(COUNTIFS($C$5:$C57,$C57,$D$5:$D57,$D57)=1,1,0))</f>
        <v/>
      </c>
      <c r="Z57" s="14">
        <f>IF($A57="","",IF(Config!$B$7-$T57&gt;2,"Arquivada",IF(Config!$B$7-$T57&gt;0,"Histórico","Ativa")))</f>
        <v/>
      </c>
      <c r="AA57" s="14">
        <f>IF($A57="",0,IF(AND(OR($F57="Ponto de atenção",$F57="Incidente"),$L57="Sim"),1,0))</f>
        <v/>
      </c>
      <c r="AB57" s="14">
        <f>IF(OR($C57="",$C57&lt;&gt;'1a1'!$B$4,$T57&lt;&gt;Config!$B$7),"",COUNTIFS($C$5:$C57,'1a1'!$B$4,$T$5:$T57,Config!$B$7))</f>
        <v/>
      </c>
    </row>
    <row r="58">
      <c r="A58" s="18" t="n"/>
      <c r="B58" s="19" t="n"/>
      <c r="C58" s="14">
        <f>IFERROR(INDEX(Pessoas!$A$5:$A$64,MATCH($B58,Pessoas!$B$5:$B$64,0)),"")</f>
        <v/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8" t="n"/>
      <c r="N58" s="19" t="n"/>
      <c r="O58" s="19" t="n"/>
      <c r="P58" s="19" t="n"/>
      <c r="Q58" s="20">
        <f>IF(OR($M58="",$P58=""),"",$M58+IF($P58="7 dias",7,IF($P58="14 dias",14,90)))</f>
        <v/>
      </c>
      <c r="R58" s="19" t="n"/>
      <c r="S58" s="19" t="n"/>
      <c r="T58" s="14">
        <f>IF($A58="","",YEAR($A58)*4+ROUNDUP(MONTH($A58)/3,0))</f>
        <v/>
      </c>
      <c r="U58" s="14">
        <f>IF($C58="","",$C58&amp;"|"&amp;$T58)</f>
        <v/>
      </c>
      <c r="V58" s="14">
        <f>IF($C58="","",$C58&amp;"|"&amp;$T58&amp;"|"&amp;$G58)</f>
        <v/>
      </c>
      <c r="W58" s="14">
        <f>IF($A58="","",IF(OR($B58="",$F58="",$G58="",$H58="",$I58=""),"Faltam campos básicos",IF(AND(OR($F58="Ponto de atenção",$F58="Incidente"),OR($K58="",$L58="",$O58="",$P58="")),"Faltam campos de sinalização","OK")))</f>
        <v/>
      </c>
      <c r="X58" s="14">
        <f>IF($A58="","",IF(AND(OR($F58="Ponto de atenção",$F58="Incidente"),$L58&lt;&gt;"Sim"),"Não",IF(AND($S58="",$W58&lt;&gt;"OK"),"Não","Sim")))</f>
        <v/>
      </c>
      <c r="Y58" s="14">
        <f>IF($C58="",0,IF(COUNTIFS($C$5:$C58,$C58,$D$5:$D58,$D58)=1,1,0))</f>
        <v/>
      </c>
      <c r="Z58" s="14">
        <f>IF($A58="","",IF(Config!$B$7-$T58&gt;2,"Arquivada",IF(Config!$B$7-$T58&gt;0,"Histórico","Ativa")))</f>
        <v/>
      </c>
      <c r="AA58" s="14">
        <f>IF($A58="",0,IF(AND(OR($F58="Ponto de atenção",$F58="Incidente"),$L58="Sim"),1,0))</f>
        <v/>
      </c>
      <c r="AB58" s="14">
        <f>IF(OR($C58="",$C58&lt;&gt;'1a1'!$B$4,$T58&lt;&gt;Config!$B$7),"",COUNTIFS($C$5:$C58,'1a1'!$B$4,$T$5:$T58,Config!$B$7))</f>
        <v/>
      </c>
    </row>
    <row r="59">
      <c r="A59" s="18" t="n"/>
      <c r="B59" s="19" t="n"/>
      <c r="C59" s="14">
        <f>IFERROR(INDEX(Pessoas!$A$5:$A$64,MATCH($B59,Pessoas!$B$5:$B$64,0)),"")</f>
        <v/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8" t="n"/>
      <c r="N59" s="19" t="n"/>
      <c r="O59" s="19" t="n"/>
      <c r="P59" s="19" t="n"/>
      <c r="Q59" s="20">
        <f>IF(OR($M59="",$P59=""),"",$M59+IF($P59="7 dias",7,IF($P59="14 dias",14,90)))</f>
        <v/>
      </c>
      <c r="R59" s="19" t="n"/>
      <c r="S59" s="19" t="n"/>
      <c r="T59" s="14">
        <f>IF($A59="","",YEAR($A59)*4+ROUNDUP(MONTH($A59)/3,0))</f>
        <v/>
      </c>
      <c r="U59" s="14">
        <f>IF($C59="","",$C59&amp;"|"&amp;$T59)</f>
        <v/>
      </c>
      <c r="V59" s="14">
        <f>IF($C59="","",$C59&amp;"|"&amp;$T59&amp;"|"&amp;$G59)</f>
        <v/>
      </c>
      <c r="W59" s="14">
        <f>IF($A59="","",IF(OR($B59="",$F59="",$G59="",$H59="",$I59=""),"Faltam campos básicos",IF(AND(OR($F59="Ponto de atenção",$F59="Incidente"),OR($K59="",$L59="",$O59="",$P59="")),"Faltam campos de sinalização","OK")))</f>
        <v/>
      </c>
      <c r="X59" s="14">
        <f>IF($A59="","",IF(AND(OR($F59="Ponto de atenção",$F59="Incidente"),$L59&lt;&gt;"Sim"),"Não",IF(AND($S59="",$W59&lt;&gt;"OK"),"Não","Sim")))</f>
        <v/>
      </c>
      <c r="Y59" s="14">
        <f>IF($C59="",0,IF(COUNTIFS($C$5:$C59,$C59,$D$5:$D59,$D59)=1,1,0))</f>
        <v/>
      </c>
      <c r="Z59" s="14">
        <f>IF($A59="","",IF(Config!$B$7-$T59&gt;2,"Arquivada",IF(Config!$B$7-$T59&gt;0,"Histórico","Ativa")))</f>
        <v/>
      </c>
      <c r="AA59" s="14">
        <f>IF($A59="",0,IF(AND(OR($F59="Ponto de atenção",$F59="Incidente"),$L59="Sim"),1,0))</f>
        <v/>
      </c>
      <c r="AB59" s="14">
        <f>IF(OR($C59="",$C59&lt;&gt;'1a1'!$B$4,$T59&lt;&gt;Config!$B$7),"",COUNTIFS($C$5:$C59,'1a1'!$B$4,$T$5:$T59,Config!$B$7))</f>
        <v/>
      </c>
    </row>
    <row r="60">
      <c r="A60" s="18" t="n"/>
      <c r="B60" s="19" t="n"/>
      <c r="C60" s="14">
        <f>IFERROR(INDEX(Pessoas!$A$5:$A$64,MATCH($B60,Pessoas!$B$5:$B$64,0)),"")</f>
        <v/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8" t="n"/>
      <c r="N60" s="19" t="n"/>
      <c r="O60" s="19" t="n"/>
      <c r="P60" s="19" t="n"/>
      <c r="Q60" s="20">
        <f>IF(OR($M60="",$P60=""),"",$M60+IF($P60="7 dias",7,IF($P60="14 dias",14,90)))</f>
        <v/>
      </c>
      <c r="R60" s="19" t="n"/>
      <c r="S60" s="19" t="n"/>
      <c r="T60" s="14">
        <f>IF($A60="","",YEAR($A60)*4+ROUNDUP(MONTH($A60)/3,0))</f>
        <v/>
      </c>
      <c r="U60" s="14">
        <f>IF($C60="","",$C60&amp;"|"&amp;$T60)</f>
        <v/>
      </c>
      <c r="V60" s="14">
        <f>IF($C60="","",$C60&amp;"|"&amp;$T60&amp;"|"&amp;$G60)</f>
        <v/>
      </c>
      <c r="W60" s="14">
        <f>IF($A60="","",IF(OR($B60="",$F60="",$G60="",$H60="",$I60=""),"Faltam campos básicos",IF(AND(OR($F60="Ponto de atenção",$F60="Incidente"),OR($K60="",$L60="",$O60="",$P60="")),"Faltam campos de sinalização","OK")))</f>
        <v/>
      </c>
      <c r="X60" s="14">
        <f>IF($A60="","",IF(AND(OR($F60="Ponto de atenção",$F60="Incidente"),$L60&lt;&gt;"Sim"),"Não",IF(AND($S60="",$W60&lt;&gt;"OK"),"Não","Sim")))</f>
        <v/>
      </c>
      <c r="Y60" s="14">
        <f>IF($C60="",0,IF(COUNTIFS($C$5:$C60,$C60,$D$5:$D60,$D60)=1,1,0))</f>
        <v/>
      </c>
      <c r="Z60" s="14">
        <f>IF($A60="","",IF(Config!$B$7-$T60&gt;2,"Arquivada",IF(Config!$B$7-$T60&gt;0,"Histórico","Ativa")))</f>
        <v/>
      </c>
      <c r="AA60" s="14">
        <f>IF($A60="",0,IF(AND(OR($F60="Ponto de atenção",$F60="Incidente"),$L60="Sim"),1,0))</f>
        <v/>
      </c>
      <c r="AB60" s="14">
        <f>IF(OR($C60="",$C60&lt;&gt;'1a1'!$B$4,$T60&lt;&gt;Config!$B$7),"",COUNTIFS($C$5:$C60,'1a1'!$B$4,$T$5:$T60,Config!$B$7))</f>
        <v/>
      </c>
    </row>
    <row r="61">
      <c r="A61" s="18" t="n"/>
      <c r="B61" s="19" t="n"/>
      <c r="C61" s="14">
        <f>IFERROR(INDEX(Pessoas!$A$5:$A$64,MATCH($B61,Pessoas!$B$5:$B$64,0)),"")</f>
        <v/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8" t="n"/>
      <c r="N61" s="19" t="n"/>
      <c r="O61" s="19" t="n"/>
      <c r="P61" s="19" t="n"/>
      <c r="Q61" s="20">
        <f>IF(OR($M61="",$P61=""),"",$M61+IF($P61="7 dias",7,IF($P61="14 dias",14,90)))</f>
        <v/>
      </c>
      <c r="R61" s="19" t="n"/>
      <c r="S61" s="19" t="n"/>
      <c r="T61" s="14">
        <f>IF($A61="","",YEAR($A61)*4+ROUNDUP(MONTH($A61)/3,0))</f>
        <v/>
      </c>
      <c r="U61" s="14">
        <f>IF($C61="","",$C61&amp;"|"&amp;$T61)</f>
        <v/>
      </c>
      <c r="V61" s="14">
        <f>IF($C61="","",$C61&amp;"|"&amp;$T61&amp;"|"&amp;$G61)</f>
        <v/>
      </c>
      <c r="W61" s="14">
        <f>IF($A61="","",IF(OR($B61="",$F61="",$G61="",$H61="",$I61=""),"Faltam campos básicos",IF(AND(OR($F61="Ponto de atenção",$F61="Incidente"),OR($K61="",$L61="",$O61="",$P61="")),"Faltam campos de sinalização","OK")))</f>
        <v/>
      </c>
      <c r="X61" s="14">
        <f>IF($A61="","",IF(AND(OR($F61="Ponto de atenção",$F61="Incidente"),$L61&lt;&gt;"Sim"),"Não",IF(AND($S61="",$W61&lt;&gt;"OK"),"Não","Sim")))</f>
        <v/>
      </c>
      <c r="Y61" s="14">
        <f>IF($C61="",0,IF(COUNTIFS($C$5:$C61,$C61,$D$5:$D61,$D61)=1,1,0))</f>
        <v/>
      </c>
      <c r="Z61" s="14">
        <f>IF($A61="","",IF(Config!$B$7-$T61&gt;2,"Arquivada",IF(Config!$B$7-$T61&gt;0,"Histórico","Ativa")))</f>
        <v/>
      </c>
      <c r="AA61" s="14">
        <f>IF($A61="",0,IF(AND(OR($F61="Ponto de atenção",$F61="Incidente"),$L61="Sim"),1,0))</f>
        <v/>
      </c>
      <c r="AB61" s="14">
        <f>IF(OR($C61="",$C61&lt;&gt;'1a1'!$B$4,$T61&lt;&gt;Config!$B$7),"",COUNTIFS($C$5:$C61,'1a1'!$B$4,$T$5:$T61,Config!$B$7))</f>
        <v/>
      </c>
    </row>
    <row r="62">
      <c r="A62" s="18" t="n"/>
      <c r="B62" s="19" t="n"/>
      <c r="C62" s="14">
        <f>IFERROR(INDEX(Pessoas!$A$5:$A$64,MATCH($B62,Pessoas!$B$5:$B$64,0)),"")</f>
        <v/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8" t="n"/>
      <c r="N62" s="19" t="n"/>
      <c r="O62" s="19" t="n"/>
      <c r="P62" s="19" t="n"/>
      <c r="Q62" s="20">
        <f>IF(OR($M62="",$P62=""),"",$M62+IF($P62="7 dias",7,IF($P62="14 dias",14,90)))</f>
        <v/>
      </c>
      <c r="R62" s="19" t="n"/>
      <c r="S62" s="19" t="n"/>
      <c r="T62" s="14">
        <f>IF($A62="","",YEAR($A62)*4+ROUNDUP(MONTH($A62)/3,0))</f>
        <v/>
      </c>
      <c r="U62" s="14">
        <f>IF($C62="","",$C62&amp;"|"&amp;$T62)</f>
        <v/>
      </c>
      <c r="V62" s="14">
        <f>IF($C62="","",$C62&amp;"|"&amp;$T62&amp;"|"&amp;$G62)</f>
        <v/>
      </c>
      <c r="W62" s="14">
        <f>IF($A62="","",IF(OR($B62="",$F62="",$G62="",$H62="",$I62=""),"Faltam campos básicos",IF(AND(OR($F62="Ponto de atenção",$F62="Incidente"),OR($K62="",$L62="",$O62="",$P62="")),"Faltam campos de sinalização","OK")))</f>
        <v/>
      </c>
      <c r="X62" s="14">
        <f>IF($A62="","",IF(AND(OR($F62="Ponto de atenção",$F62="Incidente"),$L62&lt;&gt;"Sim"),"Não",IF(AND($S62="",$W62&lt;&gt;"OK"),"Não","Sim")))</f>
        <v/>
      </c>
      <c r="Y62" s="14">
        <f>IF($C62="",0,IF(COUNTIFS($C$5:$C62,$C62,$D$5:$D62,$D62)=1,1,0))</f>
        <v/>
      </c>
      <c r="Z62" s="14">
        <f>IF($A62="","",IF(Config!$B$7-$T62&gt;2,"Arquivada",IF(Config!$B$7-$T62&gt;0,"Histórico","Ativa")))</f>
        <v/>
      </c>
      <c r="AA62" s="14">
        <f>IF($A62="",0,IF(AND(OR($F62="Ponto de atenção",$F62="Incidente"),$L62="Sim"),1,0))</f>
        <v/>
      </c>
      <c r="AB62" s="14">
        <f>IF(OR($C62="",$C62&lt;&gt;'1a1'!$B$4,$T62&lt;&gt;Config!$B$7),"",COUNTIFS($C$5:$C62,'1a1'!$B$4,$T$5:$T62,Config!$B$7))</f>
        <v/>
      </c>
    </row>
    <row r="63">
      <c r="A63" s="18" t="n"/>
      <c r="B63" s="19" t="n"/>
      <c r="C63" s="14">
        <f>IFERROR(INDEX(Pessoas!$A$5:$A$64,MATCH($B63,Pessoas!$B$5:$B$64,0)),"")</f>
        <v/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8" t="n"/>
      <c r="N63" s="19" t="n"/>
      <c r="O63" s="19" t="n"/>
      <c r="P63" s="19" t="n"/>
      <c r="Q63" s="20">
        <f>IF(OR($M63="",$P63=""),"",$M63+IF($P63="7 dias",7,IF($P63="14 dias",14,90)))</f>
        <v/>
      </c>
      <c r="R63" s="19" t="n"/>
      <c r="S63" s="19" t="n"/>
      <c r="T63" s="14">
        <f>IF($A63="","",YEAR($A63)*4+ROUNDUP(MONTH($A63)/3,0))</f>
        <v/>
      </c>
      <c r="U63" s="14">
        <f>IF($C63="","",$C63&amp;"|"&amp;$T63)</f>
        <v/>
      </c>
      <c r="V63" s="14">
        <f>IF($C63="","",$C63&amp;"|"&amp;$T63&amp;"|"&amp;$G63)</f>
        <v/>
      </c>
      <c r="W63" s="14">
        <f>IF($A63="","",IF(OR($B63="",$F63="",$G63="",$H63="",$I63=""),"Faltam campos básicos",IF(AND(OR($F63="Ponto de atenção",$F63="Incidente"),OR($K63="",$L63="",$O63="",$P63="")),"Faltam campos de sinalização","OK")))</f>
        <v/>
      </c>
      <c r="X63" s="14">
        <f>IF($A63="","",IF(AND(OR($F63="Ponto de atenção",$F63="Incidente"),$L63&lt;&gt;"Sim"),"Não",IF(AND($S63="",$W63&lt;&gt;"OK"),"Não","Sim")))</f>
        <v/>
      </c>
      <c r="Y63" s="14">
        <f>IF($C63="",0,IF(COUNTIFS($C$5:$C63,$C63,$D$5:$D63,$D63)=1,1,0))</f>
        <v/>
      </c>
      <c r="Z63" s="14">
        <f>IF($A63="","",IF(Config!$B$7-$T63&gt;2,"Arquivada",IF(Config!$B$7-$T63&gt;0,"Histórico","Ativa")))</f>
        <v/>
      </c>
      <c r="AA63" s="14">
        <f>IF($A63="",0,IF(AND(OR($F63="Ponto de atenção",$F63="Incidente"),$L63="Sim"),1,0))</f>
        <v/>
      </c>
      <c r="AB63" s="14">
        <f>IF(OR($C63="",$C63&lt;&gt;'1a1'!$B$4,$T63&lt;&gt;Config!$B$7),"",COUNTIFS($C$5:$C63,'1a1'!$B$4,$T$5:$T63,Config!$B$7))</f>
        <v/>
      </c>
    </row>
    <row r="64">
      <c r="A64" s="18" t="n"/>
      <c r="B64" s="19" t="n"/>
      <c r="C64" s="14">
        <f>IFERROR(INDEX(Pessoas!$A$5:$A$64,MATCH($B64,Pessoas!$B$5:$B$64,0)),"")</f>
        <v/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8" t="n"/>
      <c r="N64" s="19" t="n"/>
      <c r="O64" s="19" t="n"/>
      <c r="P64" s="19" t="n"/>
      <c r="Q64" s="20">
        <f>IF(OR($M64="",$P64=""),"",$M64+IF($P64="7 dias",7,IF($P64="14 dias",14,90)))</f>
        <v/>
      </c>
      <c r="R64" s="19" t="n"/>
      <c r="S64" s="19" t="n"/>
      <c r="T64" s="14">
        <f>IF($A64="","",YEAR($A64)*4+ROUNDUP(MONTH($A64)/3,0))</f>
        <v/>
      </c>
      <c r="U64" s="14">
        <f>IF($C64="","",$C64&amp;"|"&amp;$T64)</f>
        <v/>
      </c>
      <c r="V64" s="14">
        <f>IF($C64="","",$C64&amp;"|"&amp;$T64&amp;"|"&amp;$G64)</f>
        <v/>
      </c>
      <c r="W64" s="14">
        <f>IF($A64="","",IF(OR($B64="",$F64="",$G64="",$H64="",$I64=""),"Faltam campos básicos",IF(AND(OR($F64="Ponto de atenção",$F64="Incidente"),OR($K64="",$L64="",$O64="",$P64="")),"Faltam campos de sinalização","OK")))</f>
        <v/>
      </c>
      <c r="X64" s="14">
        <f>IF($A64="","",IF(AND(OR($F64="Ponto de atenção",$F64="Incidente"),$L64&lt;&gt;"Sim"),"Não",IF(AND($S64="",$W64&lt;&gt;"OK"),"Não","Sim")))</f>
        <v/>
      </c>
      <c r="Y64" s="14">
        <f>IF($C64="",0,IF(COUNTIFS($C$5:$C64,$C64,$D$5:$D64,$D64)=1,1,0))</f>
        <v/>
      </c>
      <c r="Z64" s="14">
        <f>IF($A64="","",IF(Config!$B$7-$T64&gt;2,"Arquivada",IF(Config!$B$7-$T64&gt;0,"Histórico","Ativa")))</f>
        <v/>
      </c>
      <c r="AA64" s="14">
        <f>IF($A64="",0,IF(AND(OR($F64="Ponto de atenção",$F64="Incidente"),$L64="Sim"),1,0))</f>
        <v/>
      </c>
      <c r="AB64" s="14">
        <f>IF(OR($C64="",$C64&lt;&gt;'1a1'!$B$4,$T64&lt;&gt;Config!$B$7),"",COUNTIFS($C$5:$C64,'1a1'!$B$4,$T$5:$T64,Config!$B$7))</f>
        <v/>
      </c>
    </row>
    <row r="65">
      <c r="A65" s="18" t="n"/>
      <c r="B65" s="19" t="n"/>
      <c r="C65" s="14">
        <f>IFERROR(INDEX(Pessoas!$A$5:$A$64,MATCH($B65,Pessoas!$B$5:$B$64,0)),"")</f>
        <v/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8" t="n"/>
      <c r="N65" s="19" t="n"/>
      <c r="O65" s="19" t="n"/>
      <c r="P65" s="19" t="n"/>
      <c r="Q65" s="20">
        <f>IF(OR($M65="",$P65=""),"",$M65+IF($P65="7 dias",7,IF($P65="14 dias",14,90)))</f>
        <v/>
      </c>
      <c r="R65" s="19" t="n"/>
      <c r="S65" s="19" t="n"/>
      <c r="T65" s="14">
        <f>IF($A65="","",YEAR($A65)*4+ROUNDUP(MONTH($A65)/3,0))</f>
        <v/>
      </c>
      <c r="U65" s="14">
        <f>IF($C65="","",$C65&amp;"|"&amp;$T65)</f>
        <v/>
      </c>
      <c r="V65" s="14">
        <f>IF($C65="","",$C65&amp;"|"&amp;$T65&amp;"|"&amp;$G65)</f>
        <v/>
      </c>
      <c r="W65" s="14">
        <f>IF($A65="","",IF(OR($B65="",$F65="",$G65="",$H65="",$I65=""),"Faltam campos básicos",IF(AND(OR($F65="Ponto de atenção",$F65="Incidente"),OR($K65="",$L65="",$O65="",$P65="")),"Faltam campos de sinalização","OK")))</f>
        <v/>
      </c>
      <c r="X65" s="14">
        <f>IF($A65="","",IF(AND(OR($F65="Ponto de atenção",$F65="Incidente"),$L65&lt;&gt;"Sim"),"Não",IF(AND($S65="",$W65&lt;&gt;"OK"),"Não","Sim")))</f>
        <v/>
      </c>
      <c r="Y65" s="14">
        <f>IF($C65="",0,IF(COUNTIFS($C$5:$C65,$C65,$D$5:$D65,$D65)=1,1,0))</f>
        <v/>
      </c>
      <c r="Z65" s="14">
        <f>IF($A65="","",IF(Config!$B$7-$T65&gt;2,"Arquivada",IF(Config!$B$7-$T65&gt;0,"Histórico","Ativa")))</f>
        <v/>
      </c>
      <c r="AA65" s="14">
        <f>IF($A65="",0,IF(AND(OR($F65="Ponto de atenção",$F65="Incidente"),$L65="Sim"),1,0))</f>
        <v/>
      </c>
      <c r="AB65" s="14">
        <f>IF(OR($C65="",$C65&lt;&gt;'1a1'!$B$4,$T65&lt;&gt;Config!$B$7),"",COUNTIFS($C$5:$C65,'1a1'!$B$4,$T$5:$T65,Config!$B$7))</f>
        <v/>
      </c>
    </row>
    <row r="66">
      <c r="A66" s="18" t="n"/>
      <c r="B66" s="19" t="n"/>
      <c r="C66" s="14">
        <f>IFERROR(INDEX(Pessoas!$A$5:$A$64,MATCH($B66,Pessoas!$B$5:$B$64,0)),"")</f>
        <v/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8" t="n"/>
      <c r="N66" s="19" t="n"/>
      <c r="O66" s="19" t="n"/>
      <c r="P66" s="19" t="n"/>
      <c r="Q66" s="20">
        <f>IF(OR($M66="",$P66=""),"",$M66+IF($P66="7 dias",7,IF($P66="14 dias",14,90)))</f>
        <v/>
      </c>
      <c r="R66" s="19" t="n"/>
      <c r="S66" s="19" t="n"/>
      <c r="T66" s="14">
        <f>IF($A66="","",YEAR($A66)*4+ROUNDUP(MONTH($A66)/3,0))</f>
        <v/>
      </c>
      <c r="U66" s="14">
        <f>IF($C66="","",$C66&amp;"|"&amp;$T66)</f>
        <v/>
      </c>
      <c r="V66" s="14">
        <f>IF($C66="","",$C66&amp;"|"&amp;$T66&amp;"|"&amp;$G66)</f>
        <v/>
      </c>
      <c r="W66" s="14">
        <f>IF($A66="","",IF(OR($B66="",$F66="",$G66="",$H66="",$I66=""),"Faltam campos básicos",IF(AND(OR($F66="Ponto de atenção",$F66="Incidente"),OR($K66="",$L66="",$O66="",$P66="")),"Faltam campos de sinalização","OK")))</f>
        <v/>
      </c>
      <c r="X66" s="14">
        <f>IF($A66="","",IF(AND(OR($F66="Ponto de atenção",$F66="Incidente"),$L66&lt;&gt;"Sim"),"Não",IF(AND($S66="",$W66&lt;&gt;"OK"),"Não","Sim")))</f>
        <v/>
      </c>
      <c r="Y66" s="14">
        <f>IF($C66="",0,IF(COUNTIFS($C$5:$C66,$C66,$D$5:$D66,$D66)=1,1,0))</f>
        <v/>
      </c>
      <c r="Z66" s="14">
        <f>IF($A66="","",IF(Config!$B$7-$T66&gt;2,"Arquivada",IF(Config!$B$7-$T66&gt;0,"Histórico","Ativa")))</f>
        <v/>
      </c>
      <c r="AA66" s="14">
        <f>IF($A66="",0,IF(AND(OR($F66="Ponto de atenção",$F66="Incidente"),$L66="Sim"),1,0))</f>
        <v/>
      </c>
      <c r="AB66" s="14">
        <f>IF(OR($C66="",$C66&lt;&gt;'1a1'!$B$4,$T66&lt;&gt;Config!$B$7),"",COUNTIFS($C$5:$C66,'1a1'!$B$4,$T$5:$T66,Config!$B$7))</f>
        <v/>
      </c>
    </row>
    <row r="67">
      <c r="A67" s="18" t="n"/>
      <c r="B67" s="19" t="n"/>
      <c r="C67" s="14">
        <f>IFERROR(INDEX(Pessoas!$A$5:$A$64,MATCH($B67,Pessoas!$B$5:$B$64,0)),"")</f>
        <v/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8" t="n"/>
      <c r="N67" s="19" t="n"/>
      <c r="O67" s="19" t="n"/>
      <c r="P67" s="19" t="n"/>
      <c r="Q67" s="20">
        <f>IF(OR($M67="",$P67=""),"",$M67+IF($P67="7 dias",7,IF($P67="14 dias",14,90)))</f>
        <v/>
      </c>
      <c r="R67" s="19" t="n"/>
      <c r="S67" s="19" t="n"/>
      <c r="T67" s="14">
        <f>IF($A67="","",YEAR($A67)*4+ROUNDUP(MONTH($A67)/3,0))</f>
        <v/>
      </c>
      <c r="U67" s="14">
        <f>IF($C67="","",$C67&amp;"|"&amp;$T67)</f>
        <v/>
      </c>
      <c r="V67" s="14">
        <f>IF($C67="","",$C67&amp;"|"&amp;$T67&amp;"|"&amp;$G67)</f>
        <v/>
      </c>
      <c r="W67" s="14">
        <f>IF($A67="","",IF(OR($B67="",$F67="",$G67="",$H67="",$I67=""),"Faltam campos básicos",IF(AND(OR($F67="Ponto de atenção",$F67="Incidente"),OR($K67="",$L67="",$O67="",$P67="")),"Faltam campos de sinalização","OK")))</f>
        <v/>
      </c>
      <c r="X67" s="14">
        <f>IF($A67="","",IF(AND(OR($F67="Ponto de atenção",$F67="Incidente"),$L67&lt;&gt;"Sim"),"Não",IF(AND($S67="",$W67&lt;&gt;"OK"),"Não","Sim")))</f>
        <v/>
      </c>
      <c r="Y67" s="14">
        <f>IF($C67="",0,IF(COUNTIFS($C$5:$C67,$C67,$D$5:$D67,$D67)=1,1,0))</f>
        <v/>
      </c>
      <c r="Z67" s="14">
        <f>IF($A67="","",IF(Config!$B$7-$T67&gt;2,"Arquivada",IF(Config!$B$7-$T67&gt;0,"Histórico","Ativa")))</f>
        <v/>
      </c>
      <c r="AA67" s="14">
        <f>IF($A67="",0,IF(AND(OR($F67="Ponto de atenção",$F67="Incidente"),$L67="Sim"),1,0))</f>
        <v/>
      </c>
      <c r="AB67" s="14">
        <f>IF(OR($C67="",$C67&lt;&gt;'1a1'!$B$4,$T67&lt;&gt;Config!$B$7),"",COUNTIFS($C$5:$C67,'1a1'!$B$4,$T$5:$T67,Config!$B$7))</f>
        <v/>
      </c>
    </row>
    <row r="68">
      <c r="A68" s="18" t="n"/>
      <c r="B68" s="19" t="n"/>
      <c r="C68" s="14">
        <f>IFERROR(INDEX(Pessoas!$A$5:$A$64,MATCH($B68,Pessoas!$B$5:$B$64,0)),"")</f>
        <v/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8" t="n"/>
      <c r="N68" s="19" t="n"/>
      <c r="O68" s="19" t="n"/>
      <c r="P68" s="19" t="n"/>
      <c r="Q68" s="20">
        <f>IF(OR($M68="",$P68=""),"",$M68+IF($P68="7 dias",7,IF($P68="14 dias",14,90)))</f>
        <v/>
      </c>
      <c r="R68" s="19" t="n"/>
      <c r="S68" s="19" t="n"/>
      <c r="T68" s="14">
        <f>IF($A68="","",YEAR($A68)*4+ROUNDUP(MONTH($A68)/3,0))</f>
        <v/>
      </c>
      <c r="U68" s="14">
        <f>IF($C68="","",$C68&amp;"|"&amp;$T68)</f>
        <v/>
      </c>
      <c r="V68" s="14">
        <f>IF($C68="","",$C68&amp;"|"&amp;$T68&amp;"|"&amp;$G68)</f>
        <v/>
      </c>
      <c r="W68" s="14">
        <f>IF($A68="","",IF(OR($B68="",$F68="",$G68="",$H68="",$I68=""),"Faltam campos básicos",IF(AND(OR($F68="Ponto de atenção",$F68="Incidente"),OR($K68="",$L68="",$O68="",$P68="")),"Faltam campos de sinalização","OK")))</f>
        <v/>
      </c>
      <c r="X68" s="14">
        <f>IF($A68="","",IF(AND(OR($F68="Ponto de atenção",$F68="Incidente"),$L68&lt;&gt;"Sim"),"Não",IF(AND($S68="",$W68&lt;&gt;"OK"),"Não","Sim")))</f>
        <v/>
      </c>
      <c r="Y68" s="14">
        <f>IF($C68="",0,IF(COUNTIFS($C$5:$C68,$C68,$D$5:$D68,$D68)=1,1,0))</f>
        <v/>
      </c>
      <c r="Z68" s="14">
        <f>IF($A68="","",IF(Config!$B$7-$T68&gt;2,"Arquivada",IF(Config!$B$7-$T68&gt;0,"Histórico","Ativa")))</f>
        <v/>
      </c>
      <c r="AA68" s="14">
        <f>IF($A68="",0,IF(AND(OR($F68="Ponto de atenção",$F68="Incidente"),$L68="Sim"),1,0))</f>
        <v/>
      </c>
      <c r="AB68" s="14">
        <f>IF(OR($C68="",$C68&lt;&gt;'1a1'!$B$4,$T68&lt;&gt;Config!$B$7),"",COUNTIFS($C$5:$C68,'1a1'!$B$4,$T$5:$T68,Config!$B$7))</f>
        <v/>
      </c>
    </row>
    <row r="69">
      <c r="A69" s="18" t="n"/>
      <c r="B69" s="19" t="n"/>
      <c r="C69" s="14">
        <f>IFERROR(INDEX(Pessoas!$A$5:$A$64,MATCH($B69,Pessoas!$B$5:$B$64,0)),"")</f>
        <v/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8" t="n"/>
      <c r="N69" s="19" t="n"/>
      <c r="O69" s="19" t="n"/>
      <c r="P69" s="19" t="n"/>
      <c r="Q69" s="20">
        <f>IF(OR($M69="",$P69=""),"",$M69+IF($P69="7 dias",7,IF($P69="14 dias",14,90)))</f>
        <v/>
      </c>
      <c r="R69" s="19" t="n"/>
      <c r="S69" s="19" t="n"/>
      <c r="T69" s="14">
        <f>IF($A69="","",YEAR($A69)*4+ROUNDUP(MONTH($A69)/3,0))</f>
        <v/>
      </c>
      <c r="U69" s="14">
        <f>IF($C69="","",$C69&amp;"|"&amp;$T69)</f>
        <v/>
      </c>
      <c r="V69" s="14">
        <f>IF($C69="","",$C69&amp;"|"&amp;$T69&amp;"|"&amp;$G69)</f>
        <v/>
      </c>
      <c r="W69" s="14">
        <f>IF($A69="","",IF(OR($B69="",$F69="",$G69="",$H69="",$I69=""),"Faltam campos básicos",IF(AND(OR($F69="Ponto de atenção",$F69="Incidente"),OR($K69="",$L69="",$O69="",$P69="")),"Faltam campos de sinalização","OK")))</f>
        <v/>
      </c>
      <c r="X69" s="14">
        <f>IF($A69="","",IF(AND(OR($F69="Ponto de atenção",$F69="Incidente"),$L69&lt;&gt;"Sim"),"Não",IF(AND($S69="",$W69&lt;&gt;"OK"),"Não","Sim")))</f>
        <v/>
      </c>
      <c r="Y69" s="14">
        <f>IF($C69="",0,IF(COUNTIFS($C$5:$C69,$C69,$D$5:$D69,$D69)=1,1,0))</f>
        <v/>
      </c>
      <c r="Z69" s="14">
        <f>IF($A69="","",IF(Config!$B$7-$T69&gt;2,"Arquivada",IF(Config!$B$7-$T69&gt;0,"Histórico","Ativa")))</f>
        <v/>
      </c>
      <c r="AA69" s="14">
        <f>IF($A69="",0,IF(AND(OR($F69="Ponto de atenção",$F69="Incidente"),$L69="Sim"),1,0))</f>
        <v/>
      </c>
      <c r="AB69" s="14">
        <f>IF(OR($C69="",$C69&lt;&gt;'1a1'!$B$4,$T69&lt;&gt;Config!$B$7),"",COUNTIFS($C$5:$C69,'1a1'!$B$4,$T$5:$T69,Config!$B$7))</f>
        <v/>
      </c>
    </row>
    <row r="70">
      <c r="A70" s="18" t="n"/>
      <c r="B70" s="19" t="n"/>
      <c r="C70" s="14">
        <f>IFERROR(INDEX(Pessoas!$A$5:$A$64,MATCH($B70,Pessoas!$B$5:$B$64,0)),"")</f>
        <v/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8" t="n"/>
      <c r="N70" s="19" t="n"/>
      <c r="O70" s="19" t="n"/>
      <c r="P70" s="19" t="n"/>
      <c r="Q70" s="20">
        <f>IF(OR($M70="",$P70=""),"",$M70+IF($P70="7 dias",7,IF($P70="14 dias",14,90)))</f>
        <v/>
      </c>
      <c r="R70" s="19" t="n"/>
      <c r="S70" s="19" t="n"/>
      <c r="T70" s="14">
        <f>IF($A70="","",YEAR($A70)*4+ROUNDUP(MONTH($A70)/3,0))</f>
        <v/>
      </c>
      <c r="U70" s="14">
        <f>IF($C70="","",$C70&amp;"|"&amp;$T70)</f>
        <v/>
      </c>
      <c r="V70" s="14">
        <f>IF($C70="","",$C70&amp;"|"&amp;$T70&amp;"|"&amp;$G70)</f>
        <v/>
      </c>
      <c r="W70" s="14">
        <f>IF($A70="","",IF(OR($B70="",$F70="",$G70="",$H70="",$I70=""),"Faltam campos básicos",IF(AND(OR($F70="Ponto de atenção",$F70="Incidente"),OR($K70="",$L70="",$O70="",$P70="")),"Faltam campos de sinalização","OK")))</f>
        <v/>
      </c>
      <c r="X70" s="14">
        <f>IF($A70="","",IF(AND(OR($F70="Ponto de atenção",$F70="Incidente"),$L70&lt;&gt;"Sim"),"Não",IF(AND($S70="",$W70&lt;&gt;"OK"),"Não","Sim")))</f>
        <v/>
      </c>
      <c r="Y70" s="14">
        <f>IF($C70="",0,IF(COUNTIFS($C$5:$C70,$C70,$D$5:$D70,$D70)=1,1,0))</f>
        <v/>
      </c>
      <c r="Z70" s="14">
        <f>IF($A70="","",IF(Config!$B$7-$T70&gt;2,"Arquivada",IF(Config!$B$7-$T70&gt;0,"Histórico","Ativa")))</f>
        <v/>
      </c>
      <c r="AA70" s="14">
        <f>IF($A70="",0,IF(AND(OR($F70="Ponto de atenção",$F70="Incidente"),$L70="Sim"),1,0))</f>
        <v/>
      </c>
      <c r="AB70" s="14">
        <f>IF(OR($C70="",$C70&lt;&gt;'1a1'!$B$4,$T70&lt;&gt;Config!$B$7),"",COUNTIFS($C$5:$C70,'1a1'!$B$4,$T$5:$T70,Config!$B$7))</f>
        <v/>
      </c>
    </row>
    <row r="71">
      <c r="A71" s="18" t="n"/>
      <c r="B71" s="19" t="n"/>
      <c r="C71" s="14">
        <f>IFERROR(INDEX(Pessoas!$A$5:$A$64,MATCH($B71,Pessoas!$B$5:$B$64,0)),"")</f>
        <v/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8" t="n"/>
      <c r="N71" s="19" t="n"/>
      <c r="O71" s="19" t="n"/>
      <c r="P71" s="19" t="n"/>
      <c r="Q71" s="20">
        <f>IF(OR($M71="",$P71=""),"",$M71+IF($P71="7 dias",7,IF($P71="14 dias",14,90)))</f>
        <v/>
      </c>
      <c r="R71" s="19" t="n"/>
      <c r="S71" s="19" t="n"/>
      <c r="T71" s="14">
        <f>IF($A71="","",YEAR($A71)*4+ROUNDUP(MONTH($A71)/3,0))</f>
        <v/>
      </c>
      <c r="U71" s="14">
        <f>IF($C71="","",$C71&amp;"|"&amp;$T71)</f>
        <v/>
      </c>
      <c r="V71" s="14">
        <f>IF($C71="","",$C71&amp;"|"&amp;$T71&amp;"|"&amp;$G71)</f>
        <v/>
      </c>
      <c r="W71" s="14">
        <f>IF($A71="","",IF(OR($B71="",$F71="",$G71="",$H71="",$I71=""),"Faltam campos básicos",IF(AND(OR($F71="Ponto de atenção",$F71="Incidente"),OR($K71="",$L71="",$O71="",$P71="")),"Faltam campos de sinalização","OK")))</f>
        <v/>
      </c>
      <c r="X71" s="14">
        <f>IF($A71="","",IF(AND(OR($F71="Ponto de atenção",$F71="Incidente"),$L71&lt;&gt;"Sim"),"Não",IF(AND($S71="",$W71&lt;&gt;"OK"),"Não","Sim")))</f>
        <v/>
      </c>
      <c r="Y71" s="14">
        <f>IF($C71="",0,IF(COUNTIFS($C$5:$C71,$C71,$D$5:$D71,$D71)=1,1,0))</f>
        <v/>
      </c>
      <c r="Z71" s="14">
        <f>IF($A71="","",IF(Config!$B$7-$T71&gt;2,"Arquivada",IF(Config!$B$7-$T71&gt;0,"Histórico","Ativa")))</f>
        <v/>
      </c>
      <c r="AA71" s="14">
        <f>IF($A71="",0,IF(AND(OR($F71="Ponto de atenção",$F71="Incidente"),$L71="Sim"),1,0))</f>
        <v/>
      </c>
      <c r="AB71" s="14">
        <f>IF(OR($C71="",$C71&lt;&gt;'1a1'!$B$4,$T71&lt;&gt;Config!$B$7),"",COUNTIFS($C$5:$C71,'1a1'!$B$4,$T$5:$T71,Config!$B$7))</f>
        <v/>
      </c>
    </row>
    <row r="72">
      <c r="A72" s="18" t="n"/>
      <c r="B72" s="19" t="n"/>
      <c r="C72" s="14">
        <f>IFERROR(INDEX(Pessoas!$A$5:$A$64,MATCH($B72,Pessoas!$B$5:$B$64,0)),"")</f>
        <v/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8" t="n"/>
      <c r="N72" s="19" t="n"/>
      <c r="O72" s="19" t="n"/>
      <c r="P72" s="19" t="n"/>
      <c r="Q72" s="20">
        <f>IF(OR($M72="",$P72=""),"",$M72+IF($P72="7 dias",7,IF($P72="14 dias",14,90)))</f>
        <v/>
      </c>
      <c r="R72" s="19" t="n"/>
      <c r="S72" s="19" t="n"/>
      <c r="T72" s="14">
        <f>IF($A72="","",YEAR($A72)*4+ROUNDUP(MONTH($A72)/3,0))</f>
        <v/>
      </c>
      <c r="U72" s="14">
        <f>IF($C72="","",$C72&amp;"|"&amp;$T72)</f>
        <v/>
      </c>
      <c r="V72" s="14">
        <f>IF($C72="","",$C72&amp;"|"&amp;$T72&amp;"|"&amp;$G72)</f>
        <v/>
      </c>
      <c r="W72" s="14">
        <f>IF($A72="","",IF(OR($B72="",$F72="",$G72="",$H72="",$I72=""),"Faltam campos básicos",IF(AND(OR($F72="Ponto de atenção",$F72="Incidente"),OR($K72="",$L72="",$O72="",$P72="")),"Faltam campos de sinalização","OK")))</f>
        <v/>
      </c>
      <c r="X72" s="14">
        <f>IF($A72="","",IF(AND(OR($F72="Ponto de atenção",$F72="Incidente"),$L72&lt;&gt;"Sim"),"Não",IF(AND($S72="",$W72&lt;&gt;"OK"),"Não","Sim")))</f>
        <v/>
      </c>
      <c r="Y72" s="14">
        <f>IF($C72="",0,IF(COUNTIFS($C$5:$C72,$C72,$D$5:$D72,$D72)=1,1,0))</f>
        <v/>
      </c>
      <c r="Z72" s="14">
        <f>IF($A72="","",IF(Config!$B$7-$T72&gt;2,"Arquivada",IF(Config!$B$7-$T72&gt;0,"Histórico","Ativa")))</f>
        <v/>
      </c>
      <c r="AA72" s="14">
        <f>IF($A72="",0,IF(AND(OR($F72="Ponto de atenção",$F72="Incidente"),$L72="Sim"),1,0))</f>
        <v/>
      </c>
      <c r="AB72" s="14">
        <f>IF(OR($C72="",$C72&lt;&gt;'1a1'!$B$4,$T72&lt;&gt;Config!$B$7),"",COUNTIFS($C$5:$C72,'1a1'!$B$4,$T$5:$T72,Config!$B$7))</f>
        <v/>
      </c>
    </row>
    <row r="73">
      <c r="A73" s="18" t="n"/>
      <c r="B73" s="19" t="n"/>
      <c r="C73" s="14">
        <f>IFERROR(INDEX(Pessoas!$A$5:$A$64,MATCH($B73,Pessoas!$B$5:$B$64,0)),"")</f>
        <v/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8" t="n"/>
      <c r="N73" s="19" t="n"/>
      <c r="O73" s="19" t="n"/>
      <c r="P73" s="19" t="n"/>
      <c r="Q73" s="20">
        <f>IF(OR($M73="",$P73=""),"",$M73+IF($P73="7 dias",7,IF($P73="14 dias",14,90)))</f>
        <v/>
      </c>
      <c r="R73" s="19" t="n"/>
      <c r="S73" s="19" t="n"/>
      <c r="T73" s="14">
        <f>IF($A73="","",YEAR($A73)*4+ROUNDUP(MONTH($A73)/3,0))</f>
        <v/>
      </c>
      <c r="U73" s="14">
        <f>IF($C73="","",$C73&amp;"|"&amp;$T73)</f>
        <v/>
      </c>
      <c r="V73" s="14">
        <f>IF($C73="","",$C73&amp;"|"&amp;$T73&amp;"|"&amp;$G73)</f>
        <v/>
      </c>
      <c r="W73" s="14">
        <f>IF($A73="","",IF(OR($B73="",$F73="",$G73="",$H73="",$I73=""),"Faltam campos básicos",IF(AND(OR($F73="Ponto de atenção",$F73="Incidente"),OR($K73="",$L73="",$O73="",$P73="")),"Faltam campos de sinalização","OK")))</f>
        <v/>
      </c>
      <c r="X73" s="14">
        <f>IF($A73="","",IF(AND(OR($F73="Ponto de atenção",$F73="Incidente"),$L73&lt;&gt;"Sim"),"Não",IF(AND($S73="",$W73&lt;&gt;"OK"),"Não","Sim")))</f>
        <v/>
      </c>
      <c r="Y73" s="14">
        <f>IF($C73="",0,IF(COUNTIFS($C$5:$C73,$C73,$D$5:$D73,$D73)=1,1,0))</f>
        <v/>
      </c>
      <c r="Z73" s="14">
        <f>IF($A73="","",IF(Config!$B$7-$T73&gt;2,"Arquivada",IF(Config!$B$7-$T73&gt;0,"Histórico","Ativa")))</f>
        <v/>
      </c>
      <c r="AA73" s="14">
        <f>IF($A73="",0,IF(AND(OR($F73="Ponto de atenção",$F73="Incidente"),$L73="Sim"),1,0))</f>
        <v/>
      </c>
      <c r="AB73" s="14">
        <f>IF(OR($C73="",$C73&lt;&gt;'1a1'!$B$4,$T73&lt;&gt;Config!$B$7),"",COUNTIFS($C$5:$C73,'1a1'!$B$4,$T$5:$T73,Config!$B$7))</f>
        <v/>
      </c>
    </row>
    <row r="74">
      <c r="A74" s="18" t="n"/>
      <c r="B74" s="19" t="n"/>
      <c r="C74" s="14">
        <f>IFERROR(INDEX(Pessoas!$A$5:$A$64,MATCH($B74,Pessoas!$B$5:$B$64,0)),"")</f>
        <v/>
      </c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8" t="n"/>
      <c r="N74" s="19" t="n"/>
      <c r="O74" s="19" t="n"/>
      <c r="P74" s="19" t="n"/>
      <c r="Q74" s="20">
        <f>IF(OR($M74="",$P74=""),"",$M74+IF($P74="7 dias",7,IF($P74="14 dias",14,90)))</f>
        <v/>
      </c>
      <c r="R74" s="19" t="n"/>
      <c r="S74" s="19" t="n"/>
      <c r="T74" s="14">
        <f>IF($A74="","",YEAR($A74)*4+ROUNDUP(MONTH($A74)/3,0))</f>
        <v/>
      </c>
      <c r="U74" s="14">
        <f>IF($C74="","",$C74&amp;"|"&amp;$T74)</f>
        <v/>
      </c>
      <c r="V74" s="14">
        <f>IF($C74="","",$C74&amp;"|"&amp;$T74&amp;"|"&amp;$G74)</f>
        <v/>
      </c>
      <c r="W74" s="14">
        <f>IF($A74="","",IF(OR($B74="",$F74="",$G74="",$H74="",$I74=""),"Faltam campos básicos",IF(AND(OR($F74="Ponto de atenção",$F74="Incidente"),OR($K74="",$L74="",$O74="",$P74="")),"Faltam campos de sinalização","OK")))</f>
        <v/>
      </c>
      <c r="X74" s="14">
        <f>IF($A74="","",IF(AND(OR($F74="Ponto de atenção",$F74="Incidente"),$L74&lt;&gt;"Sim"),"Não",IF(AND($S74="",$W74&lt;&gt;"OK"),"Não","Sim")))</f>
        <v/>
      </c>
      <c r="Y74" s="14">
        <f>IF($C74="",0,IF(COUNTIFS($C$5:$C74,$C74,$D$5:$D74,$D74)=1,1,0))</f>
        <v/>
      </c>
      <c r="Z74" s="14">
        <f>IF($A74="","",IF(Config!$B$7-$T74&gt;2,"Arquivada",IF(Config!$B$7-$T74&gt;0,"Histórico","Ativa")))</f>
        <v/>
      </c>
      <c r="AA74" s="14">
        <f>IF($A74="",0,IF(AND(OR($F74="Ponto de atenção",$F74="Incidente"),$L74="Sim"),1,0))</f>
        <v/>
      </c>
      <c r="AB74" s="14">
        <f>IF(OR($C74="",$C74&lt;&gt;'1a1'!$B$4,$T74&lt;&gt;Config!$B$7),"",COUNTIFS($C$5:$C74,'1a1'!$B$4,$T$5:$T74,Config!$B$7))</f>
        <v/>
      </c>
    </row>
    <row r="75">
      <c r="A75" s="18" t="n"/>
      <c r="B75" s="19" t="n"/>
      <c r="C75" s="14">
        <f>IFERROR(INDEX(Pessoas!$A$5:$A$64,MATCH($B75,Pessoas!$B$5:$B$64,0)),"")</f>
        <v/>
      </c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8" t="n"/>
      <c r="N75" s="19" t="n"/>
      <c r="O75" s="19" t="n"/>
      <c r="P75" s="19" t="n"/>
      <c r="Q75" s="20">
        <f>IF(OR($M75="",$P75=""),"",$M75+IF($P75="7 dias",7,IF($P75="14 dias",14,90)))</f>
        <v/>
      </c>
      <c r="R75" s="19" t="n"/>
      <c r="S75" s="19" t="n"/>
      <c r="T75" s="14">
        <f>IF($A75="","",YEAR($A75)*4+ROUNDUP(MONTH($A75)/3,0))</f>
        <v/>
      </c>
      <c r="U75" s="14">
        <f>IF($C75="","",$C75&amp;"|"&amp;$T75)</f>
        <v/>
      </c>
      <c r="V75" s="14">
        <f>IF($C75="","",$C75&amp;"|"&amp;$T75&amp;"|"&amp;$G75)</f>
        <v/>
      </c>
      <c r="W75" s="14">
        <f>IF($A75="","",IF(OR($B75="",$F75="",$G75="",$H75="",$I75=""),"Faltam campos básicos",IF(AND(OR($F75="Ponto de atenção",$F75="Incidente"),OR($K75="",$L75="",$O75="",$P75="")),"Faltam campos de sinalização","OK")))</f>
        <v/>
      </c>
      <c r="X75" s="14">
        <f>IF($A75="","",IF(AND(OR($F75="Ponto de atenção",$F75="Incidente"),$L75&lt;&gt;"Sim"),"Não",IF(AND($S75="",$W75&lt;&gt;"OK"),"Não","Sim")))</f>
        <v/>
      </c>
      <c r="Y75" s="14">
        <f>IF($C75="",0,IF(COUNTIFS($C$5:$C75,$C75,$D$5:$D75,$D75)=1,1,0))</f>
        <v/>
      </c>
      <c r="Z75" s="14">
        <f>IF($A75="","",IF(Config!$B$7-$T75&gt;2,"Arquivada",IF(Config!$B$7-$T75&gt;0,"Histórico","Ativa")))</f>
        <v/>
      </c>
      <c r="AA75" s="14">
        <f>IF($A75="",0,IF(AND(OR($F75="Ponto de atenção",$F75="Incidente"),$L75="Sim"),1,0))</f>
        <v/>
      </c>
      <c r="AB75" s="14">
        <f>IF(OR($C75="",$C75&lt;&gt;'1a1'!$B$4,$T75&lt;&gt;Config!$B$7),"",COUNTIFS($C$5:$C75,'1a1'!$B$4,$T$5:$T75,Config!$B$7))</f>
        <v/>
      </c>
    </row>
    <row r="76">
      <c r="A76" s="18" t="n"/>
      <c r="B76" s="19" t="n"/>
      <c r="C76" s="14">
        <f>IFERROR(INDEX(Pessoas!$A$5:$A$64,MATCH($B76,Pessoas!$B$5:$B$64,0)),"")</f>
        <v/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8" t="n"/>
      <c r="N76" s="19" t="n"/>
      <c r="O76" s="19" t="n"/>
      <c r="P76" s="19" t="n"/>
      <c r="Q76" s="20">
        <f>IF(OR($M76="",$P76=""),"",$M76+IF($P76="7 dias",7,IF($P76="14 dias",14,90)))</f>
        <v/>
      </c>
      <c r="R76" s="19" t="n"/>
      <c r="S76" s="19" t="n"/>
      <c r="T76" s="14">
        <f>IF($A76="","",YEAR($A76)*4+ROUNDUP(MONTH($A76)/3,0))</f>
        <v/>
      </c>
      <c r="U76" s="14">
        <f>IF($C76="","",$C76&amp;"|"&amp;$T76)</f>
        <v/>
      </c>
      <c r="V76" s="14">
        <f>IF($C76="","",$C76&amp;"|"&amp;$T76&amp;"|"&amp;$G76)</f>
        <v/>
      </c>
      <c r="W76" s="14">
        <f>IF($A76="","",IF(OR($B76="",$F76="",$G76="",$H76="",$I76=""),"Faltam campos básicos",IF(AND(OR($F76="Ponto de atenção",$F76="Incidente"),OR($K76="",$L76="",$O76="",$P76="")),"Faltam campos de sinalização","OK")))</f>
        <v/>
      </c>
      <c r="X76" s="14">
        <f>IF($A76="","",IF(AND(OR($F76="Ponto de atenção",$F76="Incidente"),$L76&lt;&gt;"Sim"),"Não",IF(AND($S76="",$W76&lt;&gt;"OK"),"Não","Sim")))</f>
        <v/>
      </c>
      <c r="Y76" s="14">
        <f>IF($C76="",0,IF(COUNTIFS($C$5:$C76,$C76,$D$5:$D76,$D76)=1,1,0))</f>
        <v/>
      </c>
      <c r="Z76" s="14">
        <f>IF($A76="","",IF(Config!$B$7-$T76&gt;2,"Arquivada",IF(Config!$B$7-$T76&gt;0,"Histórico","Ativa")))</f>
        <v/>
      </c>
      <c r="AA76" s="14">
        <f>IF($A76="",0,IF(AND(OR($F76="Ponto de atenção",$F76="Incidente"),$L76="Sim"),1,0))</f>
        <v/>
      </c>
      <c r="AB76" s="14">
        <f>IF(OR($C76="",$C76&lt;&gt;'1a1'!$B$4,$T76&lt;&gt;Config!$B$7),"",COUNTIFS($C$5:$C76,'1a1'!$B$4,$T$5:$T76,Config!$B$7))</f>
        <v/>
      </c>
    </row>
    <row r="77">
      <c r="A77" s="18" t="n"/>
      <c r="B77" s="19" t="n"/>
      <c r="C77" s="14">
        <f>IFERROR(INDEX(Pessoas!$A$5:$A$64,MATCH($B77,Pessoas!$B$5:$B$64,0)),"")</f>
        <v/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8" t="n"/>
      <c r="N77" s="19" t="n"/>
      <c r="O77" s="19" t="n"/>
      <c r="P77" s="19" t="n"/>
      <c r="Q77" s="20">
        <f>IF(OR($M77="",$P77=""),"",$M77+IF($P77="7 dias",7,IF($P77="14 dias",14,90)))</f>
        <v/>
      </c>
      <c r="R77" s="19" t="n"/>
      <c r="S77" s="19" t="n"/>
      <c r="T77" s="14">
        <f>IF($A77="","",YEAR($A77)*4+ROUNDUP(MONTH($A77)/3,0))</f>
        <v/>
      </c>
      <c r="U77" s="14">
        <f>IF($C77="","",$C77&amp;"|"&amp;$T77)</f>
        <v/>
      </c>
      <c r="V77" s="14">
        <f>IF($C77="","",$C77&amp;"|"&amp;$T77&amp;"|"&amp;$G77)</f>
        <v/>
      </c>
      <c r="W77" s="14">
        <f>IF($A77="","",IF(OR($B77="",$F77="",$G77="",$H77="",$I77=""),"Faltam campos básicos",IF(AND(OR($F77="Ponto de atenção",$F77="Incidente"),OR($K77="",$L77="",$O77="",$P77="")),"Faltam campos de sinalização","OK")))</f>
        <v/>
      </c>
      <c r="X77" s="14">
        <f>IF($A77="","",IF(AND(OR($F77="Ponto de atenção",$F77="Incidente"),$L77&lt;&gt;"Sim"),"Não",IF(AND($S77="",$W77&lt;&gt;"OK"),"Não","Sim")))</f>
        <v/>
      </c>
      <c r="Y77" s="14">
        <f>IF($C77="",0,IF(COUNTIFS($C$5:$C77,$C77,$D$5:$D77,$D77)=1,1,0))</f>
        <v/>
      </c>
      <c r="Z77" s="14">
        <f>IF($A77="","",IF(Config!$B$7-$T77&gt;2,"Arquivada",IF(Config!$B$7-$T77&gt;0,"Histórico","Ativa")))</f>
        <v/>
      </c>
      <c r="AA77" s="14">
        <f>IF($A77="",0,IF(AND(OR($F77="Ponto de atenção",$F77="Incidente"),$L77="Sim"),1,0))</f>
        <v/>
      </c>
      <c r="AB77" s="14">
        <f>IF(OR($C77="",$C77&lt;&gt;'1a1'!$B$4,$T77&lt;&gt;Config!$B$7),"",COUNTIFS($C$5:$C77,'1a1'!$B$4,$T$5:$T77,Config!$B$7))</f>
        <v/>
      </c>
    </row>
    <row r="78">
      <c r="A78" s="18" t="n"/>
      <c r="B78" s="19" t="n"/>
      <c r="C78" s="14">
        <f>IFERROR(INDEX(Pessoas!$A$5:$A$64,MATCH($B78,Pessoas!$B$5:$B$64,0)),"")</f>
        <v/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8" t="n"/>
      <c r="N78" s="19" t="n"/>
      <c r="O78" s="19" t="n"/>
      <c r="P78" s="19" t="n"/>
      <c r="Q78" s="20">
        <f>IF(OR($M78="",$P78=""),"",$M78+IF($P78="7 dias",7,IF($P78="14 dias",14,90)))</f>
        <v/>
      </c>
      <c r="R78" s="19" t="n"/>
      <c r="S78" s="19" t="n"/>
      <c r="T78" s="14">
        <f>IF($A78="","",YEAR($A78)*4+ROUNDUP(MONTH($A78)/3,0))</f>
        <v/>
      </c>
      <c r="U78" s="14">
        <f>IF($C78="","",$C78&amp;"|"&amp;$T78)</f>
        <v/>
      </c>
      <c r="V78" s="14">
        <f>IF($C78="","",$C78&amp;"|"&amp;$T78&amp;"|"&amp;$G78)</f>
        <v/>
      </c>
      <c r="W78" s="14">
        <f>IF($A78="","",IF(OR($B78="",$F78="",$G78="",$H78="",$I78=""),"Faltam campos básicos",IF(AND(OR($F78="Ponto de atenção",$F78="Incidente"),OR($K78="",$L78="",$O78="",$P78="")),"Faltam campos de sinalização","OK")))</f>
        <v/>
      </c>
      <c r="X78" s="14">
        <f>IF($A78="","",IF(AND(OR($F78="Ponto de atenção",$F78="Incidente"),$L78&lt;&gt;"Sim"),"Não",IF(AND($S78="",$W78&lt;&gt;"OK"),"Não","Sim")))</f>
        <v/>
      </c>
      <c r="Y78" s="14">
        <f>IF($C78="",0,IF(COUNTIFS($C$5:$C78,$C78,$D$5:$D78,$D78)=1,1,0))</f>
        <v/>
      </c>
      <c r="Z78" s="14">
        <f>IF($A78="","",IF(Config!$B$7-$T78&gt;2,"Arquivada",IF(Config!$B$7-$T78&gt;0,"Histórico","Ativa")))</f>
        <v/>
      </c>
      <c r="AA78" s="14">
        <f>IF($A78="",0,IF(AND(OR($F78="Ponto de atenção",$F78="Incidente"),$L78="Sim"),1,0))</f>
        <v/>
      </c>
      <c r="AB78" s="14">
        <f>IF(OR($C78="",$C78&lt;&gt;'1a1'!$B$4,$T78&lt;&gt;Config!$B$7),"",COUNTIFS($C$5:$C78,'1a1'!$B$4,$T$5:$T78,Config!$B$7))</f>
        <v/>
      </c>
    </row>
    <row r="79">
      <c r="A79" s="18" t="n"/>
      <c r="B79" s="19" t="n"/>
      <c r="C79" s="14">
        <f>IFERROR(INDEX(Pessoas!$A$5:$A$64,MATCH($B79,Pessoas!$B$5:$B$64,0)),"")</f>
        <v/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8" t="n"/>
      <c r="N79" s="19" t="n"/>
      <c r="O79" s="19" t="n"/>
      <c r="P79" s="19" t="n"/>
      <c r="Q79" s="20">
        <f>IF(OR($M79="",$P79=""),"",$M79+IF($P79="7 dias",7,IF($P79="14 dias",14,90)))</f>
        <v/>
      </c>
      <c r="R79" s="19" t="n"/>
      <c r="S79" s="19" t="n"/>
      <c r="T79" s="14">
        <f>IF($A79="","",YEAR($A79)*4+ROUNDUP(MONTH($A79)/3,0))</f>
        <v/>
      </c>
      <c r="U79" s="14">
        <f>IF($C79="","",$C79&amp;"|"&amp;$T79)</f>
        <v/>
      </c>
      <c r="V79" s="14">
        <f>IF($C79="","",$C79&amp;"|"&amp;$T79&amp;"|"&amp;$G79)</f>
        <v/>
      </c>
      <c r="W79" s="14">
        <f>IF($A79="","",IF(OR($B79="",$F79="",$G79="",$H79="",$I79=""),"Faltam campos básicos",IF(AND(OR($F79="Ponto de atenção",$F79="Incidente"),OR($K79="",$L79="",$O79="",$P79="")),"Faltam campos de sinalização","OK")))</f>
        <v/>
      </c>
      <c r="X79" s="14">
        <f>IF($A79="","",IF(AND(OR($F79="Ponto de atenção",$F79="Incidente"),$L79&lt;&gt;"Sim"),"Não",IF(AND($S79="",$W79&lt;&gt;"OK"),"Não","Sim")))</f>
        <v/>
      </c>
      <c r="Y79" s="14">
        <f>IF($C79="",0,IF(COUNTIFS($C$5:$C79,$C79,$D$5:$D79,$D79)=1,1,0))</f>
        <v/>
      </c>
      <c r="Z79" s="14">
        <f>IF($A79="","",IF(Config!$B$7-$T79&gt;2,"Arquivada",IF(Config!$B$7-$T79&gt;0,"Histórico","Ativa")))</f>
        <v/>
      </c>
      <c r="AA79" s="14">
        <f>IF($A79="",0,IF(AND(OR($F79="Ponto de atenção",$F79="Incidente"),$L79="Sim"),1,0))</f>
        <v/>
      </c>
      <c r="AB79" s="14">
        <f>IF(OR($C79="",$C79&lt;&gt;'1a1'!$B$4,$T79&lt;&gt;Config!$B$7),"",COUNTIFS($C$5:$C79,'1a1'!$B$4,$T$5:$T79,Config!$B$7))</f>
        <v/>
      </c>
    </row>
    <row r="80">
      <c r="A80" s="18" t="n"/>
      <c r="B80" s="19" t="n"/>
      <c r="C80" s="14">
        <f>IFERROR(INDEX(Pessoas!$A$5:$A$64,MATCH($B80,Pessoas!$B$5:$B$64,0)),"")</f>
        <v/>
      </c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8" t="n"/>
      <c r="N80" s="19" t="n"/>
      <c r="O80" s="19" t="n"/>
      <c r="P80" s="19" t="n"/>
      <c r="Q80" s="20">
        <f>IF(OR($M80="",$P80=""),"",$M80+IF($P80="7 dias",7,IF($P80="14 dias",14,90)))</f>
        <v/>
      </c>
      <c r="R80" s="19" t="n"/>
      <c r="S80" s="19" t="n"/>
      <c r="T80" s="14">
        <f>IF($A80="","",YEAR($A80)*4+ROUNDUP(MONTH($A80)/3,0))</f>
        <v/>
      </c>
      <c r="U80" s="14">
        <f>IF($C80="","",$C80&amp;"|"&amp;$T80)</f>
        <v/>
      </c>
      <c r="V80" s="14">
        <f>IF($C80="","",$C80&amp;"|"&amp;$T80&amp;"|"&amp;$G80)</f>
        <v/>
      </c>
      <c r="W80" s="14">
        <f>IF($A80="","",IF(OR($B80="",$F80="",$G80="",$H80="",$I80=""),"Faltam campos básicos",IF(AND(OR($F80="Ponto de atenção",$F80="Incidente"),OR($K80="",$L80="",$O80="",$P80="")),"Faltam campos de sinalização","OK")))</f>
        <v/>
      </c>
      <c r="X80" s="14">
        <f>IF($A80="","",IF(AND(OR($F80="Ponto de atenção",$F80="Incidente"),$L80&lt;&gt;"Sim"),"Não",IF(AND($S80="",$W80&lt;&gt;"OK"),"Não","Sim")))</f>
        <v/>
      </c>
      <c r="Y80" s="14">
        <f>IF($C80="",0,IF(COUNTIFS($C$5:$C80,$C80,$D$5:$D80,$D80)=1,1,0))</f>
        <v/>
      </c>
      <c r="Z80" s="14">
        <f>IF($A80="","",IF(Config!$B$7-$T80&gt;2,"Arquivada",IF(Config!$B$7-$T80&gt;0,"Histórico","Ativa")))</f>
        <v/>
      </c>
      <c r="AA80" s="14">
        <f>IF($A80="",0,IF(AND(OR($F80="Ponto de atenção",$F80="Incidente"),$L80="Sim"),1,0))</f>
        <v/>
      </c>
      <c r="AB80" s="14">
        <f>IF(OR($C80="",$C80&lt;&gt;'1a1'!$B$4,$T80&lt;&gt;Config!$B$7),"",COUNTIFS($C$5:$C80,'1a1'!$B$4,$T$5:$T80,Config!$B$7))</f>
        <v/>
      </c>
    </row>
    <row r="81">
      <c r="A81" s="18" t="n"/>
      <c r="B81" s="19" t="n"/>
      <c r="C81" s="14">
        <f>IFERROR(INDEX(Pessoas!$A$5:$A$64,MATCH($B81,Pessoas!$B$5:$B$64,0)),"")</f>
        <v/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8" t="n"/>
      <c r="N81" s="19" t="n"/>
      <c r="O81" s="19" t="n"/>
      <c r="P81" s="19" t="n"/>
      <c r="Q81" s="20">
        <f>IF(OR($M81="",$P81=""),"",$M81+IF($P81="7 dias",7,IF($P81="14 dias",14,90)))</f>
        <v/>
      </c>
      <c r="R81" s="19" t="n"/>
      <c r="S81" s="19" t="n"/>
      <c r="T81" s="14">
        <f>IF($A81="","",YEAR($A81)*4+ROUNDUP(MONTH($A81)/3,0))</f>
        <v/>
      </c>
      <c r="U81" s="14">
        <f>IF($C81="","",$C81&amp;"|"&amp;$T81)</f>
        <v/>
      </c>
      <c r="V81" s="14">
        <f>IF($C81="","",$C81&amp;"|"&amp;$T81&amp;"|"&amp;$G81)</f>
        <v/>
      </c>
      <c r="W81" s="14">
        <f>IF($A81="","",IF(OR($B81="",$F81="",$G81="",$H81="",$I81=""),"Faltam campos básicos",IF(AND(OR($F81="Ponto de atenção",$F81="Incidente"),OR($K81="",$L81="",$O81="",$P81="")),"Faltam campos de sinalização","OK")))</f>
        <v/>
      </c>
      <c r="X81" s="14">
        <f>IF($A81="","",IF(AND(OR($F81="Ponto de atenção",$F81="Incidente"),$L81&lt;&gt;"Sim"),"Não",IF(AND($S81="",$W81&lt;&gt;"OK"),"Não","Sim")))</f>
        <v/>
      </c>
      <c r="Y81" s="14">
        <f>IF($C81="",0,IF(COUNTIFS($C$5:$C81,$C81,$D$5:$D81,$D81)=1,1,0))</f>
        <v/>
      </c>
      <c r="Z81" s="14">
        <f>IF($A81="","",IF(Config!$B$7-$T81&gt;2,"Arquivada",IF(Config!$B$7-$T81&gt;0,"Histórico","Ativa")))</f>
        <v/>
      </c>
      <c r="AA81" s="14">
        <f>IF($A81="",0,IF(AND(OR($F81="Ponto de atenção",$F81="Incidente"),$L81="Sim"),1,0))</f>
        <v/>
      </c>
      <c r="AB81" s="14">
        <f>IF(OR($C81="",$C81&lt;&gt;'1a1'!$B$4,$T81&lt;&gt;Config!$B$7),"",COUNTIFS($C$5:$C81,'1a1'!$B$4,$T$5:$T81,Config!$B$7))</f>
        <v/>
      </c>
    </row>
    <row r="82">
      <c r="A82" s="18" t="n"/>
      <c r="B82" s="19" t="n"/>
      <c r="C82" s="14">
        <f>IFERROR(INDEX(Pessoas!$A$5:$A$64,MATCH($B82,Pessoas!$B$5:$B$64,0)),"")</f>
        <v/>
      </c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8" t="n"/>
      <c r="N82" s="19" t="n"/>
      <c r="O82" s="19" t="n"/>
      <c r="P82" s="19" t="n"/>
      <c r="Q82" s="20">
        <f>IF(OR($M82="",$P82=""),"",$M82+IF($P82="7 dias",7,IF($P82="14 dias",14,90)))</f>
        <v/>
      </c>
      <c r="R82" s="19" t="n"/>
      <c r="S82" s="19" t="n"/>
      <c r="T82" s="14">
        <f>IF($A82="","",YEAR($A82)*4+ROUNDUP(MONTH($A82)/3,0))</f>
        <v/>
      </c>
      <c r="U82" s="14">
        <f>IF($C82="","",$C82&amp;"|"&amp;$T82)</f>
        <v/>
      </c>
      <c r="V82" s="14">
        <f>IF($C82="","",$C82&amp;"|"&amp;$T82&amp;"|"&amp;$G82)</f>
        <v/>
      </c>
      <c r="W82" s="14">
        <f>IF($A82="","",IF(OR($B82="",$F82="",$G82="",$H82="",$I82=""),"Faltam campos básicos",IF(AND(OR($F82="Ponto de atenção",$F82="Incidente"),OR($K82="",$L82="",$O82="",$P82="")),"Faltam campos de sinalização","OK")))</f>
        <v/>
      </c>
      <c r="X82" s="14">
        <f>IF($A82="","",IF(AND(OR($F82="Ponto de atenção",$F82="Incidente"),$L82&lt;&gt;"Sim"),"Não",IF(AND($S82="",$W82&lt;&gt;"OK"),"Não","Sim")))</f>
        <v/>
      </c>
      <c r="Y82" s="14">
        <f>IF($C82="",0,IF(COUNTIFS($C$5:$C82,$C82,$D$5:$D82,$D82)=1,1,0))</f>
        <v/>
      </c>
      <c r="Z82" s="14">
        <f>IF($A82="","",IF(Config!$B$7-$T82&gt;2,"Arquivada",IF(Config!$B$7-$T82&gt;0,"Histórico","Ativa")))</f>
        <v/>
      </c>
      <c r="AA82" s="14">
        <f>IF($A82="",0,IF(AND(OR($F82="Ponto de atenção",$F82="Incidente"),$L82="Sim"),1,0))</f>
        <v/>
      </c>
      <c r="AB82" s="14">
        <f>IF(OR($C82="",$C82&lt;&gt;'1a1'!$B$4,$T82&lt;&gt;Config!$B$7),"",COUNTIFS($C$5:$C82,'1a1'!$B$4,$T$5:$T82,Config!$B$7))</f>
        <v/>
      </c>
    </row>
    <row r="83">
      <c r="A83" s="18" t="n"/>
      <c r="B83" s="19" t="n"/>
      <c r="C83" s="14">
        <f>IFERROR(INDEX(Pessoas!$A$5:$A$64,MATCH($B83,Pessoas!$B$5:$B$64,0)),"")</f>
        <v/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8" t="n"/>
      <c r="N83" s="19" t="n"/>
      <c r="O83" s="19" t="n"/>
      <c r="P83" s="19" t="n"/>
      <c r="Q83" s="20">
        <f>IF(OR($M83="",$P83=""),"",$M83+IF($P83="7 dias",7,IF($P83="14 dias",14,90)))</f>
        <v/>
      </c>
      <c r="R83" s="19" t="n"/>
      <c r="S83" s="19" t="n"/>
      <c r="T83" s="14">
        <f>IF($A83="","",YEAR($A83)*4+ROUNDUP(MONTH($A83)/3,0))</f>
        <v/>
      </c>
      <c r="U83" s="14">
        <f>IF($C83="","",$C83&amp;"|"&amp;$T83)</f>
        <v/>
      </c>
      <c r="V83" s="14">
        <f>IF($C83="","",$C83&amp;"|"&amp;$T83&amp;"|"&amp;$G83)</f>
        <v/>
      </c>
      <c r="W83" s="14">
        <f>IF($A83="","",IF(OR($B83="",$F83="",$G83="",$H83="",$I83=""),"Faltam campos básicos",IF(AND(OR($F83="Ponto de atenção",$F83="Incidente"),OR($K83="",$L83="",$O83="",$P83="")),"Faltam campos de sinalização","OK")))</f>
        <v/>
      </c>
      <c r="X83" s="14">
        <f>IF($A83="","",IF(AND(OR($F83="Ponto de atenção",$F83="Incidente"),$L83&lt;&gt;"Sim"),"Não",IF(AND($S83="",$W83&lt;&gt;"OK"),"Não","Sim")))</f>
        <v/>
      </c>
      <c r="Y83" s="14">
        <f>IF($C83="",0,IF(COUNTIFS($C$5:$C83,$C83,$D$5:$D83,$D83)=1,1,0))</f>
        <v/>
      </c>
      <c r="Z83" s="14">
        <f>IF($A83="","",IF(Config!$B$7-$T83&gt;2,"Arquivada",IF(Config!$B$7-$T83&gt;0,"Histórico","Ativa")))</f>
        <v/>
      </c>
      <c r="AA83" s="14">
        <f>IF($A83="",0,IF(AND(OR($F83="Ponto de atenção",$F83="Incidente"),$L83="Sim"),1,0))</f>
        <v/>
      </c>
      <c r="AB83" s="14">
        <f>IF(OR($C83="",$C83&lt;&gt;'1a1'!$B$4,$T83&lt;&gt;Config!$B$7),"",COUNTIFS($C$5:$C83,'1a1'!$B$4,$T$5:$T83,Config!$B$7))</f>
        <v/>
      </c>
    </row>
    <row r="84">
      <c r="A84" s="18" t="n"/>
      <c r="B84" s="19" t="n"/>
      <c r="C84" s="14">
        <f>IFERROR(INDEX(Pessoas!$A$5:$A$64,MATCH($B84,Pessoas!$B$5:$B$64,0)),"")</f>
        <v/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8" t="n"/>
      <c r="N84" s="19" t="n"/>
      <c r="O84" s="19" t="n"/>
      <c r="P84" s="19" t="n"/>
      <c r="Q84" s="20">
        <f>IF(OR($M84="",$P84=""),"",$M84+IF($P84="7 dias",7,IF($P84="14 dias",14,90)))</f>
        <v/>
      </c>
      <c r="R84" s="19" t="n"/>
      <c r="S84" s="19" t="n"/>
      <c r="T84" s="14">
        <f>IF($A84="","",YEAR($A84)*4+ROUNDUP(MONTH($A84)/3,0))</f>
        <v/>
      </c>
      <c r="U84" s="14">
        <f>IF($C84="","",$C84&amp;"|"&amp;$T84)</f>
        <v/>
      </c>
      <c r="V84" s="14">
        <f>IF($C84="","",$C84&amp;"|"&amp;$T84&amp;"|"&amp;$G84)</f>
        <v/>
      </c>
      <c r="W84" s="14">
        <f>IF($A84="","",IF(OR($B84="",$F84="",$G84="",$H84="",$I84=""),"Faltam campos básicos",IF(AND(OR($F84="Ponto de atenção",$F84="Incidente"),OR($K84="",$L84="",$O84="",$P84="")),"Faltam campos de sinalização","OK")))</f>
        <v/>
      </c>
      <c r="X84" s="14">
        <f>IF($A84="","",IF(AND(OR($F84="Ponto de atenção",$F84="Incidente"),$L84&lt;&gt;"Sim"),"Não",IF(AND($S84="",$W84&lt;&gt;"OK"),"Não","Sim")))</f>
        <v/>
      </c>
      <c r="Y84" s="14">
        <f>IF($C84="",0,IF(COUNTIFS($C$5:$C84,$C84,$D$5:$D84,$D84)=1,1,0))</f>
        <v/>
      </c>
      <c r="Z84" s="14">
        <f>IF($A84="","",IF(Config!$B$7-$T84&gt;2,"Arquivada",IF(Config!$B$7-$T84&gt;0,"Histórico","Ativa")))</f>
        <v/>
      </c>
      <c r="AA84" s="14">
        <f>IF($A84="",0,IF(AND(OR($F84="Ponto de atenção",$F84="Incidente"),$L84="Sim"),1,0))</f>
        <v/>
      </c>
      <c r="AB84" s="14">
        <f>IF(OR($C84="",$C84&lt;&gt;'1a1'!$B$4,$T84&lt;&gt;Config!$B$7),"",COUNTIFS($C$5:$C84,'1a1'!$B$4,$T$5:$T84,Config!$B$7))</f>
        <v/>
      </c>
    </row>
    <row r="85">
      <c r="A85" s="18" t="n"/>
      <c r="B85" s="19" t="n"/>
      <c r="C85" s="14">
        <f>IFERROR(INDEX(Pessoas!$A$5:$A$64,MATCH($B85,Pessoas!$B$5:$B$64,0)),"")</f>
        <v/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8" t="n"/>
      <c r="N85" s="19" t="n"/>
      <c r="O85" s="19" t="n"/>
      <c r="P85" s="19" t="n"/>
      <c r="Q85" s="20">
        <f>IF(OR($M85="",$P85=""),"",$M85+IF($P85="7 dias",7,IF($P85="14 dias",14,90)))</f>
        <v/>
      </c>
      <c r="R85" s="19" t="n"/>
      <c r="S85" s="19" t="n"/>
      <c r="T85" s="14">
        <f>IF($A85="","",YEAR($A85)*4+ROUNDUP(MONTH($A85)/3,0))</f>
        <v/>
      </c>
      <c r="U85" s="14">
        <f>IF($C85="","",$C85&amp;"|"&amp;$T85)</f>
        <v/>
      </c>
      <c r="V85" s="14">
        <f>IF($C85="","",$C85&amp;"|"&amp;$T85&amp;"|"&amp;$G85)</f>
        <v/>
      </c>
      <c r="W85" s="14">
        <f>IF($A85="","",IF(OR($B85="",$F85="",$G85="",$H85="",$I85=""),"Faltam campos básicos",IF(AND(OR($F85="Ponto de atenção",$F85="Incidente"),OR($K85="",$L85="",$O85="",$P85="")),"Faltam campos de sinalização","OK")))</f>
        <v/>
      </c>
      <c r="X85" s="14">
        <f>IF($A85="","",IF(AND(OR($F85="Ponto de atenção",$F85="Incidente"),$L85&lt;&gt;"Sim"),"Não",IF(AND($S85="",$W85&lt;&gt;"OK"),"Não","Sim")))</f>
        <v/>
      </c>
      <c r="Y85" s="14">
        <f>IF($C85="",0,IF(COUNTIFS($C$5:$C85,$C85,$D$5:$D85,$D85)=1,1,0))</f>
        <v/>
      </c>
      <c r="Z85" s="14">
        <f>IF($A85="","",IF(Config!$B$7-$T85&gt;2,"Arquivada",IF(Config!$B$7-$T85&gt;0,"Histórico","Ativa")))</f>
        <v/>
      </c>
      <c r="AA85" s="14">
        <f>IF($A85="",0,IF(AND(OR($F85="Ponto de atenção",$F85="Incidente"),$L85="Sim"),1,0))</f>
        <v/>
      </c>
      <c r="AB85" s="14">
        <f>IF(OR($C85="",$C85&lt;&gt;'1a1'!$B$4,$T85&lt;&gt;Config!$B$7),"",COUNTIFS($C$5:$C85,'1a1'!$B$4,$T$5:$T85,Config!$B$7))</f>
        <v/>
      </c>
    </row>
    <row r="86">
      <c r="A86" s="18" t="n"/>
      <c r="B86" s="19" t="n"/>
      <c r="C86" s="14">
        <f>IFERROR(INDEX(Pessoas!$A$5:$A$64,MATCH($B86,Pessoas!$B$5:$B$64,0)),"")</f>
        <v/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8" t="n"/>
      <c r="N86" s="19" t="n"/>
      <c r="O86" s="19" t="n"/>
      <c r="P86" s="19" t="n"/>
      <c r="Q86" s="20">
        <f>IF(OR($M86="",$P86=""),"",$M86+IF($P86="7 dias",7,IF($P86="14 dias",14,90)))</f>
        <v/>
      </c>
      <c r="R86" s="19" t="n"/>
      <c r="S86" s="19" t="n"/>
      <c r="T86" s="14">
        <f>IF($A86="","",YEAR($A86)*4+ROUNDUP(MONTH($A86)/3,0))</f>
        <v/>
      </c>
      <c r="U86" s="14">
        <f>IF($C86="","",$C86&amp;"|"&amp;$T86)</f>
        <v/>
      </c>
      <c r="V86" s="14">
        <f>IF($C86="","",$C86&amp;"|"&amp;$T86&amp;"|"&amp;$G86)</f>
        <v/>
      </c>
      <c r="W86" s="14">
        <f>IF($A86="","",IF(OR($B86="",$F86="",$G86="",$H86="",$I86=""),"Faltam campos básicos",IF(AND(OR($F86="Ponto de atenção",$F86="Incidente"),OR($K86="",$L86="",$O86="",$P86="")),"Faltam campos de sinalização","OK")))</f>
        <v/>
      </c>
      <c r="X86" s="14">
        <f>IF($A86="","",IF(AND(OR($F86="Ponto de atenção",$F86="Incidente"),$L86&lt;&gt;"Sim"),"Não",IF(AND($S86="",$W86&lt;&gt;"OK"),"Não","Sim")))</f>
        <v/>
      </c>
      <c r="Y86" s="14">
        <f>IF($C86="",0,IF(COUNTIFS($C$5:$C86,$C86,$D$5:$D86,$D86)=1,1,0))</f>
        <v/>
      </c>
      <c r="Z86" s="14">
        <f>IF($A86="","",IF(Config!$B$7-$T86&gt;2,"Arquivada",IF(Config!$B$7-$T86&gt;0,"Histórico","Ativa")))</f>
        <v/>
      </c>
      <c r="AA86" s="14">
        <f>IF($A86="",0,IF(AND(OR($F86="Ponto de atenção",$F86="Incidente"),$L86="Sim"),1,0))</f>
        <v/>
      </c>
      <c r="AB86" s="14">
        <f>IF(OR($C86="",$C86&lt;&gt;'1a1'!$B$4,$T86&lt;&gt;Config!$B$7),"",COUNTIFS($C$5:$C86,'1a1'!$B$4,$T$5:$T86,Config!$B$7))</f>
        <v/>
      </c>
    </row>
    <row r="87">
      <c r="A87" s="18" t="n"/>
      <c r="B87" s="19" t="n"/>
      <c r="C87" s="14">
        <f>IFERROR(INDEX(Pessoas!$A$5:$A$64,MATCH($B87,Pessoas!$B$5:$B$64,0)),"")</f>
        <v/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8" t="n"/>
      <c r="N87" s="19" t="n"/>
      <c r="O87" s="19" t="n"/>
      <c r="P87" s="19" t="n"/>
      <c r="Q87" s="20">
        <f>IF(OR($M87="",$P87=""),"",$M87+IF($P87="7 dias",7,IF($P87="14 dias",14,90)))</f>
        <v/>
      </c>
      <c r="R87" s="19" t="n"/>
      <c r="S87" s="19" t="n"/>
      <c r="T87" s="14">
        <f>IF($A87="","",YEAR($A87)*4+ROUNDUP(MONTH($A87)/3,0))</f>
        <v/>
      </c>
      <c r="U87" s="14">
        <f>IF($C87="","",$C87&amp;"|"&amp;$T87)</f>
        <v/>
      </c>
      <c r="V87" s="14">
        <f>IF($C87="","",$C87&amp;"|"&amp;$T87&amp;"|"&amp;$G87)</f>
        <v/>
      </c>
      <c r="W87" s="14">
        <f>IF($A87="","",IF(OR($B87="",$F87="",$G87="",$H87="",$I87=""),"Faltam campos básicos",IF(AND(OR($F87="Ponto de atenção",$F87="Incidente"),OR($K87="",$L87="",$O87="",$P87="")),"Faltam campos de sinalização","OK")))</f>
        <v/>
      </c>
      <c r="X87" s="14">
        <f>IF($A87="","",IF(AND(OR($F87="Ponto de atenção",$F87="Incidente"),$L87&lt;&gt;"Sim"),"Não",IF(AND($S87="",$W87&lt;&gt;"OK"),"Não","Sim")))</f>
        <v/>
      </c>
      <c r="Y87" s="14">
        <f>IF($C87="",0,IF(COUNTIFS($C$5:$C87,$C87,$D$5:$D87,$D87)=1,1,0))</f>
        <v/>
      </c>
      <c r="Z87" s="14">
        <f>IF($A87="","",IF(Config!$B$7-$T87&gt;2,"Arquivada",IF(Config!$B$7-$T87&gt;0,"Histórico","Ativa")))</f>
        <v/>
      </c>
      <c r="AA87" s="14">
        <f>IF($A87="",0,IF(AND(OR($F87="Ponto de atenção",$F87="Incidente"),$L87="Sim"),1,0))</f>
        <v/>
      </c>
      <c r="AB87" s="14">
        <f>IF(OR($C87="",$C87&lt;&gt;'1a1'!$B$4,$T87&lt;&gt;Config!$B$7),"",COUNTIFS($C$5:$C87,'1a1'!$B$4,$T$5:$T87,Config!$B$7))</f>
        <v/>
      </c>
    </row>
    <row r="88">
      <c r="A88" s="18" t="n"/>
      <c r="B88" s="19" t="n"/>
      <c r="C88" s="14">
        <f>IFERROR(INDEX(Pessoas!$A$5:$A$64,MATCH($B88,Pessoas!$B$5:$B$64,0)),"")</f>
        <v/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8" t="n"/>
      <c r="N88" s="19" t="n"/>
      <c r="O88" s="19" t="n"/>
      <c r="P88" s="19" t="n"/>
      <c r="Q88" s="20">
        <f>IF(OR($M88="",$P88=""),"",$M88+IF($P88="7 dias",7,IF($P88="14 dias",14,90)))</f>
        <v/>
      </c>
      <c r="R88" s="19" t="n"/>
      <c r="S88" s="19" t="n"/>
      <c r="T88" s="14">
        <f>IF($A88="","",YEAR($A88)*4+ROUNDUP(MONTH($A88)/3,0))</f>
        <v/>
      </c>
      <c r="U88" s="14">
        <f>IF($C88="","",$C88&amp;"|"&amp;$T88)</f>
        <v/>
      </c>
      <c r="V88" s="14">
        <f>IF($C88="","",$C88&amp;"|"&amp;$T88&amp;"|"&amp;$G88)</f>
        <v/>
      </c>
      <c r="W88" s="14">
        <f>IF($A88="","",IF(OR($B88="",$F88="",$G88="",$H88="",$I88=""),"Faltam campos básicos",IF(AND(OR($F88="Ponto de atenção",$F88="Incidente"),OR($K88="",$L88="",$O88="",$P88="")),"Faltam campos de sinalização","OK")))</f>
        <v/>
      </c>
      <c r="X88" s="14">
        <f>IF($A88="","",IF(AND(OR($F88="Ponto de atenção",$F88="Incidente"),$L88&lt;&gt;"Sim"),"Não",IF(AND($S88="",$W88&lt;&gt;"OK"),"Não","Sim")))</f>
        <v/>
      </c>
      <c r="Y88" s="14">
        <f>IF($C88="",0,IF(COUNTIFS($C$5:$C88,$C88,$D$5:$D88,$D88)=1,1,0))</f>
        <v/>
      </c>
      <c r="Z88" s="14">
        <f>IF($A88="","",IF(Config!$B$7-$T88&gt;2,"Arquivada",IF(Config!$B$7-$T88&gt;0,"Histórico","Ativa")))</f>
        <v/>
      </c>
      <c r="AA88" s="14">
        <f>IF($A88="",0,IF(AND(OR($F88="Ponto de atenção",$F88="Incidente"),$L88="Sim"),1,0))</f>
        <v/>
      </c>
      <c r="AB88" s="14">
        <f>IF(OR($C88="",$C88&lt;&gt;'1a1'!$B$4,$T88&lt;&gt;Config!$B$7),"",COUNTIFS($C$5:$C88,'1a1'!$B$4,$T$5:$T88,Config!$B$7))</f>
        <v/>
      </c>
    </row>
    <row r="89">
      <c r="A89" s="18" t="n"/>
      <c r="B89" s="19" t="n"/>
      <c r="C89" s="14">
        <f>IFERROR(INDEX(Pessoas!$A$5:$A$64,MATCH($B89,Pessoas!$B$5:$B$64,0)),"")</f>
        <v/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8" t="n"/>
      <c r="N89" s="19" t="n"/>
      <c r="O89" s="19" t="n"/>
      <c r="P89" s="19" t="n"/>
      <c r="Q89" s="20">
        <f>IF(OR($M89="",$P89=""),"",$M89+IF($P89="7 dias",7,IF($P89="14 dias",14,90)))</f>
        <v/>
      </c>
      <c r="R89" s="19" t="n"/>
      <c r="S89" s="19" t="n"/>
      <c r="T89" s="14">
        <f>IF($A89="","",YEAR($A89)*4+ROUNDUP(MONTH($A89)/3,0))</f>
        <v/>
      </c>
      <c r="U89" s="14">
        <f>IF($C89="","",$C89&amp;"|"&amp;$T89)</f>
        <v/>
      </c>
      <c r="V89" s="14">
        <f>IF($C89="","",$C89&amp;"|"&amp;$T89&amp;"|"&amp;$G89)</f>
        <v/>
      </c>
      <c r="W89" s="14">
        <f>IF($A89="","",IF(OR($B89="",$F89="",$G89="",$H89="",$I89=""),"Faltam campos básicos",IF(AND(OR($F89="Ponto de atenção",$F89="Incidente"),OR($K89="",$L89="",$O89="",$P89="")),"Faltam campos de sinalização","OK")))</f>
        <v/>
      </c>
      <c r="X89" s="14">
        <f>IF($A89="","",IF(AND(OR($F89="Ponto de atenção",$F89="Incidente"),$L89&lt;&gt;"Sim"),"Não",IF(AND($S89="",$W89&lt;&gt;"OK"),"Não","Sim")))</f>
        <v/>
      </c>
      <c r="Y89" s="14">
        <f>IF($C89="",0,IF(COUNTIFS($C$5:$C89,$C89,$D$5:$D89,$D89)=1,1,0))</f>
        <v/>
      </c>
      <c r="Z89" s="14">
        <f>IF($A89="","",IF(Config!$B$7-$T89&gt;2,"Arquivada",IF(Config!$B$7-$T89&gt;0,"Histórico","Ativa")))</f>
        <v/>
      </c>
      <c r="AA89" s="14">
        <f>IF($A89="",0,IF(AND(OR($F89="Ponto de atenção",$F89="Incidente"),$L89="Sim"),1,0))</f>
        <v/>
      </c>
      <c r="AB89" s="14">
        <f>IF(OR($C89="",$C89&lt;&gt;'1a1'!$B$4,$T89&lt;&gt;Config!$B$7),"",COUNTIFS($C$5:$C89,'1a1'!$B$4,$T$5:$T89,Config!$B$7))</f>
        <v/>
      </c>
    </row>
    <row r="90">
      <c r="A90" s="18" t="n"/>
      <c r="B90" s="19" t="n"/>
      <c r="C90" s="14">
        <f>IFERROR(INDEX(Pessoas!$A$5:$A$64,MATCH($B90,Pessoas!$B$5:$B$64,0)),"")</f>
        <v/>
      </c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8" t="n"/>
      <c r="N90" s="19" t="n"/>
      <c r="O90" s="19" t="n"/>
      <c r="P90" s="19" t="n"/>
      <c r="Q90" s="20">
        <f>IF(OR($M90="",$P90=""),"",$M90+IF($P90="7 dias",7,IF($P90="14 dias",14,90)))</f>
        <v/>
      </c>
      <c r="R90" s="19" t="n"/>
      <c r="S90" s="19" t="n"/>
      <c r="T90" s="14">
        <f>IF($A90="","",YEAR($A90)*4+ROUNDUP(MONTH($A90)/3,0))</f>
        <v/>
      </c>
      <c r="U90" s="14">
        <f>IF($C90="","",$C90&amp;"|"&amp;$T90)</f>
        <v/>
      </c>
      <c r="V90" s="14">
        <f>IF($C90="","",$C90&amp;"|"&amp;$T90&amp;"|"&amp;$G90)</f>
        <v/>
      </c>
      <c r="W90" s="14">
        <f>IF($A90="","",IF(OR($B90="",$F90="",$G90="",$H90="",$I90=""),"Faltam campos básicos",IF(AND(OR($F90="Ponto de atenção",$F90="Incidente"),OR($K90="",$L90="",$O90="",$P90="")),"Faltam campos de sinalização","OK")))</f>
        <v/>
      </c>
      <c r="X90" s="14">
        <f>IF($A90="","",IF(AND(OR($F90="Ponto de atenção",$F90="Incidente"),$L90&lt;&gt;"Sim"),"Não",IF(AND($S90="",$W90&lt;&gt;"OK"),"Não","Sim")))</f>
        <v/>
      </c>
      <c r="Y90" s="14">
        <f>IF($C90="",0,IF(COUNTIFS($C$5:$C90,$C90,$D$5:$D90,$D90)=1,1,0))</f>
        <v/>
      </c>
      <c r="Z90" s="14">
        <f>IF($A90="","",IF(Config!$B$7-$T90&gt;2,"Arquivada",IF(Config!$B$7-$T90&gt;0,"Histórico","Ativa")))</f>
        <v/>
      </c>
      <c r="AA90" s="14">
        <f>IF($A90="",0,IF(AND(OR($F90="Ponto de atenção",$F90="Incidente"),$L90="Sim"),1,0))</f>
        <v/>
      </c>
      <c r="AB90" s="14">
        <f>IF(OR($C90="",$C90&lt;&gt;'1a1'!$B$4,$T90&lt;&gt;Config!$B$7),"",COUNTIFS($C$5:$C90,'1a1'!$B$4,$T$5:$T90,Config!$B$7))</f>
        <v/>
      </c>
    </row>
    <row r="91">
      <c r="A91" s="18" t="n"/>
      <c r="B91" s="19" t="n"/>
      <c r="C91" s="14">
        <f>IFERROR(INDEX(Pessoas!$A$5:$A$64,MATCH($B91,Pessoas!$B$5:$B$64,0)),"")</f>
        <v/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8" t="n"/>
      <c r="N91" s="19" t="n"/>
      <c r="O91" s="19" t="n"/>
      <c r="P91" s="19" t="n"/>
      <c r="Q91" s="20">
        <f>IF(OR($M91="",$P91=""),"",$M91+IF($P91="7 dias",7,IF($P91="14 dias",14,90)))</f>
        <v/>
      </c>
      <c r="R91" s="19" t="n"/>
      <c r="S91" s="19" t="n"/>
      <c r="T91" s="14">
        <f>IF($A91="","",YEAR($A91)*4+ROUNDUP(MONTH($A91)/3,0))</f>
        <v/>
      </c>
      <c r="U91" s="14">
        <f>IF($C91="","",$C91&amp;"|"&amp;$T91)</f>
        <v/>
      </c>
      <c r="V91" s="14">
        <f>IF($C91="","",$C91&amp;"|"&amp;$T91&amp;"|"&amp;$G91)</f>
        <v/>
      </c>
      <c r="W91" s="14">
        <f>IF($A91="","",IF(OR($B91="",$F91="",$G91="",$H91="",$I91=""),"Faltam campos básicos",IF(AND(OR($F91="Ponto de atenção",$F91="Incidente"),OR($K91="",$L91="",$O91="",$P91="")),"Faltam campos de sinalização","OK")))</f>
        <v/>
      </c>
      <c r="X91" s="14">
        <f>IF($A91="","",IF(AND(OR($F91="Ponto de atenção",$F91="Incidente"),$L91&lt;&gt;"Sim"),"Não",IF(AND($S91="",$W91&lt;&gt;"OK"),"Não","Sim")))</f>
        <v/>
      </c>
      <c r="Y91" s="14">
        <f>IF($C91="",0,IF(COUNTIFS($C$5:$C91,$C91,$D$5:$D91,$D91)=1,1,0))</f>
        <v/>
      </c>
      <c r="Z91" s="14">
        <f>IF($A91="","",IF(Config!$B$7-$T91&gt;2,"Arquivada",IF(Config!$B$7-$T91&gt;0,"Histórico","Ativa")))</f>
        <v/>
      </c>
      <c r="AA91" s="14">
        <f>IF($A91="",0,IF(AND(OR($F91="Ponto de atenção",$F91="Incidente"),$L91="Sim"),1,0))</f>
        <v/>
      </c>
      <c r="AB91" s="14">
        <f>IF(OR($C91="",$C91&lt;&gt;'1a1'!$B$4,$T91&lt;&gt;Config!$B$7),"",COUNTIFS($C$5:$C91,'1a1'!$B$4,$T$5:$T91,Config!$B$7))</f>
        <v/>
      </c>
    </row>
    <row r="92">
      <c r="A92" s="18" t="n"/>
      <c r="B92" s="19" t="n"/>
      <c r="C92" s="14">
        <f>IFERROR(INDEX(Pessoas!$A$5:$A$64,MATCH($B92,Pessoas!$B$5:$B$64,0)),"")</f>
        <v/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8" t="n"/>
      <c r="N92" s="19" t="n"/>
      <c r="O92" s="19" t="n"/>
      <c r="P92" s="19" t="n"/>
      <c r="Q92" s="20">
        <f>IF(OR($M92="",$P92=""),"",$M92+IF($P92="7 dias",7,IF($P92="14 dias",14,90)))</f>
        <v/>
      </c>
      <c r="R92" s="19" t="n"/>
      <c r="S92" s="19" t="n"/>
      <c r="T92" s="14">
        <f>IF($A92="","",YEAR($A92)*4+ROUNDUP(MONTH($A92)/3,0))</f>
        <v/>
      </c>
      <c r="U92" s="14">
        <f>IF($C92="","",$C92&amp;"|"&amp;$T92)</f>
        <v/>
      </c>
      <c r="V92" s="14">
        <f>IF($C92="","",$C92&amp;"|"&amp;$T92&amp;"|"&amp;$G92)</f>
        <v/>
      </c>
      <c r="W92" s="14">
        <f>IF($A92="","",IF(OR($B92="",$F92="",$G92="",$H92="",$I92=""),"Faltam campos básicos",IF(AND(OR($F92="Ponto de atenção",$F92="Incidente"),OR($K92="",$L92="",$O92="",$P92="")),"Faltam campos de sinalização","OK")))</f>
        <v/>
      </c>
      <c r="X92" s="14">
        <f>IF($A92="","",IF(AND(OR($F92="Ponto de atenção",$F92="Incidente"),$L92&lt;&gt;"Sim"),"Não",IF(AND($S92="",$W92&lt;&gt;"OK"),"Não","Sim")))</f>
        <v/>
      </c>
      <c r="Y92" s="14">
        <f>IF($C92="",0,IF(COUNTIFS($C$5:$C92,$C92,$D$5:$D92,$D92)=1,1,0))</f>
        <v/>
      </c>
      <c r="Z92" s="14">
        <f>IF($A92="","",IF(Config!$B$7-$T92&gt;2,"Arquivada",IF(Config!$B$7-$T92&gt;0,"Histórico","Ativa")))</f>
        <v/>
      </c>
      <c r="AA92" s="14">
        <f>IF($A92="",0,IF(AND(OR($F92="Ponto de atenção",$F92="Incidente"),$L92="Sim"),1,0))</f>
        <v/>
      </c>
      <c r="AB92" s="14">
        <f>IF(OR($C92="",$C92&lt;&gt;'1a1'!$B$4,$T92&lt;&gt;Config!$B$7),"",COUNTIFS($C$5:$C92,'1a1'!$B$4,$T$5:$T92,Config!$B$7))</f>
        <v/>
      </c>
    </row>
    <row r="93">
      <c r="A93" s="18" t="n"/>
      <c r="B93" s="19" t="n"/>
      <c r="C93" s="14">
        <f>IFERROR(INDEX(Pessoas!$A$5:$A$64,MATCH($B93,Pessoas!$B$5:$B$64,0)),"")</f>
        <v/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8" t="n"/>
      <c r="N93" s="19" t="n"/>
      <c r="O93" s="19" t="n"/>
      <c r="P93" s="19" t="n"/>
      <c r="Q93" s="20">
        <f>IF(OR($M93="",$P93=""),"",$M93+IF($P93="7 dias",7,IF($P93="14 dias",14,90)))</f>
        <v/>
      </c>
      <c r="R93" s="19" t="n"/>
      <c r="S93" s="19" t="n"/>
      <c r="T93" s="14">
        <f>IF($A93="","",YEAR($A93)*4+ROUNDUP(MONTH($A93)/3,0))</f>
        <v/>
      </c>
      <c r="U93" s="14">
        <f>IF($C93="","",$C93&amp;"|"&amp;$T93)</f>
        <v/>
      </c>
      <c r="V93" s="14">
        <f>IF($C93="","",$C93&amp;"|"&amp;$T93&amp;"|"&amp;$G93)</f>
        <v/>
      </c>
      <c r="W93" s="14">
        <f>IF($A93="","",IF(OR($B93="",$F93="",$G93="",$H93="",$I93=""),"Faltam campos básicos",IF(AND(OR($F93="Ponto de atenção",$F93="Incidente"),OR($K93="",$L93="",$O93="",$P93="")),"Faltam campos de sinalização","OK")))</f>
        <v/>
      </c>
      <c r="X93" s="14">
        <f>IF($A93="","",IF(AND(OR($F93="Ponto de atenção",$F93="Incidente"),$L93&lt;&gt;"Sim"),"Não",IF(AND($S93="",$W93&lt;&gt;"OK"),"Não","Sim")))</f>
        <v/>
      </c>
      <c r="Y93" s="14">
        <f>IF($C93="",0,IF(COUNTIFS($C$5:$C93,$C93,$D$5:$D93,$D93)=1,1,0))</f>
        <v/>
      </c>
      <c r="Z93" s="14">
        <f>IF($A93="","",IF(Config!$B$7-$T93&gt;2,"Arquivada",IF(Config!$B$7-$T93&gt;0,"Histórico","Ativa")))</f>
        <v/>
      </c>
      <c r="AA93" s="14">
        <f>IF($A93="",0,IF(AND(OR($F93="Ponto de atenção",$F93="Incidente"),$L93="Sim"),1,0))</f>
        <v/>
      </c>
      <c r="AB93" s="14">
        <f>IF(OR($C93="",$C93&lt;&gt;'1a1'!$B$4,$T93&lt;&gt;Config!$B$7),"",COUNTIFS($C$5:$C93,'1a1'!$B$4,$T$5:$T93,Config!$B$7))</f>
        <v/>
      </c>
    </row>
    <row r="94">
      <c r="A94" s="18" t="n"/>
      <c r="B94" s="19" t="n"/>
      <c r="C94" s="14">
        <f>IFERROR(INDEX(Pessoas!$A$5:$A$64,MATCH($B94,Pessoas!$B$5:$B$64,0)),"")</f>
        <v/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8" t="n"/>
      <c r="N94" s="19" t="n"/>
      <c r="O94" s="19" t="n"/>
      <c r="P94" s="19" t="n"/>
      <c r="Q94" s="20">
        <f>IF(OR($M94="",$P94=""),"",$M94+IF($P94="7 dias",7,IF($P94="14 dias",14,90)))</f>
        <v/>
      </c>
      <c r="R94" s="19" t="n"/>
      <c r="S94" s="19" t="n"/>
      <c r="T94" s="14">
        <f>IF($A94="","",YEAR($A94)*4+ROUNDUP(MONTH($A94)/3,0))</f>
        <v/>
      </c>
      <c r="U94" s="14">
        <f>IF($C94="","",$C94&amp;"|"&amp;$T94)</f>
        <v/>
      </c>
      <c r="V94" s="14">
        <f>IF($C94="","",$C94&amp;"|"&amp;$T94&amp;"|"&amp;$G94)</f>
        <v/>
      </c>
      <c r="W94" s="14">
        <f>IF($A94="","",IF(OR($B94="",$F94="",$G94="",$H94="",$I94=""),"Faltam campos básicos",IF(AND(OR($F94="Ponto de atenção",$F94="Incidente"),OR($K94="",$L94="",$O94="",$P94="")),"Faltam campos de sinalização","OK")))</f>
        <v/>
      </c>
      <c r="X94" s="14">
        <f>IF($A94="","",IF(AND(OR($F94="Ponto de atenção",$F94="Incidente"),$L94&lt;&gt;"Sim"),"Não",IF(AND($S94="",$W94&lt;&gt;"OK"),"Não","Sim")))</f>
        <v/>
      </c>
      <c r="Y94" s="14">
        <f>IF($C94="",0,IF(COUNTIFS($C$5:$C94,$C94,$D$5:$D94,$D94)=1,1,0))</f>
        <v/>
      </c>
      <c r="Z94" s="14">
        <f>IF($A94="","",IF(Config!$B$7-$T94&gt;2,"Arquivada",IF(Config!$B$7-$T94&gt;0,"Histórico","Ativa")))</f>
        <v/>
      </c>
      <c r="AA94" s="14">
        <f>IF($A94="",0,IF(AND(OR($F94="Ponto de atenção",$F94="Incidente"),$L94="Sim"),1,0))</f>
        <v/>
      </c>
      <c r="AB94" s="14">
        <f>IF(OR($C94="",$C94&lt;&gt;'1a1'!$B$4,$T94&lt;&gt;Config!$B$7),"",COUNTIFS($C$5:$C94,'1a1'!$B$4,$T$5:$T94,Config!$B$7))</f>
        <v/>
      </c>
    </row>
    <row r="95">
      <c r="A95" s="18" t="n"/>
      <c r="B95" s="19" t="n"/>
      <c r="C95" s="14">
        <f>IFERROR(INDEX(Pessoas!$A$5:$A$64,MATCH($B95,Pessoas!$B$5:$B$64,0)),"")</f>
        <v/>
      </c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8" t="n"/>
      <c r="N95" s="19" t="n"/>
      <c r="O95" s="19" t="n"/>
      <c r="P95" s="19" t="n"/>
      <c r="Q95" s="20">
        <f>IF(OR($M95="",$P95=""),"",$M95+IF($P95="7 dias",7,IF($P95="14 dias",14,90)))</f>
        <v/>
      </c>
      <c r="R95" s="19" t="n"/>
      <c r="S95" s="19" t="n"/>
      <c r="T95" s="14">
        <f>IF($A95="","",YEAR($A95)*4+ROUNDUP(MONTH($A95)/3,0))</f>
        <v/>
      </c>
      <c r="U95" s="14">
        <f>IF($C95="","",$C95&amp;"|"&amp;$T95)</f>
        <v/>
      </c>
      <c r="V95" s="14">
        <f>IF($C95="","",$C95&amp;"|"&amp;$T95&amp;"|"&amp;$G95)</f>
        <v/>
      </c>
      <c r="W95" s="14">
        <f>IF($A95="","",IF(OR($B95="",$F95="",$G95="",$H95="",$I95=""),"Faltam campos básicos",IF(AND(OR($F95="Ponto de atenção",$F95="Incidente"),OR($K95="",$L95="",$O95="",$P95="")),"Faltam campos de sinalização","OK")))</f>
        <v/>
      </c>
      <c r="X95" s="14">
        <f>IF($A95="","",IF(AND(OR($F95="Ponto de atenção",$F95="Incidente"),$L95&lt;&gt;"Sim"),"Não",IF(AND($S95="",$W95&lt;&gt;"OK"),"Não","Sim")))</f>
        <v/>
      </c>
      <c r="Y95" s="14">
        <f>IF($C95="",0,IF(COUNTIFS($C$5:$C95,$C95,$D$5:$D95,$D95)=1,1,0))</f>
        <v/>
      </c>
      <c r="Z95" s="14">
        <f>IF($A95="","",IF(Config!$B$7-$T95&gt;2,"Arquivada",IF(Config!$B$7-$T95&gt;0,"Histórico","Ativa")))</f>
        <v/>
      </c>
      <c r="AA95" s="14">
        <f>IF($A95="",0,IF(AND(OR($F95="Ponto de atenção",$F95="Incidente"),$L95="Sim"),1,0))</f>
        <v/>
      </c>
      <c r="AB95" s="14">
        <f>IF(OR($C95="",$C95&lt;&gt;'1a1'!$B$4,$T95&lt;&gt;Config!$B$7),"",COUNTIFS($C$5:$C95,'1a1'!$B$4,$T$5:$T95,Config!$B$7))</f>
        <v/>
      </c>
    </row>
    <row r="96">
      <c r="A96" s="18" t="n"/>
      <c r="B96" s="19" t="n"/>
      <c r="C96" s="14">
        <f>IFERROR(INDEX(Pessoas!$A$5:$A$64,MATCH($B96,Pessoas!$B$5:$B$64,0)),"")</f>
        <v/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8" t="n"/>
      <c r="N96" s="19" t="n"/>
      <c r="O96" s="19" t="n"/>
      <c r="P96" s="19" t="n"/>
      <c r="Q96" s="20">
        <f>IF(OR($M96="",$P96=""),"",$M96+IF($P96="7 dias",7,IF($P96="14 dias",14,90)))</f>
        <v/>
      </c>
      <c r="R96" s="19" t="n"/>
      <c r="S96" s="19" t="n"/>
      <c r="T96" s="14">
        <f>IF($A96="","",YEAR($A96)*4+ROUNDUP(MONTH($A96)/3,0))</f>
        <v/>
      </c>
      <c r="U96" s="14">
        <f>IF($C96="","",$C96&amp;"|"&amp;$T96)</f>
        <v/>
      </c>
      <c r="V96" s="14">
        <f>IF($C96="","",$C96&amp;"|"&amp;$T96&amp;"|"&amp;$G96)</f>
        <v/>
      </c>
      <c r="W96" s="14">
        <f>IF($A96="","",IF(OR($B96="",$F96="",$G96="",$H96="",$I96=""),"Faltam campos básicos",IF(AND(OR($F96="Ponto de atenção",$F96="Incidente"),OR($K96="",$L96="",$O96="",$P96="")),"Faltam campos de sinalização","OK")))</f>
        <v/>
      </c>
      <c r="X96" s="14">
        <f>IF($A96="","",IF(AND(OR($F96="Ponto de atenção",$F96="Incidente"),$L96&lt;&gt;"Sim"),"Não",IF(AND($S96="",$W96&lt;&gt;"OK"),"Não","Sim")))</f>
        <v/>
      </c>
      <c r="Y96" s="14">
        <f>IF($C96="",0,IF(COUNTIFS($C$5:$C96,$C96,$D$5:$D96,$D96)=1,1,0))</f>
        <v/>
      </c>
      <c r="Z96" s="14">
        <f>IF($A96="","",IF(Config!$B$7-$T96&gt;2,"Arquivada",IF(Config!$B$7-$T96&gt;0,"Histórico","Ativa")))</f>
        <v/>
      </c>
      <c r="AA96" s="14">
        <f>IF($A96="",0,IF(AND(OR($F96="Ponto de atenção",$F96="Incidente"),$L96="Sim"),1,0))</f>
        <v/>
      </c>
      <c r="AB96" s="14">
        <f>IF(OR($C96="",$C96&lt;&gt;'1a1'!$B$4,$T96&lt;&gt;Config!$B$7),"",COUNTIFS($C$5:$C96,'1a1'!$B$4,$T$5:$T96,Config!$B$7))</f>
        <v/>
      </c>
    </row>
    <row r="97">
      <c r="A97" s="18" t="n"/>
      <c r="B97" s="19" t="n"/>
      <c r="C97" s="14">
        <f>IFERROR(INDEX(Pessoas!$A$5:$A$64,MATCH($B97,Pessoas!$B$5:$B$64,0)),"")</f>
        <v/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8" t="n"/>
      <c r="N97" s="19" t="n"/>
      <c r="O97" s="19" t="n"/>
      <c r="P97" s="19" t="n"/>
      <c r="Q97" s="20">
        <f>IF(OR($M97="",$P97=""),"",$M97+IF($P97="7 dias",7,IF($P97="14 dias",14,90)))</f>
        <v/>
      </c>
      <c r="R97" s="19" t="n"/>
      <c r="S97" s="19" t="n"/>
      <c r="T97" s="14">
        <f>IF($A97="","",YEAR($A97)*4+ROUNDUP(MONTH($A97)/3,0))</f>
        <v/>
      </c>
      <c r="U97" s="14">
        <f>IF($C97="","",$C97&amp;"|"&amp;$T97)</f>
        <v/>
      </c>
      <c r="V97" s="14">
        <f>IF($C97="","",$C97&amp;"|"&amp;$T97&amp;"|"&amp;$G97)</f>
        <v/>
      </c>
      <c r="W97" s="14">
        <f>IF($A97="","",IF(OR($B97="",$F97="",$G97="",$H97="",$I97=""),"Faltam campos básicos",IF(AND(OR($F97="Ponto de atenção",$F97="Incidente"),OR($K97="",$L97="",$O97="",$P97="")),"Faltam campos de sinalização","OK")))</f>
        <v/>
      </c>
      <c r="X97" s="14">
        <f>IF($A97="","",IF(AND(OR($F97="Ponto de atenção",$F97="Incidente"),$L97&lt;&gt;"Sim"),"Não",IF(AND($S97="",$W97&lt;&gt;"OK"),"Não","Sim")))</f>
        <v/>
      </c>
      <c r="Y97" s="14">
        <f>IF($C97="",0,IF(COUNTIFS($C$5:$C97,$C97,$D$5:$D97,$D97)=1,1,0))</f>
        <v/>
      </c>
      <c r="Z97" s="14">
        <f>IF($A97="","",IF(Config!$B$7-$T97&gt;2,"Arquivada",IF(Config!$B$7-$T97&gt;0,"Histórico","Ativa")))</f>
        <v/>
      </c>
      <c r="AA97" s="14">
        <f>IF($A97="",0,IF(AND(OR($F97="Ponto de atenção",$F97="Incidente"),$L97="Sim"),1,0))</f>
        <v/>
      </c>
      <c r="AB97" s="14">
        <f>IF(OR($C97="",$C97&lt;&gt;'1a1'!$B$4,$T97&lt;&gt;Config!$B$7),"",COUNTIFS($C$5:$C97,'1a1'!$B$4,$T$5:$T97,Config!$B$7))</f>
        <v/>
      </c>
    </row>
    <row r="98">
      <c r="A98" s="18" t="n"/>
      <c r="B98" s="19" t="n"/>
      <c r="C98" s="14">
        <f>IFERROR(INDEX(Pessoas!$A$5:$A$64,MATCH($B98,Pessoas!$B$5:$B$64,0)),"")</f>
        <v/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8" t="n"/>
      <c r="N98" s="19" t="n"/>
      <c r="O98" s="19" t="n"/>
      <c r="P98" s="19" t="n"/>
      <c r="Q98" s="20">
        <f>IF(OR($M98="",$P98=""),"",$M98+IF($P98="7 dias",7,IF($P98="14 dias",14,90)))</f>
        <v/>
      </c>
      <c r="R98" s="19" t="n"/>
      <c r="S98" s="19" t="n"/>
      <c r="T98" s="14">
        <f>IF($A98="","",YEAR($A98)*4+ROUNDUP(MONTH($A98)/3,0))</f>
        <v/>
      </c>
      <c r="U98" s="14">
        <f>IF($C98="","",$C98&amp;"|"&amp;$T98)</f>
        <v/>
      </c>
      <c r="V98" s="14">
        <f>IF($C98="","",$C98&amp;"|"&amp;$T98&amp;"|"&amp;$G98)</f>
        <v/>
      </c>
      <c r="W98" s="14">
        <f>IF($A98="","",IF(OR($B98="",$F98="",$G98="",$H98="",$I98=""),"Faltam campos básicos",IF(AND(OR($F98="Ponto de atenção",$F98="Incidente"),OR($K98="",$L98="",$O98="",$P98="")),"Faltam campos de sinalização","OK")))</f>
        <v/>
      </c>
      <c r="X98" s="14">
        <f>IF($A98="","",IF(AND(OR($F98="Ponto de atenção",$F98="Incidente"),$L98&lt;&gt;"Sim"),"Não",IF(AND($S98="",$W98&lt;&gt;"OK"),"Não","Sim")))</f>
        <v/>
      </c>
      <c r="Y98" s="14">
        <f>IF($C98="",0,IF(COUNTIFS($C$5:$C98,$C98,$D$5:$D98,$D98)=1,1,0))</f>
        <v/>
      </c>
      <c r="Z98" s="14">
        <f>IF($A98="","",IF(Config!$B$7-$T98&gt;2,"Arquivada",IF(Config!$B$7-$T98&gt;0,"Histórico","Ativa")))</f>
        <v/>
      </c>
      <c r="AA98" s="14">
        <f>IF($A98="",0,IF(AND(OR($F98="Ponto de atenção",$F98="Incidente"),$L98="Sim"),1,0))</f>
        <v/>
      </c>
      <c r="AB98" s="14">
        <f>IF(OR($C98="",$C98&lt;&gt;'1a1'!$B$4,$T98&lt;&gt;Config!$B$7),"",COUNTIFS($C$5:$C98,'1a1'!$B$4,$T$5:$T98,Config!$B$7))</f>
        <v/>
      </c>
    </row>
    <row r="99">
      <c r="A99" s="18" t="n"/>
      <c r="B99" s="19" t="n"/>
      <c r="C99" s="14">
        <f>IFERROR(INDEX(Pessoas!$A$5:$A$64,MATCH($B99,Pessoas!$B$5:$B$64,0)),"")</f>
        <v/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8" t="n"/>
      <c r="N99" s="19" t="n"/>
      <c r="O99" s="19" t="n"/>
      <c r="P99" s="19" t="n"/>
      <c r="Q99" s="20">
        <f>IF(OR($M99="",$P99=""),"",$M99+IF($P99="7 dias",7,IF($P99="14 dias",14,90)))</f>
        <v/>
      </c>
      <c r="R99" s="19" t="n"/>
      <c r="S99" s="19" t="n"/>
      <c r="T99" s="14">
        <f>IF($A99="","",YEAR($A99)*4+ROUNDUP(MONTH($A99)/3,0))</f>
        <v/>
      </c>
      <c r="U99" s="14">
        <f>IF($C99="","",$C99&amp;"|"&amp;$T99)</f>
        <v/>
      </c>
      <c r="V99" s="14">
        <f>IF($C99="","",$C99&amp;"|"&amp;$T99&amp;"|"&amp;$G99)</f>
        <v/>
      </c>
      <c r="W99" s="14">
        <f>IF($A99="","",IF(OR($B99="",$F99="",$G99="",$H99="",$I99=""),"Faltam campos básicos",IF(AND(OR($F99="Ponto de atenção",$F99="Incidente"),OR($K99="",$L99="",$O99="",$P99="")),"Faltam campos de sinalização","OK")))</f>
        <v/>
      </c>
      <c r="X99" s="14">
        <f>IF($A99="","",IF(AND(OR($F99="Ponto de atenção",$F99="Incidente"),$L99&lt;&gt;"Sim"),"Não",IF(AND($S99="",$W99&lt;&gt;"OK"),"Não","Sim")))</f>
        <v/>
      </c>
      <c r="Y99" s="14">
        <f>IF($C99="",0,IF(COUNTIFS($C$5:$C99,$C99,$D$5:$D99,$D99)=1,1,0))</f>
        <v/>
      </c>
      <c r="Z99" s="14">
        <f>IF($A99="","",IF(Config!$B$7-$T99&gt;2,"Arquivada",IF(Config!$B$7-$T99&gt;0,"Histórico","Ativa")))</f>
        <v/>
      </c>
      <c r="AA99" s="14">
        <f>IF($A99="",0,IF(AND(OR($F99="Ponto de atenção",$F99="Incidente"),$L99="Sim"),1,0))</f>
        <v/>
      </c>
      <c r="AB99" s="14">
        <f>IF(OR($C99="",$C99&lt;&gt;'1a1'!$B$4,$T99&lt;&gt;Config!$B$7),"",COUNTIFS($C$5:$C99,'1a1'!$B$4,$T$5:$T99,Config!$B$7))</f>
        <v/>
      </c>
    </row>
    <row r="100">
      <c r="A100" s="18" t="n"/>
      <c r="B100" s="19" t="n"/>
      <c r="C100" s="14">
        <f>IFERROR(INDEX(Pessoas!$A$5:$A$64,MATCH($B100,Pessoas!$B$5:$B$64,0)),"")</f>
        <v/>
      </c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8" t="n"/>
      <c r="N100" s="19" t="n"/>
      <c r="O100" s="19" t="n"/>
      <c r="P100" s="19" t="n"/>
      <c r="Q100" s="20">
        <f>IF(OR($M100="",$P100=""),"",$M100+IF($P100="7 dias",7,IF($P100="14 dias",14,90)))</f>
        <v/>
      </c>
      <c r="R100" s="19" t="n"/>
      <c r="S100" s="19" t="n"/>
      <c r="T100" s="14">
        <f>IF($A100="","",YEAR($A100)*4+ROUNDUP(MONTH($A100)/3,0))</f>
        <v/>
      </c>
      <c r="U100" s="14">
        <f>IF($C100="","",$C100&amp;"|"&amp;$T100)</f>
        <v/>
      </c>
      <c r="V100" s="14">
        <f>IF($C100="","",$C100&amp;"|"&amp;$T100&amp;"|"&amp;$G100)</f>
        <v/>
      </c>
      <c r="W100" s="14">
        <f>IF($A100="","",IF(OR($B100="",$F100="",$G100="",$H100="",$I100=""),"Faltam campos básicos",IF(AND(OR($F100="Ponto de atenção",$F100="Incidente"),OR($K100="",$L100="",$O100="",$P100="")),"Faltam campos de sinalização","OK")))</f>
        <v/>
      </c>
      <c r="X100" s="14">
        <f>IF($A100="","",IF(AND(OR($F100="Ponto de atenção",$F100="Incidente"),$L100&lt;&gt;"Sim"),"Não",IF(AND($S100="",$W100&lt;&gt;"OK"),"Não","Sim")))</f>
        <v/>
      </c>
      <c r="Y100" s="14">
        <f>IF($C100="",0,IF(COUNTIFS($C$5:$C100,$C100,$D$5:$D100,$D100)=1,1,0))</f>
        <v/>
      </c>
      <c r="Z100" s="14">
        <f>IF($A100="","",IF(Config!$B$7-$T100&gt;2,"Arquivada",IF(Config!$B$7-$T100&gt;0,"Histórico","Ativa")))</f>
        <v/>
      </c>
      <c r="AA100" s="14">
        <f>IF($A100="",0,IF(AND(OR($F100="Ponto de atenção",$F100="Incidente"),$L100="Sim"),1,0))</f>
        <v/>
      </c>
      <c r="AB100" s="14">
        <f>IF(OR($C100="",$C100&lt;&gt;'1a1'!$B$4,$T100&lt;&gt;Config!$B$7),"",COUNTIFS($C$5:$C100,'1a1'!$B$4,$T$5:$T100,Config!$B$7))</f>
        <v/>
      </c>
    </row>
    <row r="101">
      <c r="A101" s="18" t="n"/>
      <c r="B101" s="19" t="n"/>
      <c r="C101" s="14">
        <f>IFERROR(INDEX(Pessoas!$A$5:$A$64,MATCH($B101,Pessoas!$B$5:$B$64,0)),"")</f>
        <v/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8" t="n"/>
      <c r="N101" s="19" t="n"/>
      <c r="O101" s="19" t="n"/>
      <c r="P101" s="19" t="n"/>
      <c r="Q101" s="20">
        <f>IF(OR($M101="",$P101=""),"",$M101+IF($P101="7 dias",7,IF($P101="14 dias",14,90)))</f>
        <v/>
      </c>
      <c r="R101" s="19" t="n"/>
      <c r="S101" s="19" t="n"/>
      <c r="T101" s="14">
        <f>IF($A101="","",YEAR($A101)*4+ROUNDUP(MONTH($A101)/3,0))</f>
        <v/>
      </c>
      <c r="U101" s="14">
        <f>IF($C101="","",$C101&amp;"|"&amp;$T101)</f>
        <v/>
      </c>
      <c r="V101" s="14">
        <f>IF($C101="","",$C101&amp;"|"&amp;$T101&amp;"|"&amp;$G101)</f>
        <v/>
      </c>
      <c r="W101" s="14">
        <f>IF($A101="","",IF(OR($B101="",$F101="",$G101="",$H101="",$I101=""),"Faltam campos básicos",IF(AND(OR($F101="Ponto de atenção",$F101="Incidente"),OR($K101="",$L101="",$O101="",$P101="")),"Faltam campos de sinalização","OK")))</f>
        <v/>
      </c>
      <c r="X101" s="14">
        <f>IF($A101="","",IF(AND(OR($F101="Ponto de atenção",$F101="Incidente"),$L101&lt;&gt;"Sim"),"Não",IF(AND($S101="",$W101&lt;&gt;"OK"),"Não","Sim")))</f>
        <v/>
      </c>
      <c r="Y101" s="14">
        <f>IF($C101="",0,IF(COUNTIFS($C$5:$C101,$C101,$D$5:$D101,$D101)=1,1,0))</f>
        <v/>
      </c>
      <c r="Z101" s="14">
        <f>IF($A101="","",IF(Config!$B$7-$T101&gt;2,"Arquivada",IF(Config!$B$7-$T101&gt;0,"Histórico","Ativa")))</f>
        <v/>
      </c>
      <c r="AA101" s="14">
        <f>IF($A101="",0,IF(AND(OR($F101="Ponto de atenção",$F101="Incidente"),$L101="Sim"),1,0))</f>
        <v/>
      </c>
      <c r="AB101" s="14">
        <f>IF(OR($C101="",$C101&lt;&gt;'1a1'!$B$4,$T101&lt;&gt;Config!$B$7),"",COUNTIFS($C$5:$C101,'1a1'!$B$4,$T$5:$T101,Config!$B$7))</f>
        <v/>
      </c>
    </row>
    <row r="102">
      <c r="A102" s="18" t="n"/>
      <c r="B102" s="19" t="n"/>
      <c r="C102" s="14">
        <f>IFERROR(INDEX(Pessoas!$A$5:$A$64,MATCH($B102,Pessoas!$B$5:$B$64,0)),"")</f>
        <v/>
      </c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8" t="n"/>
      <c r="N102" s="19" t="n"/>
      <c r="O102" s="19" t="n"/>
      <c r="P102" s="19" t="n"/>
      <c r="Q102" s="20">
        <f>IF(OR($M102="",$P102=""),"",$M102+IF($P102="7 dias",7,IF($P102="14 dias",14,90)))</f>
        <v/>
      </c>
      <c r="R102" s="19" t="n"/>
      <c r="S102" s="19" t="n"/>
      <c r="T102" s="14">
        <f>IF($A102="","",YEAR($A102)*4+ROUNDUP(MONTH($A102)/3,0))</f>
        <v/>
      </c>
      <c r="U102" s="14">
        <f>IF($C102="","",$C102&amp;"|"&amp;$T102)</f>
        <v/>
      </c>
      <c r="V102" s="14">
        <f>IF($C102="","",$C102&amp;"|"&amp;$T102&amp;"|"&amp;$G102)</f>
        <v/>
      </c>
      <c r="W102" s="14">
        <f>IF($A102="","",IF(OR($B102="",$F102="",$G102="",$H102="",$I102=""),"Faltam campos básicos",IF(AND(OR($F102="Ponto de atenção",$F102="Incidente"),OR($K102="",$L102="",$O102="",$P102="")),"Faltam campos de sinalização","OK")))</f>
        <v/>
      </c>
      <c r="X102" s="14">
        <f>IF($A102="","",IF(AND(OR($F102="Ponto de atenção",$F102="Incidente"),$L102&lt;&gt;"Sim"),"Não",IF(AND($S102="",$W102&lt;&gt;"OK"),"Não","Sim")))</f>
        <v/>
      </c>
      <c r="Y102" s="14">
        <f>IF($C102="",0,IF(COUNTIFS($C$5:$C102,$C102,$D$5:$D102,$D102)=1,1,0))</f>
        <v/>
      </c>
      <c r="Z102" s="14">
        <f>IF($A102="","",IF(Config!$B$7-$T102&gt;2,"Arquivada",IF(Config!$B$7-$T102&gt;0,"Histórico","Ativa")))</f>
        <v/>
      </c>
      <c r="AA102" s="14">
        <f>IF($A102="",0,IF(AND(OR($F102="Ponto de atenção",$F102="Incidente"),$L102="Sim"),1,0))</f>
        <v/>
      </c>
      <c r="AB102" s="14">
        <f>IF(OR($C102="",$C102&lt;&gt;'1a1'!$B$4,$T102&lt;&gt;Config!$B$7),"",COUNTIFS($C$5:$C102,'1a1'!$B$4,$T$5:$T102,Config!$B$7))</f>
        <v/>
      </c>
    </row>
    <row r="103">
      <c r="A103" s="18" t="n"/>
      <c r="B103" s="19" t="n"/>
      <c r="C103" s="14">
        <f>IFERROR(INDEX(Pessoas!$A$5:$A$64,MATCH($B103,Pessoas!$B$5:$B$64,0)),"")</f>
        <v/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8" t="n"/>
      <c r="N103" s="19" t="n"/>
      <c r="O103" s="19" t="n"/>
      <c r="P103" s="19" t="n"/>
      <c r="Q103" s="20">
        <f>IF(OR($M103="",$P103=""),"",$M103+IF($P103="7 dias",7,IF($P103="14 dias",14,90)))</f>
        <v/>
      </c>
      <c r="R103" s="19" t="n"/>
      <c r="S103" s="19" t="n"/>
      <c r="T103" s="14">
        <f>IF($A103="","",YEAR($A103)*4+ROUNDUP(MONTH($A103)/3,0))</f>
        <v/>
      </c>
      <c r="U103" s="14">
        <f>IF($C103="","",$C103&amp;"|"&amp;$T103)</f>
        <v/>
      </c>
      <c r="V103" s="14">
        <f>IF($C103="","",$C103&amp;"|"&amp;$T103&amp;"|"&amp;$G103)</f>
        <v/>
      </c>
      <c r="W103" s="14">
        <f>IF($A103="","",IF(OR($B103="",$F103="",$G103="",$H103="",$I103=""),"Faltam campos básicos",IF(AND(OR($F103="Ponto de atenção",$F103="Incidente"),OR($K103="",$L103="",$O103="",$P103="")),"Faltam campos de sinalização","OK")))</f>
        <v/>
      </c>
      <c r="X103" s="14">
        <f>IF($A103="","",IF(AND(OR($F103="Ponto de atenção",$F103="Incidente"),$L103&lt;&gt;"Sim"),"Não",IF(AND($S103="",$W103&lt;&gt;"OK"),"Não","Sim")))</f>
        <v/>
      </c>
      <c r="Y103" s="14">
        <f>IF($C103="",0,IF(COUNTIFS($C$5:$C103,$C103,$D$5:$D103,$D103)=1,1,0))</f>
        <v/>
      </c>
      <c r="Z103" s="14">
        <f>IF($A103="","",IF(Config!$B$7-$T103&gt;2,"Arquivada",IF(Config!$B$7-$T103&gt;0,"Histórico","Ativa")))</f>
        <v/>
      </c>
      <c r="AA103" s="14">
        <f>IF($A103="",0,IF(AND(OR($F103="Ponto de atenção",$F103="Incidente"),$L103="Sim"),1,0))</f>
        <v/>
      </c>
      <c r="AB103" s="14">
        <f>IF(OR($C103="",$C103&lt;&gt;'1a1'!$B$4,$T103&lt;&gt;Config!$B$7),"",COUNTIFS($C$5:$C103,'1a1'!$B$4,$T$5:$T103,Config!$B$7))</f>
        <v/>
      </c>
    </row>
    <row r="104">
      <c r="A104" s="18" t="n"/>
      <c r="B104" s="19" t="n"/>
      <c r="C104" s="14">
        <f>IFERROR(INDEX(Pessoas!$A$5:$A$64,MATCH($B104,Pessoas!$B$5:$B$64,0)),"")</f>
        <v/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8" t="n"/>
      <c r="N104" s="19" t="n"/>
      <c r="O104" s="19" t="n"/>
      <c r="P104" s="19" t="n"/>
      <c r="Q104" s="20">
        <f>IF(OR($M104="",$P104=""),"",$M104+IF($P104="7 dias",7,IF($P104="14 dias",14,90)))</f>
        <v/>
      </c>
      <c r="R104" s="19" t="n"/>
      <c r="S104" s="19" t="n"/>
      <c r="T104" s="14">
        <f>IF($A104="","",YEAR($A104)*4+ROUNDUP(MONTH($A104)/3,0))</f>
        <v/>
      </c>
      <c r="U104" s="14">
        <f>IF($C104="","",$C104&amp;"|"&amp;$T104)</f>
        <v/>
      </c>
      <c r="V104" s="14">
        <f>IF($C104="","",$C104&amp;"|"&amp;$T104&amp;"|"&amp;$G104)</f>
        <v/>
      </c>
      <c r="W104" s="14">
        <f>IF($A104="","",IF(OR($B104="",$F104="",$G104="",$H104="",$I104=""),"Faltam campos básicos",IF(AND(OR($F104="Ponto de atenção",$F104="Incidente"),OR($K104="",$L104="",$O104="",$P104="")),"Faltam campos de sinalização","OK")))</f>
        <v/>
      </c>
      <c r="X104" s="14">
        <f>IF($A104="","",IF(AND(OR($F104="Ponto de atenção",$F104="Incidente"),$L104&lt;&gt;"Sim"),"Não",IF(AND($S104="",$W104&lt;&gt;"OK"),"Não","Sim")))</f>
        <v/>
      </c>
      <c r="Y104" s="14">
        <f>IF($C104="",0,IF(COUNTIFS($C$5:$C104,$C104,$D$5:$D104,$D104)=1,1,0))</f>
        <v/>
      </c>
      <c r="Z104" s="14">
        <f>IF($A104="","",IF(Config!$B$7-$T104&gt;2,"Arquivada",IF(Config!$B$7-$T104&gt;0,"Histórico","Ativa")))</f>
        <v/>
      </c>
      <c r="AA104" s="14">
        <f>IF($A104="",0,IF(AND(OR($F104="Ponto de atenção",$F104="Incidente"),$L104="Sim"),1,0))</f>
        <v/>
      </c>
      <c r="AB104" s="14">
        <f>IF(OR($C104="",$C104&lt;&gt;'1a1'!$B$4,$T104&lt;&gt;Config!$B$7),"",COUNTIFS($C$5:$C104,'1a1'!$B$4,$T$5:$T104,Config!$B$7))</f>
        <v/>
      </c>
    </row>
    <row r="105">
      <c r="A105" s="18" t="n"/>
      <c r="B105" s="19" t="n"/>
      <c r="C105" s="14">
        <f>IFERROR(INDEX(Pessoas!$A$5:$A$64,MATCH($B105,Pessoas!$B$5:$B$64,0)),"")</f>
        <v/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8" t="n"/>
      <c r="N105" s="19" t="n"/>
      <c r="O105" s="19" t="n"/>
      <c r="P105" s="19" t="n"/>
      <c r="Q105" s="20">
        <f>IF(OR($M105="",$P105=""),"",$M105+IF($P105="7 dias",7,IF($P105="14 dias",14,90)))</f>
        <v/>
      </c>
      <c r="R105" s="19" t="n"/>
      <c r="S105" s="19" t="n"/>
      <c r="T105" s="14">
        <f>IF($A105="","",YEAR($A105)*4+ROUNDUP(MONTH($A105)/3,0))</f>
        <v/>
      </c>
      <c r="U105" s="14">
        <f>IF($C105="","",$C105&amp;"|"&amp;$T105)</f>
        <v/>
      </c>
      <c r="V105" s="14">
        <f>IF($C105="","",$C105&amp;"|"&amp;$T105&amp;"|"&amp;$G105)</f>
        <v/>
      </c>
      <c r="W105" s="14">
        <f>IF($A105="","",IF(OR($B105="",$F105="",$G105="",$H105="",$I105=""),"Faltam campos básicos",IF(AND(OR($F105="Ponto de atenção",$F105="Incidente"),OR($K105="",$L105="",$O105="",$P105="")),"Faltam campos de sinalização","OK")))</f>
        <v/>
      </c>
      <c r="X105" s="14">
        <f>IF($A105="","",IF(AND(OR($F105="Ponto de atenção",$F105="Incidente"),$L105&lt;&gt;"Sim"),"Não",IF(AND($S105="",$W105&lt;&gt;"OK"),"Não","Sim")))</f>
        <v/>
      </c>
      <c r="Y105" s="14">
        <f>IF($C105="",0,IF(COUNTIFS($C$5:$C105,$C105,$D$5:$D105,$D105)=1,1,0))</f>
        <v/>
      </c>
      <c r="Z105" s="14">
        <f>IF($A105="","",IF(Config!$B$7-$T105&gt;2,"Arquivada",IF(Config!$B$7-$T105&gt;0,"Histórico","Ativa")))</f>
        <v/>
      </c>
      <c r="AA105" s="14">
        <f>IF($A105="",0,IF(AND(OR($F105="Ponto de atenção",$F105="Incidente"),$L105="Sim"),1,0))</f>
        <v/>
      </c>
      <c r="AB105" s="14">
        <f>IF(OR($C105="",$C105&lt;&gt;'1a1'!$B$4,$T105&lt;&gt;Config!$B$7),"",COUNTIFS($C$5:$C105,'1a1'!$B$4,$T$5:$T105,Config!$B$7))</f>
        <v/>
      </c>
    </row>
    <row r="106">
      <c r="A106" s="18" t="n"/>
      <c r="B106" s="19" t="n"/>
      <c r="C106" s="14">
        <f>IFERROR(INDEX(Pessoas!$A$5:$A$64,MATCH($B106,Pessoas!$B$5:$B$64,0)),"")</f>
        <v/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8" t="n"/>
      <c r="N106" s="19" t="n"/>
      <c r="O106" s="19" t="n"/>
      <c r="P106" s="19" t="n"/>
      <c r="Q106" s="20">
        <f>IF(OR($M106="",$P106=""),"",$M106+IF($P106="7 dias",7,IF($P106="14 dias",14,90)))</f>
        <v/>
      </c>
      <c r="R106" s="19" t="n"/>
      <c r="S106" s="19" t="n"/>
      <c r="T106" s="14">
        <f>IF($A106="","",YEAR($A106)*4+ROUNDUP(MONTH($A106)/3,0))</f>
        <v/>
      </c>
      <c r="U106" s="14">
        <f>IF($C106="","",$C106&amp;"|"&amp;$T106)</f>
        <v/>
      </c>
      <c r="V106" s="14">
        <f>IF($C106="","",$C106&amp;"|"&amp;$T106&amp;"|"&amp;$G106)</f>
        <v/>
      </c>
      <c r="W106" s="14">
        <f>IF($A106="","",IF(OR($B106="",$F106="",$G106="",$H106="",$I106=""),"Faltam campos básicos",IF(AND(OR($F106="Ponto de atenção",$F106="Incidente"),OR($K106="",$L106="",$O106="",$P106="")),"Faltam campos de sinalização","OK")))</f>
        <v/>
      </c>
      <c r="X106" s="14">
        <f>IF($A106="","",IF(AND(OR($F106="Ponto de atenção",$F106="Incidente"),$L106&lt;&gt;"Sim"),"Não",IF(AND($S106="",$W106&lt;&gt;"OK"),"Não","Sim")))</f>
        <v/>
      </c>
      <c r="Y106" s="14">
        <f>IF($C106="",0,IF(COUNTIFS($C$5:$C106,$C106,$D$5:$D106,$D106)=1,1,0))</f>
        <v/>
      </c>
      <c r="Z106" s="14">
        <f>IF($A106="","",IF(Config!$B$7-$T106&gt;2,"Arquivada",IF(Config!$B$7-$T106&gt;0,"Histórico","Ativa")))</f>
        <v/>
      </c>
      <c r="AA106" s="14">
        <f>IF($A106="",0,IF(AND(OR($F106="Ponto de atenção",$F106="Incidente"),$L106="Sim"),1,0))</f>
        <v/>
      </c>
      <c r="AB106" s="14">
        <f>IF(OR($C106="",$C106&lt;&gt;'1a1'!$B$4,$T106&lt;&gt;Config!$B$7),"",COUNTIFS($C$5:$C106,'1a1'!$B$4,$T$5:$T106,Config!$B$7))</f>
        <v/>
      </c>
    </row>
    <row r="107">
      <c r="A107" s="18" t="n"/>
      <c r="B107" s="19" t="n"/>
      <c r="C107" s="14">
        <f>IFERROR(INDEX(Pessoas!$A$5:$A$64,MATCH($B107,Pessoas!$B$5:$B$64,0)),"")</f>
        <v/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8" t="n"/>
      <c r="N107" s="19" t="n"/>
      <c r="O107" s="19" t="n"/>
      <c r="P107" s="19" t="n"/>
      <c r="Q107" s="20">
        <f>IF(OR($M107="",$P107=""),"",$M107+IF($P107="7 dias",7,IF($P107="14 dias",14,90)))</f>
        <v/>
      </c>
      <c r="R107" s="19" t="n"/>
      <c r="S107" s="19" t="n"/>
      <c r="T107" s="14">
        <f>IF($A107="","",YEAR($A107)*4+ROUNDUP(MONTH($A107)/3,0))</f>
        <v/>
      </c>
      <c r="U107" s="14">
        <f>IF($C107="","",$C107&amp;"|"&amp;$T107)</f>
        <v/>
      </c>
      <c r="V107" s="14">
        <f>IF($C107="","",$C107&amp;"|"&amp;$T107&amp;"|"&amp;$G107)</f>
        <v/>
      </c>
      <c r="W107" s="14">
        <f>IF($A107="","",IF(OR($B107="",$F107="",$G107="",$H107="",$I107=""),"Faltam campos básicos",IF(AND(OR($F107="Ponto de atenção",$F107="Incidente"),OR($K107="",$L107="",$O107="",$P107="")),"Faltam campos de sinalização","OK")))</f>
        <v/>
      </c>
      <c r="X107" s="14">
        <f>IF($A107="","",IF(AND(OR($F107="Ponto de atenção",$F107="Incidente"),$L107&lt;&gt;"Sim"),"Não",IF(AND($S107="",$W107&lt;&gt;"OK"),"Não","Sim")))</f>
        <v/>
      </c>
      <c r="Y107" s="14">
        <f>IF($C107="",0,IF(COUNTIFS($C$5:$C107,$C107,$D$5:$D107,$D107)=1,1,0))</f>
        <v/>
      </c>
      <c r="Z107" s="14">
        <f>IF($A107="","",IF(Config!$B$7-$T107&gt;2,"Arquivada",IF(Config!$B$7-$T107&gt;0,"Histórico","Ativa")))</f>
        <v/>
      </c>
      <c r="AA107" s="14">
        <f>IF($A107="",0,IF(AND(OR($F107="Ponto de atenção",$F107="Incidente"),$L107="Sim"),1,0))</f>
        <v/>
      </c>
      <c r="AB107" s="14">
        <f>IF(OR($C107="",$C107&lt;&gt;'1a1'!$B$4,$T107&lt;&gt;Config!$B$7),"",COUNTIFS($C$5:$C107,'1a1'!$B$4,$T$5:$T107,Config!$B$7))</f>
        <v/>
      </c>
    </row>
    <row r="108">
      <c r="A108" s="18" t="n"/>
      <c r="B108" s="19" t="n"/>
      <c r="C108" s="14">
        <f>IFERROR(INDEX(Pessoas!$A$5:$A$64,MATCH($B108,Pessoas!$B$5:$B$64,0)),"")</f>
        <v/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8" t="n"/>
      <c r="N108" s="19" t="n"/>
      <c r="O108" s="19" t="n"/>
      <c r="P108" s="19" t="n"/>
      <c r="Q108" s="20">
        <f>IF(OR($M108="",$P108=""),"",$M108+IF($P108="7 dias",7,IF($P108="14 dias",14,90)))</f>
        <v/>
      </c>
      <c r="R108" s="19" t="n"/>
      <c r="S108" s="19" t="n"/>
      <c r="T108" s="14">
        <f>IF($A108="","",YEAR($A108)*4+ROUNDUP(MONTH($A108)/3,0))</f>
        <v/>
      </c>
      <c r="U108" s="14">
        <f>IF($C108="","",$C108&amp;"|"&amp;$T108)</f>
        <v/>
      </c>
      <c r="V108" s="14">
        <f>IF($C108="","",$C108&amp;"|"&amp;$T108&amp;"|"&amp;$G108)</f>
        <v/>
      </c>
      <c r="W108" s="14">
        <f>IF($A108="","",IF(OR($B108="",$F108="",$G108="",$H108="",$I108=""),"Faltam campos básicos",IF(AND(OR($F108="Ponto de atenção",$F108="Incidente"),OR($K108="",$L108="",$O108="",$P108="")),"Faltam campos de sinalização","OK")))</f>
        <v/>
      </c>
      <c r="X108" s="14">
        <f>IF($A108="","",IF(AND(OR($F108="Ponto de atenção",$F108="Incidente"),$L108&lt;&gt;"Sim"),"Não",IF(AND($S108="",$W108&lt;&gt;"OK"),"Não","Sim")))</f>
        <v/>
      </c>
      <c r="Y108" s="14">
        <f>IF($C108="",0,IF(COUNTIFS($C$5:$C108,$C108,$D$5:$D108,$D108)=1,1,0))</f>
        <v/>
      </c>
      <c r="Z108" s="14">
        <f>IF($A108="","",IF(Config!$B$7-$T108&gt;2,"Arquivada",IF(Config!$B$7-$T108&gt;0,"Histórico","Ativa")))</f>
        <v/>
      </c>
      <c r="AA108" s="14">
        <f>IF($A108="",0,IF(AND(OR($F108="Ponto de atenção",$F108="Incidente"),$L108="Sim"),1,0))</f>
        <v/>
      </c>
      <c r="AB108" s="14">
        <f>IF(OR($C108="",$C108&lt;&gt;'1a1'!$B$4,$T108&lt;&gt;Config!$B$7),"",COUNTIFS($C$5:$C108,'1a1'!$B$4,$T$5:$T108,Config!$B$7))</f>
        <v/>
      </c>
    </row>
    <row r="109">
      <c r="A109" s="18" t="n"/>
      <c r="B109" s="19" t="n"/>
      <c r="C109" s="14">
        <f>IFERROR(INDEX(Pessoas!$A$5:$A$64,MATCH($B109,Pessoas!$B$5:$B$64,0)),"")</f>
        <v/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8" t="n"/>
      <c r="N109" s="19" t="n"/>
      <c r="O109" s="19" t="n"/>
      <c r="P109" s="19" t="n"/>
      <c r="Q109" s="20">
        <f>IF(OR($M109="",$P109=""),"",$M109+IF($P109="7 dias",7,IF($P109="14 dias",14,90)))</f>
        <v/>
      </c>
      <c r="R109" s="19" t="n"/>
      <c r="S109" s="19" t="n"/>
      <c r="T109" s="14">
        <f>IF($A109="","",YEAR($A109)*4+ROUNDUP(MONTH($A109)/3,0))</f>
        <v/>
      </c>
      <c r="U109" s="14">
        <f>IF($C109="","",$C109&amp;"|"&amp;$T109)</f>
        <v/>
      </c>
      <c r="V109" s="14">
        <f>IF($C109="","",$C109&amp;"|"&amp;$T109&amp;"|"&amp;$G109)</f>
        <v/>
      </c>
      <c r="W109" s="14">
        <f>IF($A109="","",IF(OR($B109="",$F109="",$G109="",$H109="",$I109=""),"Faltam campos básicos",IF(AND(OR($F109="Ponto de atenção",$F109="Incidente"),OR($K109="",$L109="",$O109="",$P109="")),"Faltam campos de sinalização","OK")))</f>
        <v/>
      </c>
      <c r="X109" s="14">
        <f>IF($A109="","",IF(AND(OR($F109="Ponto de atenção",$F109="Incidente"),$L109&lt;&gt;"Sim"),"Não",IF(AND($S109="",$W109&lt;&gt;"OK"),"Não","Sim")))</f>
        <v/>
      </c>
      <c r="Y109" s="14">
        <f>IF($C109="",0,IF(COUNTIFS($C$5:$C109,$C109,$D$5:$D109,$D109)=1,1,0))</f>
        <v/>
      </c>
      <c r="Z109" s="14">
        <f>IF($A109="","",IF(Config!$B$7-$T109&gt;2,"Arquivada",IF(Config!$B$7-$T109&gt;0,"Histórico","Ativa")))</f>
        <v/>
      </c>
      <c r="AA109" s="14">
        <f>IF($A109="",0,IF(AND(OR($F109="Ponto de atenção",$F109="Incidente"),$L109="Sim"),1,0))</f>
        <v/>
      </c>
      <c r="AB109" s="14">
        <f>IF(OR($C109="",$C109&lt;&gt;'1a1'!$B$4,$T109&lt;&gt;Config!$B$7),"",COUNTIFS($C$5:$C109,'1a1'!$B$4,$T$5:$T109,Config!$B$7))</f>
        <v/>
      </c>
    </row>
    <row r="110">
      <c r="A110" s="18" t="n"/>
      <c r="B110" s="19" t="n"/>
      <c r="C110" s="14">
        <f>IFERROR(INDEX(Pessoas!$A$5:$A$64,MATCH($B110,Pessoas!$B$5:$B$64,0)),"")</f>
        <v/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8" t="n"/>
      <c r="N110" s="19" t="n"/>
      <c r="O110" s="19" t="n"/>
      <c r="P110" s="19" t="n"/>
      <c r="Q110" s="20">
        <f>IF(OR($M110="",$P110=""),"",$M110+IF($P110="7 dias",7,IF($P110="14 dias",14,90)))</f>
        <v/>
      </c>
      <c r="R110" s="19" t="n"/>
      <c r="S110" s="19" t="n"/>
      <c r="T110" s="14">
        <f>IF($A110="","",YEAR($A110)*4+ROUNDUP(MONTH($A110)/3,0))</f>
        <v/>
      </c>
      <c r="U110" s="14">
        <f>IF($C110="","",$C110&amp;"|"&amp;$T110)</f>
        <v/>
      </c>
      <c r="V110" s="14">
        <f>IF($C110="","",$C110&amp;"|"&amp;$T110&amp;"|"&amp;$G110)</f>
        <v/>
      </c>
      <c r="W110" s="14">
        <f>IF($A110="","",IF(OR($B110="",$F110="",$G110="",$H110="",$I110=""),"Faltam campos básicos",IF(AND(OR($F110="Ponto de atenção",$F110="Incidente"),OR($K110="",$L110="",$O110="",$P110="")),"Faltam campos de sinalização","OK")))</f>
        <v/>
      </c>
      <c r="X110" s="14">
        <f>IF($A110="","",IF(AND(OR($F110="Ponto de atenção",$F110="Incidente"),$L110&lt;&gt;"Sim"),"Não",IF(AND($S110="",$W110&lt;&gt;"OK"),"Não","Sim")))</f>
        <v/>
      </c>
      <c r="Y110" s="14">
        <f>IF($C110="",0,IF(COUNTIFS($C$5:$C110,$C110,$D$5:$D110,$D110)=1,1,0))</f>
        <v/>
      </c>
      <c r="Z110" s="14">
        <f>IF($A110="","",IF(Config!$B$7-$T110&gt;2,"Arquivada",IF(Config!$B$7-$T110&gt;0,"Histórico","Ativa")))</f>
        <v/>
      </c>
      <c r="AA110" s="14">
        <f>IF($A110="",0,IF(AND(OR($F110="Ponto de atenção",$F110="Incidente"),$L110="Sim"),1,0))</f>
        <v/>
      </c>
      <c r="AB110" s="14">
        <f>IF(OR($C110="",$C110&lt;&gt;'1a1'!$B$4,$T110&lt;&gt;Config!$B$7),"",COUNTIFS($C$5:$C110,'1a1'!$B$4,$T$5:$T110,Config!$B$7))</f>
        <v/>
      </c>
    </row>
    <row r="111">
      <c r="A111" s="18" t="n"/>
      <c r="B111" s="19" t="n"/>
      <c r="C111" s="14">
        <f>IFERROR(INDEX(Pessoas!$A$5:$A$64,MATCH($B111,Pessoas!$B$5:$B$64,0)),"")</f>
        <v/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8" t="n"/>
      <c r="N111" s="19" t="n"/>
      <c r="O111" s="19" t="n"/>
      <c r="P111" s="19" t="n"/>
      <c r="Q111" s="20">
        <f>IF(OR($M111="",$P111=""),"",$M111+IF($P111="7 dias",7,IF($P111="14 dias",14,90)))</f>
        <v/>
      </c>
      <c r="R111" s="19" t="n"/>
      <c r="S111" s="19" t="n"/>
      <c r="T111" s="14">
        <f>IF($A111="","",YEAR($A111)*4+ROUNDUP(MONTH($A111)/3,0))</f>
        <v/>
      </c>
      <c r="U111" s="14">
        <f>IF($C111="","",$C111&amp;"|"&amp;$T111)</f>
        <v/>
      </c>
      <c r="V111" s="14">
        <f>IF($C111="","",$C111&amp;"|"&amp;$T111&amp;"|"&amp;$G111)</f>
        <v/>
      </c>
      <c r="W111" s="14">
        <f>IF($A111="","",IF(OR($B111="",$F111="",$G111="",$H111="",$I111=""),"Faltam campos básicos",IF(AND(OR($F111="Ponto de atenção",$F111="Incidente"),OR($K111="",$L111="",$O111="",$P111="")),"Faltam campos de sinalização","OK")))</f>
        <v/>
      </c>
      <c r="X111" s="14">
        <f>IF($A111="","",IF(AND(OR($F111="Ponto de atenção",$F111="Incidente"),$L111&lt;&gt;"Sim"),"Não",IF(AND($S111="",$W111&lt;&gt;"OK"),"Não","Sim")))</f>
        <v/>
      </c>
      <c r="Y111" s="14">
        <f>IF($C111="",0,IF(COUNTIFS($C$5:$C111,$C111,$D$5:$D111,$D111)=1,1,0))</f>
        <v/>
      </c>
      <c r="Z111" s="14">
        <f>IF($A111="","",IF(Config!$B$7-$T111&gt;2,"Arquivada",IF(Config!$B$7-$T111&gt;0,"Histórico","Ativa")))</f>
        <v/>
      </c>
      <c r="AA111" s="14">
        <f>IF($A111="",0,IF(AND(OR($F111="Ponto de atenção",$F111="Incidente"),$L111="Sim"),1,0))</f>
        <v/>
      </c>
      <c r="AB111" s="14">
        <f>IF(OR($C111="",$C111&lt;&gt;'1a1'!$B$4,$T111&lt;&gt;Config!$B$7),"",COUNTIFS($C$5:$C111,'1a1'!$B$4,$T$5:$T111,Config!$B$7))</f>
        <v/>
      </c>
    </row>
    <row r="112">
      <c r="A112" s="18" t="n"/>
      <c r="B112" s="19" t="n"/>
      <c r="C112" s="14">
        <f>IFERROR(INDEX(Pessoas!$A$5:$A$64,MATCH($B112,Pessoas!$B$5:$B$64,0)),"")</f>
        <v/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8" t="n"/>
      <c r="N112" s="19" t="n"/>
      <c r="O112" s="19" t="n"/>
      <c r="P112" s="19" t="n"/>
      <c r="Q112" s="20">
        <f>IF(OR($M112="",$P112=""),"",$M112+IF($P112="7 dias",7,IF($P112="14 dias",14,90)))</f>
        <v/>
      </c>
      <c r="R112" s="19" t="n"/>
      <c r="S112" s="19" t="n"/>
      <c r="T112" s="14">
        <f>IF($A112="","",YEAR($A112)*4+ROUNDUP(MONTH($A112)/3,0))</f>
        <v/>
      </c>
      <c r="U112" s="14">
        <f>IF($C112="","",$C112&amp;"|"&amp;$T112)</f>
        <v/>
      </c>
      <c r="V112" s="14">
        <f>IF($C112="","",$C112&amp;"|"&amp;$T112&amp;"|"&amp;$G112)</f>
        <v/>
      </c>
      <c r="W112" s="14">
        <f>IF($A112="","",IF(OR($B112="",$F112="",$G112="",$H112="",$I112=""),"Faltam campos básicos",IF(AND(OR($F112="Ponto de atenção",$F112="Incidente"),OR($K112="",$L112="",$O112="",$P112="")),"Faltam campos de sinalização","OK")))</f>
        <v/>
      </c>
      <c r="X112" s="14">
        <f>IF($A112="","",IF(AND(OR($F112="Ponto de atenção",$F112="Incidente"),$L112&lt;&gt;"Sim"),"Não",IF(AND($S112="",$W112&lt;&gt;"OK"),"Não","Sim")))</f>
        <v/>
      </c>
      <c r="Y112" s="14">
        <f>IF($C112="",0,IF(COUNTIFS($C$5:$C112,$C112,$D$5:$D112,$D112)=1,1,0))</f>
        <v/>
      </c>
      <c r="Z112" s="14">
        <f>IF($A112="","",IF(Config!$B$7-$T112&gt;2,"Arquivada",IF(Config!$B$7-$T112&gt;0,"Histórico","Ativa")))</f>
        <v/>
      </c>
      <c r="AA112" s="14">
        <f>IF($A112="",0,IF(AND(OR($F112="Ponto de atenção",$F112="Incidente"),$L112="Sim"),1,0))</f>
        <v/>
      </c>
      <c r="AB112" s="14">
        <f>IF(OR($C112="",$C112&lt;&gt;'1a1'!$B$4,$T112&lt;&gt;Config!$B$7),"",COUNTIFS($C$5:$C112,'1a1'!$B$4,$T$5:$T112,Config!$B$7))</f>
        <v/>
      </c>
    </row>
    <row r="113">
      <c r="A113" s="18" t="n"/>
      <c r="B113" s="19" t="n"/>
      <c r="C113" s="14">
        <f>IFERROR(INDEX(Pessoas!$A$5:$A$64,MATCH($B113,Pessoas!$B$5:$B$64,0)),"")</f>
        <v/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8" t="n"/>
      <c r="N113" s="19" t="n"/>
      <c r="O113" s="19" t="n"/>
      <c r="P113" s="19" t="n"/>
      <c r="Q113" s="20">
        <f>IF(OR($M113="",$P113=""),"",$M113+IF($P113="7 dias",7,IF($P113="14 dias",14,90)))</f>
        <v/>
      </c>
      <c r="R113" s="19" t="n"/>
      <c r="S113" s="19" t="n"/>
      <c r="T113" s="14">
        <f>IF($A113="","",YEAR($A113)*4+ROUNDUP(MONTH($A113)/3,0))</f>
        <v/>
      </c>
      <c r="U113" s="14">
        <f>IF($C113="","",$C113&amp;"|"&amp;$T113)</f>
        <v/>
      </c>
      <c r="V113" s="14">
        <f>IF($C113="","",$C113&amp;"|"&amp;$T113&amp;"|"&amp;$G113)</f>
        <v/>
      </c>
      <c r="W113" s="14">
        <f>IF($A113="","",IF(OR($B113="",$F113="",$G113="",$H113="",$I113=""),"Faltam campos básicos",IF(AND(OR($F113="Ponto de atenção",$F113="Incidente"),OR($K113="",$L113="",$O113="",$P113="")),"Faltam campos de sinalização","OK")))</f>
        <v/>
      </c>
      <c r="X113" s="14">
        <f>IF($A113="","",IF(AND(OR($F113="Ponto de atenção",$F113="Incidente"),$L113&lt;&gt;"Sim"),"Não",IF(AND($S113="",$W113&lt;&gt;"OK"),"Não","Sim")))</f>
        <v/>
      </c>
      <c r="Y113" s="14">
        <f>IF($C113="",0,IF(COUNTIFS($C$5:$C113,$C113,$D$5:$D113,$D113)=1,1,0))</f>
        <v/>
      </c>
      <c r="Z113" s="14">
        <f>IF($A113="","",IF(Config!$B$7-$T113&gt;2,"Arquivada",IF(Config!$B$7-$T113&gt;0,"Histórico","Ativa")))</f>
        <v/>
      </c>
      <c r="AA113" s="14">
        <f>IF($A113="",0,IF(AND(OR($F113="Ponto de atenção",$F113="Incidente"),$L113="Sim"),1,0))</f>
        <v/>
      </c>
      <c r="AB113" s="14">
        <f>IF(OR($C113="",$C113&lt;&gt;'1a1'!$B$4,$T113&lt;&gt;Config!$B$7),"",COUNTIFS($C$5:$C113,'1a1'!$B$4,$T$5:$T113,Config!$B$7))</f>
        <v/>
      </c>
    </row>
    <row r="114">
      <c r="A114" s="18" t="n"/>
      <c r="B114" s="19" t="n"/>
      <c r="C114" s="14">
        <f>IFERROR(INDEX(Pessoas!$A$5:$A$64,MATCH($B114,Pessoas!$B$5:$B$64,0)),"")</f>
        <v/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8" t="n"/>
      <c r="N114" s="19" t="n"/>
      <c r="O114" s="19" t="n"/>
      <c r="P114" s="19" t="n"/>
      <c r="Q114" s="20">
        <f>IF(OR($M114="",$P114=""),"",$M114+IF($P114="7 dias",7,IF($P114="14 dias",14,90)))</f>
        <v/>
      </c>
      <c r="R114" s="19" t="n"/>
      <c r="S114" s="19" t="n"/>
      <c r="T114" s="14">
        <f>IF($A114="","",YEAR($A114)*4+ROUNDUP(MONTH($A114)/3,0))</f>
        <v/>
      </c>
      <c r="U114" s="14">
        <f>IF($C114="","",$C114&amp;"|"&amp;$T114)</f>
        <v/>
      </c>
      <c r="V114" s="14">
        <f>IF($C114="","",$C114&amp;"|"&amp;$T114&amp;"|"&amp;$G114)</f>
        <v/>
      </c>
      <c r="W114" s="14">
        <f>IF($A114="","",IF(OR($B114="",$F114="",$G114="",$H114="",$I114=""),"Faltam campos básicos",IF(AND(OR($F114="Ponto de atenção",$F114="Incidente"),OR($K114="",$L114="",$O114="",$P114="")),"Faltam campos de sinalização","OK")))</f>
        <v/>
      </c>
      <c r="X114" s="14">
        <f>IF($A114="","",IF(AND(OR($F114="Ponto de atenção",$F114="Incidente"),$L114&lt;&gt;"Sim"),"Não",IF(AND($S114="",$W114&lt;&gt;"OK"),"Não","Sim")))</f>
        <v/>
      </c>
      <c r="Y114" s="14">
        <f>IF($C114="",0,IF(COUNTIFS($C$5:$C114,$C114,$D$5:$D114,$D114)=1,1,0))</f>
        <v/>
      </c>
      <c r="Z114" s="14">
        <f>IF($A114="","",IF(Config!$B$7-$T114&gt;2,"Arquivada",IF(Config!$B$7-$T114&gt;0,"Histórico","Ativa")))</f>
        <v/>
      </c>
      <c r="AA114" s="14">
        <f>IF($A114="",0,IF(AND(OR($F114="Ponto de atenção",$F114="Incidente"),$L114="Sim"),1,0))</f>
        <v/>
      </c>
      <c r="AB114" s="14">
        <f>IF(OR($C114="",$C114&lt;&gt;'1a1'!$B$4,$T114&lt;&gt;Config!$B$7),"",COUNTIFS($C$5:$C114,'1a1'!$B$4,$T$5:$T114,Config!$B$7))</f>
        <v/>
      </c>
    </row>
    <row r="115">
      <c r="A115" s="18" t="n"/>
      <c r="B115" s="19" t="n"/>
      <c r="C115" s="14">
        <f>IFERROR(INDEX(Pessoas!$A$5:$A$64,MATCH($B115,Pessoas!$B$5:$B$64,0)),"")</f>
        <v/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8" t="n"/>
      <c r="N115" s="19" t="n"/>
      <c r="O115" s="19" t="n"/>
      <c r="P115" s="19" t="n"/>
      <c r="Q115" s="20">
        <f>IF(OR($M115="",$P115=""),"",$M115+IF($P115="7 dias",7,IF($P115="14 dias",14,90)))</f>
        <v/>
      </c>
      <c r="R115" s="19" t="n"/>
      <c r="S115" s="19" t="n"/>
      <c r="T115" s="14">
        <f>IF($A115="","",YEAR($A115)*4+ROUNDUP(MONTH($A115)/3,0))</f>
        <v/>
      </c>
      <c r="U115" s="14">
        <f>IF($C115="","",$C115&amp;"|"&amp;$T115)</f>
        <v/>
      </c>
      <c r="V115" s="14">
        <f>IF($C115="","",$C115&amp;"|"&amp;$T115&amp;"|"&amp;$G115)</f>
        <v/>
      </c>
      <c r="W115" s="14">
        <f>IF($A115="","",IF(OR($B115="",$F115="",$G115="",$H115="",$I115=""),"Faltam campos básicos",IF(AND(OR($F115="Ponto de atenção",$F115="Incidente"),OR($K115="",$L115="",$O115="",$P115="")),"Faltam campos de sinalização","OK")))</f>
        <v/>
      </c>
      <c r="X115" s="14">
        <f>IF($A115="","",IF(AND(OR($F115="Ponto de atenção",$F115="Incidente"),$L115&lt;&gt;"Sim"),"Não",IF(AND($S115="",$W115&lt;&gt;"OK"),"Não","Sim")))</f>
        <v/>
      </c>
      <c r="Y115" s="14">
        <f>IF($C115="",0,IF(COUNTIFS($C$5:$C115,$C115,$D$5:$D115,$D115)=1,1,0))</f>
        <v/>
      </c>
      <c r="Z115" s="14">
        <f>IF($A115="","",IF(Config!$B$7-$T115&gt;2,"Arquivada",IF(Config!$B$7-$T115&gt;0,"Histórico","Ativa")))</f>
        <v/>
      </c>
      <c r="AA115" s="14">
        <f>IF($A115="",0,IF(AND(OR($F115="Ponto de atenção",$F115="Incidente"),$L115="Sim"),1,0))</f>
        <v/>
      </c>
      <c r="AB115" s="14">
        <f>IF(OR($C115="",$C115&lt;&gt;'1a1'!$B$4,$T115&lt;&gt;Config!$B$7),"",COUNTIFS($C$5:$C115,'1a1'!$B$4,$T$5:$T115,Config!$B$7))</f>
        <v/>
      </c>
    </row>
    <row r="116">
      <c r="A116" s="18" t="n"/>
      <c r="B116" s="19" t="n"/>
      <c r="C116" s="14">
        <f>IFERROR(INDEX(Pessoas!$A$5:$A$64,MATCH($B116,Pessoas!$B$5:$B$64,0)),"")</f>
        <v/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8" t="n"/>
      <c r="N116" s="19" t="n"/>
      <c r="O116" s="19" t="n"/>
      <c r="P116" s="19" t="n"/>
      <c r="Q116" s="20">
        <f>IF(OR($M116="",$P116=""),"",$M116+IF($P116="7 dias",7,IF($P116="14 dias",14,90)))</f>
        <v/>
      </c>
      <c r="R116" s="19" t="n"/>
      <c r="S116" s="19" t="n"/>
      <c r="T116" s="14">
        <f>IF($A116="","",YEAR($A116)*4+ROUNDUP(MONTH($A116)/3,0))</f>
        <v/>
      </c>
      <c r="U116" s="14">
        <f>IF($C116="","",$C116&amp;"|"&amp;$T116)</f>
        <v/>
      </c>
      <c r="V116" s="14">
        <f>IF($C116="","",$C116&amp;"|"&amp;$T116&amp;"|"&amp;$G116)</f>
        <v/>
      </c>
      <c r="W116" s="14">
        <f>IF($A116="","",IF(OR($B116="",$F116="",$G116="",$H116="",$I116=""),"Faltam campos básicos",IF(AND(OR($F116="Ponto de atenção",$F116="Incidente"),OR($K116="",$L116="",$O116="",$P116="")),"Faltam campos de sinalização","OK")))</f>
        <v/>
      </c>
      <c r="X116" s="14">
        <f>IF($A116="","",IF(AND(OR($F116="Ponto de atenção",$F116="Incidente"),$L116&lt;&gt;"Sim"),"Não",IF(AND($S116="",$W116&lt;&gt;"OK"),"Não","Sim")))</f>
        <v/>
      </c>
      <c r="Y116" s="14">
        <f>IF($C116="",0,IF(COUNTIFS($C$5:$C116,$C116,$D$5:$D116,$D116)=1,1,0))</f>
        <v/>
      </c>
      <c r="Z116" s="14">
        <f>IF($A116="","",IF(Config!$B$7-$T116&gt;2,"Arquivada",IF(Config!$B$7-$T116&gt;0,"Histórico","Ativa")))</f>
        <v/>
      </c>
      <c r="AA116" s="14">
        <f>IF($A116="",0,IF(AND(OR($F116="Ponto de atenção",$F116="Incidente"),$L116="Sim"),1,0))</f>
        <v/>
      </c>
      <c r="AB116" s="14">
        <f>IF(OR($C116="",$C116&lt;&gt;'1a1'!$B$4,$T116&lt;&gt;Config!$B$7),"",COUNTIFS($C$5:$C116,'1a1'!$B$4,$T$5:$T116,Config!$B$7))</f>
        <v/>
      </c>
    </row>
    <row r="117">
      <c r="A117" s="18" t="n"/>
      <c r="B117" s="19" t="n"/>
      <c r="C117" s="14">
        <f>IFERROR(INDEX(Pessoas!$A$5:$A$64,MATCH($B117,Pessoas!$B$5:$B$64,0)),"")</f>
        <v/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8" t="n"/>
      <c r="N117" s="19" t="n"/>
      <c r="O117" s="19" t="n"/>
      <c r="P117" s="19" t="n"/>
      <c r="Q117" s="20">
        <f>IF(OR($M117="",$P117=""),"",$M117+IF($P117="7 dias",7,IF($P117="14 dias",14,90)))</f>
        <v/>
      </c>
      <c r="R117" s="19" t="n"/>
      <c r="S117" s="19" t="n"/>
      <c r="T117" s="14">
        <f>IF($A117="","",YEAR($A117)*4+ROUNDUP(MONTH($A117)/3,0))</f>
        <v/>
      </c>
      <c r="U117" s="14">
        <f>IF($C117="","",$C117&amp;"|"&amp;$T117)</f>
        <v/>
      </c>
      <c r="V117" s="14">
        <f>IF($C117="","",$C117&amp;"|"&amp;$T117&amp;"|"&amp;$G117)</f>
        <v/>
      </c>
      <c r="W117" s="14">
        <f>IF($A117="","",IF(OR($B117="",$F117="",$G117="",$H117="",$I117=""),"Faltam campos básicos",IF(AND(OR($F117="Ponto de atenção",$F117="Incidente"),OR($K117="",$L117="",$O117="",$P117="")),"Faltam campos de sinalização","OK")))</f>
        <v/>
      </c>
      <c r="X117" s="14">
        <f>IF($A117="","",IF(AND(OR($F117="Ponto de atenção",$F117="Incidente"),$L117&lt;&gt;"Sim"),"Não",IF(AND($S117="",$W117&lt;&gt;"OK"),"Não","Sim")))</f>
        <v/>
      </c>
      <c r="Y117" s="14">
        <f>IF($C117="",0,IF(COUNTIFS($C$5:$C117,$C117,$D$5:$D117,$D117)=1,1,0))</f>
        <v/>
      </c>
      <c r="Z117" s="14">
        <f>IF($A117="","",IF(Config!$B$7-$T117&gt;2,"Arquivada",IF(Config!$B$7-$T117&gt;0,"Histórico","Ativa")))</f>
        <v/>
      </c>
      <c r="AA117" s="14">
        <f>IF($A117="",0,IF(AND(OR($F117="Ponto de atenção",$F117="Incidente"),$L117="Sim"),1,0))</f>
        <v/>
      </c>
      <c r="AB117" s="14">
        <f>IF(OR($C117="",$C117&lt;&gt;'1a1'!$B$4,$T117&lt;&gt;Config!$B$7),"",COUNTIFS($C$5:$C117,'1a1'!$B$4,$T$5:$T117,Config!$B$7))</f>
        <v/>
      </c>
    </row>
    <row r="118">
      <c r="A118" s="18" t="n"/>
      <c r="B118" s="19" t="n"/>
      <c r="C118" s="14">
        <f>IFERROR(INDEX(Pessoas!$A$5:$A$64,MATCH($B118,Pessoas!$B$5:$B$64,0)),"")</f>
        <v/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8" t="n"/>
      <c r="N118" s="19" t="n"/>
      <c r="O118" s="19" t="n"/>
      <c r="P118" s="19" t="n"/>
      <c r="Q118" s="20">
        <f>IF(OR($M118="",$P118=""),"",$M118+IF($P118="7 dias",7,IF($P118="14 dias",14,90)))</f>
        <v/>
      </c>
      <c r="R118" s="19" t="n"/>
      <c r="S118" s="19" t="n"/>
      <c r="T118" s="14">
        <f>IF($A118="","",YEAR($A118)*4+ROUNDUP(MONTH($A118)/3,0))</f>
        <v/>
      </c>
      <c r="U118" s="14">
        <f>IF($C118="","",$C118&amp;"|"&amp;$T118)</f>
        <v/>
      </c>
      <c r="V118" s="14">
        <f>IF($C118="","",$C118&amp;"|"&amp;$T118&amp;"|"&amp;$G118)</f>
        <v/>
      </c>
      <c r="W118" s="14">
        <f>IF($A118="","",IF(OR($B118="",$F118="",$G118="",$H118="",$I118=""),"Faltam campos básicos",IF(AND(OR($F118="Ponto de atenção",$F118="Incidente"),OR($K118="",$L118="",$O118="",$P118="")),"Faltam campos de sinalização","OK")))</f>
        <v/>
      </c>
      <c r="X118" s="14">
        <f>IF($A118="","",IF(AND(OR($F118="Ponto de atenção",$F118="Incidente"),$L118&lt;&gt;"Sim"),"Não",IF(AND($S118="",$W118&lt;&gt;"OK"),"Não","Sim")))</f>
        <v/>
      </c>
      <c r="Y118" s="14">
        <f>IF($C118="",0,IF(COUNTIFS($C$5:$C118,$C118,$D$5:$D118,$D118)=1,1,0))</f>
        <v/>
      </c>
      <c r="Z118" s="14">
        <f>IF($A118="","",IF(Config!$B$7-$T118&gt;2,"Arquivada",IF(Config!$B$7-$T118&gt;0,"Histórico","Ativa")))</f>
        <v/>
      </c>
      <c r="AA118" s="14">
        <f>IF($A118="",0,IF(AND(OR($F118="Ponto de atenção",$F118="Incidente"),$L118="Sim"),1,0))</f>
        <v/>
      </c>
      <c r="AB118" s="14">
        <f>IF(OR($C118="",$C118&lt;&gt;'1a1'!$B$4,$T118&lt;&gt;Config!$B$7),"",COUNTIFS($C$5:$C118,'1a1'!$B$4,$T$5:$T118,Config!$B$7))</f>
        <v/>
      </c>
    </row>
    <row r="119">
      <c r="A119" s="18" t="n"/>
      <c r="B119" s="19" t="n"/>
      <c r="C119" s="14">
        <f>IFERROR(INDEX(Pessoas!$A$5:$A$64,MATCH($B119,Pessoas!$B$5:$B$64,0)),"")</f>
        <v/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8" t="n"/>
      <c r="N119" s="19" t="n"/>
      <c r="O119" s="19" t="n"/>
      <c r="P119" s="19" t="n"/>
      <c r="Q119" s="20">
        <f>IF(OR($M119="",$P119=""),"",$M119+IF($P119="7 dias",7,IF($P119="14 dias",14,90)))</f>
        <v/>
      </c>
      <c r="R119" s="19" t="n"/>
      <c r="S119" s="19" t="n"/>
      <c r="T119" s="14">
        <f>IF($A119="","",YEAR($A119)*4+ROUNDUP(MONTH($A119)/3,0))</f>
        <v/>
      </c>
      <c r="U119" s="14">
        <f>IF($C119="","",$C119&amp;"|"&amp;$T119)</f>
        <v/>
      </c>
      <c r="V119" s="14">
        <f>IF($C119="","",$C119&amp;"|"&amp;$T119&amp;"|"&amp;$G119)</f>
        <v/>
      </c>
      <c r="W119" s="14">
        <f>IF($A119="","",IF(OR($B119="",$F119="",$G119="",$H119="",$I119=""),"Faltam campos básicos",IF(AND(OR($F119="Ponto de atenção",$F119="Incidente"),OR($K119="",$L119="",$O119="",$P119="")),"Faltam campos de sinalização","OK")))</f>
        <v/>
      </c>
      <c r="X119" s="14">
        <f>IF($A119="","",IF(AND(OR($F119="Ponto de atenção",$F119="Incidente"),$L119&lt;&gt;"Sim"),"Não",IF(AND($S119="",$W119&lt;&gt;"OK"),"Não","Sim")))</f>
        <v/>
      </c>
      <c r="Y119" s="14">
        <f>IF($C119="",0,IF(COUNTIFS($C$5:$C119,$C119,$D$5:$D119,$D119)=1,1,0))</f>
        <v/>
      </c>
      <c r="Z119" s="14">
        <f>IF($A119="","",IF(Config!$B$7-$T119&gt;2,"Arquivada",IF(Config!$B$7-$T119&gt;0,"Histórico","Ativa")))</f>
        <v/>
      </c>
      <c r="AA119" s="14">
        <f>IF($A119="",0,IF(AND(OR($F119="Ponto de atenção",$F119="Incidente"),$L119="Sim"),1,0))</f>
        <v/>
      </c>
      <c r="AB119" s="14">
        <f>IF(OR($C119="",$C119&lt;&gt;'1a1'!$B$4,$T119&lt;&gt;Config!$B$7),"",COUNTIFS($C$5:$C119,'1a1'!$B$4,$T$5:$T119,Config!$B$7))</f>
        <v/>
      </c>
    </row>
    <row r="120">
      <c r="A120" s="18" t="n"/>
      <c r="B120" s="19" t="n"/>
      <c r="C120" s="14">
        <f>IFERROR(INDEX(Pessoas!$A$5:$A$64,MATCH($B120,Pessoas!$B$5:$B$64,0)),"")</f>
        <v/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8" t="n"/>
      <c r="N120" s="19" t="n"/>
      <c r="O120" s="19" t="n"/>
      <c r="P120" s="19" t="n"/>
      <c r="Q120" s="20">
        <f>IF(OR($M120="",$P120=""),"",$M120+IF($P120="7 dias",7,IF($P120="14 dias",14,90)))</f>
        <v/>
      </c>
      <c r="R120" s="19" t="n"/>
      <c r="S120" s="19" t="n"/>
      <c r="T120" s="14">
        <f>IF($A120="","",YEAR($A120)*4+ROUNDUP(MONTH($A120)/3,0))</f>
        <v/>
      </c>
      <c r="U120" s="14">
        <f>IF($C120="","",$C120&amp;"|"&amp;$T120)</f>
        <v/>
      </c>
      <c r="V120" s="14">
        <f>IF($C120="","",$C120&amp;"|"&amp;$T120&amp;"|"&amp;$G120)</f>
        <v/>
      </c>
      <c r="W120" s="14">
        <f>IF($A120="","",IF(OR($B120="",$F120="",$G120="",$H120="",$I120=""),"Faltam campos básicos",IF(AND(OR($F120="Ponto de atenção",$F120="Incidente"),OR($K120="",$L120="",$O120="",$P120="")),"Faltam campos de sinalização","OK")))</f>
        <v/>
      </c>
      <c r="X120" s="14">
        <f>IF($A120="","",IF(AND(OR($F120="Ponto de atenção",$F120="Incidente"),$L120&lt;&gt;"Sim"),"Não",IF(AND($S120="",$W120&lt;&gt;"OK"),"Não","Sim")))</f>
        <v/>
      </c>
      <c r="Y120" s="14">
        <f>IF($C120="",0,IF(COUNTIFS($C$5:$C120,$C120,$D$5:$D120,$D120)=1,1,0))</f>
        <v/>
      </c>
      <c r="Z120" s="14">
        <f>IF($A120="","",IF(Config!$B$7-$T120&gt;2,"Arquivada",IF(Config!$B$7-$T120&gt;0,"Histórico","Ativa")))</f>
        <v/>
      </c>
      <c r="AA120" s="14">
        <f>IF($A120="",0,IF(AND(OR($F120="Ponto de atenção",$F120="Incidente"),$L120="Sim"),1,0))</f>
        <v/>
      </c>
      <c r="AB120" s="14">
        <f>IF(OR($C120="",$C120&lt;&gt;'1a1'!$B$4,$T120&lt;&gt;Config!$B$7),"",COUNTIFS($C$5:$C120,'1a1'!$B$4,$T$5:$T120,Config!$B$7))</f>
        <v/>
      </c>
    </row>
    <row r="121">
      <c r="A121" s="18" t="n"/>
      <c r="B121" s="19" t="n"/>
      <c r="C121" s="14">
        <f>IFERROR(INDEX(Pessoas!$A$5:$A$64,MATCH($B121,Pessoas!$B$5:$B$64,0)),"")</f>
        <v/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8" t="n"/>
      <c r="N121" s="19" t="n"/>
      <c r="O121" s="19" t="n"/>
      <c r="P121" s="19" t="n"/>
      <c r="Q121" s="20">
        <f>IF(OR($M121="",$P121=""),"",$M121+IF($P121="7 dias",7,IF($P121="14 dias",14,90)))</f>
        <v/>
      </c>
      <c r="R121" s="19" t="n"/>
      <c r="S121" s="19" t="n"/>
      <c r="T121" s="14">
        <f>IF($A121="","",YEAR($A121)*4+ROUNDUP(MONTH($A121)/3,0))</f>
        <v/>
      </c>
      <c r="U121" s="14">
        <f>IF($C121="","",$C121&amp;"|"&amp;$T121)</f>
        <v/>
      </c>
      <c r="V121" s="14">
        <f>IF($C121="","",$C121&amp;"|"&amp;$T121&amp;"|"&amp;$G121)</f>
        <v/>
      </c>
      <c r="W121" s="14">
        <f>IF($A121="","",IF(OR($B121="",$F121="",$G121="",$H121="",$I121=""),"Faltam campos básicos",IF(AND(OR($F121="Ponto de atenção",$F121="Incidente"),OR($K121="",$L121="",$O121="",$P121="")),"Faltam campos de sinalização","OK")))</f>
        <v/>
      </c>
      <c r="X121" s="14">
        <f>IF($A121="","",IF(AND(OR($F121="Ponto de atenção",$F121="Incidente"),$L121&lt;&gt;"Sim"),"Não",IF(AND($S121="",$W121&lt;&gt;"OK"),"Não","Sim")))</f>
        <v/>
      </c>
      <c r="Y121" s="14">
        <f>IF($C121="",0,IF(COUNTIFS($C$5:$C121,$C121,$D$5:$D121,$D121)=1,1,0))</f>
        <v/>
      </c>
      <c r="Z121" s="14">
        <f>IF($A121="","",IF(Config!$B$7-$T121&gt;2,"Arquivada",IF(Config!$B$7-$T121&gt;0,"Histórico","Ativa")))</f>
        <v/>
      </c>
      <c r="AA121" s="14">
        <f>IF($A121="",0,IF(AND(OR($F121="Ponto de atenção",$F121="Incidente"),$L121="Sim"),1,0))</f>
        <v/>
      </c>
      <c r="AB121" s="14">
        <f>IF(OR($C121="",$C121&lt;&gt;'1a1'!$B$4,$T121&lt;&gt;Config!$B$7),"",COUNTIFS($C$5:$C121,'1a1'!$B$4,$T$5:$T121,Config!$B$7))</f>
        <v/>
      </c>
    </row>
    <row r="122">
      <c r="A122" s="18" t="n"/>
      <c r="B122" s="19" t="n"/>
      <c r="C122" s="14">
        <f>IFERROR(INDEX(Pessoas!$A$5:$A$64,MATCH($B122,Pessoas!$B$5:$B$64,0)),"")</f>
        <v/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8" t="n"/>
      <c r="N122" s="19" t="n"/>
      <c r="O122" s="19" t="n"/>
      <c r="P122" s="19" t="n"/>
      <c r="Q122" s="20">
        <f>IF(OR($M122="",$P122=""),"",$M122+IF($P122="7 dias",7,IF($P122="14 dias",14,90)))</f>
        <v/>
      </c>
      <c r="R122" s="19" t="n"/>
      <c r="S122" s="19" t="n"/>
      <c r="T122" s="14">
        <f>IF($A122="","",YEAR($A122)*4+ROUNDUP(MONTH($A122)/3,0))</f>
        <v/>
      </c>
      <c r="U122" s="14">
        <f>IF($C122="","",$C122&amp;"|"&amp;$T122)</f>
        <v/>
      </c>
      <c r="V122" s="14">
        <f>IF($C122="","",$C122&amp;"|"&amp;$T122&amp;"|"&amp;$G122)</f>
        <v/>
      </c>
      <c r="W122" s="14">
        <f>IF($A122="","",IF(OR($B122="",$F122="",$G122="",$H122="",$I122=""),"Faltam campos básicos",IF(AND(OR($F122="Ponto de atenção",$F122="Incidente"),OR($K122="",$L122="",$O122="",$P122="")),"Faltam campos de sinalização","OK")))</f>
        <v/>
      </c>
      <c r="X122" s="14">
        <f>IF($A122="","",IF(AND(OR($F122="Ponto de atenção",$F122="Incidente"),$L122&lt;&gt;"Sim"),"Não",IF(AND($S122="",$W122&lt;&gt;"OK"),"Não","Sim")))</f>
        <v/>
      </c>
      <c r="Y122" s="14">
        <f>IF($C122="",0,IF(COUNTIFS($C$5:$C122,$C122,$D$5:$D122,$D122)=1,1,0))</f>
        <v/>
      </c>
      <c r="Z122" s="14">
        <f>IF($A122="","",IF(Config!$B$7-$T122&gt;2,"Arquivada",IF(Config!$B$7-$T122&gt;0,"Histórico","Ativa")))</f>
        <v/>
      </c>
      <c r="AA122" s="14">
        <f>IF($A122="",0,IF(AND(OR($F122="Ponto de atenção",$F122="Incidente"),$L122="Sim"),1,0))</f>
        <v/>
      </c>
      <c r="AB122" s="14">
        <f>IF(OR($C122="",$C122&lt;&gt;'1a1'!$B$4,$T122&lt;&gt;Config!$B$7),"",COUNTIFS($C$5:$C122,'1a1'!$B$4,$T$5:$T122,Config!$B$7))</f>
        <v/>
      </c>
    </row>
    <row r="123">
      <c r="A123" s="18" t="n"/>
      <c r="B123" s="19" t="n"/>
      <c r="C123" s="14">
        <f>IFERROR(INDEX(Pessoas!$A$5:$A$64,MATCH($B123,Pessoas!$B$5:$B$64,0)),"")</f>
        <v/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8" t="n"/>
      <c r="N123" s="19" t="n"/>
      <c r="O123" s="19" t="n"/>
      <c r="P123" s="19" t="n"/>
      <c r="Q123" s="20">
        <f>IF(OR($M123="",$P123=""),"",$M123+IF($P123="7 dias",7,IF($P123="14 dias",14,90)))</f>
        <v/>
      </c>
      <c r="R123" s="19" t="n"/>
      <c r="S123" s="19" t="n"/>
      <c r="T123" s="14">
        <f>IF($A123="","",YEAR($A123)*4+ROUNDUP(MONTH($A123)/3,0))</f>
        <v/>
      </c>
      <c r="U123" s="14">
        <f>IF($C123="","",$C123&amp;"|"&amp;$T123)</f>
        <v/>
      </c>
      <c r="V123" s="14">
        <f>IF($C123="","",$C123&amp;"|"&amp;$T123&amp;"|"&amp;$G123)</f>
        <v/>
      </c>
      <c r="W123" s="14">
        <f>IF($A123="","",IF(OR($B123="",$F123="",$G123="",$H123="",$I123=""),"Faltam campos básicos",IF(AND(OR($F123="Ponto de atenção",$F123="Incidente"),OR($K123="",$L123="",$O123="",$P123="")),"Faltam campos de sinalização","OK")))</f>
        <v/>
      </c>
      <c r="X123" s="14">
        <f>IF($A123="","",IF(AND(OR($F123="Ponto de atenção",$F123="Incidente"),$L123&lt;&gt;"Sim"),"Não",IF(AND($S123="",$W123&lt;&gt;"OK"),"Não","Sim")))</f>
        <v/>
      </c>
      <c r="Y123" s="14">
        <f>IF($C123="",0,IF(COUNTIFS($C$5:$C123,$C123,$D$5:$D123,$D123)=1,1,0))</f>
        <v/>
      </c>
      <c r="Z123" s="14">
        <f>IF($A123="","",IF(Config!$B$7-$T123&gt;2,"Arquivada",IF(Config!$B$7-$T123&gt;0,"Histórico","Ativa")))</f>
        <v/>
      </c>
      <c r="AA123" s="14">
        <f>IF($A123="",0,IF(AND(OR($F123="Ponto de atenção",$F123="Incidente"),$L123="Sim"),1,0))</f>
        <v/>
      </c>
      <c r="AB123" s="14">
        <f>IF(OR($C123="",$C123&lt;&gt;'1a1'!$B$4,$T123&lt;&gt;Config!$B$7),"",COUNTIFS($C$5:$C123,'1a1'!$B$4,$T$5:$T123,Config!$B$7))</f>
        <v/>
      </c>
    </row>
    <row r="124">
      <c r="A124" s="18" t="n"/>
      <c r="B124" s="19" t="n"/>
      <c r="C124" s="14">
        <f>IFERROR(INDEX(Pessoas!$A$5:$A$64,MATCH($B124,Pessoas!$B$5:$B$64,0)),"")</f>
        <v/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8" t="n"/>
      <c r="N124" s="19" t="n"/>
      <c r="O124" s="19" t="n"/>
      <c r="P124" s="19" t="n"/>
      <c r="Q124" s="20">
        <f>IF(OR($M124="",$P124=""),"",$M124+IF($P124="7 dias",7,IF($P124="14 dias",14,90)))</f>
        <v/>
      </c>
      <c r="R124" s="19" t="n"/>
      <c r="S124" s="19" t="n"/>
      <c r="T124" s="14">
        <f>IF($A124="","",YEAR($A124)*4+ROUNDUP(MONTH($A124)/3,0))</f>
        <v/>
      </c>
      <c r="U124" s="14">
        <f>IF($C124="","",$C124&amp;"|"&amp;$T124)</f>
        <v/>
      </c>
      <c r="V124" s="14">
        <f>IF($C124="","",$C124&amp;"|"&amp;$T124&amp;"|"&amp;$G124)</f>
        <v/>
      </c>
      <c r="W124" s="14">
        <f>IF($A124="","",IF(OR($B124="",$F124="",$G124="",$H124="",$I124=""),"Faltam campos básicos",IF(AND(OR($F124="Ponto de atenção",$F124="Incidente"),OR($K124="",$L124="",$O124="",$P124="")),"Faltam campos de sinalização","OK")))</f>
        <v/>
      </c>
      <c r="X124" s="14">
        <f>IF($A124="","",IF(AND(OR($F124="Ponto de atenção",$F124="Incidente"),$L124&lt;&gt;"Sim"),"Não",IF(AND($S124="",$W124&lt;&gt;"OK"),"Não","Sim")))</f>
        <v/>
      </c>
      <c r="Y124" s="14">
        <f>IF($C124="",0,IF(COUNTIFS($C$5:$C124,$C124,$D$5:$D124,$D124)=1,1,0))</f>
        <v/>
      </c>
      <c r="Z124" s="14">
        <f>IF($A124="","",IF(Config!$B$7-$T124&gt;2,"Arquivada",IF(Config!$B$7-$T124&gt;0,"Histórico","Ativa")))</f>
        <v/>
      </c>
      <c r="AA124" s="14">
        <f>IF($A124="",0,IF(AND(OR($F124="Ponto de atenção",$F124="Incidente"),$L124="Sim"),1,0))</f>
        <v/>
      </c>
      <c r="AB124" s="14">
        <f>IF(OR($C124="",$C124&lt;&gt;'1a1'!$B$4,$T124&lt;&gt;Config!$B$7),"",COUNTIFS($C$5:$C124,'1a1'!$B$4,$T$5:$T124,Config!$B$7))</f>
        <v/>
      </c>
    </row>
    <row r="125">
      <c r="A125" s="18" t="n"/>
      <c r="B125" s="19" t="n"/>
      <c r="C125" s="14">
        <f>IFERROR(INDEX(Pessoas!$A$5:$A$64,MATCH($B125,Pessoas!$B$5:$B$64,0)),"")</f>
        <v/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8" t="n"/>
      <c r="N125" s="19" t="n"/>
      <c r="O125" s="19" t="n"/>
      <c r="P125" s="19" t="n"/>
      <c r="Q125" s="20">
        <f>IF(OR($M125="",$P125=""),"",$M125+IF($P125="7 dias",7,IF($P125="14 dias",14,90)))</f>
        <v/>
      </c>
      <c r="R125" s="19" t="n"/>
      <c r="S125" s="19" t="n"/>
      <c r="T125" s="14">
        <f>IF($A125="","",YEAR($A125)*4+ROUNDUP(MONTH($A125)/3,0))</f>
        <v/>
      </c>
      <c r="U125" s="14">
        <f>IF($C125="","",$C125&amp;"|"&amp;$T125)</f>
        <v/>
      </c>
      <c r="V125" s="14">
        <f>IF($C125="","",$C125&amp;"|"&amp;$T125&amp;"|"&amp;$G125)</f>
        <v/>
      </c>
      <c r="W125" s="14">
        <f>IF($A125="","",IF(OR($B125="",$F125="",$G125="",$H125="",$I125=""),"Faltam campos básicos",IF(AND(OR($F125="Ponto de atenção",$F125="Incidente"),OR($K125="",$L125="",$O125="",$P125="")),"Faltam campos de sinalização","OK")))</f>
        <v/>
      </c>
      <c r="X125" s="14">
        <f>IF($A125="","",IF(AND(OR($F125="Ponto de atenção",$F125="Incidente"),$L125&lt;&gt;"Sim"),"Não",IF(AND($S125="",$W125&lt;&gt;"OK"),"Não","Sim")))</f>
        <v/>
      </c>
      <c r="Y125" s="14">
        <f>IF($C125="",0,IF(COUNTIFS($C$5:$C125,$C125,$D$5:$D125,$D125)=1,1,0))</f>
        <v/>
      </c>
      <c r="Z125" s="14">
        <f>IF($A125="","",IF(Config!$B$7-$T125&gt;2,"Arquivada",IF(Config!$B$7-$T125&gt;0,"Histórico","Ativa")))</f>
        <v/>
      </c>
      <c r="AA125" s="14">
        <f>IF($A125="",0,IF(AND(OR($F125="Ponto de atenção",$F125="Incidente"),$L125="Sim"),1,0))</f>
        <v/>
      </c>
      <c r="AB125" s="14">
        <f>IF(OR($C125="",$C125&lt;&gt;'1a1'!$B$4,$T125&lt;&gt;Config!$B$7),"",COUNTIFS($C$5:$C125,'1a1'!$B$4,$T$5:$T125,Config!$B$7))</f>
        <v/>
      </c>
    </row>
    <row r="126">
      <c r="A126" s="18" t="n"/>
      <c r="B126" s="19" t="n"/>
      <c r="C126" s="14">
        <f>IFERROR(INDEX(Pessoas!$A$5:$A$64,MATCH($B126,Pessoas!$B$5:$B$64,0)),"")</f>
        <v/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8" t="n"/>
      <c r="N126" s="19" t="n"/>
      <c r="O126" s="19" t="n"/>
      <c r="P126" s="19" t="n"/>
      <c r="Q126" s="20">
        <f>IF(OR($M126="",$P126=""),"",$M126+IF($P126="7 dias",7,IF($P126="14 dias",14,90)))</f>
        <v/>
      </c>
      <c r="R126" s="19" t="n"/>
      <c r="S126" s="19" t="n"/>
      <c r="T126" s="14">
        <f>IF($A126="","",YEAR($A126)*4+ROUNDUP(MONTH($A126)/3,0))</f>
        <v/>
      </c>
      <c r="U126" s="14">
        <f>IF($C126="","",$C126&amp;"|"&amp;$T126)</f>
        <v/>
      </c>
      <c r="V126" s="14">
        <f>IF($C126="","",$C126&amp;"|"&amp;$T126&amp;"|"&amp;$G126)</f>
        <v/>
      </c>
      <c r="W126" s="14">
        <f>IF($A126="","",IF(OR($B126="",$F126="",$G126="",$H126="",$I126=""),"Faltam campos básicos",IF(AND(OR($F126="Ponto de atenção",$F126="Incidente"),OR($K126="",$L126="",$O126="",$P126="")),"Faltam campos de sinalização","OK")))</f>
        <v/>
      </c>
      <c r="X126" s="14">
        <f>IF($A126="","",IF(AND(OR($F126="Ponto de atenção",$F126="Incidente"),$L126&lt;&gt;"Sim"),"Não",IF(AND($S126="",$W126&lt;&gt;"OK"),"Não","Sim")))</f>
        <v/>
      </c>
      <c r="Y126" s="14">
        <f>IF($C126="",0,IF(COUNTIFS($C$5:$C126,$C126,$D$5:$D126,$D126)=1,1,0))</f>
        <v/>
      </c>
      <c r="Z126" s="14">
        <f>IF($A126="","",IF(Config!$B$7-$T126&gt;2,"Arquivada",IF(Config!$B$7-$T126&gt;0,"Histórico","Ativa")))</f>
        <v/>
      </c>
      <c r="AA126" s="14">
        <f>IF($A126="",0,IF(AND(OR($F126="Ponto de atenção",$F126="Incidente"),$L126="Sim"),1,0))</f>
        <v/>
      </c>
      <c r="AB126" s="14">
        <f>IF(OR($C126="",$C126&lt;&gt;'1a1'!$B$4,$T126&lt;&gt;Config!$B$7),"",COUNTIFS($C$5:$C126,'1a1'!$B$4,$T$5:$T126,Config!$B$7))</f>
        <v/>
      </c>
    </row>
    <row r="127">
      <c r="A127" s="18" t="n"/>
      <c r="B127" s="19" t="n"/>
      <c r="C127" s="14">
        <f>IFERROR(INDEX(Pessoas!$A$5:$A$64,MATCH($B127,Pessoas!$B$5:$B$64,0)),"")</f>
        <v/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8" t="n"/>
      <c r="N127" s="19" t="n"/>
      <c r="O127" s="19" t="n"/>
      <c r="P127" s="19" t="n"/>
      <c r="Q127" s="20">
        <f>IF(OR($M127="",$P127=""),"",$M127+IF($P127="7 dias",7,IF($P127="14 dias",14,90)))</f>
        <v/>
      </c>
      <c r="R127" s="19" t="n"/>
      <c r="S127" s="19" t="n"/>
      <c r="T127" s="14">
        <f>IF($A127="","",YEAR($A127)*4+ROUNDUP(MONTH($A127)/3,0))</f>
        <v/>
      </c>
      <c r="U127" s="14">
        <f>IF($C127="","",$C127&amp;"|"&amp;$T127)</f>
        <v/>
      </c>
      <c r="V127" s="14">
        <f>IF($C127="","",$C127&amp;"|"&amp;$T127&amp;"|"&amp;$G127)</f>
        <v/>
      </c>
      <c r="W127" s="14">
        <f>IF($A127="","",IF(OR($B127="",$F127="",$G127="",$H127="",$I127=""),"Faltam campos básicos",IF(AND(OR($F127="Ponto de atenção",$F127="Incidente"),OR($K127="",$L127="",$O127="",$P127="")),"Faltam campos de sinalização","OK")))</f>
        <v/>
      </c>
      <c r="X127" s="14">
        <f>IF($A127="","",IF(AND(OR($F127="Ponto de atenção",$F127="Incidente"),$L127&lt;&gt;"Sim"),"Não",IF(AND($S127="",$W127&lt;&gt;"OK"),"Não","Sim")))</f>
        <v/>
      </c>
      <c r="Y127" s="14">
        <f>IF($C127="",0,IF(COUNTIFS($C$5:$C127,$C127,$D$5:$D127,$D127)=1,1,0))</f>
        <v/>
      </c>
      <c r="Z127" s="14">
        <f>IF($A127="","",IF(Config!$B$7-$T127&gt;2,"Arquivada",IF(Config!$B$7-$T127&gt;0,"Histórico","Ativa")))</f>
        <v/>
      </c>
      <c r="AA127" s="14">
        <f>IF($A127="",0,IF(AND(OR($F127="Ponto de atenção",$F127="Incidente"),$L127="Sim"),1,0))</f>
        <v/>
      </c>
      <c r="AB127" s="14">
        <f>IF(OR($C127="",$C127&lt;&gt;'1a1'!$B$4,$T127&lt;&gt;Config!$B$7),"",COUNTIFS($C$5:$C127,'1a1'!$B$4,$T$5:$T127,Config!$B$7))</f>
        <v/>
      </c>
    </row>
    <row r="128">
      <c r="A128" s="18" t="n"/>
      <c r="B128" s="19" t="n"/>
      <c r="C128" s="14">
        <f>IFERROR(INDEX(Pessoas!$A$5:$A$64,MATCH($B128,Pessoas!$B$5:$B$64,0)),"")</f>
        <v/>
      </c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8" t="n"/>
      <c r="N128" s="19" t="n"/>
      <c r="O128" s="19" t="n"/>
      <c r="P128" s="19" t="n"/>
      <c r="Q128" s="20">
        <f>IF(OR($M128="",$P128=""),"",$M128+IF($P128="7 dias",7,IF($P128="14 dias",14,90)))</f>
        <v/>
      </c>
      <c r="R128" s="19" t="n"/>
      <c r="S128" s="19" t="n"/>
      <c r="T128" s="14">
        <f>IF($A128="","",YEAR($A128)*4+ROUNDUP(MONTH($A128)/3,0))</f>
        <v/>
      </c>
      <c r="U128" s="14">
        <f>IF($C128="","",$C128&amp;"|"&amp;$T128)</f>
        <v/>
      </c>
      <c r="V128" s="14">
        <f>IF($C128="","",$C128&amp;"|"&amp;$T128&amp;"|"&amp;$G128)</f>
        <v/>
      </c>
      <c r="W128" s="14">
        <f>IF($A128="","",IF(OR($B128="",$F128="",$G128="",$H128="",$I128=""),"Faltam campos básicos",IF(AND(OR($F128="Ponto de atenção",$F128="Incidente"),OR($K128="",$L128="",$O128="",$P128="")),"Faltam campos de sinalização","OK")))</f>
        <v/>
      </c>
      <c r="X128" s="14">
        <f>IF($A128="","",IF(AND(OR($F128="Ponto de atenção",$F128="Incidente"),$L128&lt;&gt;"Sim"),"Não",IF(AND($S128="",$W128&lt;&gt;"OK"),"Não","Sim")))</f>
        <v/>
      </c>
      <c r="Y128" s="14">
        <f>IF($C128="",0,IF(COUNTIFS($C$5:$C128,$C128,$D$5:$D128,$D128)=1,1,0))</f>
        <v/>
      </c>
      <c r="Z128" s="14">
        <f>IF($A128="","",IF(Config!$B$7-$T128&gt;2,"Arquivada",IF(Config!$B$7-$T128&gt;0,"Histórico","Ativa")))</f>
        <v/>
      </c>
      <c r="AA128" s="14">
        <f>IF($A128="",0,IF(AND(OR($F128="Ponto de atenção",$F128="Incidente"),$L128="Sim"),1,0))</f>
        <v/>
      </c>
      <c r="AB128" s="14">
        <f>IF(OR($C128="",$C128&lt;&gt;'1a1'!$B$4,$T128&lt;&gt;Config!$B$7),"",COUNTIFS($C$5:$C128,'1a1'!$B$4,$T$5:$T128,Config!$B$7))</f>
        <v/>
      </c>
    </row>
    <row r="129">
      <c r="A129" s="18" t="n"/>
      <c r="B129" s="19" t="n"/>
      <c r="C129" s="14">
        <f>IFERROR(INDEX(Pessoas!$A$5:$A$64,MATCH($B129,Pessoas!$B$5:$B$64,0)),"")</f>
        <v/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8" t="n"/>
      <c r="N129" s="19" t="n"/>
      <c r="O129" s="19" t="n"/>
      <c r="P129" s="19" t="n"/>
      <c r="Q129" s="20">
        <f>IF(OR($M129="",$P129=""),"",$M129+IF($P129="7 dias",7,IF($P129="14 dias",14,90)))</f>
        <v/>
      </c>
      <c r="R129" s="19" t="n"/>
      <c r="S129" s="19" t="n"/>
      <c r="T129" s="14">
        <f>IF($A129="","",YEAR($A129)*4+ROUNDUP(MONTH($A129)/3,0))</f>
        <v/>
      </c>
      <c r="U129" s="14">
        <f>IF($C129="","",$C129&amp;"|"&amp;$T129)</f>
        <v/>
      </c>
      <c r="V129" s="14">
        <f>IF($C129="","",$C129&amp;"|"&amp;$T129&amp;"|"&amp;$G129)</f>
        <v/>
      </c>
      <c r="W129" s="14">
        <f>IF($A129="","",IF(OR($B129="",$F129="",$G129="",$H129="",$I129=""),"Faltam campos básicos",IF(AND(OR($F129="Ponto de atenção",$F129="Incidente"),OR($K129="",$L129="",$O129="",$P129="")),"Faltam campos de sinalização","OK")))</f>
        <v/>
      </c>
      <c r="X129" s="14">
        <f>IF($A129="","",IF(AND(OR($F129="Ponto de atenção",$F129="Incidente"),$L129&lt;&gt;"Sim"),"Não",IF(AND($S129="",$W129&lt;&gt;"OK"),"Não","Sim")))</f>
        <v/>
      </c>
      <c r="Y129" s="14">
        <f>IF($C129="",0,IF(COUNTIFS($C$5:$C129,$C129,$D$5:$D129,$D129)=1,1,0))</f>
        <v/>
      </c>
      <c r="Z129" s="14">
        <f>IF($A129="","",IF(Config!$B$7-$T129&gt;2,"Arquivada",IF(Config!$B$7-$T129&gt;0,"Histórico","Ativa")))</f>
        <v/>
      </c>
      <c r="AA129" s="14">
        <f>IF($A129="",0,IF(AND(OR($F129="Ponto de atenção",$F129="Incidente"),$L129="Sim"),1,0))</f>
        <v/>
      </c>
      <c r="AB129" s="14">
        <f>IF(OR($C129="",$C129&lt;&gt;'1a1'!$B$4,$T129&lt;&gt;Config!$B$7),"",COUNTIFS($C$5:$C129,'1a1'!$B$4,$T$5:$T129,Config!$B$7))</f>
        <v/>
      </c>
    </row>
    <row r="130">
      <c r="A130" s="18" t="n"/>
      <c r="B130" s="19" t="n"/>
      <c r="C130" s="14">
        <f>IFERROR(INDEX(Pessoas!$A$5:$A$64,MATCH($B130,Pessoas!$B$5:$B$64,0)),"")</f>
        <v/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8" t="n"/>
      <c r="N130" s="19" t="n"/>
      <c r="O130" s="19" t="n"/>
      <c r="P130" s="19" t="n"/>
      <c r="Q130" s="20">
        <f>IF(OR($M130="",$P130=""),"",$M130+IF($P130="7 dias",7,IF($P130="14 dias",14,90)))</f>
        <v/>
      </c>
      <c r="R130" s="19" t="n"/>
      <c r="S130" s="19" t="n"/>
      <c r="T130" s="14">
        <f>IF($A130="","",YEAR($A130)*4+ROUNDUP(MONTH($A130)/3,0))</f>
        <v/>
      </c>
      <c r="U130" s="14">
        <f>IF($C130="","",$C130&amp;"|"&amp;$T130)</f>
        <v/>
      </c>
      <c r="V130" s="14">
        <f>IF($C130="","",$C130&amp;"|"&amp;$T130&amp;"|"&amp;$G130)</f>
        <v/>
      </c>
      <c r="W130" s="14">
        <f>IF($A130="","",IF(OR($B130="",$F130="",$G130="",$H130="",$I130=""),"Faltam campos básicos",IF(AND(OR($F130="Ponto de atenção",$F130="Incidente"),OR($K130="",$L130="",$O130="",$P130="")),"Faltam campos de sinalização","OK")))</f>
        <v/>
      </c>
      <c r="X130" s="14">
        <f>IF($A130="","",IF(AND(OR($F130="Ponto de atenção",$F130="Incidente"),$L130&lt;&gt;"Sim"),"Não",IF(AND($S130="",$W130&lt;&gt;"OK"),"Não","Sim")))</f>
        <v/>
      </c>
      <c r="Y130" s="14">
        <f>IF($C130="",0,IF(COUNTIFS($C$5:$C130,$C130,$D$5:$D130,$D130)=1,1,0))</f>
        <v/>
      </c>
      <c r="Z130" s="14">
        <f>IF($A130="","",IF(Config!$B$7-$T130&gt;2,"Arquivada",IF(Config!$B$7-$T130&gt;0,"Histórico","Ativa")))</f>
        <v/>
      </c>
      <c r="AA130" s="14">
        <f>IF($A130="",0,IF(AND(OR($F130="Ponto de atenção",$F130="Incidente"),$L130="Sim"),1,0))</f>
        <v/>
      </c>
      <c r="AB130" s="14">
        <f>IF(OR($C130="",$C130&lt;&gt;'1a1'!$B$4,$T130&lt;&gt;Config!$B$7),"",COUNTIFS($C$5:$C130,'1a1'!$B$4,$T$5:$T130,Config!$B$7))</f>
        <v/>
      </c>
    </row>
    <row r="131">
      <c r="A131" s="18" t="n"/>
      <c r="B131" s="19" t="n"/>
      <c r="C131" s="14">
        <f>IFERROR(INDEX(Pessoas!$A$5:$A$64,MATCH($B131,Pessoas!$B$5:$B$64,0)),"")</f>
        <v/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8" t="n"/>
      <c r="N131" s="19" t="n"/>
      <c r="O131" s="19" t="n"/>
      <c r="P131" s="19" t="n"/>
      <c r="Q131" s="20">
        <f>IF(OR($M131="",$P131=""),"",$M131+IF($P131="7 dias",7,IF($P131="14 dias",14,90)))</f>
        <v/>
      </c>
      <c r="R131" s="19" t="n"/>
      <c r="S131" s="19" t="n"/>
      <c r="T131" s="14">
        <f>IF($A131="","",YEAR($A131)*4+ROUNDUP(MONTH($A131)/3,0))</f>
        <v/>
      </c>
      <c r="U131" s="14">
        <f>IF($C131="","",$C131&amp;"|"&amp;$T131)</f>
        <v/>
      </c>
      <c r="V131" s="14">
        <f>IF($C131="","",$C131&amp;"|"&amp;$T131&amp;"|"&amp;$G131)</f>
        <v/>
      </c>
      <c r="W131" s="14">
        <f>IF($A131="","",IF(OR($B131="",$F131="",$G131="",$H131="",$I131=""),"Faltam campos básicos",IF(AND(OR($F131="Ponto de atenção",$F131="Incidente"),OR($K131="",$L131="",$O131="",$P131="")),"Faltam campos de sinalização","OK")))</f>
        <v/>
      </c>
      <c r="X131" s="14">
        <f>IF($A131="","",IF(AND(OR($F131="Ponto de atenção",$F131="Incidente"),$L131&lt;&gt;"Sim"),"Não",IF(AND($S131="",$W131&lt;&gt;"OK"),"Não","Sim")))</f>
        <v/>
      </c>
      <c r="Y131" s="14">
        <f>IF($C131="",0,IF(COUNTIFS($C$5:$C131,$C131,$D$5:$D131,$D131)=1,1,0))</f>
        <v/>
      </c>
      <c r="Z131" s="14">
        <f>IF($A131="","",IF(Config!$B$7-$T131&gt;2,"Arquivada",IF(Config!$B$7-$T131&gt;0,"Histórico","Ativa")))</f>
        <v/>
      </c>
      <c r="AA131" s="14">
        <f>IF($A131="",0,IF(AND(OR($F131="Ponto de atenção",$F131="Incidente"),$L131="Sim"),1,0))</f>
        <v/>
      </c>
      <c r="AB131" s="14">
        <f>IF(OR($C131="",$C131&lt;&gt;'1a1'!$B$4,$T131&lt;&gt;Config!$B$7),"",COUNTIFS($C$5:$C131,'1a1'!$B$4,$T$5:$T131,Config!$B$7))</f>
        <v/>
      </c>
    </row>
    <row r="132">
      <c r="A132" s="18" t="n"/>
      <c r="B132" s="19" t="n"/>
      <c r="C132" s="14">
        <f>IFERROR(INDEX(Pessoas!$A$5:$A$64,MATCH($B132,Pessoas!$B$5:$B$64,0)),"")</f>
        <v/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8" t="n"/>
      <c r="N132" s="19" t="n"/>
      <c r="O132" s="19" t="n"/>
      <c r="P132" s="19" t="n"/>
      <c r="Q132" s="20">
        <f>IF(OR($M132="",$P132=""),"",$M132+IF($P132="7 dias",7,IF($P132="14 dias",14,90)))</f>
        <v/>
      </c>
      <c r="R132" s="19" t="n"/>
      <c r="S132" s="19" t="n"/>
      <c r="T132" s="14">
        <f>IF($A132="","",YEAR($A132)*4+ROUNDUP(MONTH($A132)/3,0))</f>
        <v/>
      </c>
      <c r="U132" s="14">
        <f>IF($C132="","",$C132&amp;"|"&amp;$T132)</f>
        <v/>
      </c>
      <c r="V132" s="14">
        <f>IF($C132="","",$C132&amp;"|"&amp;$T132&amp;"|"&amp;$G132)</f>
        <v/>
      </c>
      <c r="W132" s="14">
        <f>IF($A132="","",IF(OR($B132="",$F132="",$G132="",$H132="",$I132=""),"Faltam campos básicos",IF(AND(OR($F132="Ponto de atenção",$F132="Incidente"),OR($K132="",$L132="",$O132="",$P132="")),"Faltam campos de sinalização","OK")))</f>
        <v/>
      </c>
      <c r="X132" s="14">
        <f>IF($A132="","",IF(AND(OR($F132="Ponto de atenção",$F132="Incidente"),$L132&lt;&gt;"Sim"),"Não",IF(AND($S132="",$W132&lt;&gt;"OK"),"Não","Sim")))</f>
        <v/>
      </c>
      <c r="Y132" s="14">
        <f>IF($C132="",0,IF(COUNTIFS($C$5:$C132,$C132,$D$5:$D132,$D132)=1,1,0))</f>
        <v/>
      </c>
      <c r="Z132" s="14">
        <f>IF($A132="","",IF(Config!$B$7-$T132&gt;2,"Arquivada",IF(Config!$B$7-$T132&gt;0,"Histórico","Ativa")))</f>
        <v/>
      </c>
      <c r="AA132" s="14">
        <f>IF($A132="",0,IF(AND(OR($F132="Ponto de atenção",$F132="Incidente"),$L132="Sim"),1,0))</f>
        <v/>
      </c>
      <c r="AB132" s="14">
        <f>IF(OR($C132="",$C132&lt;&gt;'1a1'!$B$4,$T132&lt;&gt;Config!$B$7),"",COUNTIFS($C$5:$C132,'1a1'!$B$4,$T$5:$T132,Config!$B$7))</f>
        <v/>
      </c>
    </row>
    <row r="133">
      <c r="A133" s="18" t="n"/>
      <c r="B133" s="19" t="n"/>
      <c r="C133" s="14">
        <f>IFERROR(INDEX(Pessoas!$A$5:$A$64,MATCH($B133,Pessoas!$B$5:$B$64,0)),"")</f>
        <v/>
      </c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8" t="n"/>
      <c r="N133" s="19" t="n"/>
      <c r="O133" s="19" t="n"/>
      <c r="P133" s="19" t="n"/>
      <c r="Q133" s="20">
        <f>IF(OR($M133="",$P133=""),"",$M133+IF($P133="7 dias",7,IF($P133="14 dias",14,90)))</f>
        <v/>
      </c>
      <c r="R133" s="19" t="n"/>
      <c r="S133" s="19" t="n"/>
      <c r="T133" s="14">
        <f>IF($A133="","",YEAR($A133)*4+ROUNDUP(MONTH($A133)/3,0))</f>
        <v/>
      </c>
      <c r="U133" s="14">
        <f>IF($C133="","",$C133&amp;"|"&amp;$T133)</f>
        <v/>
      </c>
      <c r="V133" s="14">
        <f>IF($C133="","",$C133&amp;"|"&amp;$T133&amp;"|"&amp;$G133)</f>
        <v/>
      </c>
      <c r="W133" s="14">
        <f>IF($A133="","",IF(OR($B133="",$F133="",$G133="",$H133="",$I133=""),"Faltam campos básicos",IF(AND(OR($F133="Ponto de atenção",$F133="Incidente"),OR($K133="",$L133="",$O133="",$P133="")),"Faltam campos de sinalização","OK")))</f>
        <v/>
      </c>
      <c r="X133" s="14">
        <f>IF($A133="","",IF(AND(OR($F133="Ponto de atenção",$F133="Incidente"),$L133&lt;&gt;"Sim"),"Não",IF(AND($S133="",$W133&lt;&gt;"OK"),"Não","Sim")))</f>
        <v/>
      </c>
      <c r="Y133" s="14">
        <f>IF($C133="",0,IF(COUNTIFS($C$5:$C133,$C133,$D$5:$D133,$D133)=1,1,0))</f>
        <v/>
      </c>
      <c r="Z133" s="14">
        <f>IF($A133="","",IF(Config!$B$7-$T133&gt;2,"Arquivada",IF(Config!$B$7-$T133&gt;0,"Histórico","Ativa")))</f>
        <v/>
      </c>
      <c r="AA133" s="14">
        <f>IF($A133="",0,IF(AND(OR($F133="Ponto de atenção",$F133="Incidente"),$L133="Sim"),1,0))</f>
        <v/>
      </c>
      <c r="AB133" s="14">
        <f>IF(OR($C133="",$C133&lt;&gt;'1a1'!$B$4,$T133&lt;&gt;Config!$B$7),"",COUNTIFS($C$5:$C133,'1a1'!$B$4,$T$5:$T133,Config!$B$7))</f>
        <v/>
      </c>
    </row>
    <row r="134">
      <c r="A134" s="18" t="n"/>
      <c r="B134" s="19" t="n"/>
      <c r="C134" s="14">
        <f>IFERROR(INDEX(Pessoas!$A$5:$A$64,MATCH($B134,Pessoas!$B$5:$B$64,0)),"")</f>
        <v/>
      </c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8" t="n"/>
      <c r="N134" s="19" t="n"/>
      <c r="O134" s="19" t="n"/>
      <c r="P134" s="19" t="n"/>
      <c r="Q134" s="20">
        <f>IF(OR($M134="",$P134=""),"",$M134+IF($P134="7 dias",7,IF($P134="14 dias",14,90)))</f>
        <v/>
      </c>
      <c r="R134" s="19" t="n"/>
      <c r="S134" s="19" t="n"/>
      <c r="T134" s="14">
        <f>IF($A134="","",YEAR($A134)*4+ROUNDUP(MONTH($A134)/3,0))</f>
        <v/>
      </c>
      <c r="U134" s="14">
        <f>IF($C134="","",$C134&amp;"|"&amp;$T134)</f>
        <v/>
      </c>
      <c r="V134" s="14">
        <f>IF($C134="","",$C134&amp;"|"&amp;$T134&amp;"|"&amp;$G134)</f>
        <v/>
      </c>
      <c r="W134" s="14">
        <f>IF($A134="","",IF(OR($B134="",$F134="",$G134="",$H134="",$I134=""),"Faltam campos básicos",IF(AND(OR($F134="Ponto de atenção",$F134="Incidente"),OR($K134="",$L134="",$O134="",$P134="")),"Faltam campos de sinalização","OK")))</f>
        <v/>
      </c>
      <c r="X134" s="14">
        <f>IF($A134="","",IF(AND(OR($F134="Ponto de atenção",$F134="Incidente"),$L134&lt;&gt;"Sim"),"Não",IF(AND($S134="",$W134&lt;&gt;"OK"),"Não","Sim")))</f>
        <v/>
      </c>
      <c r="Y134" s="14">
        <f>IF($C134="",0,IF(COUNTIFS($C$5:$C134,$C134,$D$5:$D134,$D134)=1,1,0))</f>
        <v/>
      </c>
      <c r="Z134" s="14">
        <f>IF($A134="","",IF(Config!$B$7-$T134&gt;2,"Arquivada",IF(Config!$B$7-$T134&gt;0,"Histórico","Ativa")))</f>
        <v/>
      </c>
      <c r="AA134" s="14">
        <f>IF($A134="",0,IF(AND(OR($F134="Ponto de atenção",$F134="Incidente"),$L134="Sim"),1,0))</f>
        <v/>
      </c>
      <c r="AB134" s="14">
        <f>IF(OR($C134="",$C134&lt;&gt;'1a1'!$B$4,$T134&lt;&gt;Config!$B$7),"",COUNTIFS($C$5:$C134,'1a1'!$B$4,$T$5:$T134,Config!$B$7))</f>
        <v/>
      </c>
    </row>
    <row r="135">
      <c r="A135" s="18" t="n"/>
      <c r="B135" s="19" t="n"/>
      <c r="C135" s="14">
        <f>IFERROR(INDEX(Pessoas!$A$5:$A$64,MATCH($B135,Pessoas!$B$5:$B$64,0)),"")</f>
        <v/>
      </c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8" t="n"/>
      <c r="N135" s="19" t="n"/>
      <c r="O135" s="19" t="n"/>
      <c r="P135" s="19" t="n"/>
      <c r="Q135" s="20">
        <f>IF(OR($M135="",$P135=""),"",$M135+IF($P135="7 dias",7,IF($P135="14 dias",14,90)))</f>
        <v/>
      </c>
      <c r="R135" s="19" t="n"/>
      <c r="S135" s="19" t="n"/>
      <c r="T135" s="14">
        <f>IF($A135="","",YEAR($A135)*4+ROUNDUP(MONTH($A135)/3,0))</f>
        <v/>
      </c>
      <c r="U135" s="14">
        <f>IF($C135="","",$C135&amp;"|"&amp;$T135)</f>
        <v/>
      </c>
      <c r="V135" s="14">
        <f>IF($C135="","",$C135&amp;"|"&amp;$T135&amp;"|"&amp;$G135)</f>
        <v/>
      </c>
      <c r="W135" s="14">
        <f>IF($A135="","",IF(OR($B135="",$F135="",$G135="",$H135="",$I135=""),"Faltam campos básicos",IF(AND(OR($F135="Ponto de atenção",$F135="Incidente"),OR($K135="",$L135="",$O135="",$P135="")),"Faltam campos de sinalização","OK")))</f>
        <v/>
      </c>
      <c r="X135" s="14">
        <f>IF($A135="","",IF(AND(OR($F135="Ponto de atenção",$F135="Incidente"),$L135&lt;&gt;"Sim"),"Não",IF(AND($S135="",$W135&lt;&gt;"OK"),"Não","Sim")))</f>
        <v/>
      </c>
      <c r="Y135" s="14">
        <f>IF($C135="",0,IF(COUNTIFS($C$5:$C135,$C135,$D$5:$D135,$D135)=1,1,0))</f>
        <v/>
      </c>
      <c r="Z135" s="14">
        <f>IF($A135="","",IF(Config!$B$7-$T135&gt;2,"Arquivada",IF(Config!$B$7-$T135&gt;0,"Histórico","Ativa")))</f>
        <v/>
      </c>
      <c r="AA135" s="14">
        <f>IF($A135="",0,IF(AND(OR($F135="Ponto de atenção",$F135="Incidente"),$L135="Sim"),1,0))</f>
        <v/>
      </c>
      <c r="AB135" s="14">
        <f>IF(OR($C135="",$C135&lt;&gt;'1a1'!$B$4,$T135&lt;&gt;Config!$B$7),"",COUNTIFS($C$5:$C135,'1a1'!$B$4,$T$5:$T135,Config!$B$7))</f>
        <v/>
      </c>
    </row>
    <row r="136">
      <c r="A136" s="18" t="n"/>
      <c r="B136" s="19" t="n"/>
      <c r="C136" s="14">
        <f>IFERROR(INDEX(Pessoas!$A$5:$A$64,MATCH($B136,Pessoas!$B$5:$B$64,0)),"")</f>
        <v/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8" t="n"/>
      <c r="N136" s="19" t="n"/>
      <c r="O136" s="19" t="n"/>
      <c r="P136" s="19" t="n"/>
      <c r="Q136" s="20">
        <f>IF(OR($M136="",$P136=""),"",$M136+IF($P136="7 dias",7,IF($P136="14 dias",14,90)))</f>
        <v/>
      </c>
      <c r="R136" s="19" t="n"/>
      <c r="S136" s="19" t="n"/>
      <c r="T136" s="14">
        <f>IF($A136="","",YEAR($A136)*4+ROUNDUP(MONTH($A136)/3,0))</f>
        <v/>
      </c>
      <c r="U136" s="14">
        <f>IF($C136="","",$C136&amp;"|"&amp;$T136)</f>
        <v/>
      </c>
      <c r="V136" s="14">
        <f>IF($C136="","",$C136&amp;"|"&amp;$T136&amp;"|"&amp;$G136)</f>
        <v/>
      </c>
      <c r="W136" s="14">
        <f>IF($A136="","",IF(OR($B136="",$F136="",$G136="",$H136="",$I136=""),"Faltam campos básicos",IF(AND(OR($F136="Ponto de atenção",$F136="Incidente"),OR($K136="",$L136="",$O136="",$P136="")),"Faltam campos de sinalização","OK")))</f>
        <v/>
      </c>
      <c r="X136" s="14">
        <f>IF($A136="","",IF(AND(OR($F136="Ponto de atenção",$F136="Incidente"),$L136&lt;&gt;"Sim"),"Não",IF(AND($S136="",$W136&lt;&gt;"OK"),"Não","Sim")))</f>
        <v/>
      </c>
      <c r="Y136" s="14">
        <f>IF($C136="",0,IF(COUNTIFS($C$5:$C136,$C136,$D$5:$D136,$D136)=1,1,0))</f>
        <v/>
      </c>
      <c r="Z136" s="14">
        <f>IF($A136="","",IF(Config!$B$7-$T136&gt;2,"Arquivada",IF(Config!$B$7-$T136&gt;0,"Histórico","Ativa")))</f>
        <v/>
      </c>
      <c r="AA136" s="14">
        <f>IF($A136="",0,IF(AND(OR($F136="Ponto de atenção",$F136="Incidente"),$L136="Sim"),1,0))</f>
        <v/>
      </c>
      <c r="AB136" s="14">
        <f>IF(OR($C136="",$C136&lt;&gt;'1a1'!$B$4,$T136&lt;&gt;Config!$B$7),"",COUNTIFS($C$5:$C136,'1a1'!$B$4,$T$5:$T136,Config!$B$7))</f>
        <v/>
      </c>
    </row>
    <row r="137">
      <c r="A137" s="18" t="n"/>
      <c r="B137" s="19" t="n"/>
      <c r="C137" s="14">
        <f>IFERROR(INDEX(Pessoas!$A$5:$A$64,MATCH($B137,Pessoas!$B$5:$B$64,0)),"")</f>
        <v/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8" t="n"/>
      <c r="N137" s="19" t="n"/>
      <c r="O137" s="19" t="n"/>
      <c r="P137" s="19" t="n"/>
      <c r="Q137" s="20">
        <f>IF(OR($M137="",$P137=""),"",$M137+IF($P137="7 dias",7,IF($P137="14 dias",14,90)))</f>
        <v/>
      </c>
      <c r="R137" s="19" t="n"/>
      <c r="S137" s="19" t="n"/>
      <c r="T137" s="14">
        <f>IF($A137="","",YEAR($A137)*4+ROUNDUP(MONTH($A137)/3,0))</f>
        <v/>
      </c>
      <c r="U137" s="14">
        <f>IF($C137="","",$C137&amp;"|"&amp;$T137)</f>
        <v/>
      </c>
      <c r="V137" s="14">
        <f>IF($C137="","",$C137&amp;"|"&amp;$T137&amp;"|"&amp;$G137)</f>
        <v/>
      </c>
      <c r="W137" s="14">
        <f>IF($A137="","",IF(OR($B137="",$F137="",$G137="",$H137="",$I137=""),"Faltam campos básicos",IF(AND(OR($F137="Ponto de atenção",$F137="Incidente"),OR($K137="",$L137="",$O137="",$P137="")),"Faltam campos de sinalização","OK")))</f>
        <v/>
      </c>
      <c r="X137" s="14">
        <f>IF($A137="","",IF(AND(OR($F137="Ponto de atenção",$F137="Incidente"),$L137&lt;&gt;"Sim"),"Não",IF(AND($S137="",$W137&lt;&gt;"OK"),"Não","Sim")))</f>
        <v/>
      </c>
      <c r="Y137" s="14">
        <f>IF($C137="",0,IF(COUNTIFS($C$5:$C137,$C137,$D$5:$D137,$D137)=1,1,0))</f>
        <v/>
      </c>
      <c r="Z137" s="14">
        <f>IF($A137="","",IF(Config!$B$7-$T137&gt;2,"Arquivada",IF(Config!$B$7-$T137&gt;0,"Histórico","Ativa")))</f>
        <v/>
      </c>
      <c r="AA137" s="14">
        <f>IF($A137="",0,IF(AND(OR($F137="Ponto de atenção",$F137="Incidente"),$L137="Sim"),1,0))</f>
        <v/>
      </c>
      <c r="AB137" s="14">
        <f>IF(OR($C137="",$C137&lt;&gt;'1a1'!$B$4,$T137&lt;&gt;Config!$B$7),"",COUNTIFS($C$5:$C137,'1a1'!$B$4,$T$5:$T137,Config!$B$7))</f>
        <v/>
      </c>
    </row>
    <row r="138">
      <c r="A138" s="18" t="n"/>
      <c r="B138" s="19" t="n"/>
      <c r="C138" s="14">
        <f>IFERROR(INDEX(Pessoas!$A$5:$A$64,MATCH($B138,Pessoas!$B$5:$B$64,0)),"")</f>
        <v/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8" t="n"/>
      <c r="N138" s="19" t="n"/>
      <c r="O138" s="19" t="n"/>
      <c r="P138" s="19" t="n"/>
      <c r="Q138" s="20">
        <f>IF(OR($M138="",$P138=""),"",$M138+IF($P138="7 dias",7,IF($P138="14 dias",14,90)))</f>
        <v/>
      </c>
      <c r="R138" s="19" t="n"/>
      <c r="S138" s="19" t="n"/>
      <c r="T138" s="14">
        <f>IF($A138="","",YEAR($A138)*4+ROUNDUP(MONTH($A138)/3,0))</f>
        <v/>
      </c>
      <c r="U138" s="14">
        <f>IF($C138="","",$C138&amp;"|"&amp;$T138)</f>
        <v/>
      </c>
      <c r="V138" s="14">
        <f>IF($C138="","",$C138&amp;"|"&amp;$T138&amp;"|"&amp;$G138)</f>
        <v/>
      </c>
      <c r="W138" s="14">
        <f>IF($A138="","",IF(OR($B138="",$F138="",$G138="",$H138="",$I138=""),"Faltam campos básicos",IF(AND(OR($F138="Ponto de atenção",$F138="Incidente"),OR($K138="",$L138="",$O138="",$P138="")),"Faltam campos de sinalização","OK")))</f>
        <v/>
      </c>
      <c r="X138" s="14">
        <f>IF($A138="","",IF(AND(OR($F138="Ponto de atenção",$F138="Incidente"),$L138&lt;&gt;"Sim"),"Não",IF(AND($S138="",$W138&lt;&gt;"OK"),"Não","Sim")))</f>
        <v/>
      </c>
      <c r="Y138" s="14">
        <f>IF($C138="",0,IF(COUNTIFS($C$5:$C138,$C138,$D$5:$D138,$D138)=1,1,0))</f>
        <v/>
      </c>
      <c r="Z138" s="14">
        <f>IF($A138="","",IF(Config!$B$7-$T138&gt;2,"Arquivada",IF(Config!$B$7-$T138&gt;0,"Histórico","Ativa")))</f>
        <v/>
      </c>
      <c r="AA138" s="14">
        <f>IF($A138="",0,IF(AND(OR($F138="Ponto de atenção",$F138="Incidente"),$L138="Sim"),1,0))</f>
        <v/>
      </c>
      <c r="AB138" s="14">
        <f>IF(OR($C138="",$C138&lt;&gt;'1a1'!$B$4,$T138&lt;&gt;Config!$B$7),"",COUNTIFS($C$5:$C138,'1a1'!$B$4,$T$5:$T138,Config!$B$7))</f>
        <v/>
      </c>
    </row>
    <row r="139">
      <c r="A139" s="18" t="n"/>
      <c r="B139" s="19" t="n"/>
      <c r="C139" s="14">
        <f>IFERROR(INDEX(Pessoas!$A$5:$A$64,MATCH($B139,Pessoas!$B$5:$B$64,0)),"")</f>
        <v/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8" t="n"/>
      <c r="N139" s="19" t="n"/>
      <c r="O139" s="19" t="n"/>
      <c r="P139" s="19" t="n"/>
      <c r="Q139" s="20">
        <f>IF(OR($M139="",$P139=""),"",$M139+IF($P139="7 dias",7,IF($P139="14 dias",14,90)))</f>
        <v/>
      </c>
      <c r="R139" s="19" t="n"/>
      <c r="S139" s="19" t="n"/>
      <c r="T139" s="14">
        <f>IF($A139="","",YEAR($A139)*4+ROUNDUP(MONTH($A139)/3,0))</f>
        <v/>
      </c>
      <c r="U139" s="14">
        <f>IF($C139="","",$C139&amp;"|"&amp;$T139)</f>
        <v/>
      </c>
      <c r="V139" s="14">
        <f>IF($C139="","",$C139&amp;"|"&amp;$T139&amp;"|"&amp;$G139)</f>
        <v/>
      </c>
      <c r="W139" s="14">
        <f>IF($A139="","",IF(OR($B139="",$F139="",$G139="",$H139="",$I139=""),"Faltam campos básicos",IF(AND(OR($F139="Ponto de atenção",$F139="Incidente"),OR($K139="",$L139="",$O139="",$P139="")),"Faltam campos de sinalização","OK")))</f>
        <v/>
      </c>
      <c r="X139" s="14">
        <f>IF($A139="","",IF(AND(OR($F139="Ponto de atenção",$F139="Incidente"),$L139&lt;&gt;"Sim"),"Não",IF(AND($S139="",$W139&lt;&gt;"OK"),"Não","Sim")))</f>
        <v/>
      </c>
      <c r="Y139" s="14">
        <f>IF($C139="",0,IF(COUNTIFS($C$5:$C139,$C139,$D$5:$D139,$D139)=1,1,0))</f>
        <v/>
      </c>
      <c r="Z139" s="14">
        <f>IF($A139="","",IF(Config!$B$7-$T139&gt;2,"Arquivada",IF(Config!$B$7-$T139&gt;0,"Histórico","Ativa")))</f>
        <v/>
      </c>
      <c r="AA139" s="14">
        <f>IF($A139="",0,IF(AND(OR($F139="Ponto de atenção",$F139="Incidente"),$L139="Sim"),1,0))</f>
        <v/>
      </c>
      <c r="AB139" s="14">
        <f>IF(OR($C139="",$C139&lt;&gt;'1a1'!$B$4,$T139&lt;&gt;Config!$B$7),"",COUNTIFS($C$5:$C139,'1a1'!$B$4,$T$5:$T139,Config!$B$7))</f>
        <v/>
      </c>
    </row>
    <row r="140">
      <c r="A140" s="18" t="n"/>
      <c r="B140" s="19" t="n"/>
      <c r="C140" s="14">
        <f>IFERROR(INDEX(Pessoas!$A$5:$A$64,MATCH($B140,Pessoas!$B$5:$B$64,0)),"")</f>
        <v/>
      </c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8" t="n"/>
      <c r="N140" s="19" t="n"/>
      <c r="O140" s="19" t="n"/>
      <c r="P140" s="19" t="n"/>
      <c r="Q140" s="20">
        <f>IF(OR($M140="",$P140=""),"",$M140+IF($P140="7 dias",7,IF($P140="14 dias",14,90)))</f>
        <v/>
      </c>
      <c r="R140" s="19" t="n"/>
      <c r="S140" s="19" t="n"/>
      <c r="T140" s="14">
        <f>IF($A140="","",YEAR($A140)*4+ROUNDUP(MONTH($A140)/3,0))</f>
        <v/>
      </c>
      <c r="U140" s="14">
        <f>IF($C140="","",$C140&amp;"|"&amp;$T140)</f>
        <v/>
      </c>
      <c r="V140" s="14">
        <f>IF($C140="","",$C140&amp;"|"&amp;$T140&amp;"|"&amp;$G140)</f>
        <v/>
      </c>
      <c r="W140" s="14">
        <f>IF($A140="","",IF(OR($B140="",$F140="",$G140="",$H140="",$I140=""),"Faltam campos básicos",IF(AND(OR($F140="Ponto de atenção",$F140="Incidente"),OR($K140="",$L140="",$O140="",$P140="")),"Faltam campos de sinalização","OK")))</f>
        <v/>
      </c>
      <c r="X140" s="14">
        <f>IF($A140="","",IF(AND(OR($F140="Ponto de atenção",$F140="Incidente"),$L140&lt;&gt;"Sim"),"Não",IF(AND($S140="",$W140&lt;&gt;"OK"),"Não","Sim")))</f>
        <v/>
      </c>
      <c r="Y140" s="14">
        <f>IF($C140="",0,IF(COUNTIFS($C$5:$C140,$C140,$D$5:$D140,$D140)=1,1,0))</f>
        <v/>
      </c>
      <c r="Z140" s="14">
        <f>IF($A140="","",IF(Config!$B$7-$T140&gt;2,"Arquivada",IF(Config!$B$7-$T140&gt;0,"Histórico","Ativa")))</f>
        <v/>
      </c>
      <c r="AA140" s="14">
        <f>IF($A140="",0,IF(AND(OR($F140="Ponto de atenção",$F140="Incidente"),$L140="Sim"),1,0))</f>
        <v/>
      </c>
      <c r="AB140" s="14">
        <f>IF(OR($C140="",$C140&lt;&gt;'1a1'!$B$4,$T140&lt;&gt;Config!$B$7),"",COUNTIFS($C$5:$C140,'1a1'!$B$4,$T$5:$T140,Config!$B$7))</f>
        <v/>
      </c>
    </row>
    <row r="141">
      <c r="A141" s="18" t="n"/>
      <c r="B141" s="19" t="n"/>
      <c r="C141" s="14">
        <f>IFERROR(INDEX(Pessoas!$A$5:$A$64,MATCH($B141,Pessoas!$B$5:$B$64,0)),"")</f>
        <v/>
      </c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8" t="n"/>
      <c r="N141" s="19" t="n"/>
      <c r="O141" s="19" t="n"/>
      <c r="P141" s="19" t="n"/>
      <c r="Q141" s="20">
        <f>IF(OR($M141="",$P141=""),"",$M141+IF($P141="7 dias",7,IF($P141="14 dias",14,90)))</f>
        <v/>
      </c>
      <c r="R141" s="19" t="n"/>
      <c r="S141" s="19" t="n"/>
      <c r="T141" s="14">
        <f>IF($A141="","",YEAR($A141)*4+ROUNDUP(MONTH($A141)/3,0))</f>
        <v/>
      </c>
      <c r="U141" s="14">
        <f>IF($C141="","",$C141&amp;"|"&amp;$T141)</f>
        <v/>
      </c>
      <c r="V141" s="14">
        <f>IF($C141="","",$C141&amp;"|"&amp;$T141&amp;"|"&amp;$G141)</f>
        <v/>
      </c>
      <c r="W141" s="14">
        <f>IF($A141="","",IF(OR($B141="",$F141="",$G141="",$H141="",$I141=""),"Faltam campos básicos",IF(AND(OR($F141="Ponto de atenção",$F141="Incidente"),OR($K141="",$L141="",$O141="",$P141="")),"Faltam campos de sinalização","OK")))</f>
        <v/>
      </c>
      <c r="X141" s="14">
        <f>IF($A141="","",IF(AND(OR($F141="Ponto de atenção",$F141="Incidente"),$L141&lt;&gt;"Sim"),"Não",IF(AND($S141="",$W141&lt;&gt;"OK"),"Não","Sim")))</f>
        <v/>
      </c>
      <c r="Y141" s="14">
        <f>IF($C141="",0,IF(COUNTIFS($C$5:$C141,$C141,$D$5:$D141,$D141)=1,1,0))</f>
        <v/>
      </c>
      <c r="Z141" s="14">
        <f>IF($A141="","",IF(Config!$B$7-$T141&gt;2,"Arquivada",IF(Config!$B$7-$T141&gt;0,"Histórico","Ativa")))</f>
        <v/>
      </c>
      <c r="AA141" s="14">
        <f>IF($A141="",0,IF(AND(OR($F141="Ponto de atenção",$F141="Incidente"),$L141="Sim"),1,0))</f>
        <v/>
      </c>
      <c r="AB141" s="14">
        <f>IF(OR($C141="",$C141&lt;&gt;'1a1'!$B$4,$T141&lt;&gt;Config!$B$7),"",COUNTIFS($C$5:$C141,'1a1'!$B$4,$T$5:$T141,Config!$B$7))</f>
        <v/>
      </c>
    </row>
    <row r="142">
      <c r="A142" s="18" t="n"/>
      <c r="B142" s="19" t="n"/>
      <c r="C142" s="14">
        <f>IFERROR(INDEX(Pessoas!$A$5:$A$64,MATCH($B142,Pessoas!$B$5:$B$64,0)),"")</f>
        <v/>
      </c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8" t="n"/>
      <c r="N142" s="19" t="n"/>
      <c r="O142" s="19" t="n"/>
      <c r="P142" s="19" t="n"/>
      <c r="Q142" s="20">
        <f>IF(OR($M142="",$P142=""),"",$M142+IF($P142="7 dias",7,IF($P142="14 dias",14,90)))</f>
        <v/>
      </c>
      <c r="R142" s="19" t="n"/>
      <c r="S142" s="19" t="n"/>
      <c r="T142" s="14">
        <f>IF($A142="","",YEAR($A142)*4+ROUNDUP(MONTH($A142)/3,0))</f>
        <v/>
      </c>
      <c r="U142" s="14">
        <f>IF($C142="","",$C142&amp;"|"&amp;$T142)</f>
        <v/>
      </c>
      <c r="V142" s="14">
        <f>IF($C142="","",$C142&amp;"|"&amp;$T142&amp;"|"&amp;$G142)</f>
        <v/>
      </c>
      <c r="W142" s="14">
        <f>IF($A142="","",IF(OR($B142="",$F142="",$G142="",$H142="",$I142=""),"Faltam campos básicos",IF(AND(OR($F142="Ponto de atenção",$F142="Incidente"),OR($K142="",$L142="",$O142="",$P142="")),"Faltam campos de sinalização","OK")))</f>
        <v/>
      </c>
      <c r="X142" s="14">
        <f>IF($A142="","",IF(AND(OR($F142="Ponto de atenção",$F142="Incidente"),$L142&lt;&gt;"Sim"),"Não",IF(AND($S142="",$W142&lt;&gt;"OK"),"Não","Sim")))</f>
        <v/>
      </c>
      <c r="Y142" s="14">
        <f>IF($C142="",0,IF(COUNTIFS($C$5:$C142,$C142,$D$5:$D142,$D142)=1,1,0))</f>
        <v/>
      </c>
      <c r="Z142" s="14">
        <f>IF($A142="","",IF(Config!$B$7-$T142&gt;2,"Arquivada",IF(Config!$B$7-$T142&gt;0,"Histórico","Ativa")))</f>
        <v/>
      </c>
      <c r="AA142" s="14">
        <f>IF($A142="",0,IF(AND(OR($F142="Ponto de atenção",$F142="Incidente"),$L142="Sim"),1,0))</f>
        <v/>
      </c>
      <c r="AB142" s="14">
        <f>IF(OR($C142="",$C142&lt;&gt;'1a1'!$B$4,$T142&lt;&gt;Config!$B$7),"",COUNTIFS($C$5:$C142,'1a1'!$B$4,$T$5:$T142,Config!$B$7))</f>
        <v/>
      </c>
    </row>
    <row r="143">
      <c r="A143" s="18" t="n"/>
      <c r="B143" s="19" t="n"/>
      <c r="C143" s="14">
        <f>IFERROR(INDEX(Pessoas!$A$5:$A$64,MATCH($B143,Pessoas!$B$5:$B$64,0)),"")</f>
        <v/>
      </c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8" t="n"/>
      <c r="N143" s="19" t="n"/>
      <c r="O143" s="19" t="n"/>
      <c r="P143" s="19" t="n"/>
      <c r="Q143" s="20">
        <f>IF(OR($M143="",$P143=""),"",$M143+IF($P143="7 dias",7,IF($P143="14 dias",14,90)))</f>
        <v/>
      </c>
      <c r="R143" s="19" t="n"/>
      <c r="S143" s="19" t="n"/>
      <c r="T143" s="14">
        <f>IF($A143="","",YEAR($A143)*4+ROUNDUP(MONTH($A143)/3,0))</f>
        <v/>
      </c>
      <c r="U143" s="14">
        <f>IF($C143="","",$C143&amp;"|"&amp;$T143)</f>
        <v/>
      </c>
      <c r="V143" s="14">
        <f>IF($C143="","",$C143&amp;"|"&amp;$T143&amp;"|"&amp;$G143)</f>
        <v/>
      </c>
      <c r="W143" s="14">
        <f>IF($A143="","",IF(OR($B143="",$F143="",$G143="",$H143="",$I143=""),"Faltam campos básicos",IF(AND(OR($F143="Ponto de atenção",$F143="Incidente"),OR($K143="",$L143="",$O143="",$P143="")),"Faltam campos de sinalização","OK")))</f>
        <v/>
      </c>
      <c r="X143" s="14">
        <f>IF($A143="","",IF(AND(OR($F143="Ponto de atenção",$F143="Incidente"),$L143&lt;&gt;"Sim"),"Não",IF(AND($S143="",$W143&lt;&gt;"OK"),"Não","Sim")))</f>
        <v/>
      </c>
      <c r="Y143" s="14">
        <f>IF($C143="",0,IF(COUNTIFS($C$5:$C143,$C143,$D$5:$D143,$D143)=1,1,0))</f>
        <v/>
      </c>
      <c r="Z143" s="14">
        <f>IF($A143="","",IF(Config!$B$7-$T143&gt;2,"Arquivada",IF(Config!$B$7-$T143&gt;0,"Histórico","Ativa")))</f>
        <v/>
      </c>
      <c r="AA143" s="14">
        <f>IF($A143="",0,IF(AND(OR($F143="Ponto de atenção",$F143="Incidente"),$L143="Sim"),1,0))</f>
        <v/>
      </c>
      <c r="AB143" s="14">
        <f>IF(OR($C143="",$C143&lt;&gt;'1a1'!$B$4,$T143&lt;&gt;Config!$B$7),"",COUNTIFS($C$5:$C143,'1a1'!$B$4,$T$5:$T143,Config!$B$7))</f>
        <v/>
      </c>
    </row>
    <row r="144">
      <c r="A144" s="18" t="n"/>
      <c r="B144" s="19" t="n"/>
      <c r="C144" s="14">
        <f>IFERROR(INDEX(Pessoas!$A$5:$A$64,MATCH($B144,Pessoas!$B$5:$B$64,0)),"")</f>
        <v/>
      </c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8" t="n"/>
      <c r="N144" s="19" t="n"/>
      <c r="O144" s="19" t="n"/>
      <c r="P144" s="19" t="n"/>
      <c r="Q144" s="20">
        <f>IF(OR($M144="",$P144=""),"",$M144+IF($P144="7 dias",7,IF($P144="14 dias",14,90)))</f>
        <v/>
      </c>
      <c r="R144" s="19" t="n"/>
      <c r="S144" s="19" t="n"/>
      <c r="T144" s="14">
        <f>IF($A144="","",YEAR($A144)*4+ROUNDUP(MONTH($A144)/3,0))</f>
        <v/>
      </c>
      <c r="U144" s="14">
        <f>IF($C144="","",$C144&amp;"|"&amp;$T144)</f>
        <v/>
      </c>
      <c r="V144" s="14">
        <f>IF($C144="","",$C144&amp;"|"&amp;$T144&amp;"|"&amp;$G144)</f>
        <v/>
      </c>
      <c r="W144" s="14">
        <f>IF($A144="","",IF(OR($B144="",$F144="",$G144="",$H144="",$I144=""),"Faltam campos básicos",IF(AND(OR($F144="Ponto de atenção",$F144="Incidente"),OR($K144="",$L144="",$O144="",$P144="")),"Faltam campos de sinalização","OK")))</f>
        <v/>
      </c>
      <c r="X144" s="14">
        <f>IF($A144="","",IF(AND(OR($F144="Ponto de atenção",$F144="Incidente"),$L144&lt;&gt;"Sim"),"Não",IF(AND($S144="",$W144&lt;&gt;"OK"),"Não","Sim")))</f>
        <v/>
      </c>
      <c r="Y144" s="14">
        <f>IF($C144="",0,IF(COUNTIFS($C$5:$C144,$C144,$D$5:$D144,$D144)=1,1,0))</f>
        <v/>
      </c>
      <c r="Z144" s="14">
        <f>IF($A144="","",IF(Config!$B$7-$T144&gt;2,"Arquivada",IF(Config!$B$7-$T144&gt;0,"Histórico","Ativa")))</f>
        <v/>
      </c>
      <c r="AA144" s="14">
        <f>IF($A144="",0,IF(AND(OR($F144="Ponto de atenção",$F144="Incidente"),$L144="Sim"),1,0))</f>
        <v/>
      </c>
      <c r="AB144" s="14">
        <f>IF(OR($C144="",$C144&lt;&gt;'1a1'!$B$4,$T144&lt;&gt;Config!$B$7),"",COUNTIFS($C$5:$C144,'1a1'!$B$4,$T$5:$T144,Config!$B$7))</f>
        <v/>
      </c>
    </row>
    <row r="145">
      <c r="A145" s="18" t="n"/>
      <c r="B145" s="19" t="n"/>
      <c r="C145" s="14">
        <f>IFERROR(INDEX(Pessoas!$A$5:$A$64,MATCH($B145,Pessoas!$B$5:$B$64,0)),"")</f>
        <v/>
      </c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8" t="n"/>
      <c r="N145" s="19" t="n"/>
      <c r="O145" s="19" t="n"/>
      <c r="P145" s="19" t="n"/>
      <c r="Q145" s="20">
        <f>IF(OR($M145="",$P145=""),"",$M145+IF($P145="7 dias",7,IF($P145="14 dias",14,90)))</f>
        <v/>
      </c>
      <c r="R145" s="19" t="n"/>
      <c r="S145" s="19" t="n"/>
      <c r="T145" s="14">
        <f>IF($A145="","",YEAR($A145)*4+ROUNDUP(MONTH($A145)/3,0))</f>
        <v/>
      </c>
      <c r="U145" s="14">
        <f>IF($C145="","",$C145&amp;"|"&amp;$T145)</f>
        <v/>
      </c>
      <c r="V145" s="14">
        <f>IF($C145="","",$C145&amp;"|"&amp;$T145&amp;"|"&amp;$G145)</f>
        <v/>
      </c>
      <c r="W145" s="14">
        <f>IF($A145="","",IF(OR($B145="",$F145="",$G145="",$H145="",$I145=""),"Faltam campos básicos",IF(AND(OR($F145="Ponto de atenção",$F145="Incidente"),OR($K145="",$L145="",$O145="",$P145="")),"Faltam campos de sinalização","OK")))</f>
        <v/>
      </c>
      <c r="X145" s="14">
        <f>IF($A145="","",IF(AND(OR($F145="Ponto de atenção",$F145="Incidente"),$L145&lt;&gt;"Sim"),"Não",IF(AND($S145="",$W145&lt;&gt;"OK"),"Não","Sim")))</f>
        <v/>
      </c>
      <c r="Y145" s="14">
        <f>IF($C145="",0,IF(COUNTIFS($C$5:$C145,$C145,$D$5:$D145,$D145)=1,1,0))</f>
        <v/>
      </c>
      <c r="Z145" s="14">
        <f>IF($A145="","",IF(Config!$B$7-$T145&gt;2,"Arquivada",IF(Config!$B$7-$T145&gt;0,"Histórico","Ativa")))</f>
        <v/>
      </c>
      <c r="AA145" s="14">
        <f>IF($A145="",0,IF(AND(OR($F145="Ponto de atenção",$F145="Incidente"),$L145="Sim"),1,0))</f>
        <v/>
      </c>
      <c r="AB145" s="14">
        <f>IF(OR($C145="",$C145&lt;&gt;'1a1'!$B$4,$T145&lt;&gt;Config!$B$7),"",COUNTIFS($C$5:$C145,'1a1'!$B$4,$T$5:$T145,Config!$B$7))</f>
        <v/>
      </c>
    </row>
    <row r="146">
      <c r="A146" s="18" t="n"/>
      <c r="B146" s="19" t="n"/>
      <c r="C146" s="14">
        <f>IFERROR(INDEX(Pessoas!$A$5:$A$64,MATCH($B146,Pessoas!$B$5:$B$64,0)),"")</f>
        <v/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8" t="n"/>
      <c r="N146" s="19" t="n"/>
      <c r="O146" s="19" t="n"/>
      <c r="P146" s="19" t="n"/>
      <c r="Q146" s="20">
        <f>IF(OR($M146="",$P146=""),"",$M146+IF($P146="7 dias",7,IF($P146="14 dias",14,90)))</f>
        <v/>
      </c>
      <c r="R146" s="19" t="n"/>
      <c r="S146" s="19" t="n"/>
      <c r="T146" s="14">
        <f>IF($A146="","",YEAR($A146)*4+ROUNDUP(MONTH($A146)/3,0))</f>
        <v/>
      </c>
      <c r="U146" s="14">
        <f>IF($C146="","",$C146&amp;"|"&amp;$T146)</f>
        <v/>
      </c>
      <c r="V146" s="14">
        <f>IF($C146="","",$C146&amp;"|"&amp;$T146&amp;"|"&amp;$G146)</f>
        <v/>
      </c>
      <c r="W146" s="14">
        <f>IF($A146="","",IF(OR($B146="",$F146="",$G146="",$H146="",$I146=""),"Faltam campos básicos",IF(AND(OR($F146="Ponto de atenção",$F146="Incidente"),OR($K146="",$L146="",$O146="",$P146="")),"Faltam campos de sinalização","OK")))</f>
        <v/>
      </c>
      <c r="X146" s="14">
        <f>IF($A146="","",IF(AND(OR($F146="Ponto de atenção",$F146="Incidente"),$L146&lt;&gt;"Sim"),"Não",IF(AND($S146="",$W146&lt;&gt;"OK"),"Não","Sim")))</f>
        <v/>
      </c>
      <c r="Y146" s="14">
        <f>IF($C146="",0,IF(COUNTIFS($C$5:$C146,$C146,$D$5:$D146,$D146)=1,1,0))</f>
        <v/>
      </c>
      <c r="Z146" s="14">
        <f>IF($A146="","",IF(Config!$B$7-$T146&gt;2,"Arquivada",IF(Config!$B$7-$T146&gt;0,"Histórico","Ativa")))</f>
        <v/>
      </c>
      <c r="AA146" s="14">
        <f>IF($A146="",0,IF(AND(OR($F146="Ponto de atenção",$F146="Incidente"),$L146="Sim"),1,0))</f>
        <v/>
      </c>
      <c r="AB146" s="14">
        <f>IF(OR($C146="",$C146&lt;&gt;'1a1'!$B$4,$T146&lt;&gt;Config!$B$7),"",COUNTIFS($C$5:$C146,'1a1'!$B$4,$T$5:$T146,Config!$B$7))</f>
        <v/>
      </c>
    </row>
    <row r="147">
      <c r="A147" s="18" t="n"/>
      <c r="B147" s="19" t="n"/>
      <c r="C147" s="14">
        <f>IFERROR(INDEX(Pessoas!$A$5:$A$64,MATCH($B147,Pessoas!$B$5:$B$64,0)),"")</f>
        <v/>
      </c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8" t="n"/>
      <c r="N147" s="19" t="n"/>
      <c r="O147" s="19" t="n"/>
      <c r="P147" s="19" t="n"/>
      <c r="Q147" s="20">
        <f>IF(OR($M147="",$P147=""),"",$M147+IF($P147="7 dias",7,IF($P147="14 dias",14,90)))</f>
        <v/>
      </c>
      <c r="R147" s="19" t="n"/>
      <c r="S147" s="19" t="n"/>
      <c r="T147" s="14">
        <f>IF($A147="","",YEAR($A147)*4+ROUNDUP(MONTH($A147)/3,0))</f>
        <v/>
      </c>
      <c r="U147" s="14">
        <f>IF($C147="","",$C147&amp;"|"&amp;$T147)</f>
        <v/>
      </c>
      <c r="V147" s="14">
        <f>IF($C147="","",$C147&amp;"|"&amp;$T147&amp;"|"&amp;$G147)</f>
        <v/>
      </c>
      <c r="W147" s="14">
        <f>IF($A147="","",IF(OR($B147="",$F147="",$G147="",$H147="",$I147=""),"Faltam campos básicos",IF(AND(OR($F147="Ponto de atenção",$F147="Incidente"),OR($K147="",$L147="",$O147="",$P147="")),"Faltam campos de sinalização","OK")))</f>
        <v/>
      </c>
      <c r="X147" s="14">
        <f>IF($A147="","",IF(AND(OR($F147="Ponto de atenção",$F147="Incidente"),$L147&lt;&gt;"Sim"),"Não",IF(AND($S147="",$W147&lt;&gt;"OK"),"Não","Sim")))</f>
        <v/>
      </c>
      <c r="Y147" s="14">
        <f>IF($C147="",0,IF(COUNTIFS($C$5:$C147,$C147,$D$5:$D147,$D147)=1,1,0))</f>
        <v/>
      </c>
      <c r="Z147" s="14">
        <f>IF($A147="","",IF(Config!$B$7-$T147&gt;2,"Arquivada",IF(Config!$B$7-$T147&gt;0,"Histórico","Ativa")))</f>
        <v/>
      </c>
      <c r="AA147" s="14">
        <f>IF($A147="",0,IF(AND(OR($F147="Ponto de atenção",$F147="Incidente"),$L147="Sim"),1,0))</f>
        <v/>
      </c>
      <c r="AB147" s="14">
        <f>IF(OR($C147="",$C147&lt;&gt;'1a1'!$B$4,$T147&lt;&gt;Config!$B$7),"",COUNTIFS($C$5:$C147,'1a1'!$B$4,$T$5:$T147,Config!$B$7))</f>
        <v/>
      </c>
    </row>
    <row r="148">
      <c r="A148" s="18" t="n"/>
      <c r="B148" s="19" t="n"/>
      <c r="C148" s="14">
        <f>IFERROR(INDEX(Pessoas!$A$5:$A$64,MATCH($B148,Pessoas!$B$5:$B$64,0)),"")</f>
        <v/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8" t="n"/>
      <c r="N148" s="19" t="n"/>
      <c r="O148" s="19" t="n"/>
      <c r="P148" s="19" t="n"/>
      <c r="Q148" s="20">
        <f>IF(OR($M148="",$P148=""),"",$M148+IF($P148="7 dias",7,IF($P148="14 dias",14,90)))</f>
        <v/>
      </c>
      <c r="R148" s="19" t="n"/>
      <c r="S148" s="19" t="n"/>
      <c r="T148" s="14">
        <f>IF($A148="","",YEAR($A148)*4+ROUNDUP(MONTH($A148)/3,0))</f>
        <v/>
      </c>
      <c r="U148" s="14">
        <f>IF($C148="","",$C148&amp;"|"&amp;$T148)</f>
        <v/>
      </c>
      <c r="V148" s="14">
        <f>IF($C148="","",$C148&amp;"|"&amp;$T148&amp;"|"&amp;$G148)</f>
        <v/>
      </c>
      <c r="W148" s="14">
        <f>IF($A148="","",IF(OR($B148="",$F148="",$G148="",$H148="",$I148=""),"Faltam campos básicos",IF(AND(OR($F148="Ponto de atenção",$F148="Incidente"),OR($K148="",$L148="",$O148="",$P148="")),"Faltam campos de sinalização","OK")))</f>
        <v/>
      </c>
      <c r="X148" s="14">
        <f>IF($A148="","",IF(AND(OR($F148="Ponto de atenção",$F148="Incidente"),$L148&lt;&gt;"Sim"),"Não",IF(AND($S148="",$W148&lt;&gt;"OK"),"Não","Sim")))</f>
        <v/>
      </c>
      <c r="Y148" s="14">
        <f>IF($C148="",0,IF(COUNTIFS($C$5:$C148,$C148,$D$5:$D148,$D148)=1,1,0))</f>
        <v/>
      </c>
      <c r="Z148" s="14">
        <f>IF($A148="","",IF(Config!$B$7-$T148&gt;2,"Arquivada",IF(Config!$B$7-$T148&gt;0,"Histórico","Ativa")))</f>
        <v/>
      </c>
      <c r="AA148" s="14">
        <f>IF($A148="",0,IF(AND(OR($F148="Ponto de atenção",$F148="Incidente"),$L148="Sim"),1,0))</f>
        <v/>
      </c>
      <c r="AB148" s="14">
        <f>IF(OR($C148="",$C148&lt;&gt;'1a1'!$B$4,$T148&lt;&gt;Config!$B$7),"",COUNTIFS($C$5:$C148,'1a1'!$B$4,$T$5:$T148,Config!$B$7))</f>
        <v/>
      </c>
    </row>
    <row r="149">
      <c r="A149" s="18" t="n"/>
      <c r="B149" s="19" t="n"/>
      <c r="C149" s="14">
        <f>IFERROR(INDEX(Pessoas!$A$5:$A$64,MATCH($B149,Pessoas!$B$5:$B$64,0)),"")</f>
        <v/>
      </c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8" t="n"/>
      <c r="N149" s="19" t="n"/>
      <c r="O149" s="19" t="n"/>
      <c r="P149" s="19" t="n"/>
      <c r="Q149" s="20">
        <f>IF(OR($M149="",$P149=""),"",$M149+IF($P149="7 dias",7,IF($P149="14 dias",14,90)))</f>
        <v/>
      </c>
      <c r="R149" s="19" t="n"/>
      <c r="S149" s="19" t="n"/>
      <c r="T149" s="14">
        <f>IF($A149="","",YEAR($A149)*4+ROUNDUP(MONTH($A149)/3,0))</f>
        <v/>
      </c>
      <c r="U149" s="14">
        <f>IF($C149="","",$C149&amp;"|"&amp;$T149)</f>
        <v/>
      </c>
      <c r="V149" s="14">
        <f>IF($C149="","",$C149&amp;"|"&amp;$T149&amp;"|"&amp;$G149)</f>
        <v/>
      </c>
      <c r="W149" s="14">
        <f>IF($A149="","",IF(OR($B149="",$F149="",$G149="",$H149="",$I149=""),"Faltam campos básicos",IF(AND(OR($F149="Ponto de atenção",$F149="Incidente"),OR($K149="",$L149="",$O149="",$P149="")),"Faltam campos de sinalização","OK")))</f>
        <v/>
      </c>
      <c r="X149" s="14">
        <f>IF($A149="","",IF(AND(OR($F149="Ponto de atenção",$F149="Incidente"),$L149&lt;&gt;"Sim"),"Não",IF(AND($S149="",$W149&lt;&gt;"OK"),"Não","Sim")))</f>
        <v/>
      </c>
      <c r="Y149" s="14">
        <f>IF($C149="",0,IF(COUNTIFS($C$5:$C149,$C149,$D$5:$D149,$D149)=1,1,0))</f>
        <v/>
      </c>
      <c r="Z149" s="14">
        <f>IF($A149="","",IF(Config!$B$7-$T149&gt;2,"Arquivada",IF(Config!$B$7-$T149&gt;0,"Histórico","Ativa")))</f>
        <v/>
      </c>
      <c r="AA149" s="14">
        <f>IF($A149="",0,IF(AND(OR($F149="Ponto de atenção",$F149="Incidente"),$L149="Sim"),1,0))</f>
        <v/>
      </c>
      <c r="AB149" s="14">
        <f>IF(OR($C149="",$C149&lt;&gt;'1a1'!$B$4,$T149&lt;&gt;Config!$B$7),"",COUNTIFS($C$5:$C149,'1a1'!$B$4,$T$5:$T149,Config!$B$7))</f>
        <v/>
      </c>
    </row>
    <row r="150">
      <c r="A150" s="18" t="n"/>
      <c r="B150" s="19" t="n"/>
      <c r="C150" s="14">
        <f>IFERROR(INDEX(Pessoas!$A$5:$A$64,MATCH($B150,Pessoas!$B$5:$B$64,0)),"")</f>
        <v/>
      </c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8" t="n"/>
      <c r="N150" s="19" t="n"/>
      <c r="O150" s="19" t="n"/>
      <c r="P150" s="19" t="n"/>
      <c r="Q150" s="20">
        <f>IF(OR($M150="",$P150=""),"",$M150+IF($P150="7 dias",7,IF($P150="14 dias",14,90)))</f>
        <v/>
      </c>
      <c r="R150" s="19" t="n"/>
      <c r="S150" s="19" t="n"/>
      <c r="T150" s="14">
        <f>IF($A150="","",YEAR($A150)*4+ROUNDUP(MONTH($A150)/3,0))</f>
        <v/>
      </c>
      <c r="U150" s="14">
        <f>IF($C150="","",$C150&amp;"|"&amp;$T150)</f>
        <v/>
      </c>
      <c r="V150" s="14">
        <f>IF($C150="","",$C150&amp;"|"&amp;$T150&amp;"|"&amp;$G150)</f>
        <v/>
      </c>
      <c r="W150" s="14">
        <f>IF($A150="","",IF(OR($B150="",$F150="",$G150="",$H150="",$I150=""),"Faltam campos básicos",IF(AND(OR($F150="Ponto de atenção",$F150="Incidente"),OR($K150="",$L150="",$O150="",$P150="")),"Faltam campos de sinalização","OK")))</f>
        <v/>
      </c>
      <c r="X150" s="14">
        <f>IF($A150="","",IF(AND(OR($F150="Ponto de atenção",$F150="Incidente"),$L150&lt;&gt;"Sim"),"Não",IF(AND($S150="",$W150&lt;&gt;"OK"),"Não","Sim")))</f>
        <v/>
      </c>
      <c r="Y150" s="14">
        <f>IF($C150="",0,IF(COUNTIFS($C$5:$C150,$C150,$D$5:$D150,$D150)=1,1,0))</f>
        <v/>
      </c>
      <c r="Z150" s="14">
        <f>IF($A150="","",IF(Config!$B$7-$T150&gt;2,"Arquivada",IF(Config!$B$7-$T150&gt;0,"Histórico","Ativa")))</f>
        <v/>
      </c>
      <c r="AA150" s="14">
        <f>IF($A150="",0,IF(AND(OR($F150="Ponto de atenção",$F150="Incidente"),$L150="Sim"),1,0))</f>
        <v/>
      </c>
      <c r="AB150" s="14">
        <f>IF(OR($C150="",$C150&lt;&gt;'1a1'!$B$4,$T150&lt;&gt;Config!$B$7),"",COUNTIFS($C$5:$C150,'1a1'!$B$4,$T$5:$T150,Config!$B$7))</f>
        <v/>
      </c>
    </row>
    <row r="151">
      <c r="A151" s="18" t="n"/>
      <c r="B151" s="19" t="n"/>
      <c r="C151" s="14">
        <f>IFERROR(INDEX(Pessoas!$A$5:$A$64,MATCH($B151,Pessoas!$B$5:$B$64,0)),"")</f>
        <v/>
      </c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8" t="n"/>
      <c r="N151" s="19" t="n"/>
      <c r="O151" s="19" t="n"/>
      <c r="P151" s="19" t="n"/>
      <c r="Q151" s="20">
        <f>IF(OR($M151="",$P151=""),"",$M151+IF($P151="7 dias",7,IF($P151="14 dias",14,90)))</f>
        <v/>
      </c>
      <c r="R151" s="19" t="n"/>
      <c r="S151" s="19" t="n"/>
      <c r="T151" s="14">
        <f>IF($A151="","",YEAR($A151)*4+ROUNDUP(MONTH($A151)/3,0))</f>
        <v/>
      </c>
      <c r="U151" s="14">
        <f>IF($C151="","",$C151&amp;"|"&amp;$T151)</f>
        <v/>
      </c>
      <c r="V151" s="14">
        <f>IF($C151="","",$C151&amp;"|"&amp;$T151&amp;"|"&amp;$G151)</f>
        <v/>
      </c>
      <c r="W151" s="14">
        <f>IF($A151="","",IF(OR($B151="",$F151="",$G151="",$H151="",$I151=""),"Faltam campos básicos",IF(AND(OR($F151="Ponto de atenção",$F151="Incidente"),OR($K151="",$L151="",$O151="",$P151="")),"Faltam campos de sinalização","OK")))</f>
        <v/>
      </c>
      <c r="X151" s="14">
        <f>IF($A151="","",IF(AND(OR($F151="Ponto de atenção",$F151="Incidente"),$L151&lt;&gt;"Sim"),"Não",IF(AND($S151="",$W151&lt;&gt;"OK"),"Não","Sim")))</f>
        <v/>
      </c>
      <c r="Y151" s="14">
        <f>IF($C151="",0,IF(COUNTIFS($C$5:$C151,$C151,$D$5:$D151,$D151)=1,1,0))</f>
        <v/>
      </c>
      <c r="Z151" s="14">
        <f>IF($A151="","",IF(Config!$B$7-$T151&gt;2,"Arquivada",IF(Config!$B$7-$T151&gt;0,"Histórico","Ativa")))</f>
        <v/>
      </c>
      <c r="AA151" s="14">
        <f>IF($A151="",0,IF(AND(OR($F151="Ponto de atenção",$F151="Incidente"),$L151="Sim"),1,0))</f>
        <v/>
      </c>
      <c r="AB151" s="14">
        <f>IF(OR($C151="",$C151&lt;&gt;'1a1'!$B$4,$T151&lt;&gt;Config!$B$7),"",COUNTIFS($C$5:$C151,'1a1'!$B$4,$T$5:$T151,Config!$B$7))</f>
        <v/>
      </c>
    </row>
    <row r="152">
      <c r="A152" s="18" t="n"/>
      <c r="B152" s="19" t="n"/>
      <c r="C152" s="14">
        <f>IFERROR(INDEX(Pessoas!$A$5:$A$64,MATCH($B152,Pessoas!$B$5:$B$64,0)),"")</f>
        <v/>
      </c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8" t="n"/>
      <c r="N152" s="19" t="n"/>
      <c r="O152" s="19" t="n"/>
      <c r="P152" s="19" t="n"/>
      <c r="Q152" s="20">
        <f>IF(OR($M152="",$P152=""),"",$M152+IF($P152="7 dias",7,IF($P152="14 dias",14,90)))</f>
        <v/>
      </c>
      <c r="R152" s="19" t="n"/>
      <c r="S152" s="19" t="n"/>
      <c r="T152" s="14">
        <f>IF($A152="","",YEAR($A152)*4+ROUNDUP(MONTH($A152)/3,0))</f>
        <v/>
      </c>
      <c r="U152" s="14">
        <f>IF($C152="","",$C152&amp;"|"&amp;$T152)</f>
        <v/>
      </c>
      <c r="V152" s="14">
        <f>IF($C152="","",$C152&amp;"|"&amp;$T152&amp;"|"&amp;$G152)</f>
        <v/>
      </c>
      <c r="W152" s="14">
        <f>IF($A152="","",IF(OR($B152="",$F152="",$G152="",$H152="",$I152=""),"Faltam campos básicos",IF(AND(OR($F152="Ponto de atenção",$F152="Incidente"),OR($K152="",$L152="",$O152="",$P152="")),"Faltam campos de sinalização","OK")))</f>
        <v/>
      </c>
      <c r="X152" s="14">
        <f>IF($A152="","",IF(AND(OR($F152="Ponto de atenção",$F152="Incidente"),$L152&lt;&gt;"Sim"),"Não",IF(AND($S152="",$W152&lt;&gt;"OK"),"Não","Sim")))</f>
        <v/>
      </c>
      <c r="Y152" s="14">
        <f>IF($C152="",0,IF(COUNTIFS($C$5:$C152,$C152,$D$5:$D152,$D152)=1,1,0))</f>
        <v/>
      </c>
      <c r="Z152" s="14">
        <f>IF($A152="","",IF(Config!$B$7-$T152&gt;2,"Arquivada",IF(Config!$B$7-$T152&gt;0,"Histórico","Ativa")))</f>
        <v/>
      </c>
      <c r="AA152" s="14">
        <f>IF($A152="",0,IF(AND(OR($F152="Ponto de atenção",$F152="Incidente"),$L152="Sim"),1,0))</f>
        <v/>
      </c>
      <c r="AB152" s="14">
        <f>IF(OR($C152="",$C152&lt;&gt;'1a1'!$B$4,$T152&lt;&gt;Config!$B$7),"",COUNTIFS($C$5:$C152,'1a1'!$B$4,$T$5:$T152,Config!$B$7))</f>
        <v/>
      </c>
    </row>
    <row r="153">
      <c r="A153" s="18" t="n"/>
      <c r="B153" s="19" t="n"/>
      <c r="C153" s="14">
        <f>IFERROR(INDEX(Pessoas!$A$5:$A$64,MATCH($B153,Pessoas!$B$5:$B$64,0)),"")</f>
        <v/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8" t="n"/>
      <c r="N153" s="19" t="n"/>
      <c r="O153" s="19" t="n"/>
      <c r="P153" s="19" t="n"/>
      <c r="Q153" s="20">
        <f>IF(OR($M153="",$P153=""),"",$M153+IF($P153="7 dias",7,IF($P153="14 dias",14,90)))</f>
        <v/>
      </c>
      <c r="R153" s="19" t="n"/>
      <c r="S153" s="19" t="n"/>
      <c r="T153" s="14">
        <f>IF($A153="","",YEAR($A153)*4+ROUNDUP(MONTH($A153)/3,0))</f>
        <v/>
      </c>
      <c r="U153" s="14">
        <f>IF($C153="","",$C153&amp;"|"&amp;$T153)</f>
        <v/>
      </c>
      <c r="V153" s="14">
        <f>IF($C153="","",$C153&amp;"|"&amp;$T153&amp;"|"&amp;$G153)</f>
        <v/>
      </c>
      <c r="W153" s="14">
        <f>IF($A153="","",IF(OR($B153="",$F153="",$G153="",$H153="",$I153=""),"Faltam campos básicos",IF(AND(OR($F153="Ponto de atenção",$F153="Incidente"),OR($K153="",$L153="",$O153="",$P153="")),"Faltam campos de sinalização","OK")))</f>
        <v/>
      </c>
      <c r="X153" s="14">
        <f>IF($A153="","",IF(AND(OR($F153="Ponto de atenção",$F153="Incidente"),$L153&lt;&gt;"Sim"),"Não",IF(AND($S153="",$W153&lt;&gt;"OK"),"Não","Sim")))</f>
        <v/>
      </c>
      <c r="Y153" s="14">
        <f>IF($C153="",0,IF(COUNTIFS($C$5:$C153,$C153,$D$5:$D153,$D153)=1,1,0))</f>
        <v/>
      </c>
      <c r="Z153" s="14">
        <f>IF($A153="","",IF(Config!$B$7-$T153&gt;2,"Arquivada",IF(Config!$B$7-$T153&gt;0,"Histórico","Ativa")))</f>
        <v/>
      </c>
      <c r="AA153" s="14">
        <f>IF($A153="",0,IF(AND(OR($F153="Ponto de atenção",$F153="Incidente"),$L153="Sim"),1,0))</f>
        <v/>
      </c>
      <c r="AB153" s="14">
        <f>IF(OR($C153="",$C153&lt;&gt;'1a1'!$B$4,$T153&lt;&gt;Config!$B$7),"",COUNTIFS($C$5:$C153,'1a1'!$B$4,$T$5:$T153,Config!$B$7))</f>
        <v/>
      </c>
    </row>
    <row r="154">
      <c r="A154" s="18" t="n"/>
      <c r="B154" s="19" t="n"/>
      <c r="C154" s="14">
        <f>IFERROR(INDEX(Pessoas!$A$5:$A$64,MATCH($B154,Pessoas!$B$5:$B$64,0)),"")</f>
        <v/>
      </c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8" t="n"/>
      <c r="N154" s="19" t="n"/>
      <c r="O154" s="19" t="n"/>
      <c r="P154" s="19" t="n"/>
      <c r="Q154" s="20">
        <f>IF(OR($M154="",$P154=""),"",$M154+IF($P154="7 dias",7,IF($P154="14 dias",14,90)))</f>
        <v/>
      </c>
      <c r="R154" s="19" t="n"/>
      <c r="S154" s="19" t="n"/>
      <c r="T154" s="14">
        <f>IF($A154="","",YEAR($A154)*4+ROUNDUP(MONTH($A154)/3,0))</f>
        <v/>
      </c>
      <c r="U154" s="14">
        <f>IF($C154="","",$C154&amp;"|"&amp;$T154)</f>
        <v/>
      </c>
      <c r="V154" s="14">
        <f>IF($C154="","",$C154&amp;"|"&amp;$T154&amp;"|"&amp;$G154)</f>
        <v/>
      </c>
      <c r="W154" s="14">
        <f>IF($A154="","",IF(OR($B154="",$F154="",$G154="",$H154="",$I154=""),"Faltam campos básicos",IF(AND(OR($F154="Ponto de atenção",$F154="Incidente"),OR($K154="",$L154="",$O154="",$P154="")),"Faltam campos de sinalização","OK")))</f>
        <v/>
      </c>
      <c r="X154" s="14">
        <f>IF($A154="","",IF(AND(OR($F154="Ponto de atenção",$F154="Incidente"),$L154&lt;&gt;"Sim"),"Não",IF(AND($S154="",$W154&lt;&gt;"OK"),"Não","Sim")))</f>
        <v/>
      </c>
      <c r="Y154" s="14">
        <f>IF($C154="",0,IF(COUNTIFS($C$5:$C154,$C154,$D$5:$D154,$D154)=1,1,0))</f>
        <v/>
      </c>
      <c r="Z154" s="14">
        <f>IF($A154="","",IF(Config!$B$7-$T154&gt;2,"Arquivada",IF(Config!$B$7-$T154&gt;0,"Histórico","Ativa")))</f>
        <v/>
      </c>
      <c r="AA154" s="14">
        <f>IF($A154="",0,IF(AND(OR($F154="Ponto de atenção",$F154="Incidente"),$L154="Sim"),1,0))</f>
        <v/>
      </c>
      <c r="AB154" s="14">
        <f>IF(OR($C154="",$C154&lt;&gt;'1a1'!$B$4,$T154&lt;&gt;Config!$B$7),"",COUNTIFS($C$5:$C154,'1a1'!$B$4,$T$5:$T154,Config!$B$7))</f>
        <v/>
      </c>
    </row>
    <row r="155">
      <c r="A155" s="18" t="n"/>
      <c r="B155" s="19" t="n"/>
      <c r="C155" s="14">
        <f>IFERROR(INDEX(Pessoas!$A$5:$A$64,MATCH($B155,Pessoas!$B$5:$B$64,0)),"")</f>
        <v/>
      </c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8" t="n"/>
      <c r="N155" s="19" t="n"/>
      <c r="O155" s="19" t="n"/>
      <c r="P155" s="19" t="n"/>
      <c r="Q155" s="20">
        <f>IF(OR($M155="",$P155=""),"",$M155+IF($P155="7 dias",7,IF($P155="14 dias",14,90)))</f>
        <v/>
      </c>
      <c r="R155" s="19" t="n"/>
      <c r="S155" s="19" t="n"/>
      <c r="T155" s="14">
        <f>IF($A155="","",YEAR($A155)*4+ROUNDUP(MONTH($A155)/3,0))</f>
        <v/>
      </c>
      <c r="U155" s="14">
        <f>IF($C155="","",$C155&amp;"|"&amp;$T155)</f>
        <v/>
      </c>
      <c r="V155" s="14">
        <f>IF($C155="","",$C155&amp;"|"&amp;$T155&amp;"|"&amp;$G155)</f>
        <v/>
      </c>
      <c r="W155" s="14">
        <f>IF($A155="","",IF(OR($B155="",$F155="",$G155="",$H155="",$I155=""),"Faltam campos básicos",IF(AND(OR($F155="Ponto de atenção",$F155="Incidente"),OR($K155="",$L155="",$O155="",$P155="")),"Faltam campos de sinalização","OK")))</f>
        <v/>
      </c>
      <c r="X155" s="14">
        <f>IF($A155="","",IF(AND(OR($F155="Ponto de atenção",$F155="Incidente"),$L155&lt;&gt;"Sim"),"Não",IF(AND($S155="",$W155&lt;&gt;"OK"),"Não","Sim")))</f>
        <v/>
      </c>
      <c r="Y155" s="14">
        <f>IF($C155="",0,IF(COUNTIFS($C$5:$C155,$C155,$D$5:$D155,$D155)=1,1,0))</f>
        <v/>
      </c>
      <c r="Z155" s="14">
        <f>IF($A155="","",IF(Config!$B$7-$T155&gt;2,"Arquivada",IF(Config!$B$7-$T155&gt;0,"Histórico","Ativa")))</f>
        <v/>
      </c>
      <c r="AA155" s="14">
        <f>IF($A155="",0,IF(AND(OR($F155="Ponto de atenção",$F155="Incidente"),$L155="Sim"),1,0))</f>
        <v/>
      </c>
      <c r="AB155" s="14">
        <f>IF(OR($C155="",$C155&lt;&gt;'1a1'!$B$4,$T155&lt;&gt;Config!$B$7),"",COUNTIFS($C$5:$C155,'1a1'!$B$4,$T$5:$T155,Config!$B$7))</f>
        <v/>
      </c>
    </row>
    <row r="156">
      <c r="A156" s="18" t="n"/>
      <c r="B156" s="19" t="n"/>
      <c r="C156" s="14">
        <f>IFERROR(INDEX(Pessoas!$A$5:$A$64,MATCH($B156,Pessoas!$B$5:$B$64,0)),"")</f>
        <v/>
      </c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8" t="n"/>
      <c r="N156" s="19" t="n"/>
      <c r="O156" s="19" t="n"/>
      <c r="P156" s="19" t="n"/>
      <c r="Q156" s="20">
        <f>IF(OR($M156="",$P156=""),"",$M156+IF($P156="7 dias",7,IF($P156="14 dias",14,90)))</f>
        <v/>
      </c>
      <c r="R156" s="19" t="n"/>
      <c r="S156" s="19" t="n"/>
      <c r="T156" s="14">
        <f>IF($A156="","",YEAR($A156)*4+ROUNDUP(MONTH($A156)/3,0))</f>
        <v/>
      </c>
      <c r="U156" s="14">
        <f>IF($C156="","",$C156&amp;"|"&amp;$T156)</f>
        <v/>
      </c>
      <c r="V156" s="14">
        <f>IF($C156="","",$C156&amp;"|"&amp;$T156&amp;"|"&amp;$G156)</f>
        <v/>
      </c>
      <c r="W156" s="14">
        <f>IF($A156="","",IF(OR($B156="",$F156="",$G156="",$H156="",$I156=""),"Faltam campos básicos",IF(AND(OR($F156="Ponto de atenção",$F156="Incidente"),OR($K156="",$L156="",$O156="",$P156="")),"Faltam campos de sinalização","OK")))</f>
        <v/>
      </c>
      <c r="X156" s="14">
        <f>IF($A156="","",IF(AND(OR($F156="Ponto de atenção",$F156="Incidente"),$L156&lt;&gt;"Sim"),"Não",IF(AND($S156="",$W156&lt;&gt;"OK"),"Não","Sim")))</f>
        <v/>
      </c>
      <c r="Y156" s="14">
        <f>IF($C156="",0,IF(COUNTIFS($C$5:$C156,$C156,$D$5:$D156,$D156)=1,1,0))</f>
        <v/>
      </c>
      <c r="Z156" s="14">
        <f>IF($A156="","",IF(Config!$B$7-$T156&gt;2,"Arquivada",IF(Config!$B$7-$T156&gt;0,"Histórico","Ativa")))</f>
        <v/>
      </c>
      <c r="AA156" s="14">
        <f>IF($A156="",0,IF(AND(OR($F156="Ponto de atenção",$F156="Incidente"),$L156="Sim"),1,0))</f>
        <v/>
      </c>
      <c r="AB156" s="14">
        <f>IF(OR($C156="",$C156&lt;&gt;'1a1'!$B$4,$T156&lt;&gt;Config!$B$7),"",COUNTIFS($C$5:$C156,'1a1'!$B$4,$T$5:$T156,Config!$B$7))</f>
        <v/>
      </c>
    </row>
    <row r="157">
      <c r="A157" s="18" t="n"/>
      <c r="B157" s="19" t="n"/>
      <c r="C157" s="14">
        <f>IFERROR(INDEX(Pessoas!$A$5:$A$64,MATCH($B157,Pessoas!$B$5:$B$64,0)),"")</f>
        <v/>
      </c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8" t="n"/>
      <c r="N157" s="19" t="n"/>
      <c r="O157" s="19" t="n"/>
      <c r="P157" s="19" t="n"/>
      <c r="Q157" s="20">
        <f>IF(OR($M157="",$P157=""),"",$M157+IF($P157="7 dias",7,IF($P157="14 dias",14,90)))</f>
        <v/>
      </c>
      <c r="R157" s="19" t="n"/>
      <c r="S157" s="19" t="n"/>
      <c r="T157" s="14">
        <f>IF($A157="","",YEAR($A157)*4+ROUNDUP(MONTH($A157)/3,0))</f>
        <v/>
      </c>
      <c r="U157" s="14">
        <f>IF($C157="","",$C157&amp;"|"&amp;$T157)</f>
        <v/>
      </c>
      <c r="V157" s="14">
        <f>IF($C157="","",$C157&amp;"|"&amp;$T157&amp;"|"&amp;$G157)</f>
        <v/>
      </c>
      <c r="W157" s="14">
        <f>IF($A157="","",IF(OR($B157="",$F157="",$G157="",$H157="",$I157=""),"Faltam campos básicos",IF(AND(OR($F157="Ponto de atenção",$F157="Incidente"),OR($K157="",$L157="",$O157="",$P157="")),"Faltam campos de sinalização","OK")))</f>
        <v/>
      </c>
      <c r="X157" s="14">
        <f>IF($A157="","",IF(AND(OR($F157="Ponto de atenção",$F157="Incidente"),$L157&lt;&gt;"Sim"),"Não",IF(AND($S157="",$W157&lt;&gt;"OK"),"Não","Sim")))</f>
        <v/>
      </c>
      <c r="Y157" s="14">
        <f>IF($C157="",0,IF(COUNTIFS($C$5:$C157,$C157,$D$5:$D157,$D157)=1,1,0))</f>
        <v/>
      </c>
      <c r="Z157" s="14">
        <f>IF($A157="","",IF(Config!$B$7-$T157&gt;2,"Arquivada",IF(Config!$B$7-$T157&gt;0,"Histórico","Ativa")))</f>
        <v/>
      </c>
      <c r="AA157" s="14">
        <f>IF($A157="",0,IF(AND(OR($F157="Ponto de atenção",$F157="Incidente"),$L157="Sim"),1,0))</f>
        <v/>
      </c>
      <c r="AB157" s="14">
        <f>IF(OR($C157="",$C157&lt;&gt;'1a1'!$B$4,$T157&lt;&gt;Config!$B$7),"",COUNTIFS($C$5:$C157,'1a1'!$B$4,$T$5:$T157,Config!$B$7))</f>
        <v/>
      </c>
    </row>
    <row r="158">
      <c r="A158" s="18" t="n"/>
      <c r="B158" s="19" t="n"/>
      <c r="C158" s="14">
        <f>IFERROR(INDEX(Pessoas!$A$5:$A$64,MATCH($B158,Pessoas!$B$5:$B$64,0)),"")</f>
        <v/>
      </c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8" t="n"/>
      <c r="N158" s="19" t="n"/>
      <c r="O158" s="19" t="n"/>
      <c r="P158" s="19" t="n"/>
      <c r="Q158" s="20">
        <f>IF(OR($M158="",$P158=""),"",$M158+IF($P158="7 dias",7,IF($P158="14 dias",14,90)))</f>
        <v/>
      </c>
      <c r="R158" s="19" t="n"/>
      <c r="S158" s="19" t="n"/>
      <c r="T158" s="14">
        <f>IF($A158="","",YEAR($A158)*4+ROUNDUP(MONTH($A158)/3,0))</f>
        <v/>
      </c>
      <c r="U158" s="14">
        <f>IF($C158="","",$C158&amp;"|"&amp;$T158)</f>
        <v/>
      </c>
      <c r="V158" s="14">
        <f>IF($C158="","",$C158&amp;"|"&amp;$T158&amp;"|"&amp;$G158)</f>
        <v/>
      </c>
      <c r="W158" s="14">
        <f>IF($A158="","",IF(OR($B158="",$F158="",$G158="",$H158="",$I158=""),"Faltam campos básicos",IF(AND(OR($F158="Ponto de atenção",$F158="Incidente"),OR($K158="",$L158="",$O158="",$P158="")),"Faltam campos de sinalização","OK")))</f>
        <v/>
      </c>
      <c r="X158" s="14">
        <f>IF($A158="","",IF(AND(OR($F158="Ponto de atenção",$F158="Incidente"),$L158&lt;&gt;"Sim"),"Não",IF(AND($S158="",$W158&lt;&gt;"OK"),"Não","Sim")))</f>
        <v/>
      </c>
      <c r="Y158" s="14">
        <f>IF($C158="",0,IF(COUNTIFS($C$5:$C158,$C158,$D$5:$D158,$D158)=1,1,0))</f>
        <v/>
      </c>
      <c r="Z158" s="14">
        <f>IF($A158="","",IF(Config!$B$7-$T158&gt;2,"Arquivada",IF(Config!$B$7-$T158&gt;0,"Histórico","Ativa")))</f>
        <v/>
      </c>
      <c r="AA158" s="14">
        <f>IF($A158="",0,IF(AND(OR($F158="Ponto de atenção",$F158="Incidente"),$L158="Sim"),1,0))</f>
        <v/>
      </c>
      <c r="AB158" s="14">
        <f>IF(OR($C158="",$C158&lt;&gt;'1a1'!$B$4,$T158&lt;&gt;Config!$B$7),"",COUNTIFS($C$5:$C158,'1a1'!$B$4,$T$5:$T158,Config!$B$7))</f>
        <v/>
      </c>
    </row>
    <row r="159">
      <c r="A159" s="18" t="n"/>
      <c r="B159" s="19" t="n"/>
      <c r="C159" s="14">
        <f>IFERROR(INDEX(Pessoas!$A$5:$A$64,MATCH($B159,Pessoas!$B$5:$B$64,0)),"")</f>
        <v/>
      </c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8" t="n"/>
      <c r="N159" s="19" t="n"/>
      <c r="O159" s="19" t="n"/>
      <c r="P159" s="19" t="n"/>
      <c r="Q159" s="20">
        <f>IF(OR($M159="",$P159=""),"",$M159+IF($P159="7 dias",7,IF($P159="14 dias",14,90)))</f>
        <v/>
      </c>
      <c r="R159" s="19" t="n"/>
      <c r="S159" s="19" t="n"/>
      <c r="T159" s="14">
        <f>IF($A159="","",YEAR($A159)*4+ROUNDUP(MONTH($A159)/3,0))</f>
        <v/>
      </c>
      <c r="U159" s="14">
        <f>IF($C159="","",$C159&amp;"|"&amp;$T159)</f>
        <v/>
      </c>
      <c r="V159" s="14">
        <f>IF($C159="","",$C159&amp;"|"&amp;$T159&amp;"|"&amp;$G159)</f>
        <v/>
      </c>
      <c r="W159" s="14">
        <f>IF($A159="","",IF(OR($B159="",$F159="",$G159="",$H159="",$I159=""),"Faltam campos básicos",IF(AND(OR($F159="Ponto de atenção",$F159="Incidente"),OR($K159="",$L159="",$O159="",$P159="")),"Faltam campos de sinalização","OK")))</f>
        <v/>
      </c>
      <c r="X159" s="14">
        <f>IF($A159="","",IF(AND(OR($F159="Ponto de atenção",$F159="Incidente"),$L159&lt;&gt;"Sim"),"Não",IF(AND($S159="",$W159&lt;&gt;"OK"),"Não","Sim")))</f>
        <v/>
      </c>
      <c r="Y159" s="14">
        <f>IF($C159="",0,IF(COUNTIFS($C$5:$C159,$C159,$D$5:$D159,$D159)=1,1,0))</f>
        <v/>
      </c>
      <c r="Z159" s="14">
        <f>IF($A159="","",IF(Config!$B$7-$T159&gt;2,"Arquivada",IF(Config!$B$7-$T159&gt;0,"Histórico","Ativa")))</f>
        <v/>
      </c>
      <c r="AA159" s="14">
        <f>IF($A159="",0,IF(AND(OR($F159="Ponto de atenção",$F159="Incidente"),$L159="Sim"),1,0))</f>
        <v/>
      </c>
      <c r="AB159" s="14">
        <f>IF(OR($C159="",$C159&lt;&gt;'1a1'!$B$4,$T159&lt;&gt;Config!$B$7),"",COUNTIFS($C$5:$C159,'1a1'!$B$4,$T$5:$T159,Config!$B$7))</f>
        <v/>
      </c>
    </row>
    <row r="160">
      <c r="A160" s="18" t="n"/>
      <c r="B160" s="19" t="n"/>
      <c r="C160" s="14">
        <f>IFERROR(INDEX(Pessoas!$A$5:$A$64,MATCH($B160,Pessoas!$B$5:$B$64,0)),"")</f>
        <v/>
      </c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8" t="n"/>
      <c r="N160" s="19" t="n"/>
      <c r="O160" s="19" t="n"/>
      <c r="P160" s="19" t="n"/>
      <c r="Q160" s="20">
        <f>IF(OR($M160="",$P160=""),"",$M160+IF($P160="7 dias",7,IF($P160="14 dias",14,90)))</f>
        <v/>
      </c>
      <c r="R160" s="19" t="n"/>
      <c r="S160" s="19" t="n"/>
      <c r="T160" s="14">
        <f>IF($A160="","",YEAR($A160)*4+ROUNDUP(MONTH($A160)/3,0))</f>
        <v/>
      </c>
      <c r="U160" s="14">
        <f>IF($C160="","",$C160&amp;"|"&amp;$T160)</f>
        <v/>
      </c>
      <c r="V160" s="14">
        <f>IF($C160="","",$C160&amp;"|"&amp;$T160&amp;"|"&amp;$G160)</f>
        <v/>
      </c>
      <c r="W160" s="14">
        <f>IF($A160="","",IF(OR($B160="",$F160="",$G160="",$H160="",$I160=""),"Faltam campos básicos",IF(AND(OR($F160="Ponto de atenção",$F160="Incidente"),OR($K160="",$L160="",$O160="",$P160="")),"Faltam campos de sinalização","OK")))</f>
        <v/>
      </c>
      <c r="X160" s="14">
        <f>IF($A160="","",IF(AND(OR($F160="Ponto de atenção",$F160="Incidente"),$L160&lt;&gt;"Sim"),"Não",IF(AND($S160="",$W160&lt;&gt;"OK"),"Não","Sim")))</f>
        <v/>
      </c>
      <c r="Y160" s="14">
        <f>IF($C160="",0,IF(COUNTIFS($C$5:$C160,$C160,$D$5:$D160,$D160)=1,1,0))</f>
        <v/>
      </c>
      <c r="Z160" s="14">
        <f>IF($A160="","",IF(Config!$B$7-$T160&gt;2,"Arquivada",IF(Config!$B$7-$T160&gt;0,"Histórico","Ativa")))</f>
        <v/>
      </c>
      <c r="AA160" s="14">
        <f>IF($A160="",0,IF(AND(OR($F160="Ponto de atenção",$F160="Incidente"),$L160="Sim"),1,0))</f>
        <v/>
      </c>
      <c r="AB160" s="14">
        <f>IF(OR($C160="",$C160&lt;&gt;'1a1'!$B$4,$T160&lt;&gt;Config!$B$7),"",COUNTIFS($C$5:$C160,'1a1'!$B$4,$T$5:$T160,Config!$B$7))</f>
        <v/>
      </c>
    </row>
    <row r="161">
      <c r="A161" s="18" t="n"/>
      <c r="B161" s="19" t="n"/>
      <c r="C161" s="14">
        <f>IFERROR(INDEX(Pessoas!$A$5:$A$64,MATCH($B161,Pessoas!$B$5:$B$64,0)),"")</f>
        <v/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8" t="n"/>
      <c r="N161" s="19" t="n"/>
      <c r="O161" s="19" t="n"/>
      <c r="P161" s="19" t="n"/>
      <c r="Q161" s="20">
        <f>IF(OR($M161="",$P161=""),"",$M161+IF($P161="7 dias",7,IF($P161="14 dias",14,90)))</f>
        <v/>
      </c>
      <c r="R161" s="19" t="n"/>
      <c r="S161" s="19" t="n"/>
      <c r="T161" s="14">
        <f>IF($A161="","",YEAR($A161)*4+ROUNDUP(MONTH($A161)/3,0))</f>
        <v/>
      </c>
      <c r="U161" s="14">
        <f>IF($C161="","",$C161&amp;"|"&amp;$T161)</f>
        <v/>
      </c>
      <c r="V161" s="14">
        <f>IF($C161="","",$C161&amp;"|"&amp;$T161&amp;"|"&amp;$G161)</f>
        <v/>
      </c>
      <c r="W161" s="14">
        <f>IF($A161="","",IF(OR($B161="",$F161="",$G161="",$H161="",$I161=""),"Faltam campos básicos",IF(AND(OR($F161="Ponto de atenção",$F161="Incidente"),OR($K161="",$L161="",$O161="",$P161="")),"Faltam campos de sinalização","OK")))</f>
        <v/>
      </c>
      <c r="X161" s="14">
        <f>IF($A161="","",IF(AND(OR($F161="Ponto de atenção",$F161="Incidente"),$L161&lt;&gt;"Sim"),"Não",IF(AND($S161="",$W161&lt;&gt;"OK"),"Não","Sim")))</f>
        <v/>
      </c>
      <c r="Y161" s="14">
        <f>IF($C161="",0,IF(COUNTIFS($C$5:$C161,$C161,$D$5:$D161,$D161)=1,1,0))</f>
        <v/>
      </c>
      <c r="Z161" s="14">
        <f>IF($A161="","",IF(Config!$B$7-$T161&gt;2,"Arquivada",IF(Config!$B$7-$T161&gt;0,"Histórico","Ativa")))</f>
        <v/>
      </c>
      <c r="AA161" s="14">
        <f>IF($A161="",0,IF(AND(OR($F161="Ponto de atenção",$F161="Incidente"),$L161="Sim"),1,0))</f>
        <v/>
      </c>
      <c r="AB161" s="14">
        <f>IF(OR($C161="",$C161&lt;&gt;'1a1'!$B$4,$T161&lt;&gt;Config!$B$7),"",COUNTIFS($C$5:$C161,'1a1'!$B$4,$T$5:$T161,Config!$B$7))</f>
        <v/>
      </c>
    </row>
    <row r="162">
      <c r="A162" s="18" t="n"/>
      <c r="B162" s="19" t="n"/>
      <c r="C162" s="14">
        <f>IFERROR(INDEX(Pessoas!$A$5:$A$64,MATCH($B162,Pessoas!$B$5:$B$64,0)),"")</f>
        <v/>
      </c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8" t="n"/>
      <c r="N162" s="19" t="n"/>
      <c r="O162" s="19" t="n"/>
      <c r="P162" s="19" t="n"/>
      <c r="Q162" s="20">
        <f>IF(OR($M162="",$P162=""),"",$M162+IF($P162="7 dias",7,IF($P162="14 dias",14,90)))</f>
        <v/>
      </c>
      <c r="R162" s="19" t="n"/>
      <c r="S162" s="19" t="n"/>
      <c r="T162" s="14">
        <f>IF($A162="","",YEAR($A162)*4+ROUNDUP(MONTH($A162)/3,0))</f>
        <v/>
      </c>
      <c r="U162" s="14">
        <f>IF($C162="","",$C162&amp;"|"&amp;$T162)</f>
        <v/>
      </c>
      <c r="V162" s="14">
        <f>IF($C162="","",$C162&amp;"|"&amp;$T162&amp;"|"&amp;$G162)</f>
        <v/>
      </c>
      <c r="W162" s="14">
        <f>IF($A162="","",IF(OR($B162="",$F162="",$G162="",$H162="",$I162=""),"Faltam campos básicos",IF(AND(OR($F162="Ponto de atenção",$F162="Incidente"),OR($K162="",$L162="",$O162="",$P162="")),"Faltam campos de sinalização","OK")))</f>
        <v/>
      </c>
      <c r="X162" s="14">
        <f>IF($A162="","",IF(AND(OR($F162="Ponto de atenção",$F162="Incidente"),$L162&lt;&gt;"Sim"),"Não",IF(AND($S162="",$W162&lt;&gt;"OK"),"Não","Sim")))</f>
        <v/>
      </c>
      <c r="Y162" s="14">
        <f>IF($C162="",0,IF(COUNTIFS($C$5:$C162,$C162,$D$5:$D162,$D162)=1,1,0))</f>
        <v/>
      </c>
      <c r="Z162" s="14">
        <f>IF($A162="","",IF(Config!$B$7-$T162&gt;2,"Arquivada",IF(Config!$B$7-$T162&gt;0,"Histórico","Ativa")))</f>
        <v/>
      </c>
      <c r="AA162" s="14">
        <f>IF($A162="",0,IF(AND(OR($F162="Ponto de atenção",$F162="Incidente"),$L162="Sim"),1,0))</f>
        <v/>
      </c>
      <c r="AB162" s="14">
        <f>IF(OR($C162="",$C162&lt;&gt;'1a1'!$B$4,$T162&lt;&gt;Config!$B$7),"",COUNTIFS($C$5:$C162,'1a1'!$B$4,$T$5:$T162,Config!$B$7))</f>
        <v/>
      </c>
    </row>
    <row r="163">
      <c r="A163" s="18" t="n"/>
      <c r="B163" s="19" t="n"/>
      <c r="C163" s="14">
        <f>IFERROR(INDEX(Pessoas!$A$5:$A$64,MATCH($B163,Pessoas!$B$5:$B$64,0)),"")</f>
        <v/>
      </c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8" t="n"/>
      <c r="N163" s="19" t="n"/>
      <c r="O163" s="19" t="n"/>
      <c r="P163" s="19" t="n"/>
      <c r="Q163" s="20">
        <f>IF(OR($M163="",$P163=""),"",$M163+IF($P163="7 dias",7,IF($P163="14 dias",14,90)))</f>
        <v/>
      </c>
      <c r="R163" s="19" t="n"/>
      <c r="S163" s="19" t="n"/>
      <c r="T163" s="14">
        <f>IF($A163="","",YEAR($A163)*4+ROUNDUP(MONTH($A163)/3,0))</f>
        <v/>
      </c>
      <c r="U163" s="14">
        <f>IF($C163="","",$C163&amp;"|"&amp;$T163)</f>
        <v/>
      </c>
      <c r="V163" s="14">
        <f>IF($C163="","",$C163&amp;"|"&amp;$T163&amp;"|"&amp;$G163)</f>
        <v/>
      </c>
      <c r="W163" s="14">
        <f>IF($A163="","",IF(OR($B163="",$F163="",$G163="",$H163="",$I163=""),"Faltam campos básicos",IF(AND(OR($F163="Ponto de atenção",$F163="Incidente"),OR($K163="",$L163="",$O163="",$P163="")),"Faltam campos de sinalização","OK")))</f>
        <v/>
      </c>
      <c r="X163" s="14">
        <f>IF($A163="","",IF(AND(OR($F163="Ponto de atenção",$F163="Incidente"),$L163&lt;&gt;"Sim"),"Não",IF(AND($S163="",$W163&lt;&gt;"OK"),"Não","Sim")))</f>
        <v/>
      </c>
      <c r="Y163" s="14">
        <f>IF($C163="",0,IF(COUNTIFS($C$5:$C163,$C163,$D$5:$D163,$D163)=1,1,0))</f>
        <v/>
      </c>
      <c r="Z163" s="14">
        <f>IF($A163="","",IF(Config!$B$7-$T163&gt;2,"Arquivada",IF(Config!$B$7-$T163&gt;0,"Histórico","Ativa")))</f>
        <v/>
      </c>
      <c r="AA163" s="14">
        <f>IF($A163="",0,IF(AND(OR($F163="Ponto de atenção",$F163="Incidente"),$L163="Sim"),1,0))</f>
        <v/>
      </c>
      <c r="AB163" s="14">
        <f>IF(OR($C163="",$C163&lt;&gt;'1a1'!$B$4,$T163&lt;&gt;Config!$B$7),"",COUNTIFS($C$5:$C163,'1a1'!$B$4,$T$5:$T163,Config!$B$7))</f>
        <v/>
      </c>
    </row>
    <row r="164">
      <c r="A164" s="18" t="n"/>
      <c r="B164" s="19" t="n"/>
      <c r="C164" s="14">
        <f>IFERROR(INDEX(Pessoas!$A$5:$A$64,MATCH($B164,Pessoas!$B$5:$B$64,0)),"")</f>
        <v/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8" t="n"/>
      <c r="N164" s="19" t="n"/>
      <c r="O164" s="19" t="n"/>
      <c r="P164" s="19" t="n"/>
      <c r="Q164" s="20">
        <f>IF(OR($M164="",$P164=""),"",$M164+IF($P164="7 dias",7,IF($P164="14 dias",14,90)))</f>
        <v/>
      </c>
      <c r="R164" s="19" t="n"/>
      <c r="S164" s="19" t="n"/>
      <c r="T164" s="14">
        <f>IF($A164="","",YEAR($A164)*4+ROUNDUP(MONTH($A164)/3,0))</f>
        <v/>
      </c>
      <c r="U164" s="14">
        <f>IF($C164="","",$C164&amp;"|"&amp;$T164)</f>
        <v/>
      </c>
      <c r="V164" s="14">
        <f>IF($C164="","",$C164&amp;"|"&amp;$T164&amp;"|"&amp;$G164)</f>
        <v/>
      </c>
      <c r="W164" s="14">
        <f>IF($A164="","",IF(OR($B164="",$F164="",$G164="",$H164="",$I164=""),"Faltam campos básicos",IF(AND(OR($F164="Ponto de atenção",$F164="Incidente"),OR($K164="",$L164="",$O164="",$P164="")),"Faltam campos de sinalização","OK")))</f>
        <v/>
      </c>
      <c r="X164" s="14">
        <f>IF($A164="","",IF(AND(OR($F164="Ponto de atenção",$F164="Incidente"),$L164&lt;&gt;"Sim"),"Não",IF(AND($S164="",$W164&lt;&gt;"OK"),"Não","Sim")))</f>
        <v/>
      </c>
      <c r="Y164" s="14">
        <f>IF($C164="",0,IF(COUNTIFS($C$5:$C164,$C164,$D$5:$D164,$D164)=1,1,0))</f>
        <v/>
      </c>
      <c r="Z164" s="14">
        <f>IF($A164="","",IF(Config!$B$7-$T164&gt;2,"Arquivada",IF(Config!$B$7-$T164&gt;0,"Histórico","Ativa")))</f>
        <v/>
      </c>
      <c r="AA164" s="14">
        <f>IF($A164="",0,IF(AND(OR($F164="Ponto de atenção",$F164="Incidente"),$L164="Sim"),1,0))</f>
        <v/>
      </c>
      <c r="AB164" s="14">
        <f>IF(OR($C164="",$C164&lt;&gt;'1a1'!$B$4,$T164&lt;&gt;Config!$B$7),"",COUNTIFS($C$5:$C164,'1a1'!$B$4,$T$5:$T164,Config!$B$7))</f>
        <v/>
      </c>
    </row>
    <row r="165">
      <c r="A165" s="18" t="n"/>
      <c r="B165" s="19" t="n"/>
      <c r="C165" s="14">
        <f>IFERROR(INDEX(Pessoas!$A$5:$A$64,MATCH($B165,Pessoas!$B$5:$B$64,0)),"")</f>
        <v/>
      </c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8" t="n"/>
      <c r="N165" s="19" t="n"/>
      <c r="O165" s="19" t="n"/>
      <c r="P165" s="19" t="n"/>
      <c r="Q165" s="20">
        <f>IF(OR($M165="",$P165=""),"",$M165+IF($P165="7 dias",7,IF($P165="14 dias",14,90)))</f>
        <v/>
      </c>
      <c r="R165" s="19" t="n"/>
      <c r="S165" s="19" t="n"/>
      <c r="T165" s="14">
        <f>IF($A165="","",YEAR($A165)*4+ROUNDUP(MONTH($A165)/3,0))</f>
        <v/>
      </c>
      <c r="U165" s="14">
        <f>IF($C165="","",$C165&amp;"|"&amp;$T165)</f>
        <v/>
      </c>
      <c r="V165" s="14">
        <f>IF($C165="","",$C165&amp;"|"&amp;$T165&amp;"|"&amp;$G165)</f>
        <v/>
      </c>
      <c r="W165" s="14">
        <f>IF($A165="","",IF(OR($B165="",$F165="",$G165="",$H165="",$I165=""),"Faltam campos básicos",IF(AND(OR($F165="Ponto de atenção",$F165="Incidente"),OR($K165="",$L165="",$O165="",$P165="")),"Faltam campos de sinalização","OK")))</f>
        <v/>
      </c>
      <c r="X165" s="14">
        <f>IF($A165="","",IF(AND(OR($F165="Ponto de atenção",$F165="Incidente"),$L165&lt;&gt;"Sim"),"Não",IF(AND($S165="",$W165&lt;&gt;"OK"),"Não","Sim")))</f>
        <v/>
      </c>
      <c r="Y165" s="14">
        <f>IF($C165="",0,IF(COUNTIFS($C$5:$C165,$C165,$D$5:$D165,$D165)=1,1,0))</f>
        <v/>
      </c>
      <c r="Z165" s="14">
        <f>IF($A165="","",IF(Config!$B$7-$T165&gt;2,"Arquivada",IF(Config!$B$7-$T165&gt;0,"Histórico","Ativa")))</f>
        <v/>
      </c>
      <c r="AA165" s="14">
        <f>IF($A165="",0,IF(AND(OR($F165="Ponto de atenção",$F165="Incidente"),$L165="Sim"),1,0))</f>
        <v/>
      </c>
      <c r="AB165" s="14">
        <f>IF(OR($C165="",$C165&lt;&gt;'1a1'!$B$4,$T165&lt;&gt;Config!$B$7),"",COUNTIFS($C$5:$C165,'1a1'!$B$4,$T$5:$T165,Config!$B$7))</f>
        <v/>
      </c>
    </row>
    <row r="166">
      <c r="A166" s="18" t="n"/>
      <c r="B166" s="19" t="n"/>
      <c r="C166" s="14">
        <f>IFERROR(INDEX(Pessoas!$A$5:$A$64,MATCH($B166,Pessoas!$B$5:$B$64,0)),"")</f>
        <v/>
      </c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8" t="n"/>
      <c r="N166" s="19" t="n"/>
      <c r="O166" s="19" t="n"/>
      <c r="P166" s="19" t="n"/>
      <c r="Q166" s="20">
        <f>IF(OR($M166="",$P166=""),"",$M166+IF($P166="7 dias",7,IF($P166="14 dias",14,90)))</f>
        <v/>
      </c>
      <c r="R166" s="19" t="n"/>
      <c r="S166" s="19" t="n"/>
      <c r="T166" s="14">
        <f>IF($A166="","",YEAR($A166)*4+ROUNDUP(MONTH($A166)/3,0))</f>
        <v/>
      </c>
      <c r="U166" s="14">
        <f>IF($C166="","",$C166&amp;"|"&amp;$T166)</f>
        <v/>
      </c>
      <c r="V166" s="14">
        <f>IF($C166="","",$C166&amp;"|"&amp;$T166&amp;"|"&amp;$G166)</f>
        <v/>
      </c>
      <c r="W166" s="14">
        <f>IF($A166="","",IF(OR($B166="",$F166="",$G166="",$H166="",$I166=""),"Faltam campos básicos",IF(AND(OR($F166="Ponto de atenção",$F166="Incidente"),OR($K166="",$L166="",$O166="",$P166="")),"Faltam campos de sinalização","OK")))</f>
        <v/>
      </c>
      <c r="X166" s="14">
        <f>IF($A166="","",IF(AND(OR($F166="Ponto de atenção",$F166="Incidente"),$L166&lt;&gt;"Sim"),"Não",IF(AND($S166="",$W166&lt;&gt;"OK"),"Não","Sim")))</f>
        <v/>
      </c>
      <c r="Y166" s="14">
        <f>IF($C166="",0,IF(COUNTIFS($C$5:$C166,$C166,$D$5:$D166,$D166)=1,1,0))</f>
        <v/>
      </c>
      <c r="Z166" s="14">
        <f>IF($A166="","",IF(Config!$B$7-$T166&gt;2,"Arquivada",IF(Config!$B$7-$T166&gt;0,"Histórico","Ativa")))</f>
        <v/>
      </c>
      <c r="AA166" s="14">
        <f>IF($A166="",0,IF(AND(OR($F166="Ponto de atenção",$F166="Incidente"),$L166="Sim"),1,0))</f>
        <v/>
      </c>
      <c r="AB166" s="14">
        <f>IF(OR($C166="",$C166&lt;&gt;'1a1'!$B$4,$T166&lt;&gt;Config!$B$7),"",COUNTIFS($C$5:$C166,'1a1'!$B$4,$T$5:$T166,Config!$B$7))</f>
        <v/>
      </c>
    </row>
    <row r="167">
      <c r="A167" s="18" t="n"/>
      <c r="B167" s="19" t="n"/>
      <c r="C167" s="14">
        <f>IFERROR(INDEX(Pessoas!$A$5:$A$64,MATCH($B167,Pessoas!$B$5:$B$64,0)),"")</f>
        <v/>
      </c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8" t="n"/>
      <c r="N167" s="19" t="n"/>
      <c r="O167" s="19" t="n"/>
      <c r="P167" s="19" t="n"/>
      <c r="Q167" s="20">
        <f>IF(OR($M167="",$P167=""),"",$M167+IF($P167="7 dias",7,IF($P167="14 dias",14,90)))</f>
        <v/>
      </c>
      <c r="R167" s="19" t="n"/>
      <c r="S167" s="19" t="n"/>
      <c r="T167" s="14">
        <f>IF($A167="","",YEAR($A167)*4+ROUNDUP(MONTH($A167)/3,0))</f>
        <v/>
      </c>
      <c r="U167" s="14">
        <f>IF($C167="","",$C167&amp;"|"&amp;$T167)</f>
        <v/>
      </c>
      <c r="V167" s="14">
        <f>IF($C167="","",$C167&amp;"|"&amp;$T167&amp;"|"&amp;$G167)</f>
        <v/>
      </c>
      <c r="W167" s="14">
        <f>IF($A167="","",IF(OR($B167="",$F167="",$G167="",$H167="",$I167=""),"Faltam campos básicos",IF(AND(OR($F167="Ponto de atenção",$F167="Incidente"),OR($K167="",$L167="",$O167="",$P167="")),"Faltam campos de sinalização","OK")))</f>
        <v/>
      </c>
      <c r="X167" s="14">
        <f>IF($A167="","",IF(AND(OR($F167="Ponto de atenção",$F167="Incidente"),$L167&lt;&gt;"Sim"),"Não",IF(AND($S167="",$W167&lt;&gt;"OK"),"Não","Sim")))</f>
        <v/>
      </c>
      <c r="Y167" s="14">
        <f>IF($C167="",0,IF(COUNTIFS($C$5:$C167,$C167,$D$5:$D167,$D167)=1,1,0))</f>
        <v/>
      </c>
      <c r="Z167" s="14">
        <f>IF($A167="","",IF(Config!$B$7-$T167&gt;2,"Arquivada",IF(Config!$B$7-$T167&gt;0,"Histórico","Ativa")))</f>
        <v/>
      </c>
      <c r="AA167" s="14">
        <f>IF($A167="",0,IF(AND(OR($F167="Ponto de atenção",$F167="Incidente"),$L167="Sim"),1,0))</f>
        <v/>
      </c>
      <c r="AB167" s="14">
        <f>IF(OR($C167="",$C167&lt;&gt;'1a1'!$B$4,$T167&lt;&gt;Config!$B$7),"",COUNTIFS($C$5:$C167,'1a1'!$B$4,$T$5:$T167,Config!$B$7))</f>
        <v/>
      </c>
    </row>
    <row r="168">
      <c r="A168" s="18" t="n"/>
      <c r="B168" s="19" t="n"/>
      <c r="C168" s="14">
        <f>IFERROR(INDEX(Pessoas!$A$5:$A$64,MATCH($B168,Pessoas!$B$5:$B$64,0)),"")</f>
        <v/>
      </c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8" t="n"/>
      <c r="N168" s="19" t="n"/>
      <c r="O168" s="19" t="n"/>
      <c r="P168" s="19" t="n"/>
      <c r="Q168" s="20">
        <f>IF(OR($M168="",$P168=""),"",$M168+IF($P168="7 dias",7,IF($P168="14 dias",14,90)))</f>
        <v/>
      </c>
      <c r="R168" s="19" t="n"/>
      <c r="S168" s="19" t="n"/>
      <c r="T168" s="14">
        <f>IF($A168="","",YEAR($A168)*4+ROUNDUP(MONTH($A168)/3,0))</f>
        <v/>
      </c>
      <c r="U168" s="14">
        <f>IF($C168="","",$C168&amp;"|"&amp;$T168)</f>
        <v/>
      </c>
      <c r="V168" s="14">
        <f>IF($C168="","",$C168&amp;"|"&amp;$T168&amp;"|"&amp;$G168)</f>
        <v/>
      </c>
      <c r="W168" s="14">
        <f>IF($A168="","",IF(OR($B168="",$F168="",$G168="",$H168="",$I168=""),"Faltam campos básicos",IF(AND(OR($F168="Ponto de atenção",$F168="Incidente"),OR($K168="",$L168="",$O168="",$P168="")),"Faltam campos de sinalização","OK")))</f>
        <v/>
      </c>
      <c r="X168" s="14">
        <f>IF($A168="","",IF(AND(OR($F168="Ponto de atenção",$F168="Incidente"),$L168&lt;&gt;"Sim"),"Não",IF(AND($S168="",$W168&lt;&gt;"OK"),"Não","Sim")))</f>
        <v/>
      </c>
      <c r="Y168" s="14">
        <f>IF($C168="",0,IF(COUNTIFS($C$5:$C168,$C168,$D$5:$D168,$D168)=1,1,0))</f>
        <v/>
      </c>
      <c r="Z168" s="14">
        <f>IF($A168="","",IF(Config!$B$7-$T168&gt;2,"Arquivada",IF(Config!$B$7-$T168&gt;0,"Histórico","Ativa")))</f>
        <v/>
      </c>
      <c r="AA168" s="14">
        <f>IF($A168="",0,IF(AND(OR($F168="Ponto de atenção",$F168="Incidente"),$L168="Sim"),1,0))</f>
        <v/>
      </c>
      <c r="AB168" s="14">
        <f>IF(OR($C168="",$C168&lt;&gt;'1a1'!$B$4,$T168&lt;&gt;Config!$B$7),"",COUNTIFS($C$5:$C168,'1a1'!$B$4,$T$5:$T168,Config!$B$7))</f>
        <v/>
      </c>
    </row>
    <row r="169">
      <c r="A169" s="18" t="n"/>
      <c r="B169" s="19" t="n"/>
      <c r="C169" s="14">
        <f>IFERROR(INDEX(Pessoas!$A$5:$A$64,MATCH($B169,Pessoas!$B$5:$B$64,0)),"")</f>
        <v/>
      </c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8" t="n"/>
      <c r="N169" s="19" t="n"/>
      <c r="O169" s="19" t="n"/>
      <c r="P169" s="19" t="n"/>
      <c r="Q169" s="20">
        <f>IF(OR($M169="",$P169=""),"",$M169+IF($P169="7 dias",7,IF($P169="14 dias",14,90)))</f>
        <v/>
      </c>
      <c r="R169" s="19" t="n"/>
      <c r="S169" s="19" t="n"/>
      <c r="T169" s="14">
        <f>IF($A169="","",YEAR($A169)*4+ROUNDUP(MONTH($A169)/3,0))</f>
        <v/>
      </c>
      <c r="U169" s="14">
        <f>IF($C169="","",$C169&amp;"|"&amp;$T169)</f>
        <v/>
      </c>
      <c r="V169" s="14">
        <f>IF($C169="","",$C169&amp;"|"&amp;$T169&amp;"|"&amp;$G169)</f>
        <v/>
      </c>
      <c r="W169" s="14">
        <f>IF($A169="","",IF(OR($B169="",$F169="",$G169="",$H169="",$I169=""),"Faltam campos básicos",IF(AND(OR($F169="Ponto de atenção",$F169="Incidente"),OR($K169="",$L169="",$O169="",$P169="")),"Faltam campos de sinalização","OK")))</f>
        <v/>
      </c>
      <c r="X169" s="14">
        <f>IF($A169="","",IF(AND(OR($F169="Ponto de atenção",$F169="Incidente"),$L169&lt;&gt;"Sim"),"Não",IF(AND($S169="",$W169&lt;&gt;"OK"),"Não","Sim")))</f>
        <v/>
      </c>
      <c r="Y169" s="14">
        <f>IF($C169="",0,IF(COUNTIFS($C$5:$C169,$C169,$D$5:$D169,$D169)=1,1,0))</f>
        <v/>
      </c>
      <c r="Z169" s="14">
        <f>IF($A169="","",IF(Config!$B$7-$T169&gt;2,"Arquivada",IF(Config!$B$7-$T169&gt;0,"Histórico","Ativa")))</f>
        <v/>
      </c>
      <c r="AA169" s="14">
        <f>IF($A169="",0,IF(AND(OR($F169="Ponto de atenção",$F169="Incidente"),$L169="Sim"),1,0))</f>
        <v/>
      </c>
      <c r="AB169" s="14">
        <f>IF(OR($C169="",$C169&lt;&gt;'1a1'!$B$4,$T169&lt;&gt;Config!$B$7),"",COUNTIFS($C$5:$C169,'1a1'!$B$4,$T$5:$T169,Config!$B$7))</f>
        <v/>
      </c>
    </row>
    <row r="170">
      <c r="A170" s="18" t="n"/>
      <c r="B170" s="19" t="n"/>
      <c r="C170" s="14">
        <f>IFERROR(INDEX(Pessoas!$A$5:$A$64,MATCH($B170,Pessoas!$B$5:$B$64,0)),"")</f>
        <v/>
      </c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8" t="n"/>
      <c r="N170" s="19" t="n"/>
      <c r="O170" s="19" t="n"/>
      <c r="P170" s="19" t="n"/>
      <c r="Q170" s="20">
        <f>IF(OR($M170="",$P170=""),"",$M170+IF($P170="7 dias",7,IF($P170="14 dias",14,90)))</f>
        <v/>
      </c>
      <c r="R170" s="19" t="n"/>
      <c r="S170" s="19" t="n"/>
      <c r="T170" s="14">
        <f>IF($A170="","",YEAR($A170)*4+ROUNDUP(MONTH($A170)/3,0))</f>
        <v/>
      </c>
      <c r="U170" s="14">
        <f>IF($C170="","",$C170&amp;"|"&amp;$T170)</f>
        <v/>
      </c>
      <c r="V170" s="14">
        <f>IF($C170="","",$C170&amp;"|"&amp;$T170&amp;"|"&amp;$G170)</f>
        <v/>
      </c>
      <c r="W170" s="14">
        <f>IF($A170="","",IF(OR($B170="",$F170="",$G170="",$H170="",$I170=""),"Faltam campos básicos",IF(AND(OR($F170="Ponto de atenção",$F170="Incidente"),OR($K170="",$L170="",$O170="",$P170="")),"Faltam campos de sinalização","OK")))</f>
        <v/>
      </c>
      <c r="X170" s="14">
        <f>IF($A170="","",IF(AND(OR($F170="Ponto de atenção",$F170="Incidente"),$L170&lt;&gt;"Sim"),"Não",IF(AND($S170="",$W170&lt;&gt;"OK"),"Não","Sim")))</f>
        <v/>
      </c>
      <c r="Y170" s="14">
        <f>IF($C170="",0,IF(COUNTIFS($C$5:$C170,$C170,$D$5:$D170,$D170)=1,1,0))</f>
        <v/>
      </c>
      <c r="Z170" s="14">
        <f>IF($A170="","",IF(Config!$B$7-$T170&gt;2,"Arquivada",IF(Config!$B$7-$T170&gt;0,"Histórico","Ativa")))</f>
        <v/>
      </c>
      <c r="AA170" s="14">
        <f>IF($A170="",0,IF(AND(OR($F170="Ponto de atenção",$F170="Incidente"),$L170="Sim"),1,0))</f>
        <v/>
      </c>
      <c r="AB170" s="14">
        <f>IF(OR($C170="",$C170&lt;&gt;'1a1'!$B$4,$T170&lt;&gt;Config!$B$7),"",COUNTIFS($C$5:$C170,'1a1'!$B$4,$T$5:$T170,Config!$B$7))</f>
        <v/>
      </c>
    </row>
    <row r="171">
      <c r="A171" s="18" t="n"/>
      <c r="B171" s="19" t="n"/>
      <c r="C171" s="14">
        <f>IFERROR(INDEX(Pessoas!$A$5:$A$64,MATCH($B171,Pessoas!$B$5:$B$64,0)),"")</f>
        <v/>
      </c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8" t="n"/>
      <c r="N171" s="19" t="n"/>
      <c r="O171" s="19" t="n"/>
      <c r="P171" s="19" t="n"/>
      <c r="Q171" s="20">
        <f>IF(OR($M171="",$P171=""),"",$M171+IF($P171="7 dias",7,IF($P171="14 dias",14,90)))</f>
        <v/>
      </c>
      <c r="R171" s="19" t="n"/>
      <c r="S171" s="19" t="n"/>
      <c r="T171" s="14">
        <f>IF($A171="","",YEAR($A171)*4+ROUNDUP(MONTH($A171)/3,0))</f>
        <v/>
      </c>
      <c r="U171" s="14">
        <f>IF($C171="","",$C171&amp;"|"&amp;$T171)</f>
        <v/>
      </c>
      <c r="V171" s="14">
        <f>IF($C171="","",$C171&amp;"|"&amp;$T171&amp;"|"&amp;$G171)</f>
        <v/>
      </c>
      <c r="W171" s="14">
        <f>IF($A171="","",IF(OR($B171="",$F171="",$G171="",$H171="",$I171=""),"Faltam campos básicos",IF(AND(OR($F171="Ponto de atenção",$F171="Incidente"),OR($K171="",$L171="",$O171="",$P171="")),"Faltam campos de sinalização","OK")))</f>
        <v/>
      </c>
      <c r="X171" s="14">
        <f>IF($A171="","",IF(AND(OR($F171="Ponto de atenção",$F171="Incidente"),$L171&lt;&gt;"Sim"),"Não",IF(AND($S171="",$W171&lt;&gt;"OK"),"Não","Sim")))</f>
        <v/>
      </c>
      <c r="Y171" s="14">
        <f>IF($C171="",0,IF(COUNTIFS($C$5:$C171,$C171,$D$5:$D171,$D171)=1,1,0))</f>
        <v/>
      </c>
      <c r="Z171" s="14">
        <f>IF($A171="","",IF(Config!$B$7-$T171&gt;2,"Arquivada",IF(Config!$B$7-$T171&gt;0,"Histórico","Ativa")))</f>
        <v/>
      </c>
      <c r="AA171" s="14">
        <f>IF($A171="",0,IF(AND(OR($F171="Ponto de atenção",$F171="Incidente"),$L171="Sim"),1,0))</f>
        <v/>
      </c>
      <c r="AB171" s="14">
        <f>IF(OR($C171="",$C171&lt;&gt;'1a1'!$B$4,$T171&lt;&gt;Config!$B$7),"",COUNTIFS($C$5:$C171,'1a1'!$B$4,$T$5:$T171,Config!$B$7))</f>
        <v/>
      </c>
    </row>
    <row r="172">
      <c r="A172" s="18" t="n"/>
      <c r="B172" s="19" t="n"/>
      <c r="C172" s="14">
        <f>IFERROR(INDEX(Pessoas!$A$5:$A$64,MATCH($B172,Pessoas!$B$5:$B$64,0)),"")</f>
        <v/>
      </c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8" t="n"/>
      <c r="N172" s="19" t="n"/>
      <c r="O172" s="19" t="n"/>
      <c r="P172" s="19" t="n"/>
      <c r="Q172" s="20">
        <f>IF(OR($M172="",$P172=""),"",$M172+IF($P172="7 dias",7,IF($P172="14 dias",14,90)))</f>
        <v/>
      </c>
      <c r="R172" s="19" t="n"/>
      <c r="S172" s="19" t="n"/>
      <c r="T172" s="14">
        <f>IF($A172="","",YEAR($A172)*4+ROUNDUP(MONTH($A172)/3,0))</f>
        <v/>
      </c>
      <c r="U172" s="14">
        <f>IF($C172="","",$C172&amp;"|"&amp;$T172)</f>
        <v/>
      </c>
      <c r="V172" s="14">
        <f>IF($C172="","",$C172&amp;"|"&amp;$T172&amp;"|"&amp;$G172)</f>
        <v/>
      </c>
      <c r="W172" s="14">
        <f>IF($A172="","",IF(OR($B172="",$F172="",$G172="",$H172="",$I172=""),"Faltam campos básicos",IF(AND(OR($F172="Ponto de atenção",$F172="Incidente"),OR($K172="",$L172="",$O172="",$P172="")),"Faltam campos de sinalização","OK")))</f>
        <v/>
      </c>
      <c r="X172" s="14">
        <f>IF($A172="","",IF(AND(OR($F172="Ponto de atenção",$F172="Incidente"),$L172&lt;&gt;"Sim"),"Não",IF(AND($S172="",$W172&lt;&gt;"OK"),"Não","Sim")))</f>
        <v/>
      </c>
      <c r="Y172" s="14">
        <f>IF($C172="",0,IF(COUNTIFS($C$5:$C172,$C172,$D$5:$D172,$D172)=1,1,0))</f>
        <v/>
      </c>
      <c r="Z172" s="14">
        <f>IF($A172="","",IF(Config!$B$7-$T172&gt;2,"Arquivada",IF(Config!$B$7-$T172&gt;0,"Histórico","Ativa")))</f>
        <v/>
      </c>
      <c r="AA172" s="14">
        <f>IF($A172="",0,IF(AND(OR($F172="Ponto de atenção",$F172="Incidente"),$L172="Sim"),1,0))</f>
        <v/>
      </c>
      <c r="AB172" s="14">
        <f>IF(OR($C172="",$C172&lt;&gt;'1a1'!$B$4,$T172&lt;&gt;Config!$B$7),"",COUNTIFS($C$5:$C172,'1a1'!$B$4,$T$5:$T172,Config!$B$7))</f>
        <v/>
      </c>
    </row>
    <row r="173">
      <c r="A173" s="18" t="n"/>
      <c r="B173" s="19" t="n"/>
      <c r="C173" s="14">
        <f>IFERROR(INDEX(Pessoas!$A$5:$A$64,MATCH($B173,Pessoas!$B$5:$B$64,0)),"")</f>
        <v/>
      </c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8" t="n"/>
      <c r="N173" s="19" t="n"/>
      <c r="O173" s="19" t="n"/>
      <c r="P173" s="19" t="n"/>
      <c r="Q173" s="20">
        <f>IF(OR($M173="",$P173=""),"",$M173+IF($P173="7 dias",7,IF($P173="14 dias",14,90)))</f>
        <v/>
      </c>
      <c r="R173" s="19" t="n"/>
      <c r="S173" s="19" t="n"/>
      <c r="T173" s="14">
        <f>IF($A173="","",YEAR($A173)*4+ROUNDUP(MONTH($A173)/3,0))</f>
        <v/>
      </c>
      <c r="U173" s="14">
        <f>IF($C173="","",$C173&amp;"|"&amp;$T173)</f>
        <v/>
      </c>
      <c r="V173" s="14">
        <f>IF($C173="","",$C173&amp;"|"&amp;$T173&amp;"|"&amp;$G173)</f>
        <v/>
      </c>
      <c r="W173" s="14">
        <f>IF($A173="","",IF(OR($B173="",$F173="",$G173="",$H173="",$I173=""),"Faltam campos básicos",IF(AND(OR($F173="Ponto de atenção",$F173="Incidente"),OR($K173="",$L173="",$O173="",$P173="")),"Faltam campos de sinalização","OK")))</f>
        <v/>
      </c>
      <c r="X173" s="14">
        <f>IF($A173="","",IF(AND(OR($F173="Ponto de atenção",$F173="Incidente"),$L173&lt;&gt;"Sim"),"Não",IF(AND($S173="",$W173&lt;&gt;"OK"),"Não","Sim")))</f>
        <v/>
      </c>
      <c r="Y173" s="14">
        <f>IF($C173="",0,IF(COUNTIFS($C$5:$C173,$C173,$D$5:$D173,$D173)=1,1,0))</f>
        <v/>
      </c>
      <c r="Z173" s="14">
        <f>IF($A173="","",IF(Config!$B$7-$T173&gt;2,"Arquivada",IF(Config!$B$7-$T173&gt;0,"Histórico","Ativa")))</f>
        <v/>
      </c>
      <c r="AA173" s="14">
        <f>IF($A173="",0,IF(AND(OR($F173="Ponto de atenção",$F173="Incidente"),$L173="Sim"),1,0))</f>
        <v/>
      </c>
      <c r="AB173" s="14">
        <f>IF(OR($C173="",$C173&lt;&gt;'1a1'!$B$4,$T173&lt;&gt;Config!$B$7),"",COUNTIFS($C$5:$C173,'1a1'!$B$4,$T$5:$T173,Config!$B$7))</f>
        <v/>
      </c>
    </row>
    <row r="174">
      <c r="A174" s="18" t="n"/>
      <c r="B174" s="19" t="n"/>
      <c r="C174" s="14">
        <f>IFERROR(INDEX(Pessoas!$A$5:$A$64,MATCH($B174,Pessoas!$B$5:$B$64,0)),"")</f>
        <v/>
      </c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8" t="n"/>
      <c r="N174" s="19" t="n"/>
      <c r="O174" s="19" t="n"/>
      <c r="P174" s="19" t="n"/>
      <c r="Q174" s="20">
        <f>IF(OR($M174="",$P174=""),"",$M174+IF($P174="7 dias",7,IF($P174="14 dias",14,90)))</f>
        <v/>
      </c>
      <c r="R174" s="19" t="n"/>
      <c r="S174" s="19" t="n"/>
      <c r="T174" s="14">
        <f>IF($A174="","",YEAR($A174)*4+ROUNDUP(MONTH($A174)/3,0))</f>
        <v/>
      </c>
      <c r="U174" s="14">
        <f>IF($C174="","",$C174&amp;"|"&amp;$T174)</f>
        <v/>
      </c>
      <c r="V174" s="14">
        <f>IF($C174="","",$C174&amp;"|"&amp;$T174&amp;"|"&amp;$G174)</f>
        <v/>
      </c>
      <c r="W174" s="14">
        <f>IF($A174="","",IF(OR($B174="",$F174="",$G174="",$H174="",$I174=""),"Faltam campos básicos",IF(AND(OR($F174="Ponto de atenção",$F174="Incidente"),OR($K174="",$L174="",$O174="",$P174="")),"Faltam campos de sinalização","OK")))</f>
        <v/>
      </c>
      <c r="X174" s="14">
        <f>IF($A174="","",IF(AND(OR($F174="Ponto de atenção",$F174="Incidente"),$L174&lt;&gt;"Sim"),"Não",IF(AND($S174="",$W174&lt;&gt;"OK"),"Não","Sim")))</f>
        <v/>
      </c>
      <c r="Y174" s="14">
        <f>IF($C174="",0,IF(COUNTIFS($C$5:$C174,$C174,$D$5:$D174,$D174)=1,1,0))</f>
        <v/>
      </c>
      <c r="Z174" s="14">
        <f>IF($A174="","",IF(Config!$B$7-$T174&gt;2,"Arquivada",IF(Config!$B$7-$T174&gt;0,"Histórico","Ativa")))</f>
        <v/>
      </c>
      <c r="AA174" s="14">
        <f>IF($A174="",0,IF(AND(OR($F174="Ponto de atenção",$F174="Incidente"),$L174="Sim"),1,0))</f>
        <v/>
      </c>
      <c r="AB174" s="14">
        <f>IF(OR($C174="",$C174&lt;&gt;'1a1'!$B$4,$T174&lt;&gt;Config!$B$7),"",COUNTIFS($C$5:$C174,'1a1'!$B$4,$T$5:$T174,Config!$B$7))</f>
        <v/>
      </c>
    </row>
    <row r="175">
      <c r="A175" s="18" t="n"/>
      <c r="B175" s="19" t="n"/>
      <c r="C175" s="14">
        <f>IFERROR(INDEX(Pessoas!$A$5:$A$64,MATCH($B175,Pessoas!$B$5:$B$64,0)),"")</f>
        <v/>
      </c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8" t="n"/>
      <c r="N175" s="19" t="n"/>
      <c r="O175" s="19" t="n"/>
      <c r="P175" s="19" t="n"/>
      <c r="Q175" s="20">
        <f>IF(OR($M175="",$P175=""),"",$M175+IF($P175="7 dias",7,IF($P175="14 dias",14,90)))</f>
        <v/>
      </c>
      <c r="R175" s="19" t="n"/>
      <c r="S175" s="19" t="n"/>
      <c r="T175" s="14">
        <f>IF($A175="","",YEAR($A175)*4+ROUNDUP(MONTH($A175)/3,0))</f>
        <v/>
      </c>
      <c r="U175" s="14">
        <f>IF($C175="","",$C175&amp;"|"&amp;$T175)</f>
        <v/>
      </c>
      <c r="V175" s="14">
        <f>IF($C175="","",$C175&amp;"|"&amp;$T175&amp;"|"&amp;$G175)</f>
        <v/>
      </c>
      <c r="W175" s="14">
        <f>IF($A175="","",IF(OR($B175="",$F175="",$G175="",$H175="",$I175=""),"Faltam campos básicos",IF(AND(OR($F175="Ponto de atenção",$F175="Incidente"),OR($K175="",$L175="",$O175="",$P175="")),"Faltam campos de sinalização","OK")))</f>
        <v/>
      </c>
      <c r="X175" s="14">
        <f>IF($A175="","",IF(AND(OR($F175="Ponto de atenção",$F175="Incidente"),$L175&lt;&gt;"Sim"),"Não",IF(AND($S175="",$W175&lt;&gt;"OK"),"Não","Sim")))</f>
        <v/>
      </c>
      <c r="Y175" s="14">
        <f>IF($C175="",0,IF(COUNTIFS($C$5:$C175,$C175,$D$5:$D175,$D175)=1,1,0))</f>
        <v/>
      </c>
      <c r="Z175" s="14">
        <f>IF($A175="","",IF(Config!$B$7-$T175&gt;2,"Arquivada",IF(Config!$B$7-$T175&gt;0,"Histórico","Ativa")))</f>
        <v/>
      </c>
      <c r="AA175" s="14">
        <f>IF($A175="",0,IF(AND(OR($F175="Ponto de atenção",$F175="Incidente"),$L175="Sim"),1,0))</f>
        <v/>
      </c>
      <c r="AB175" s="14">
        <f>IF(OR($C175="",$C175&lt;&gt;'1a1'!$B$4,$T175&lt;&gt;Config!$B$7),"",COUNTIFS($C$5:$C175,'1a1'!$B$4,$T$5:$T175,Config!$B$7))</f>
        <v/>
      </c>
    </row>
    <row r="176">
      <c r="A176" s="18" t="n"/>
      <c r="B176" s="19" t="n"/>
      <c r="C176" s="14">
        <f>IFERROR(INDEX(Pessoas!$A$5:$A$64,MATCH($B176,Pessoas!$B$5:$B$64,0)),"")</f>
        <v/>
      </c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8" t="n"/>
      <c r="N176" s="19" t="n"/>
      <c r="O176" s="19" t="n"/>
      <c r="P176" s="19" t="n"/>
      <c r="Q176" s="20">
        <f>IF(OR($M176="",$P176=""),"",$M176+IF($P176="7 dias",7,IF($P176="14 dias",14,90)))</f>
        <v/>
      </c>
      <c r="R176" s="19" t="n"/>
      <c r="S176" s="19" t="n"/>
      <c r="T176" s="14">
        <f>IF($A176="","",YEAR($A176)*4+ROUNDUP(MONTH($A176)/3,0))</f>
        <v/>
      </c>
      <c r="U176" s="14">
        <f>IF($C176="","",$C176&amp;"|"&amp;$T176)</f>
        <v/>
      </c>
      <c r="V176" s="14">
        <f>IF($C176="","",$C176&amp;"|"&amp;$T176&amp;"|"&amp;$G176)</f>
        <v/>
      </c>
      <c r="W176" s="14">
        <f>IF($A176="","",IF(OR($B176="",$F176="",$G176="",$H176="",$I176=""),"Faltam campos básicos",IF(AND(OR($F176="Ponto de atenção",$F176="Incidente"),OR($K176="",$L176="",$O176="",$P176="")),"Faltam campos de sinalização","OK")))</f>
        <v/>
      </c>
      <c r="X176" s="14">
        <f>IF($A176="","",IF(AND(OR($F176="Ponto de atenção",$F176="Incidente"),$L176&lt;&gt;"Sim"),"Não",IF(AND($S176="",$W176&lt;&gt;"OK"),"Não","Sim")))</f>
        <v/>
      </c>
      <c r="Y176" s="14">
        <f>IF($C176="",0,IF(COUNTIFS($C$5:$C176,$C176,$D$5:$D176,$D176)=1,1,0))</f>
        <v/>
      </c>
      <c r="Z176" s="14">
        <f>IF($A176="","",IF(Config!$B$7-$T176&gt;2,"Arquivada",IF(Config!$B$7-$T176&gt;0,"Histórico","Ativa")))</f>
        <v/>
      </c>
      <c r="AA176" s="14">
        <f>IF($A176="",0,IF(AND(OR($F176="Ponto de atenção",$F176="Incidente"),$L176="Sim"),1,0))</f>
        <v/>
      </c>
      <c r="AB176" s="14">
        <f>IF(OR($C176="",$C176&lt;&gt;'1a1'!$B$4,$T176&lt;&gt;Config!$B$7),"",COUNTIFS($C$5:$C176,'1a1'!$B$4,$T$5:$T176,Config!$B$7))</f>
        <v/>
      </c>
    </row>
    <row r="177">
      <c r="A177" s="18" t="n"/>
      <c r="B177" s="19" t="n"/>
      <c r="C177" s="14">
        <f>IFERROR(INDEX(Pessoas!$A$5:$A$64,MATCH($B177,Pessoas!$B$5:$B$64,0)),"")</f>
        <v/>
      </c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8" t="n"/>
      <c r="N177" s="19" t="n"/>
      <c r="O177" s="19" t="n"/>
      <c r="P177" s="19" t="n"/>
      <c r="Q177" s="20">
        <f>IF(OR($M177="",$P177=""),"",$M177+IF($P177="7 dias",7,IF($P177="14 dias",14,90)))</f>
        <v/>
      </c>
      <c r="R177" s="19" t="n"/>
      <c r="S177" s="19" t="n"/>
      <c r="T177" s="14">
        <f>IF($A177="","",YEAR($A177)*4+ROUNDUP(MONTH($A177)/3,0))</f>
        <v/>
      </c>
      <c r="U177" s="14">
        <f>IF($C177="","",$C177&amp;"|"&amp;$T177)</f>
        <v/>
      </c>
      <c r="V177" s="14">
        <f>IF($C177="","",$C177&amp;"|"&amp;$T177&amp;"|"&amp;$G177)</f>
        <v/>
      </c>
      <c r="W177" s="14">
        <f>IF($A177="","",IF(OR($B177="",$F177="",$G177="",$H177="",$I177=""),"Faltam campos básicos",IF(AND(OR($F177="Ponto de atenção",$F177="Incidente"),OR($K177="",$L177="",$O177="",$P177="")),"Faltam campos de sinalização","OK")))</f>
        <v/>
      </c>
      <c r="X177" s="14">
        <f>IF($A177="","",IF(AND(OR($F177="Ponto de atenção",$F177="Incidente"),$L177&lt;&gt;"Sim"),"Não",IF(AND($S177="",$W177&lt;&gt;"OK"),"Não","Sim")))</f>
        <v/>
      </c>
      <c r="Y177" s="14">
        <f>IF($C177="",0,IF(COUNTIFS($C$5:$C177,$C177,$D$5:$D177,$D177)=1,1,0))</f>
        <v/>
      </c>
      <c r="Z177" s="14">
        <f>IF($A177="","",IF(Config!$B$7-$T177&gt;2,"Arquivada",IF(Config!$B$7-$T177&gt;0,"Histórico","Ativa")))</f>
        <v/>
      </c>
      <c r="AA177" s="14">
        <f>IF($A177="",0,IF(AND(OR($F177="Ponto de atenção",$F177="Incidente"),$L177="Sim"),1,0))</f>
        <v/>
      </c>
      <c r="AB177" s="14">
        <f>IF(OR($C177="",$C177&lt;&gt;'1a1'!$B$4,$T177&lt;&gt;Config!$B$7),"",COUNTIFS($C$5:$C177,'1a1'!$B$4,$T$5:$T177,Config!$B$7))</f>
        <v/>
      </c>
    </row>
    <row r="178">
      <c r="A178" s="18" t="n"/>
      <c r="B178" s="19" t="n"/>
      <c r="C178" s="14">
        <f>IFERROR(INDEX(Pessoas!$A$5:$A$64,MATCH($B178,Pessoas!$B$5:$B$64,0)),"")</f>
        <v/>
      </c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8" t="n"/>
      <c r="N178" s="19" t="n"/>
      <c r="O178" s="19" t="n"/>
      <c r="P178" s="19" t="n"/>
      <c r="Q178" s="20">
        <f>IF(OR($M178="",$P178=""),"",$M178+IF($P178="7 dias",7,IF($P178="14 dias",14,90)))</f>
        <v/>
      </c>
      <c r="R178" s="19" t="n"/>
      <c r="S178" s="19" t="n"/>
      <c r="T178" s="14">
        <f>IF($A178="","",YEAR($A178)*4+ROUNDUP(MONTH($A178)/3,0))</f>
        <v/>
      </c>
      <c r="U178" s="14">
        <f>IF($C178="","",$C178&amp;"|"&amp;$T178)</f>
        <v/>
      </c>
      <c r="V178" s="14">
        <f>IF($C178="","",$C178&amp;"|"&amp;$T178&amp;"|"&amp;$G178)</f>
        <v/>
      </c>
      <c r="W178" s="14">
        <f>IF($A178="","",IF(OR($B178="",$F178="",$G178="",$H178="",$I178=""),"Faltam campos básicos",IF(AND(OR($F178="Ponto de atenção",$F178="Incidente"),OR($K178="",$L178="",$O178="",$P178="")),"Faltam campos de sinalização","OK")))</f>
        <v/>
      </c>
      <c r="X178" s="14">
        <f>IF($A178="","",IF(AND(OR($F178="Ponto de atenção",$F178="Incidente"),$L178&lt;&gt;"Sim"),"Não",IF(AND($S178="",$W178&lt;&gt;"OK"),"Não","Sim")))</f>
        <v/>
      </c>
      <c r="Y178" s="14">
        <f>IF($C178="",0,IF(COUNTIFS($C$5:$C178,$C178,$D$5:$D178,$D178)=1,1,0))</f>
        <v/>
      </c>
      <c r="Z178" s="14">
        <f>IF($A178="","",IF(Config!$B$7-$T178&gt;2,"Arquivada",IF(Config!$B$7-$T178&gt;0,"Histórico","Ativa")))</f>
        <v/>
      </c>
      <c r="AA178" s="14">
        <f>IF($A178="",0,IF(AND(OR($F178="Ponto de atenção",$F178="Incidente"),$L178="Sim"),1,0))</f>
        <v/>
      </c>
      <c r="AB178" s="14">
        <f>IF(OR($C178="",$C178&lt;&gt;'1a1'!$B$4,$T178&lt;&gt;Config!$B$7),"",COUNTIFS($C$5:$C178,'1a1'!$B$4,$T$5:$T178,Config!$B$7))</f>
        <v/>
      </c>
    </row>
    <row r="179">
      <c r="A179" s="18" t="n"/>
      <c r="B179" s="19" t="n"/>
      <c r="C179" s="14">
        <f>IFERROR(INDEX(Pessoas!$A$5:$A$64,MATCH($B179,Pessoas!$B$5:$B$64,0)),"")</f>
        <v/>
      </c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8" t="n"/>
      <c r="N179" s="19" t="n"/>
      <c r="O179" s="19" t="n"/>
      <c r="P179" s="19" t="n"/>
      <c r="Q179" s="20">
        <f>IF(OR($M179="",$P179=""),"",$M179+IF($P179="7 dias",7,IF($P179="14 dias",14,90)))</f>
        <v/>
      </c>
      <c r="R179" s="19" t="n"/>
      <c r="S179" s="19" t="n"/>
      <c r="T179" s="14">
        <f>IF($A179="","",YEAR($A179)*4+ROUNDUP(MONTH($A179)/3,0))</f>
        <v/>
      </c>
      <c r="U179" s="14">
        <f>IF($C179="","",$C179&amp;"|"&amp;$T179)</f>
        <v/>
      </c>
      <c r="V179" s="14">
        <f>IF($C179="","",$C179&amp;"|"&amp;$T179&amp;"|"&amp;$G179)</f>
        <v/>
      </c>
      <c r="W179" s="14">
        <f>IF($A179="","",IF(OR($B179="",$F179="",$G179="",$H179="",$I179=""),"Faltam campos básicos",IF(AND(OR($F179="Ponto de atenção",$F179="Incidente"),OR($K179="",$L179="",$O179="",$P179="")),"Faltam campos de sinalização","OK")))</f>
        <v/>
      </c>
      <c r="X179" s="14">
        <f>IF($A179="","",IF(AND(OR($F179="Ponto de atenção",$F179="Incidente"),$L179&lt;&gt;"Sim"),"Não",IF(AND($S179="",$W179&lt;&gt;"OK"),"Não","Sim")))</f>
        <v/>
      </c>
      <c r="Y179" s="14">
        <f>IF($C179="",0,IF(COUNTIFS($C$5:$C179,$C179,$D$5:$D179,$D179)=1,1,0))</f>
        <v/>
      </c>
      <c r="Z179" s="14">
        <f>IF($A179="","",IF(Config!$B$7-$T179&gt;2,"Arquivada",IF(Config!$B$7-$T179&gt;0,"Histórico","Ativa")))</f>
        <v/>
      </c>
      <c r="AA179" s="14">
        <f>IF($A179="",0,IF(AND(OR($F179="Ponto de atenção",$F179="Incidente"),$L179="Sim"),1,0))</f>
        <v/>
      </c>
      <c r="AB179" s="14">
        <f>IF(OR($C179="",$C179&lt;&gt;'1a1'!$B$4,$T179&lt;&gt;Config!$B$7),"",COUNTIFS($C$5:$C179,'1a1'!$B$4,$T$5:$T179,Config!$B$7))</f>
        <v/>
      </c>
    </row>
    <row r="180">
      <c r="A180" s="18" t="n"/>
      <c r="B180" s="19" t="n"/>
      <c r="C180" s="14">
        <f>IFERROR(INDEX(Pessoas!$A$5:$A$64,MATCH($B180,Pessoas!$B$5:$B$64,0)),"")</f>
        <v/>
      </c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8" t="n"/>
      <c r="N180" s="19" t="n"/>
      <c r="O180" s="19" t="n"/>
      <c r="P180" s="19" t="n"/>
      <c r="Q180" s="20">
        <f>IF(OR($M180="",$P180=""),"",$M180+IF($P180="7 dias",7,IF($P180="14 dias",14,90)))</f>
        <v/>
      </c>
      <c r="R180" s="19" t="n"/>
      <c r="S180" s="19" t="n"/>
      <c r="T180" s="14">
        <f>IF($A180="","",YEAR($A180)*4+ROUNDUP(MONTH($A180)/3,0))</f>
        <v/>
      </c>
      <c r="U180" s="14">
        <f>IF($C180="","",$C180&amp;"|"&amp;$T180)</f>
        <v/>
      </c>
      <c r="V180" s="14">
        <f>IF($C180="","",$C180&amp;"|"&amp;$T180&amp;"|"&amp;$G180)</f>
        <v/>
      </c>
      <c r="W180" s="14">
        <f>IF($A180="","",IF(OR($B180="",$F180="",$G180="",$H180="",$I180=""),"Faltam campos básicos",IF(AND(OR($F180="Ponto de atenção",$F180="Incidente"),OR($K180="",$L180="",$O180="",$P180="")),"Faltam campos de sinalização","OK")))</f>
        <v/>
      </c>
      <c r="X180" s="14">
        <f>IF($A180="","",IF(AND(OR($F180="Ponto de atenção",$F180="Incidente"),$L180&lt;&gt;"Sim"),"Não",IF(AND($S180="",$W180&lt;&gt;"OK"),"Não","Sim")))</f>
        <v/>
      </c>
      <c r="Y180" s="14">
        <f>IF($C180="",0,IF(COUNTIFS($C$5:$C180,$C180,$D$5:$D180,$D180)=1,1,0))</f>
        <v/>
      </c>
      <c r="Z180" s="14">
        <f>IF($A180="","",IF(Config!$B$7-$T180&gt;2,"Arquivada",IF(Config!$B$7-$T180&gt;0,"Histórico","Ativa")))</f>
        <v/>
      </c>
      <c r="AA180" s="14">
        <f>IF($A180="",0,IF(AND(OR($F180="Ponto de atenção",$F180="Incidente"),$L180="Sim"),1,0))</f>
        <v/>
      </c>
      <c r="AB180" s="14">
        <f>IF(OR($C180="",$C180&lt;&gt;'1a1'!$B$4,$T180&lt;&gt;Config!$B$7),"",COUNTIFS($C$5:$C180,'1a1'!$B$4,$T$5:$T180,Config!$B$7))</f>
        <v/>
      </c>
    </row>
    <row r="181">
      <c r="A181" s="18" t="n"/>
      <c r="B181" s="19" t="n"/>
      <c r="C181" s="14">
        <f>IFERROR(INDEX(Pessoas!$A$5:$A$64,MATCH($B181,Pessoas!$B$5:$B$64,0)),"")</f>
        <v/>
      </c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8" t="n"/>
      <c r="N181" s="19" t="n"/>
      <c r="O181" s="19" t="n"/>
      <c r="P181" s="19" t="n"/>
      <c r="Q181" s="20">
        <f>IF(OR($M181="",$P181=""),"",$M181+IF($P181="7 dias",7,IF($P181="14 dias",14,90)))</f>
        <v/>
      </c>
      <c r="R181" s="19" t="n"/>
      <c r="S181" s="19" t="n"/>
      <c r="T181" s="14">
        <f>IF($A181="","",YEAR($A181)*4+ROUNDUP(MONTH($A181)/3,0))</f>
        <v/>
      </c>
      <c r="U181" s="14">
        <f>IF($C181="","",$C181&amp;"|"&amp;$T181)</f>
        <v/>
      </c>
      <c r="V181" s="14">
        <f>IF($C181="","",$C181&amp;"|"&amp;$T181&amp;"|"&amp;$G181)</f>
        <v/>
      </c>
      <c r="W181" s="14">
        <f>IF($A181="","",IF(OR($B181="",$F181="",$G181="",$H181="",$I181=""),"Faltam campos básicos",IF(AND(OR($F181="Ponto de atenção",$F181="Incidente"),OR($K181="",$L181="",$O181="",$P181="")),"Faltam campos de sinalização","OK")))</f>
        <v/>
      </c>
      <c r="X181" s="14">
        <f>IF($A181="","",IF(AND(OR($F181="Ponto de atenção",$F181="Incidente"),$L181&lt;&gt;"Sim"),"Não",IF(AND($S181="",$W181&lt;&gt;"OK"),"Não","Sim")))</f>
        <v/>
      </c>
      <c r="Y181" s="14">
        <f>IF($C181="",0,IF(COUNTIFS($C$5:$C181,$C181,$D$5:$D181,$D181)=1,1,0))</f>
        <v/>
      </c>
      <c r="Z181" s="14">
        <f>IF($A181="","",IF(Config!$B$7-$T181&gt;2,"Arquivada",IF(Config!$B$7-$T181&gt;0,"Histórico","Ativa")))</f>
        <v/>
      </c>
      <c r="AA181" s="14">
        <f>IF($A181="",0,IF(AND(OR($F181="Ponto de atenção",$F181="Incidente"),$L181="Sim"),1,0))</f>
        <v/>
      </c>
      <c r="AB181" s="14">
        <f>IF(OR($C181="",$C181&lt;&gt;'1a1'!$B$4,$T181&lt;&gt;Config!$B$7),"",COUNTIFS($C$5:$C181,'1a1'!$B$4,$T$5:$T181,Config!$B$7))</f>
        <v/>
      </c>
    </row>
    <row r="182">
      <c r="A182" s="18" t="n"/>
      <c r="B182" s="19" t="n"/>
      <c r="C182" s="14">
        <f>IFERROR(INDEX(Pessoas!$A$5:$A$64,MATCH($B182,Pessoas!$B$5:$B$64,0)),"")</f>
        <v/>
      </c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8" t="n"/>
      <c r="N182" s="19" t="n"/>
      <c r="O182" s="19" t="n"/>
      <c r="P182" s="19" t="n"/>
      <c r="Q182" s="20">
        <f>IF(OR($M182="",$P182=""),"",$M182+IF($P182="7 dias",7,IF($P182="14 dias",14,90)))</f>
        <v/>
      </c>
      <c r="R182" s="19" t="n"/>
      <c r="S182" s="19" t="n"/>
      <c r="T182" s="14">
        <f>IF($A182="","",YEAR($A182)*4+ROUNDUP(MONTH($A182)/3,0))</f>
        <v/>
      </c>
      <c r="U182" s="14">
        <f>IF($C182="","",$C182&amp;"|"&amp;$T182)</f>
        <v/>
      </c>
      <c r="V182" s="14">
        <f>IF($C182="","",$C182&amp;"|"&amp;$T182&amp;"|"&amp;$G182)</f>
        <v/>
      </c>
      <c r="W182" s="14">
        <f>IF($A182="","",IF(OR($B182="",$F182="",$G182="",$H182="",$I182=""),"Faltam campos básicos",IF(AND(OR($F182="Ponto de atenção",$F182="Incidente"),OR($K182="",$L182="",$O182="",$P182="")),"Faltam campos de sinalização","OK")))</f>
        <v/>
      </c>
      <c r="X182" s="14">
        <f>IF($A182="","",IF(AND(OR($F182="Ponto de atenção",$F182="Incidente"),$L182&lt;&gt;"Sim"),"Não",IF(AND($S182="",$W182&lt;&gt;"OK"),"Não","Sim")))</f>
        <v/>
      </c>
      <c r="Y182" s="14">
        <f>IF($C182="",0,IF(COUNTIFS($C$5:$C182,$C182,$D$5:$D182,$D182)=1,1,0))</f>
        <v/>
      </c>
      <c r="Z182" s="14">
        <f>IF($A182="","",IF(Config!$B$7-$T182&gt;2,"Arquivada",IF(Config!$B$7-$T182&gt;0,"Histórico","Ativa")))</f>
        <v/>
      </c>
      <c r="AA182" s="14">
        <f>IF($A182="",0,IF(AND(OR($F182="Ponto de atenção",$F182="Incidente"),$L182="Sim"),1,0))</f>
        <v/>
      </c>
      <c r="AB182" s="14">
        <f>IF(OR($C182="",$C182&lt;&gt;'1a1'!$B$4,$T182&lt;&gt;Config!$B$7),"",COUNTIFS($C$5:$C182,'1a1'!$B$4,$T$5:$T182,Config!$B$7))</f>
        <v/>
      </c>
    </row>
    <row r="183">
      <c r="A183" s="18" t="n"/>
      <c r="B183" s="19" t="n"/>
      <c r="C183" s="14">
        <f>IFERROR(INDEX(Pessoas!$A$5:$A$64,MATCH($B183,Pessoas!$B$5:$B$64,0)),"")</f>
        <v/>
      </c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8" t="n"/>
      <c r="N183" s="19" t="n"/>
      <c r="O183" s="19" t="n"/>
      <c r="P183" s="19" t="n"/>
      <c r="Q183" s="20">
        <f>IF(OR($M183="",$P183=""),"",$M183+IF($P183="7 dias",7,IF($P183="14 dias",14,90)))</f>
        <v/>
      </c>
      <c r="R183" s="19" t="n"/>
      <c r="S183" s="19" t="n"/>
      <c r="T183" s="14">
        <f>IF($A183="","",YEAR($A183)*4+ROUNDUP(MONTH($A183)/3,0))</f>
        <v/>
      </c>
      <c r="U183" s="14">
        <f>IF($C183="","",$C183&amp;"|"&amp;$T183)</f>
        <v/>
      </c>
      <c r="V183" s="14">
        <f>IF($C183="","",$C183&amp;"|"&amp;$T183&amp;"|"&amp;$G183)</f>
        <v/>
      </c>
      <c r="W183" s="14">
        <f>IF($A183="","",IF(OR($B183="",$F183="",$G183="",$H183="",$I183=""),"Faltam campos básicos",IF(AND(OR($F183="Ponto de atenção",$F183="Incidente"),OR($K183="",$L183="",$O183="",$P183="")),"Faltam campos de sinalização","OK")))</f>
        <v/>
      </c>
      <c r="X183" s="14">
        <f>IF($A183="","",IF(AND(OR($F183="Ponto de atenção",$F183="Incidente"),$L183&lt;&gt;"Sim"),"Não",IF(AND($S183="",$W183&lt;&gt;"OK"),"Não","Sim")))</f>
        <v/>
      </c>
      <c r="Y183" s="14">
        <f>IF($C183="",0,IF(COUNTIFS($C$5:$C183,$C183,$D$5:$D183,$D183)=1,1,0))</f>
        <v/>
      </c>
      <c r="Z183" s="14">
        <f>IF($A183="","",IF(Config!$B$7-$T183&gt;2,"Arquivada",IF(Config!$B$7-$T183&gt;0,"Histórico","Ativa")))</f>
        <v/>
      </c>
      <c r="AA183" s="14">
        <f>IF($A183="",0,IF(AND(OR($F183="Ponto de atenção",$F183="Incidente"),$L183="Sim"),1,0))</f>
        <v/>
      </c>
      <c r="AB183" s="14">
        <f>IF(OR($C183="",$C183&lt;&gt;'1a1'!$B$4,$T183&lt;&gt;Config!$B$7),"",COUNTIFS($C$5:$C183,'1a1'!$B$4,$T$5:$T183,Config!$B$7))</f>
        <v/>
      </c>
    </row>
    <row r="184">
      <c r="A184" s="18" t="n"/>
      <c r="B184" s="19" t="n"/>
      <c r="C184" s="14">
        <f>IFERROR(INDEX(Pessoas!$A$5:$A$64,MATCH($B184,Pessoas!$B$5:$B$64,0)),"")</f>
        <v/>
      </c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8" t="n"/>
      <c r="N184" s="19" t="n"/>
      <c r="O184" s="19" t="n"/>
      <c r="P184" s="19" t="n"/>
      <c r="Q184" s="20">
        <f>IF(OR($M184="",$P184=""),"",$M184+IF($P184="7 dias",7,IF($P184="14 dias",14,90)))</f>
        <v/>
      </c>
      <c r="R184" s="19" t="n"/>
      <c r="S184" s="19" t="n"/>
      <c r="T184" s="14">
        <f>IF($A184="","",YEAR($A184)*4+ROUNDUP(MONTH($A184)/3,0))</f>
        <v/>
      </c>
      <c r="U184" s="14">
        <f>IF($C184="","",$C184&amp;"|"&amp;$T184)</f>
        <v/>
      </c>
      <c r="V184" s="14">
        <f>IF($C184="","",$C184&amp;"|"&amp;$T184&amp;"|"&amp;$G184)</f>
        <v/>
      </c>
      <c r="W184" s="14">
        <f>IF($A184="","",IF(OR($B184="",$F184="",$G184="",$H184="",$I184=""),"Faltam campos básicos",IF(AND(OR($F184="Ponto de atenção",$F184="Incidente"),OR($K184="",$L184="",$O184="",$P184="")),"Faltam campos de sinalização","OK")))</f>
        <v/>
      </c>
      <c r="X184" s="14">
        <f>IF($A184="","",IF(AND(OR($F184="Ponto de atenção",$F184="Incidente"),$L184&lt;&gt;"Sim"),"Não",IF(AND($S184="",$W184&lt;&gt;"OK"),"Não","Sim")))</f>
        <v/>
      </c>
      <c r="Y184" s="14">
        <f>IF($C184="",0,IF(COUNTIFS($C$5:$C184,$C184,$D$5:$D184,$D184)=1,1,0))</f>
        <v/>
      </c>
      <c r="Z184" s="14">
        <f>IF($A184="","",IF(Config!$B$7-$T184&gt;2,"Arquivada",IF(Config!$B$7-$T184&gt;0,"Histórico","Ativa")))</f>
        <v/>
      </c>
      <c r="AA184" s="14">
        <f>IF($A184="",0,IF(AND(OR($F184="Ponto de atenção",$F184="Incidente"),$L184="Sim"),1,0))</f>
        <v/>
      </c>
      <c r="AB184" s="14">
        <f>IF(OR($C184="",$C184&lt;&gt;'1a1'!$B$4,$T184&lt;&gt;Config!$B$7),"",COUNTIFS($C$5:$C184,'1a1'!$B$4,$T$5:$T184,Config!$B$7))</f>
        <v/>
      </c>
    </row>
    <row r="185">
      <c r="A185" s="18" t="n"/>
      <c r="B185" s="19" t="n"/>
      <c r="C185" s="14">
        <f>IFERROR(INDEX(Pessoas!$A$5:$A$64,MATCH($B185,Pessoas!$B$5:$B$64,0)),"")</f>
        <v/>
      </c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8" t="n"/>
      <c r="N185" s="19" t="n"/>
      <c r="O185" s="19" t="n"/>
      <c r="P185" s="19" t="n"/>
      <c r="Q185" s="20">
        <f>IF(OR($M185="",$P185=""),"",$M185+IF($P185="7 dias",7,IF($P185="14 dias",14,90)))</f>
        <v/>
      </c>
      <c r="R185" s="19" t="n"/>
      <c r="S185" s="19" t="n"/>
      <c r="T185" s="14">
        <f>IF($A185="","",YEAR($A185)*4+ROUNDUP(MONTH($A185)/3,0))</f>
        <v/>
      </c>
      <c r="U185" s="14">
        <f>IF($C185="","",$C185&amp;"|"&amp;$T185)</f>
        <v/>
      </c>
      <c r="V185" s="14">
        <f>IF($C185="","",$C185&amp;"|"&amp;$T185&amp;"|"&amp;$G185)</f>
        <v/>
      </c>
      <c r="W185" s="14">
        <f>IF($A185="","",IF(OR($B185="",$F185="",$G185="",$H185="",$I185=""),"Faltam campos básicos",IF(AND(OR($F185="Ponto de atenção",$F185="Incidente"),OR($K185="",$L185="",$O185="",$P185="")),"Faltam campos de sinalização","OK")))</f>
        <v/>
      </c>
      <c r="X185" s="14">
        <f>IF($A185="","",IF(AND(OR($F185="Ponto de atenção",$F185="Incidente"),$L185&lt;&gt;"Sim"),"Não",IF(AND($S185="",$W185&lt;&gt;"OK"),"Não","Sim")))</f>
        <v/>
      </c>
      <c r="Y185" s="14">
        <f>IF($C185="",0,IF(COUNTIFS($C$5:$C185,$C185,$D$5:$D185,$D185)=1,1,0))</f>
        <v/>
      </c>
      <c r="Z185" s="14">
        <f>IF($A185="","",IF(Config!$B$7-$T185&gt;2,"Arquivada",IF(Config!$B$7-$T185&gt;0,"Histórico","Ativa")))</f>
        <v/>
      </c>
      <c r="AA185" s="14">
        <f>IF($A185="",0,IF(AND(OR($F185="Ponto de atenção",$F185="Incidente"),$L185="Sim"),1,0))</f>
        <v/>
      </c>
      <c r="AB185" s="14">
        <f>IF(OR($C185="",$C185&lt;&gt;'1a1'!$B$4,$T185&lt;&gt;Config!$B$7),"",COUNTIFS($C$5:$C185,'1a1'!$B$4,$T$5:$T185,Config!$B$7))</f>
        <v/>
      </c>
    </row>
    <row r="186">
      <c r="A186" s="18" t="n"/>
      <c r="B186" s="19" t="n"/>
      <c r="C186" s="14">
        <f>IFERROR(INDEX(Pessoas!$A$5:$A$64,MATCH($B186,Pessoas!$B$5:$B$64,0)),"")</f>
        <v/>
      </c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8" t="n"/>
      <c r="N186" s="19" t="n"/>
      <c r="O186" s="19" t="n"/>
      <c r="P186" s="19" t="n"/>
      <c r="Q186" s="20">
        <f>IF(OR($M186="",$P186=""),"",$M186+IF($P186="7 dias",7,IF($P186="14 dias",14,90)))</f>
        <v/>
      </c>
      <c r="R186" s="19" t="n"/>
      <c r="S186" s="19" t="n"/>
      <c r="T186" s="14">
        <f>IF($A186="","",YEAR($A186)*4+ROUNDUP(MONTH($A186)/3,0))</f>
        <v/>
      </c>
      <c r="U186" s="14">
        <f>IF($C186="","",$C186&amp;"|"&amp;$T186)</f>
        <v/>
      </c>
      <c r="V186" s="14">
        <f>IF($C186="","",$C186&amp;"|"&amp;$T186&amp;"|"&amp;$G186)</f>
        <v/>
      </c>
      <c r="W186" s="14">
        <f>IF($A186="","",IF(OR($B186="",$F186="",$G186="",$H186="",$I186=""),"Faltam campos básicos",IF(AND(OR($F186="Ponto de atenção",$F186="Incidente"),OR($K186="",$L186="",$O186="",$P186="")),"Faltam campos de sinalização","OK")))</f>
        <v/>
      </c>
      <c r="X186" s="14">
        <f>IF($A186="","",IF(AND(OR($F186="Ponto de atenção",$F186="Incidente"),$L186&lt;&gt;"Sim"),"Não",IF(AND($S186="",$W186&lt;&gt;"OK"),"Não","Sim")))</f>
        <v/>
      </c>
      <c r="Y186" s="14">
        <f>IF($C186="",0,IF(COUNTIFS($C$5:$C186,$C186,$D$5:$D186,$D186)=1,1,0))</f>
        <v/>
      </c>
      <c r="Z186" s="14">
        <f>IF($A186="","",IF(Config!$B$7-$T186&gt;2,"Arquivada",IF(Config!$B$7-$T186&gt;0,"Histórico","Ativa")))</f>
        <v/>
      </c>
      <c r="AA186" s="14">
        <f>IF($A186="",0,IF(AND(OR($F186="Ponto de atenção",$F186="Incidente"),$L186="Sim"),1,0))</f>
        <v/>
      </c>
      <c r="AB186" s="14">
        <f>IF(OR($C186="",$C186&lt;&gt;'1a1'!$B$4,$T186&lt;&gt;Config!$B$7),"",COUNTIFS($C$5:$C186,'1a1'!$B$4,$T$5:$T186,Config!$B$7))</f>
        <v/>
      </c>
    </row>
    <row r="187">
      <c r="A187" s="18" t="n"/>
      <c r="B187" s="19" t="n"/>
      <c r="C187" s="14">
        <f>IFERROR(INDEX(Pessoas!$A$5:$A$64,MATCH($B187,Pessoas!$B$5:$B$64,0)),"")</f>
        <v/>
      </c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8" t="n"/>
      <c r="N187" s="19" t="n"/>
      <c r="O187" s="19" t="n"/>
      <c r="P187" s="19" t="n"/>
      <c r="Q187" s="20">
        <f>IF(OR($M187="",$P187=""),"",$M187+IF($P187="7 dias",7,IF($P187="14 dias",14,90)))</f>
        <v/>
      </c>
      <c r="R187" s="19" t="n"/>
      <c r="S187" s="19" t="n"/>
      <c r="T187" s="14">
        <f>IF($A187="","",YEAR($A187)*4+ROUNDUP(MONTH($A187)/3,0))</f>
        <v/>
      </c>
      <c r="U187" s="14">
        <f>IF($C187="","",$C187&amp;"|"&amp;$T187)</f>
        <v/>
      </c>
      <c r="V187" s="14">
        <f>IF($C187="","",$C187&amp;"|"&amp;$T187&amp;"|"&amp;$G187)</f>
        <v/>
      </c>
      <c r="W187" s="14">
        <f>IF($A187="","",IF(OR($B187="",$F187="",$G187="",$H187="",$I187=""),"Faltam campos básicos",IF(AND(OR($F187="Ponto de atenção",$F187="Incidente"),OR($K187="",$L187="",$O187="",$P187="")),"Faltam campos de sinalização","OK")))</f>
        <v/>
      </c>
      <c r="X187" s="14">
        <f>IF($A187="","",IF(AND(OR($F187="Ponto de atenção",$F187="Incidente"),$L187&lt;&gt;"Sim"),"Não",IF(AND($S187="",$W187&lt;&gt;"OK"),"Não","Sim")))</f>
        <v/>
      </c>
      <c r="Y187" s="14">
        <f>IF($C187="",0,IF(COUNTIFS($C$5:$C187,$C187,$D$5:$D187,$D187)=1,1,0))</f>
        <v/>
      </c>
      <c r="Z187" s="14">
        <f>IF($A187="","",IF(Config!$B$7-$T187&gt;2,"Arquivada",IF(Config!$B$7-$T187&gt;0,"Histórico","Ativa")))</f>
        <v/>
      </c>
      <c r="AA187" s="14">
        <f>IF($A187="",0,IF(AND(OR($F187="Ponto de atenção",$F187="Incidente"),$L187="Sim"),1,0))</f>
        <v/>
      </c>
      <c r="AB187" s="14">
        <f>IF(OR($C187="",$C187&lt;&gt;'1a1'!$B$4,$T187&lt;&gt;Config!$B$7),"",COUNTIFS($C$5:$C187,'1a1'!$B$4,$T$5:$T187,Config!$B$7))</f>
        <v/>
      </c>
    </row>
    <row r="188">
      <c r="A188" s="18" t="n"/>
      <c r="B188" s="19" t="n"/>
      <c r="C188" s="14">
        <f>IFERROR(INDEX(Pessoas!$A$5:$A$64,MATCH($B188,Pessoas!$B$5:$B$64,0)),"")</f>
        <v/>
      </c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8" t="n"/>
      <c r="N188" s="19" t="n"/>
      <c r="O188" s="19" t="n"/>
      <c r="P188" s="19" t="n"/>
      <c r="Q188" s="20">
        <f>IF(OR($M188="",$P188=""),"",$M188+IF($P188="7 dias",7,IF($P188="14 dias",14,90)))</f>
        <v/>
      </c>
      <c r="R188" s="19" t="n"/>
      <c r="S188" s="19" t="n"/>
      <c r="T188" s="14">
        <f>IF($A188="","",YEAR($A188)*4+ROUNDUP(MONTH($A188)/3,0))</f>
        <v/>
      </c>
      <c r="U188" s="14">
        <f>IF($C188="","",$C188&amp;"|"&amp;$T188)</f>
        <v/>
      </c>
      <c r="V188" s="14">
        <f>IF($C188="","",$C188&amp;"|"&amp;$T188&amp;"|"&amp;$G188)</f>
        <v/>
      </c>
      <c r="W188" s="14">
        <f>IF($A188="","",IF(OR($B188="",$F188="",$G188="",$H188="",$I188=""),"Faltam campos básicos",IF(AND(OR($F188="Ponto de atenção",$F188="Incidente"),OR($K188="",$L188="",$O188="",$P188="")),"Faltam campos de sinalização","OK")))</f>
        <v/>
      </c>
      <c r="X188" s="14">
        <f>IF($A188="","",IF(AND(OR($F188="Ponto de atenção",$F188="Incidente"),$L188&lt;&gt;"Sim"),"Não",IF(AND($S188="",$W188&lt;&gt;"OK"),"Não","Sim")))</f>
        <v/>
      </c>
      <c r="Y188" s="14">
        <f>IF($C188="",0,IF(COUNTIFS($C$5:$C188,$C188,$D$5:$D188,$D188)=1,1,0))</f>
        <v/>
      </c>
      <c r="Z188" s="14">
        <f>IF($A188="","",IF(Config!$B$7-$T188&gt;2,"Arquivada",IF(Config!$B$7-$T188&gt;0,"Histórico","Ativa")))</f>
        <v/>
      </c>
      <c r="AA188" s="14">
        <f>IF($A188="",0,IF(AND(OR($F188="Ponto de atenção",$F188="Incidente"),$L188="Sim"),1,0))</f>
        <v/>
      </c>
      <c r="AB188" s="14">
        <f>IF(OR($C188="",$C188&lt;&gt;'1a1'!$B$4,$T188&lt;&gt;Config!$B$7),"",COUNTIFS($C$5:$C188,'1a1'!$B$4,$T$5:$T188,Config!$B$7))</f>
        <v/>
      </c>
    </row>
    <row r="189">
      <c r="A189" s="18" t="n"/>
      <c r="B189" s="19" t="n"/>
      <c r="C189" s="14">
        <f>IFERROR(INDEX(Pessoas!$A$5:$A$64,MATCH($B189,Pessoas!$B$5:$B$64,0)),"")</f>
        <v/>
      </c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8" t="n"/>
      <c r="N189" s="19" t="n"/>
      <c r="O189" s="19" t="n"/>
      <c r="P189" s="19" t="n"/>
      <c r="Q189" s="20">
        <f>IF(OR($M189="",$P189=""),"",$M189+IF($P189="7 dias",7,IF($P189="14 dias",14,90)))</f>
        <v/>
      </c>
      <c r="R189" s="19" t="n"/>
      <c r="S189" s="19" t="n"/>
      <c r="T189" s="14">
        <f>IF($A189="","",YEAR($A189)*4+ROUNDUP(MONTH($A189)/3,0))</f>
        <v/>
      </c>
      <c r="U189" s="14">
        <f>IF($C189="","",$C189&amp;"|"&amp;$T189)</f>
        <v/>
      </c>
      <c r="V189" s="14">
        <f>IF($C189="","",$C189&amp;"|"&amp;$T189&amp;"|"&amp;$G189)</f>
        <v/>
      </c>
      <c r="W189" s="14">
        <f>IF($A189="","",IF(OR($B189="",$F189="",$G189="",$H189="",$I189=""),"Faltam campos básicos",IF(AND(OR($F189="Ponto de atenção",$F189="Incidente"),OR($K189="",$L189="",$O189="",$P189="")),"Faltam campos de sinalização","OK")))</f>
        <v/>
      </c>
      <c r="X189" s="14">
        <f>IF($A189="","",IF(AND(OR($F189="Ponto de atenção",$F189="Incidente"),$L189&lt;&gt;"Sim"),"Não",IF(AND($S189="",$W189&lt;&gt;"OK"),"Não","Sim")))</f>
        <v/>
      </c>
      <c r="Y189" s="14">
        <f>IF($C189="",0,IF(COUNTIFS($C$5:$C189,$C189,$D$5:$D189,$D189)=1,1,0))</f>
        <v/>
      </c>
      <c r="Z189" s="14">
        <f>IF($A189="","",IF(Config!$B$7-$T189&gt;2,"Arquivada",IF(Config!$B$7-$T189&gt;0,"Histórico","Ativa")))</f>
        <v/>
      </c>
      <c r="AA189" s="14">
        <f>IF($A189="",0,IF(AND(OR($F189="Ponto de atenção",$F189="Incidente"),$L189="Sim"),1,0))</f>
        <v/>
      </c>
      <c r="AB189" s="14">
        <f>IF(OR($C189="",$C189&lt;&gt;'1a1'!$B$4,$T189&lt;&gt;Config!$B$7),"",COUNTIFS($C$5:$C189,'1a1'!$B$4,$T$5:$T189,Config!$B$7))</f>
        <v/>
      </c>
    </row>
    <row r="190">
      <c r="A190" s="18" t="n"/>
      <c r="B190" s="19" t="n"/>
      <c r="C190" s="14">
        <f>IFERROR(INDEX(Pessoas!$A$5:$A$64,MATCH($B190,Pessoas!$B$5:$B$64,0)),"")</f>
        <v/>
      </c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8" t="n"/>
      <c r="N190" s="19" t="n"/>
      <c r="O190" s="19" t="n"/>
      <c r="P190" s="19" t="n"/>
      <c r="Q190" s="20">
        <f>IF(OR($M190="",$P190=""),"",$M190+IF($P190="7 dias",7,IF($P190="14 dias",14,90)))</f>
        <v/>
      </c>
      <c r="R190" s="19" t="n"/>
      <c r="S190" s="19" t="n"/>
      <c r="T190" s="14">
        <f>IF($A190="","",YEAR($A190)*4+ROUNDUP(MONTH($A190)/3,0))</f>
        <v/>
      </c>
      <c r="U190" s="14">
        <f>IF($C190="","",$C190&amp;"|"&amp;$T190)</f>
        <v/>
      </c>
      <c r="V190" s="14">
        <f>IF($C190="","",$C190&amp;"|"&amp;$T190&amp;"|"&amp;$G190)</f>
        <v/>
      </c>
      <c r="W190" s="14">
        <f>IF($A190="","",IF(OR($B190="",$F190="",$G190="",$H190="",$I190=""),"Faltam campos básicos",IF(AND(OR($F190="Ponto de atenção",$F190="Incidente"),OR($K190="",$L190="",$O190="",$P190="")),"Faltam campos de sinalização","OK")))</f>
        <v/>
      </c>
      <c r="X190" s="14">
        <f>IF($A190="","",IF(AND(OR($F190="Ponto de atenção",$F190="Incidente"),$L190&lt;&gt;"Sim"),"Não",IF(AND($S190="",$W190&lt;&gt;"OK"),"Não","Sim")))</f>
        <v/>
      </c>
      <c r="Y190" s="14">
        <f>IF($C190="",0,IF(COUNTIFS($C$5:$C190,$C190,$D$5:$D190,$D190)=1,1,0))</f>
        <v/>
      </c>
      <c r="Z190" s="14">
        <f>IF($A190="","",IF(Config!$B$7-$T190&gt;2,"Arquivada",IF(Config!$B$7-$T190&gt;0,"Histórico","Ativa")))</f>
        <v/>
      </c>
      <c r="AA190" s="14">
        <f>IF($A190="",0,IF(AND(OR($F190="Ponto de atenção",$F190="Incidente"),$L190="Sim"),1,0))</f>
        <v/>
      </c>
      <c r="AB190" s="14">
        <f>IF(OR($C190="",$C190&lt;&gt;'1a1'!$B$4,$T190&lt;&gt;Config!$B$7),"",COUNTIFS($C$5:$C190,'1a1'!$B$4,$T$5:$T190,Config!$B$7))</f>
        <v/>
      </c>
    </row>
    <row r="191">
      <c r="A191" s="18" t="n"/>
      <c r="B191" s="19" t="n"/>
      <c r="C191" s="14">
        <f>IFERROR(INDEX(Pessoas!$A$5:$A$64,MATCH($B191,Pessoas!$B$5:$B$64,0)),"")</f>
        <v/>
      </c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8" t="n"/>
      <c r="N191" s="19" t="n"/>
      <c r="O191" s="19" t="n"/>
      <c r="P191" s="19" t="n"/>
      <c r="Q191" s="20">
        <f>IF(OR($M191="",$P191=""),"",$M191+IF($P191="7 dias",7,IF($P191="14 dias",14,90)))</f>
        <v/>
      </c>
      <c r="R191" s="19" t="n"/>
      <c r="S191" s="19" t="n"/>
      <c r="T191" s="14">
        <f>IF($A191="","",YEAR($A191)*4+ROUNDUP(MONTH($A191)/3,0))</f>
        <v/>
      </c>
      <c r="U191" s="14">
        <f>IF($C191="","",$C191&amp;"|"&amp;$T191)</f>
        <v/>
      </c>
      <c r="V191" s="14">
        <f>IF($C191="","",$C191&amp;"|"&amp;$T191&amp;"|"&amp;$G191)</f>
        <v/>
      </c>
      <c r="W191" s="14">
        <f>IF($A191="","",IF(OR($B191="",$F191="",$G191="",$H191="",$I191=""),"Faltam campos básicos",IF(AND(OR($F191="Ponto de atenção",$F191="Incidente"),OR($K191="",$L191="",$O191="",$P191="")),"Faltam campos de sinalização","OK")))</f>
        <v/>
      </c>
      <c r="X191" s="14">
        <f>IF($A191="","",IF(AND(OR($F191="Ponto de atenção",$F191="Incidente"),$L191&lt;&gt;"Sim"),"Não",IF(AND($S191="",$W191&lt;&gt;"OK"),"Não","Sim")))</f>
        <v/>
      </c>
      <c r="Y191" s="14">
        <f>IF($C191="",0,IF(COUNTIFS($C$5:$C191,$C191,$D$5:$D191,$D191)=1,1,0))</f>
        <v/>
      </c>
      <c r="Z191" s="14">
        <f>IF($A191="","",IF(Config!$B$7-$T191&gt;2,"Arquivada",IF(Config!$B$7-$T191&gt;0,"Histórico","Ativa")))</f>
        <v/>
      </c>
      <c r="AA191" s="14">
        <f>IF($A191="",0,IF(AND(OR($F191="Ponto de atenção",$F191="Incidente"),$L191="Sim"),1,0))</f>
        <v/>
      </c>
      <c r="AB191" s="14">
        <f>IF(OR($C191="",$C191&lt;&gt;'1a1'!$B$4,$T191&lt;&gt;Config!$B$7),"",COUNTIFS($C$5:$C191,'1a1'!$B$4,$T$5:$T191,Config!$B$7))</f>
        <v/>
      </c>
    </row>
    <row r="192">
      <c r="A192" s="18" t="n"/>
      <c r="B192" s="19" t="n"/>
      <c r="C192" s="14">
        <f>IFERROR(INDEX(Pessoas!$A$5:$A$64,MATCH($B192,Pessoas!$B$5:$B$64,0)),"")</f>
        <v/>
      </c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8" t="n"/>
      <c r="N192" s="19" t="n"/>
      <c r="O192" s="19" t="n"/>
      <c r="P192" s="19" t="n"/>
      <c r="Q192" s="20">
        <f>IF(OR($M192="",$P192=""),"",$M192+IF($P192="7 dias",7,IF($P192="14 dias",14,90)))</f>
        <v/>
      </c>
      <c r="R192" s="19" t="n"/>
      <c r="S192" s="19" t="n"/>
      <c r="T192" s="14">
        <f>IF($A192="","",YEAR($A192)*4+ROUNDUP(MONTH($A192)/3,0))</f>
        <v/>
      </c>
      <c r="U192" s="14">
        <f>IF($C192="","",$C192&amp;"|"&amp;$T192)</f>
        <v/>
      </c>
      <c r="V192" s="14">
        <f>IF($C192="","",$C192&amp;"|"&amp;$T192&amp;"|"&amp;$G192)</f>
        <v/>
      </c>
      <c r="W192" s="14">
        <f>IF($A192="","",IF(OR($B192="",$F192="",$G192="",$H192="",$I192=""),"Faltam campos básicos",IF(AND(OR($F192="Ponto de atenção",$F192="Incidente"),OR($K192="",$L192="",$O192="",$P192="")),"Faltam campos de sinalização","OK")))</f>
        <v/>
      </c>
      <c r="X192" s="14">
        <f>IF($A192="","",IF(AND(OR($F192="Ponto de atenção",$F192="Incidente"),$L192&lt;&gt;"Sim"),"Não",IF(AND($S192="",$W192&lt;&gt;"OK"),"Não","Sim")))</f>
        <v/>
      </c>
      <c r="Y192" s="14">
        <f>IF($C192="",0,IF(COUNTIFS($C$5:$C192,$C192,$D$5:$D192,$D192)=1,1,0))</f>
        <v/>
      </c>
      <c r="Z192" s="14">
        <f>IF($A192="","",IF(Config!$B$7-$T192&gt;2,"Arquivada",IF(Config!$B$7-$T192&gt;0,"Histórico","Ativa")))</f>
        <v/>
      </c>
      <c r="AA192" s="14">
        <f>IF($A192="",0,IF(AND(OR($F192="Ponto de atenção",$F192="Incidente"),$L192="Sim"),1,0))</f>
        <v/>
      </c>
      <c r="AB192" s="14">
        <f>IF(OR($C192="",$C192&lt;&gt;'1a1'!$B$4,$T192&lt;&gt;Config!$B$7),"",COUNTIFS($C$5:$C192,'1a1'!$B$4,$T$5:$T192,Config!$B$7))</f>
        <v/>
      </c>
    </row>
    <row r="193">
      <c r="A193" s="18" t="n"/>
      <c r="B193" s="19" t="n"/>
      <c r="C193" s="14">
        <f>IFERROR(INDEX(Pessoas!$A$5:$A$64,MATCH($B193,Pessoas!$B$5:$B$64,0)),"")</f>
        <v/>
      </c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8" t="n"/>
      <c r="N193" s="19" t="n"/>
      <c r="O193" s="19" t="n"/>
      <c r="P193" s="19" t="n"/>
      <c r="Q193" s="20">
        <f>IF(OR($M193="",$P193=""),"",$M193+IF($P193="7 dias",7,IF($P193="14 dias",14,90)))</f>
        <v/>
      </c>
      <c r="R193" s="19" t="n"/>
      <c r="S193" s="19" t="n"/>
      <c r="T193" s="14">
        <f>IF($A193="","",YEAR($A193)*4+ROUNDUP(MONTH($A193)/3,0))</f>
        <v/>
      </c>
      <c r="U193" s="14">
        <f>IF($C193="","",$C193&amp;"|"&amp;$T193)</f>
        <v/>
      </c>
      <c r="V193" s="14">
        <f>IF($C193="","",$C193&amp;"|"&amp;$T193&amp;"|"&amp;$G193)</f>
        <v/>
      </c>
      <c r="W193" s="14">
        <f>IF($A193="","",IF(OR($B193="",$F193="",$G193="",$H193="",$I193=""),"Faltam campos básicos",IF(AND(OR($F193="Ponto de atenção",$F193="Incidente"),OR($K193="",$L193="",$O193="",$P193="")),"Faltam campos de sinalização","OK")))</f>
        <v/>
      </c>
      <c r="X193" s="14">
        <f>IF($A193="","",IF(AND(OR($F193="Ponto de atenção",$F193="Incidente"),$L193&lt;&gt;"Sim"),"Não",IF(AND($S193="",$W193&lt;&gt;"OK"),"Não","Sim")))</f>
        <v/>
      </c>
      <c r="Y193" s="14">
        <f>IF($C193="",0,IF(COUNTIFS($C$5:$C193,$C193,$D$5:$D193,$D193)=1,1,0))</f>
        <v/>
      </c>
      <c r="Z193" s="14">
        <f>IF($A193="","",IF(Config!$B$7-$T193&gt;2,"Arquivada",IF(Config!$B$7-$T193&gt;0,"Histórico","Ativa")))</f>
        <v/>
      </c>
      <c r="AA193" s="14">
        <f>IF($A193="",0,IF(AND(OR($F193="Ponto de atenção",$F193="Incidente"),$L193="Sim"),1,0))</f>
        <v/>
      </c>
      <c r="AB193" s="14">
        <f>IF(OR($C193="",$C193&lt;&gt;'1a1'!$B$4,$T193&lt;&gt;Config!$B$7),"",COUNTIFS($C$5:$C193,'1a1'!$B$4,$T$5:$T193,Config!$B$7))</f>
        <v/>
      </c>
    </row>
    <row r="194">
      <c r="A194" s="18" t="n"/>
      <c r="B194" s="19" t="n"/>
      <c r="C194" s="14">
        <f>IFERROR(INDEX(Pessoas!$A$5:$A$64,MATCH($B194,Pessoas!$B$5:$B$64,0)),"")</f>
        <v/>
      </c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8" t="n"/>
      <c r="N194" s="19" t="n"/>
      <c r="O194" s="19" t="n"/>
      <c r="P194" s="19" t="n"/>
      <c r="Q194" s="20">
        <f>IF(OR($M194="",$P194=""),"",$M194+IF($P194="7 dias",7,IF($P194="14 dias",14,90)))</f>
        <v/>
      </c>
      <c r="R194" s="19" t="n"/>
      <c r="S194" s="19" t="n"/>
      <c r="T194" s="14">
        <f>IF($A194="","",YEAR($A194)*4+ROUNDUP(MONTH($A194)/3,0))</f>
        <v/>
      </c>
      <c r="U194" s="14">
        <f>IF($C194="","",$C194&amp;"|"&amp;$T194)</f>
        <v/>
      </c>
      <c r="V194" s="14">
        <f>IF($C194="","",$C194&amp;"|"&amp;$T194&amp;"|"&amp;$G194)</f>
        <v/>
      </c>
      <c r="W194" s="14">
        <f>IF($A194="","",IF(OR($B194="",$F194="",$G194="",$H194="",$I194=""),"Faltam campos básicos",IF(AND(OR($F194="Ponto de atenção",$F194="Incidente"),OR($K194="",$L194="",$O194="",$P194="")),"Faltam campos de sinalização","OK")))</f>
        <v/>
      </c>
      <c r="X194" s="14">
        <f>IF($A194="","",IF(AND(OR($F194="Ponto de atenção",$F194="Incidente"),$L194&lt;&gt;"Sim"),"Não",IF(AND($S194="",$W194&lt;&gt;"OK"),"Não","Sim")))</f>
        <v/>
      </c>
      <c r="Y194" s="14">
        <f>IF($C194="",0,IF(COUNTIFS($C$5:$C194,$C194,$D$5:$D194,$D194)=1,1,0))</f>
        <v/>
      </c>
      <c r="Z194" s="14">
        <f>IF($A194="","",IF(Config!$B$7-$T194&gt;2,"Arquivada",IF(Config!$B$7-$T194&gt;0,"Histórico","Ativa")))</f>
        <v/>
      </c>
      <c r="AA194" s="14">
        <f>IF($A194="",0,IF(AND(OR($F194="Ponto de atenção",$F194="Incidente"),$L194="Sim"),1,0))</f>
        <v/>
      </c>
      <c r="AB194" s="14">
        <f>IF(OR($C194="",$C194&lt;&gt;'1a1'!$B$4,$T194&lt;&gt;Config!$B$7),"",COUNTIFS($C$5:$C194,'1a1'!$B$4,$T$5:$T194,Config!$B$7))</f>
        <v/>
      </c>
    </row>
    <row r="195">
      <c r="A195" s="18" t="n"/>
      <c r="B195" s="19" t="n"/>
      <c r="C195" s="14">
        <f>IFERROR(INDEX(Pessoas!$A$5:$A$64,MATCH($B195,Pessoas!$B$5:$B$64,0)),"")</f>
        <v/>
      </c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8" t="n"/>
      <c r="N195" s="19" t="n"/>
      <c r="O195" s="19" t="n"/>
      <c r="P195" s="19" t="n"/>
      <c r="Q195" s="20">
        <f>IF(OR($M195="",$P195=""),"",$M195+IF($P195="7 dias",7,IF($P195="14 dias",14,90)))</f>
        <v/>
      </c>
      <c r="R195" s="19" t="n"/>
      <c r="S195" s="19" t="n"/>
      <c r="T195" s="14">
        <f>IF($A195="","",YEAR($A195)*4+ROUNDUP(MONTH($A195)/3,0))</f>
        <v/>
      </c>
      <c r="U195" s="14">
        <f>IF($C195="","",$C195&amp;"|"&amp;$T195)</f>
        <v/>
      </c>
      <c r="V195" s="14">
        <f>IF($C195="","",$C195&amp;"|"&amp;$T195&amp;"|"&amp;$G195)</f>
        <v/>
      </c>
      <c r="W195" s="14">
        <f>IF($A195="","",IF(OR($B195="",$F195="",$G195="",$H195="",$I195=""),"Faltam campos básicos",IF(AND(OR($F195="Ponto de atenção",$F195="Incidente"),OR($K195="",$L195="",$O195="",$P195="")),"Faltam campos de sinalização","OK")))</f>
        <v/>
      </c>
      <c r="X195" s="14">
        <f>IF($A195="","",IF(AND(OR($F195="Ponto de atenção",$F195="Incidente"),$L195&lt;&gt;"Sim"),"Não",IF(AND($S195="",$W195&lt;&gt;"OK"),"Não","Sim")))</f>
        <v/>
      </c>
      <c r="Y195" s="14">
        <f>IF($C195="",0,IF(COUNTIFS($C$5:$C195,$C195,$D$5:$D195,$D195)=1,1,0))</f>
        <v/>
      </c>
      <c r="Z195" s="14">
        <f>IF($A195="","",IF(Config!$B$7-$T195&gt;2,"Arquivada",IF(Config!$B$7-$T195&gt;0,"Histórico","Ativa")))</f>
        <v/>
      </c>
      <c r="AA195" s="14">
        <f>IF($A195="",0,IF(AND(OR($F195="Ponto de atenção",$F195="Incidente"),$L195="Sim"),1,0))</f>
        <v/>
      </c>
      <c r="AB195" s="14">
        <f>IF(OR($C195="",$C195&lt;&gt;'1a1'!$B$4,$T195&lt;&gt;Config!$B$7),"",COUNTIFS($C$5:$C195,'1a1'!$B$4,$T$5:$T195,Config!$B$7))</f>
        <v/>
      </c>
    </row>
    <row r="196">
      <c r="A196" s="18" t="n"/>
      <c r="B196" s="19" t="n"/>
      <c r="C196" s="14">
        <f>IFERROR(INDEX(Pessoas!$A$5:$A$64,MATCH($B196,Pessoas!$B$5:$B$64,0)),"")</f>
        <v/>
      </c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8" t="n"/>
      <c r="N196" s="19" t="n"/>
      <c r="O196" s="19" t="n"/>
      <c r="P196" s="19" t="n"/>
      <c r="Q196" s="20">
        <f>IF(OR($M196="",$P196=""),"",$M196+IF($P196="7 dias",7,IF($P196="14 dias",14,90)))</f>
        <v/>
      </c>
      <c r="R196" s="19" t="n"/>
      <c r="S196" s="19" t="n"/>
      <c r="T196" s="14">
        <f>IF($A196="","",YEAR($A196)*4+ROUNDUP(MONTH($A196)/3,0))</f>
        <v/>
      </c>
      <c r="U196" s="14">
        <f>IF($C196="","",$C196&amp;"|"&amp;$T196)</f>
        <v/>
      </c>
      <c r="V196" s="14">
        <f>IF($C196="","",$C196&amp;"|"&amp;$T196&amp;"|"&amp;$G196)</f>
        <v/>
      </c>
      <c r="W196" s="14">
        <f>IF($A196="","",IF(OR($B196="",$F196="",$G196="",$H196="",$I196=""),"Faltam campos básicos",IF(AND(OR($F196="Ponto de atenção",$F196="Incidente"),OR($K196="",$L196="",$O196="",$P196="")),"Faltam campos de sinalização","OK")))</f>
        <v/>
      </c>
      <c r="X196" s="14">
        <f>IF($A196="","",IF(AND(OR($F196="Ponto de atenção",$F196="Incidente"),$L196&lt;&gt;"Sim"),"Não",IF(AND($S196="",$W196&lt;&gt;"OK"),"Não","Sim")))</f>
        <v/>
      </c>
      <c r="Y196" s="14">
        <f>IF($C196="",0,IF(COUNTIFS($C$5:$C196,$C196,$D$5:$D196,$D196)=1,1,0))</f>
        <v/>
      </c>
      <c r="Z196" s="14">
        <f>IF($A196="","",IF(Config!$B$7-$T196&gt;2,"Arquivada",IF(Config!$B$7-$T196&gt;0,"Histórico","Ativa")))</f>
        <v/>
      </c>
      <c r="AA196" s="14">
        <f>IF($A196="",0,IF(AND(OR($F196="Ponto de atenção",$F196="Incidente"),$L196="Sim"),1,0))</f>
        <v/>
      </c>
      <c r="AB196" s="14">
        <f>IF(OR($C196="",$C196&lt;&gt;'1a1'!$B$4,$T196&lt;&gt;Config!$B$7),"",COUNTIFS($C$5:$C196,'1a1'!$B$4,$T$5:$T196,Config!$B$7))</f>
        <v/>
      </c>
    </row>
    <row r="197">
      <c r="A197" s="18" t="n"/>
      <c r="B197" s="19" t="n"/>
      <c r="C197" s="14">
        <f>IFERROR(INDEX(Pessoas!$A$5:$A$64,MATCH($B197,Pessoas!$B$5:$B$64,0)),"")</f>
        <v/>
      </c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8" t="n"/>
      <c r="N197" s="19" t="n"/>
      <c r="O197" s="19" t="n"/>
      <c r="P197" s="19" t="n"/>
      <c r="Q197" s="20">
        <f>IF(OR($M197="",$P197=""),"",$M197+IF($P197="7 dias",7,IF($P197="14 dias",14,90)))</f>
        <v/>
      </c>
      <c r="R197" s="19" t="n"/>
      <c r="S197" s="19" t="n"/>
      <c r="T197" s="14">
        <f>IF($A197="","",YEAR($A197)*4+ROUNDUP(MONTH($A197)/3,0))</f>
        <v/>
      </c>
      <c r="U197" s="14">
        <f>IF($C197="","",$C197&amp;"|"&amp;$T197)</f>
        <v/>
      </c>
      <c r="V197" s="14">
        <f>IF($C197="","",$C197&amp;"|"&amp;$T197&amp;"|"&amp;$G197)</f>
        <v/>
      </c>
      <c r="W197" s="14">
        <f>IF($A197="","",IF(OR($B197="",$F197="",$G197="",$H197="",$I197=""),"Faltam campos básicos",IF(AND(OR($F197="Ponto de atenção",$F197="Incidente"),OR($K197="",$L197="",$O197="",$P197="")),"Faltam campos de sinalização","OK")))</f>
        <v/>
      </c>
      <c r="X197" s="14">
        <f>IF($A197="","",IF(AND(OR($F197="Ponto de atenção",$F197="Incidente"),$L197&lt;&gt;"Sim"),"Não",IF(AND($S197="",$W197&lt;&gt;"OK"),"Não","Sim")))</f>
        <v/>
      </c>
      <c r="Y197" s="14">
        <f>IF($C197="",0,IF(COUNTIFS($C$5:$C197,$C197,$D$5:$D197,$D197)=1,1,0))</f>
        <v/>
      </c>
      <c r="Z197" s="14">
        <f>IF($A197="","",IF(Config!$B$7-$T197&gt;2,"Arquivada",IF(Config!$B$7-$T197&gt;0,"Histórico","Ativa")))</f>
        <v/>
      </c>
      <c r="AA197" s="14">
        <f>IF($A197="",0,IF(AND(OR($F197="Ponto de atenção",$F197="Incidente"),$L197="Sim"),1,0))</f>
        <v/>
      </c>
      <c r="AB197" s="14">
        <f>IF(OR($C197="",$C197&lt;&gt;'1a1'!$B$4,$T197&lt;&gt;Config!$B$7),"",COUNTIFS($C$5:$C197,'1a1'!$B$4,$T$5:$T197,Config!$B$7))</f>
        <v/>
      </c>
    </row>
    <row r="198">
      <c r="A198" s="18" t="n"/>
      <c r="B198" s="19" t="n"/>
      <c r="C198" s="14">
        <f>IFERROR(INDEX(Pessoas!$A$5:$A$64,MATCH($B198,Pessoas!$B$5:$B$64,0)),"")</f>
        <v/>
      </c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8" t="n"/>
      <c r="N198" s="19" t="n"/>
      <c r="O198" s="19" t="n"/>
      <c r="P198" s="19" t="n"/>
      <c r="Q198" s="20">
        <f>IF(OR($M198="",$P198=""),"",$M198+IF($P198="7 dias",7,IF($P198="14 dias",14,90)))</f>
        <v/>
      </c>
      <c r="R198" s="19" t="n"/>
      <c r="S198" s="19" t="n"/>
      <c r="T198" s="14">
        <f>IF($A198="","",YEAR($A198)*4+ROUNDUP(MONTH($A198)/3,0))</f>
        <v/>
      </c>
      <c r="U198" s="14">
        <f>IF($C198="","",$C198&amp;"|"&amp;$T198)</f>
        <v/>
      </c>
      <c r="V198" s="14">
        <f>IF($C198="","",$C198&amp;"|"&amp;$T198&amp;"|"&amp;$G198)</f>
        <v/>
      </c>
      <c r="W198" s="14">
        <f>IF($A198="","",IF(OR($B198="",$F198="",$G198="",$H198="",$I198=""),"Faltam campos básicos",IF(AND(OR($F198="Ponto de atenção",$F198="Incidente"),OR($K198="",$L198="",$O198="",$P198="")),"Faltam campos de sinalização","OK")))</f>
        <v/>
      </c>
      <c r="X198" s="14">
        <f>IF($A198="","",IF(AND(OR($F198="Ponto de atenção",$F198="Incidente"),$L198&lt;&gt;"Sim"),"Não",IF(AND($S198="",$W198&lt;&gt;"OK"),"Não","Sim")))</f>
        <v/>
      </c>
      <c r="Y198" s="14">
        <f>IF($C198="",0,IF(COUNTIFS($C$5:$C198,$C198,$D$5:$D198,$D198)=1,1,0))</f>
        <v/>
      </c>
      <c r="Z198" s="14">
        <f>IF($A198="","",IF(Config!$B$7-$T198&gt;2,"Arquivada",IF(Config!$B$7-$T198&gt;0,"Histórico","Ativa")))</f>
        <v/>
      </c>
      <c r="AA198" s="14">
        <f>IF($A198="",0,IF(AND(OR($F198="Ponto de atenção",$F198="Incidente"),$L198="Sim"),1,0))</f>
        <v/>
      </c>
      <c r="AB198" s="14">
        <f>IF(OR($C198="",$C198&lt;&gt;'1a1'!$B$4,$T198&lt;&gt;Config!$B$7),"",COUNTIFS($C$5:$C198,'1a1'!$B$4,$T$5:$T198,Config!$B$7))</f>
        <v/>
      </c>
    </row>
    <row r="199">
      <c r="A199" s="18" t="n"/>
      <c r="B199" s="19" t="n"/>
      <c r="C199" s="14">
        <f>IFERROR(INDEX(Pessoas!$A$5:$A$64,MATCH($B199,Pessoas!$B$5:$B$64,0)),"")</f>
        <v/>
      </c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8" t="n"/>
      <c r="N199" s="19" t="n"/>
      <c r="O199" s="19" t="n"/>
      <c r="P199" s="19" t="n"/>
      <c r="Q199" s="20">
        <f>IF(OR($M199="",$P199=""),"",$M199+IF($P199="7 dias",7,IF($P199="14 dias",14,90)))</f>
        <v/>
      </c>
      <c r="R199" s="19" t="n"/>
      <c r="S199" s="19" t="n"/>
      <c r="T199" s="14">
        <f>IF($A199="","",YEAR($A199)*4+ROUNDUP(MONTH($A199)/3,0))</f>
        <v/>
      </c>
      <c r="U199" s="14">
        <f>IF($C199="","",$C199&amp;"|"&amp;$T199)</f>
        <v/>
      </c>
      <c r="V199" s="14">
        <f>IF($C199="","",$C199&amp;"|"&amp;$T199&amp;"|"&amp;$G199)</f>
        <v/>
      </c>
      <c r="W199" s="14">
        <f>IF($A199="","",IF(OR($B199="",$F199="",$G199="",$H199="",$I199=""),"Faltam campos básicos",IF(AND(OR($F199="Ponto de atenção",$F199="Incidente"),OR($K199="",$L199="",$O199="",$P199="")),"Faltam campos de sinalização","OK")))</f>
        <v/>
      </c>
      <c r="X199" s="14">
        <f>IF($A199="","",IF(AND(OR($F199="Ponto de atenção",$F199="Incidente"),$L199&lt;&gt;"Sim"),"Não",IF(AND($S199="",$W199&lt;&gt;"OK"),"Não","Sim")))</f>
        <v/>
      </c>
      <c r="Y199" s="14">
        <f>IF($C199="",0,IF(COUNTIFS($C$5:$C199,$C199,$D$5:$D199,$D199)=1,1,0))</f>
        <v/>
      </c>
      <c r="Z199" s="14">
        <f>IF($A199="","",IF(Config!$B$7-$T199&gt;2,"Arquivada",IF(Config!$B$7-$T199&gt;0,"Histórico","Ativa")))</f>
        <v/>
      </c>
      <c r="AA199" s="14">
        <f>IF($A199="",0,IF(AND(OR($F199="Ponto de atenção",$F199="Incidente"),$L199="Sim"),1,0))</f>
        <v/>
      </c>
      <c r="AB199" s="14">
        <f>IF(OR($C199="",$C199&lt;&gt;'1a1'!$B$4,$T199&lt;&gt;Config!$B$7),"",COUNTIFS($C$5:$C199,'1a1'!$B$4,$T$5:$T199,Config!$B$7))</f>
        <v/>
      </c>
    </row>
    <row r="200">
      <c r="A200" s="18" t="n"/>
      <c r="B200" s="19" t="n"/>
      <c r="C200" s="14">
        <f>IFERROR(INDEX(Pessoas!$A$5:$A$64,MATCH($B200,Pessoas!$B$5:$B$64,0)),"")</f>
        <v/>
      </c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8" t="n"/>
      <c r="N200" s="19" t="n"/>
      <c r="O200" s="19" t="n"/>
      <c r="P200" s="19" t="n"/>
      <c r="Q200" s="20">
        <f>IF(OR($M200="",$P200=""),"",$M200+IF($P200="7 dias",7,IF($P200="14 dias",14,90)))</f>
        <v/>
      </c>
      <c r="R200" s="19" t="n"/>
      <c r="S200" s="19" t="n"/>
      <c r="T200" s="14">
        <f>IF($A200="","",YEAR($A200)*4+ROUNDUP(MONTH($A200)/3,0))</f>
        <v/>
      </c>
      <c r="U200" s="14">
        <f>IF($C200="","",$C200&amp;"|"&amp;$T200)</f>
        <v/>
      </c>
      <c r="V200" s="14">
        <f>IF($C200="","",$C200&amp;"|"&amp;$T200&amp;"|"&amp;$G200)</f>
        <v/>
      </c>
      <c r="W200" s="14">
        <f>IF($A200="","",IF(OR($B200="",$F200="",$G200="",$H200="",$I200=""),"Faltam campos básicos",IF(AND(OR($F200="Ponto de atenção",$F200="Incidente"),OR($K200="",$L200="",$O200="",$P200="")),"Faltam campos de sinalização","OK")))</f>
        <v/>
      </c>
      <c r="X200" s="14">
        <f>IF($A200="","",IF(AND(OR($F200="Ponto de atenção",$F200="Incidente"),$L200&lt;&gt;"Sim"),"Não",IF(AND($S200="",$W200&lt;&gt;"OK"),"Não","Sim")))</f>
        <v/>
      </c>
      <c r="Y200" s="14">
        <f>IF($C200="",0,IF(COUNTIFS($C$5:$C200,$C200,$D$5:$D200,$D200)=1,1,0))</f>
        <v/>
      </c>
      <c r="Z200" s="14">
        <f>IF($A200="","",IF(Config!$B$7-$T200&gt;2,"Arquivada",IF(Config!$B$7-$T200&gt;0,"Histórico","Ativa")))</f>
        <v/>
      </c>
      <c r="AA200" s="14">
        <f>IF($A200="",0,IF(AND(OR($F200="Ponto de atenção",$F200="Incidente"),$L200="Sim"),1,0))</f>
        <v/>
      </c>
      <c r="AB200" s="14">
        <f>IF(OR($C200="",$C200&lt;&gt;'1a1'!$B$4,$T200&lt;&gt;Config!$B$7),"",COUNTIFS($C$5:$C200,'1a1'!$B$4,$T$5:$T200,Config!$B$7))</f>
        <v/>
      </c>
    </row>
    <row r="201">
      <c r="A201" s="18" t="n"/>
      <c r="B201" s="19" t="n"/>
      <c r="C201" s="14">
        <f>IFERROR(INDEX(Pessoas!$A$5:$A$64,MATCH($B201,Pessoas!$B$5:$B$64,0)),"")</f>
        <v/>
      </c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8" t="n"/>
      <c r="N201" s="19" t="n"/>
      <c r="O201" s="19" t="n"/>
      <c r="P201" s="19" t="n"/>
      <c r="Q201" s="20">
        <f>IF(OR($M201="",$P201=""),"",$M201+IF($P201="7 dias",7,IF($P201="14 dias",14,90)))</f>
        <v/>
      </c>
      <c r="R201" s="19" t="n"/>
      <c r="S201" s="19" t="n"/>
      <c r="T201" s="14">
        <f>IF($A201="","",YEAR($A201)*4+ROUNDUP(MONTH($A201)/3,0))</f>
        <v/>
      </c>
      <c r="U201" s="14">
        <f>IF($C201="","",$C201&amp;"|"&amp;$T201)</f>
        <v/>
      </c>
      <c r="V201" s="14">
        <f>IF($C201="","",$C201&amp;"|"&amp;$T201&amp;"|"&amp;$G201)</f>
        <v/>
      </c>
      <c r="W201" s="14">
        <f>IF($A201="","",IF(OR($B201="",$F201="",$G201="",$H201="",$I201=""),"Faltam campos básicos",IF(AND(OR($F201="Ponto de atenção",$F201="Incidente"),OR($K201="",$L201="",$O201="",$P201="")),"Faltam campos de sinalização","OK")))</f>
        <v/>
      </c>
      <c r="X201" s="14">
        <f>IF($A201="","",IF(AND(OR($F201="Ponto de atenção",$F201="Incidente"),$L201&lt;&gt;"Sim"),"Não",IF(AND($S201="",$W201&lt;&gt;"OK"),"Não","Sim")))</f>
        <v/>
      </c>
      <c r="Y201" s="14">
        <f>IF($C201="",0,IF(COUNTIFS($C$5:$C201,$C201,$D$5:$D201,$D201)=1,1,0))</f>
        <v/>
      </c>
      <c r="Z201" s="14">
        <f>IF($A201="","",IF(Config!$B$7-$T201&gt;2,"Arquivada",IF(Config!$B$7-$T201&gt;0,"Histórico","Ativa")))</f>
        <v/>
      </c>
      <c r="AA201" s="14">
        <f>IF($A201="",0,IF(AND(OR($F201="Ponto de atenção",$F201="Incidente"),$L201="Sim"),1,0))</f>
        <v/>
      </c>
      <c r="AB201" s="14">
        <f>IF(OR($C201="",$C201&lt;&gt;'1a1'!$B$4,$T201&lt;&gt;Config!$B$7),"",COUNTIFS($C$5:$C201,'1a1'!$B$4,$T$5:$T201,Config!$B$7))</f>
        <v/>
      </c>
    </row>
    <row r="202">
      <c r="A202" s="18" t="n"/>
      <c r="B202" s="19" t="n"/>
      <c r="C202" s="14">
        <f>IFERROR(INDEX(Pessoas!$A$5:$A$64,MATCH($B202,Pessoas!$B$5:$B$64,0)),"")</f>
        <v/>
      </c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8" t="n"/>
      <c r="N202" s="19" t="n"/>
      <c r="O202" s="19" t="n"/>
      <c r="P202" s="19" t="n"/>
      <c r="Q202" s="20">
        <f>IF(OR($M202="",$P202=""),"",$M202+IF($P202="7 dias",7,IF($P202="14 dias",14,90)))</f>
        <v/>
      </c>
      <c r="R202" s="19" t="n"/>
      <c r="S202" s="19" t="n"/>
      <c r="T202" s="14">
        <f>IF($A202="","",YEAR($A202)*4+ROUNDUP(MONTH($A202)/3,0))</f>
        <v/>
      </c>
      <c r="U202" s="14">
        <f>IF($C202="","",$C202&amp;"|"&amp;$T202)</f>
        <v/>
      </c>
      <c r="V202" s="14">
        <f>IF($C202="","",$C202&amp;"|"&amp;$T202&amp;"|"&amp;$G202)</f>
        <v/>
      </c>
      <c r="W202" s="14">
        <f>IF($A202="","",IF(OR($B202="",$F202="",$G202="",$H202="",$I202=""),"Faltam campos básicos",IF(AND(OR($F202="Ponto de atenção",$F202="Incidente"),OR($K202="",$L202="",$O202="",$P202="")),"Faltam campos de sinalização","OK")))</f>
        <v/>
      </c>
      <c r="X202" s="14">
        <f>IF($A202="","",IF(AND(OR($F202="Ponto de atenção",$F202="Incidente"),$L202&lt;&gt;"Sim"),"Não",IF(AND($S202="",$W202&lt;&gt;"OK"),"Não","Sim")))</f>
        <v/>
      </c>
      <c r="Y202" s="14">
        <f>IF($C202="",0,IF(COUNTIFS($C$5:$C202,$C202,$D$5:$D202,$D202)=1,1,0))</f>
        <v/>
      </c>
      <c r="Z202" s="14">
        <f>IF($A202="","",IF(Config!$B$7-$T202&gt;2,"Arquivada",IF(Config!$B$7-$T202&gt;0,"Histórico","Ativa")))</f>
        <v/>
      </c>
      <c r="AA202" s="14">
        <f>IF($A202="",0,IF(AND(OR($F202="Ponto de atenção",$F202="Incidente"),$L202="Sim"),1,0))</f>
        <v/>
      </c>
      <c r="AB202" s="14">
        <f>IF(OR($C202="",$C202&lt;&gt;'1a1'!$B$4,$T202&lt;&gt;Config!$B$7),"",COUNTIFS($C$5:$C202,'1a1'!$B$4,$T$5:$T202,Config!$B$7))</f>
        <v/>
      </c>
    </row>
    <row r="203">
      <c r="A203" s="18" t="n"/>
      <c r="B203" s="19" t="n"/>
      <c r="C203" s="14">
        <f>IFERROR(INDEX(Pessoas!$A$5:$A$64,MATCH($B203,Pessoas!$B$5:$B$64,0)),"")</f>
        <v/>
      </c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8" t="n"/>
      <c r="N203" s="19" t="n"/>
      <c r="O203" s="19" t="n"/>
      <c r="P203" s="19" t="n"/>
      <c r="Q203" s="20">
        <f>IF(OR($M203="",$P203=""),"",$M203+IF($P203="7 dias",7,IF($P203="14 dias",14,90)))</f>
        <v/>
      </c>
      <c r="R203" s="19" t="n"/>
      <c r="S203" s="19" t="n"/>
      <c r="T203" s="14">
        <f>IF($A203="","",YEAR($A203)*4+ROUNDUP(MONTH($A203)/3,0))</f>
        <v/>
      </c>
      <c r="U203" s="14">
        <f>IF($C203="","",$C203&amp;"|"&amp;$T203)</f>
        <v/>
      </c>
      <c r="V203" s="14">
        <f>IF($C203="","",$C203&amp;"|"&amp;$T203&amp;"|"&amp;$G203)</f>
        <v/>
      </c>
      <c r="W203" s="14">
        <f>IF($A203="","",IF(OR($B203="",$F203="",$G203="",$H203="",$I203=""),"Faltam campos básicos",IF(AND(OR($F203="Ponto de atenção",$F203="Incidente"),OR($K203="",$L203="",$O203="",$P203="")),"Faltam campos de sinalização","OK")))</f>
        <v/>
      </c>
      <c r="X203" s="14">
        <f>IF($A203="","",IF(AND(OR($F203="Ponto de atenção",$F203="Incidente"),$L203&lt;&gt;"Sim"),"Não",IF(AND($S203="",$W203&lt;&gt;"OK"),"Não","Sim")))</f>
        <v/>
      </c>
      <c r="Y203" s="14">
        <f>IF($C203="",0,IF(COUNTIFS($C$5:$C203,$C203,$D$5:$D203,$D203)=1,1,0))</f>
        <v/>
      </c>
      <c r="Z203" s="14">
        <f>IF($A203="","",IF(Config!$B$7-$T203&gt;2,"Arquivada",IF(Config!$B$7-$T203&gt;0,"Histórico","Ativa")))</f>
        <v/>
      </c>
      <c r="AA203" s="14">
        <f>IF($A203="",0,IF(AND(OR($F203="Ponto de atenção",$F203="Incidente"),$L203="Sim"),1,0))</f>
        <v/>
      </c>
      <c r="AB203" s="14">
        <f>IF(OR($C203="",$C203&lt;&gt;'1a1'!$B$4,$T203&lt;&gt;Config!$B$7),"",COUNTIFS($C$5:$C203,'1a1'!$B$4,$T$5:$T203,Config!$B$7))</f>
        <v/>
      </c>
    </row>
    <row r="204">
      <c r="A204" s="18" t="n"/>
      <c r="B204" s="19" t="n"/>
      <c r="C204" s="14">
        <f>IFERROR(INDEX(Pessoas!$A$5:$A$64,MATCH($B204,Pessoas!$B$5:$B$64,0)),"")</f>
        <v/>
      </c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8" t="n"/>
      <c r="N204" s="19" t="n"/>
      <c r="O204" s="19" t="n"/>
      <c r="P204" s="19" t="n"/>
      <c r="Q204" s="20">
        <f>IF(OR($M204="",$P204=""),"",$M204+IF($P204="7 dias",7,IF($P204="14 dias",14,90)))</f>
        <v/>
      </c>
      <c r="R204" s="19" t="n"/>
      <c r="S204" s="19" t="n"/>
      <c r="T204" s="14">
        <f>IF($A204="","",YEAR($A204)*4+ROUNDUP(MONTH($A204)/3,0))</f>
        <v/>
      </c>
      <c r="U204" s="14">
        <f>IF($C204="","",$C204&amp;"|"&amp;$T204)</f>
        <v/>
      </c>
      <c r="V204" s="14">
        <f>IF($C204="","",$C204&amp;"|"&amp;$T204&amp;"|"&amp;$G204)</f>
        <v/>
      </c>
      <c r="W204" s="14">
        <f>IF($A204="","",IF(OR($B204="",$F204="",$G204="",$H204="",$I204=""),"Faltam campos básicos",IF(AND(OR($F204="Ponto de atenção",$F204="Incidente"),OR($K204="",$L204="",$O204="",$P204="")),"Faltam campos de sinalização","OK")))</f>
        <v/>
      </c>
      <c r="X204" s="14">
        <f>IF($A204="","",IF(AND(OR($F204="Ponto de atenção",$F204="Incidente"),$L204&lt;&gt;"Sim"),"Não",IF(AND($S204="",$W204&lt;&gt;"OK"),"Não","Sim")))</f>
        <v/>
      </c>
      <c r="Y204" s="14">
        <f>IF($C204="",0,IF(COUNTIFS($C$5:$C204,$C204,$D$5:$D204,$D204)=1,1,0))</f>
        <v/>
      </c>
      <c r="Z204" s="14">
        <f>IF($A204="","",IF(Config!$B$7-$T204&gt;2,"Arquivada",IF(Config!$B$7-$T204&gt;0,"Histórico","Ativa")))</f>
        <v/>
      </c>
      <c r="AA204" s="14">
        <f>IF($A204="",0,IF(AND(OR($F204="Ponto de atenção",$F204="Incidente"),$L204="Sim"),1,0))</f>
        <v/>
      </c>
      <c r="AB204" s="14">
        <f>IF(OR($C204="",$C204&lt;&gt;'1a1'!$B$4,$T204&lt;&gt;Config!$B$7),"",COUNTIFS($C$5:$C204,'1a1'!$B$4,$T$5:$T204,Config!$B$7))</f>
        <v/>
      </c>
    </row>
    <row r="205">
      <c r="A205" s="18" t="n"/>
      <c r="B205" s="19" t="n"/>
      <c r="C205" s="14">
        <f>IFERROR(INDEX(Pessoas!$A$5:$A$64,MATCH($B205,Pessoas!$B$5:$B$64,0)),"")</f>
        <v/>
      </c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8" t="n"/>
      <c r="N205" s="19" t="n"/>
      <c r="O205" s="19" t="n"/>
      <c r="P205" s="19" t="n"/>
      <c r="Q205" s="20">
        <f>IF(OR($M205="",$P205=""),"",$M205+IF($P205="7 dias",7,IF($P205="14 dias",14,90)))</f>
        <v/>
      </c>
      <c r="R205" s="19" t="n"/>
      <c r="S205" s="19" t="n"/>
      <c r="T205" s="14">
        <f>IF($A205="","",YEAR($A205)*4+ROUNDUP(MONTH($A205)/3,0))</f>
        <v/>
      </c>
      <c r="U205" s="14">
        <f>IF($C205="","",$C205&amp;"|"&amp;$T205)</f>
        <v/>
      </c>
      <c r="V205" s="14">
        <f>IF($C205="","",$C205&amp;"|"&amp;$T205&amp;"|"&amp;$G205)</f>
        <v/>
      </c>
      <c r="W205" s="14">
        <f>IF($A205="","",IF(OR($B205="",$F205="",$G205="",$H205="",$I205=""),"Faltam campos básicos",IF(AND(OR($F205="Ponto de atenção",$F205="Incidente"),OR($K205="",$L205="",$O205="",$P205="")),"Faltam campos de sinalização","OK")))</f>
        <v/>
      </c>
      <c r="X205" s="14">
        <f>IF($A205="","",IF(AND(OR($F205="Ponto de atenção",$F205="Incidente"),$L205&lt;&gt;"Sim"),"Não",IF(AND($S205="",$W205&lt;&gt;"OK"),"Não","Sim")))</f>
        <v/>
      </c>
      <c r="Y205" s="14">
        <f>IF($C205="",0,IF(COUNTIFS($C$5:$C205,$C205,$D$5:$D205,$D205)=1,1,0))</f>
        <v/>
      </c>
      <c r="Z205" s="14">
        <f>IF($A205="","",IF(Config!$B$7-$T205&gt;2,"Arquivada",IF(Config!$B$7-$T205&gt;0,"Histórico","Ativa")))</f>
        <v/>
      </c>
      <c r="AA205" s="14">
        <f>IF($A205="",0,IF(AND(OR($F205="Ponto de atenção",$F205="Incidente"),$L205="Sim"),1,0))</f>
        <v/>
      </c>
      <c r="AB205" s="14">
        <f>IF(OR($C205="",$C205&lt;&gt;'1a1'!$B$4,$T205&lt;&gt;Config!$B$7),"",COUNTIFS($C$5:$C205,'1a1'!$B$4,$T$5:$T205,Config!$B$7))</f>
        <v/>
      </c>
    </row>
    <row r="206">
      <c r="A206" s="18" t="n"/>
      <c r="B206" s="19" t="n"/>
      <c r="C206" s="14">
        <f>IFERROR(INDEX(Pessoas!$A$5:$A$64,MATCH($B206,Pessoas!$B$5:$B$64,0)),"")</f>
        <v/>
      </c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8" t="n"/>
      <c r="N206" s="19" t="n"/>
      <c r="O206" s="19" t="n"/>
      <c r="P206" s="19" t="n"/>
      <c r="Q206" s="20">
        <f>IF(OR($M206="",$P206=""),"",$M206+IF($P206="7 dias",7,IF($P206="14 dias",14,90)))</f>
        <v/>
      </c>
      <c r="R206" s="19" t="n"/>
      <c r="S206" s="19" t="n"/>
      <c r="T206" s="14">
        <f>IF($A206="","",YEAR($A206)*4+ROUNDUP(MONTH($A206)/3,0))</f>
        <v/>
      </c>
      <c r="U206" s="14">
        <f>IF($C206="","",$C206&amp;"|"&amp;$T206)</f>
        <v/>
      </c>
      <c r="V206" s="14">
        <f>IF($C206="","",$C206&amp;"|"&amp;$T206&amp;"|"&amp;$G206)</f>
        <v/>
      </c>
      <c r="W206" s="14">
        <f>IF($A206="","",IF(OR($B206="",$F206="",$G206="",$H206="",$I206=""),"Faltam campos básicos",IF(AND(OR($F206="Ponto de atenção",$F206="Incidente"),OR($K206="",$L206="",$O206="",$P206="")),"Faltam campos de sinalização","OK")))</f>
        <v/>
      </c>
      <c r="X206" s="14">
        <f>IF($A206="","",IF(AND(OR($F206="Ponto de atenção",$F206="Incidente"),$L206&lt;&gt;"Sim"),"Não",IF(AND($S206="",$W206&lt;&gt;"OK"),"Não","Sim")))</f>
        <v/>
      </c>
      <c r="Y206" s="14">
        <f>IF($C206="",0,IF(COUNTIFS($C$5:$C206,$C206,$D$5:$D206,$D206)=1,1,0))</f>
        <v/>
      </c>
      <c r="Z206" s="14">
        <f>IF($A206="","",IF(Config!$B$7-$T206&gt;2,"Arquivada",IF(Config!$B$7-$T206&gt;0,"Histórico","Ativa")))</f>
        <v/>
      </c>
      <c r="AA206" s="14">
        <f>IF($A206="",0,IF(AND(OR($F206="Ponto de atenção",$F206="Incidente"),$L206="Sim"),1,0))</f>
        <v/>
      </c>
      <c r="AB206" s="14">
        <f>IF(OR($C206="",$C206&lt;&gt;'1a1'!$B$4,$T206&lt;&gt;Config!$B$7),"",COUNTIFS($C$5:$C206,'1a1'!$B$4,$T$5:$T206,Config!$B$7))</f>
        <v/>
      </c>
    </row>
    <row r="207">
      <c r="A207" s="18" t="n"/>
      <c r="B207" s="19" t="n"/>
      <c r="C207" s="14">
        <f>IFERROR(INDEX(Pessoas!$A$5:$A$64,MATCH($B207,Pessoas!$B$5:$B$64,0)),"")</f>
        <v/>
      </c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8" t="n"/>
      <c r="N207" s="19" t="n"/>
      <c r="O207" s="19" t="n"/>
      <c r="P207" s="19" t="n"/>
      <c r="Q207" s="20">
        <f>IF(OR($M207="",$P207=""),"",$M207+IF($P207="7 dias",7,IF($P207="14 dias",14,90)))</f>
        <v/>
      </c>
      <c r="R207" s="19" t="n"/>
      <c r="S207" s="19" t="n"/>
      <c r="T207" s="14">
        <f>IF($A207="","",YEAR($A207)*4+ROUNDUP(MONTH($A207)/3,0))</f>
        <v/>
      </c>
      <c r="U207" s="14">
        <f>IF($C207="","",$C207&amp;"|"&amp;$T207)</f>
        <v/>
      </c>
      <c r="V207" s="14">
        <f>IF($C207="","",$C207&amp;"|"&amp;$T207&amp;"|"&amp;$G207)</f>
        <v/>
      </c>
      <c r="W207" s="14">
        <f>IF($A207="","",IF(OR($B207="",$F207="",$G207="",$H207="",$I207=""),"Faltam campos básicos",IF(AND(OR($F207="Ponto de atenção",$F207="Incidente"),OR($K207="",$L207="",$O207="",$P207="")),"Faltam campos de sinalização","OK")))</f>
        <v/>
      </c>
      <c r="X207" s="14">
        <f>IF($A207="","",IF(AND(OR($F207="Ponto de atenção",$F207="Incidente"),$L207&lt;&gt;"Sim"),"Não",IF(AND($S207="",$W207&lt;&gt;"OK"),"Não","Sim")))</f>
        <v/>
      </c>
      <c r="Y207" s="14">
        <f>IF($C207="",0,IF(COUNTIFS($C$5:$C207,$C207,$D$5:$D207,$D207)=1,1,0))</f>
        <v/>
      </c>
      <c r="Z207" s="14">
        <f>IF($A207="","",IF(Config!$B$7-$T207&gt;2,"Arquivada",IF(Config!$B$7-$T207&gt;0,"Histórico","Ativa")))</f>
        <v/>
      </c>
      <c r="AA207" s="14">
        <f>IF($A207="",0,IF(AND(OR($F207="Ponto de atenção",$F207="Incidente"),$L207="Sim"),1,0))</f>
        <v/>
      </c>
      <c r="AB207" s="14">
        <f>IF(OR($C207="",$C207&lt;&gt;'1a1'!$B$4,$T207&lt;&gt;Config!$B$7),"",COUNTIFS($C$5:$C207,'1a1'!$B$4,$T$5:$T207,Config!$B$7))</f>
        <v/>
      </c>
    </row>
    <row r="208">
      <c r="A208" s="18" t="n"/>
      <c r="B208" s="19" t="n"/>
      <c r="C208" s="14">
        <f>IFERROR(INDEX(Pessoas!$A$5:$A$64,MATCH($B208,Pessoas!$B$5:$B$64,0)),"")</f>
        <v/>
      </c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8" t="n"/>
      <c r="N208" s="19" t="n"/>
      <c r="O208" s="19" t="n"/>
      <c r="P208" s="19" t="n"/>
      <c r="Q208" s="20">
        <f>IF(OR($M208="",$P208=""),"",$M208+IF($P208="7 dias",7,IF($P208="14 dias",14,90)))</f>
        <v/>
      </c>
      <c r="R208" s="19" t="n"/>
      <c r="S208" s="19" t="n"/>
      <c r="T208" s="14">
        <f>IF($A208="","",YEAR($A208)*4+ROUNDUP(MONTH($A208)/3,0))</f>
        <v/>
      </c>
      <c r="U208" s="14">
        <f>IF($C208="","",$C208&amp;"|"&amp;$T208)</f>
        <v/>
      </c>
      <c r="V208" s="14">
        <f>IF($C208="","",$C208&amp;"|"&amp;$T208&amp;"|"&amp;$G208)</f>
        <v/>
      </c>
      <c r="W208" s="14">
        <f>IF($A208="","",IF(OR($B208="",$F208="",$G208="",$H208="",$I208=""),"Faltam campos básicos",IF(AND(OR($F208="Ponto de atenção",$F208="Incidente"),OR($K208="",$L208="",$O208="",$P208="")),"Faltam campos de sinalização","OK")))</f>
        <v/>
      </c>
      <c r="X208" s="14">
        <f>IF($A208="","",IF(AND(OR($F208="Ponto de atenção",$F208="Incidente"),$L208&lt;&gt;"Sim"),"Não",IF(AND($S208="",$W208&lt;&gt;"OK"),"Não","Sim")))</f>
        <v/>
      </c>
      <c r="Y208" s="14">
        <f>IF($C208="",0,IF(COUNTIFS($C$5:$C208,$C208,$D$5:$D208,$D208)=1,1,0))</f>
        <v/>
      </c>
      <c r="Z208" s="14">
        <f>IF($A208="","",IF(Config!$B$7-$T208&gt;2,"Arquivada",IF(Config!$B$7-$T208&gt;0,"Histórico","Ativa")))</f>
        <v/>
      </c>
      <c r="AA208" s="14">
        <f>IF($A208="",0,IF(AND(OR($F208="Ponto de atenção",$F208="Incidente"),$L208="Sim"),1,0))</f>
        <v/>
      </c>
      <c r="AB208" s="14">
        <f>IF(OR($C208="",$C208&lt;&gt;'1a1'!$B$4,$T208&lt;&gt;Config!$B$7),"",COUNTIFS($C$5:$C208,'1a1'!$B$4,$T$5:$T208,Config!$B$7))</f>
        <v/>
      </c>
    </row>
    <row r="209">
      <c r="A209" s="18" t="n"/>
      <c r="B209" s="19" t="n"/>
      <c r="C209" s="14">
        <f>IFERROR(INDEX(Pessoas!$A$5:$A$64,MATCH($B209,Pessoas!$B$5:$B$64,0)),"")</f>
        <v/>
      </c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8" t="n"/>
      <c r="N209" s="19" t="n"/>
      <c r="O209" s="19" t="n"/>
      <c r="P209" s="19" t="n"/>
      <c r="Q209" s="20">
        <f>IF(OR($M209="",$P209=""),"",$M209+IF($P209="7 dias",7,IF($P209="14 dias",14,90)))</f>
        <v/>
      </c>
      <c r="R209" s="19" t="n"/>
      <c r="S209" s="19" t="n"/>
      <c r="T209" s="14">
        <f>IF($A209="","",YEAR($A209)*4+ROUNDUP(MONTH($A209)/3,0))</f>
        <v/>
      </c>
      <c r="U209" s="14">
        <f>IF($C209="","",$C209&amp;"|"&amp;$T209)</f>
        <v/>
      </c>
      <c r="V209" s="14">
        <f>IF($C209="","",$C209&amp;"|"&amp;$T209&amp;"|"&amp;$G209)</f>
        <v/>
      </c>
      <c r="W209" s="14">
        <f>IF($A209="","",IF(OR($B209="",$F209="",$G209="",$H209="",$I209=""),"Faltam campos básicos",IF(AND(OR($F209="Ponto de atenção",$F209="Incidente"),OR($K209="",$L209="",$O209="",$P209="")),"Faltam campos de sinalização","OK")))</f>
        <v/>
      </c>
      <c r="X209" s="14">
        <f>IF($A209="","",IF(AND(OR($F209="Ponto de atenção",$F209="Incidente"),$L209&lt;&gt;"Sim"),"Não",IF(AND($S209="",$W209&lt;&gt;"OK"),"Não","Sim")))</f>
        <v/>
      </c>
      <c r="Y209" s="14">
        <f>IF($C209="",0,IF(COUNTIFS($C$5:$C209,$C209,$D$5:$D209,$D209)=1,1,0))</f>
        <v/>
      </c>
      <c r="Z209" s="14">
        <f>IF($A209="","",IF(Config!$B$7-$T209&gt;2,"Arquivada",IF(Config!$B$7-$T209&gt;0,"Histórico","Ativa")))</f>
        <v/>
      </c>
      <c r="AA209" s="14">
        <f>IF($A209="",0,IF(AND(OR($F209="Ponto de atenção",$F209="Incidente"),$L209="Sim"),1,0))</f>
        <v/>
      </c>
      <c r="AB209" s="14">
        <f>IF(OR($C209="",$C209&lt;&gt;'1a1'!$B$4,$T209&lt;&gt;Config!$B$7),"",COUNTIFS($C$5:$C209,'1a1'!$B$4,$T$5:$T209,Config!$B$7))</f>
        <v/>
      </c>
    </row>
    <row r="210">
      <c r="A210" s="18" t="n"/>
      <c r="B210" s="19" t="n"/>
      <c r="C210" s="14">
        <f>IFERROR(INDEX(Pessoas!$A$5:$A$64,MATCH($B210,Pessoas!$B$5:$B$64,0)),"")</f>
        <v/>
      </c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8" t="n"/>
      <c r="N210" s="19" t="n"/>
      <c r="O210" s="19" t="n"/>
      <c r="P210" s="19" t="n"/>
      <c r="Q210" s="20">
        <f>IF(OR($M210="",$P210=""),"",$M210+IF($P210="7 dias",7,IF($P210="14 dias",14,90)))</f>
        <v/>
      </c>
      <c r="R210" s="19" t="n"/>
      <c r="S210" s="19" t="n"/>
      <c r="T210" s="14">
        <f>IF($A210="","",YEAR($A210)*4+ROUNDUP(MONTH($A210)/3,0))</f>
        <v/>
      </c>
      <c r="U210" s="14">
        <f>IF($C210="","",$C210&amp;"|"&amp;$T210)</f>
        <v/>
      </c>
      <c r="V210" s="14">
        <f>IF($C210="","",$C210&amp;"|"&amp;$T210&amp;"|"&amp;$G210)</f>
        <v/>
      </c>
      <c r="W210" s="14">
        <f>IF($A210="","",IF(OR($B210="",$F210="",$G210="",$H210="",$I210=""),"Faltam campos básicos",IF(AND(OR($F210="Ponto de atenção",$F210="Incidente"),OR($K210="",$L210="",$O210="",$P210="")),"Faltam campos de sinalização","OK")))</f>
        <v/>
      </c>
      <c r="X210" s="14">
        <f>IF($A210="","",IF(AND(OR($F210="Ponto de atenção",$F210="Incidente"),$L210&lt;&gt;"Sim"),"Não",IF(AND($S210="",$W210&lt;&gt;"OK"),"Não","Sim")))</f>
        <v/>
      </c>
      <c r="Y210" s="14">
        <f>IF($C210="",0,IF(COUNTIFS($C$5:$C210,$C210,$D$5:$D210,$D210)=1,1,0))</f>
        <v/>
      </c>
      <c r="Z210" s="14">
        <f>IF($A210="","",IF(Config!$B$7-$T210&gt;2,"Arquivada",IF(Config!$B$7-$T210&gt;0,"Histórico","Ativa")))</f>
        <v/>
      </c>
      <c r="AA210" s="14">
        <f>IF($A210="",0,IF(AND(OR($F210="Ponto de atenção",$F210="Incidente"),$L210="Sim"),1,0))</f>
        <v/>
      </c>
      <c r="AB210" s="14">
        <f>IF(OR($C210="",$C210&lt;&gt;'1a1'!$B$4,$T210&lt;&gt;Config!$B$7),"",COUNTIFS($C$5:$C210,'1a1'!$B$4,$T$5:$T210,Config!$B$7))</f>
        <v/>
      </c>
    </row>
    <row r="211">
      <c r="A211" s="18" t="n"/>
      <c r="B211" s="19" t="n"/>
      <c r="C211" s="14">
        <f>IFERROR(INDEX(Pessoas!$A$5:$A$64,MATCH($B211,Pessoas!$B$5:$B$64,0)),"")</f>
        <v/>
      </c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8" t="n"/>
      <c r="N211" s="19" t="n"/>
      <c r="O211" s="19" t="n"/>
      <c r="P211" s="19" t="n"/>
      <c r="Q211" s="20">
        <f>IF(OR($M211="",$P211=""),"",$M211+IF($P211="7 dias",7,IF($P211="14 dias",14,90)))</f>
        <v/>
      </c>
      <c r="R211" s="19" t="n"/>
      <c r="S211" s="19" t="n"/>
      <c r="T211" s="14">
        <f>IF($A211="","",YEAR($A211)*4+ROUNDUP(MONTH($A211)/3,0))</f>
        <v/>
      </c>
      <c r="U211" s="14">
        <f>IF($C211="","",$C211&amp;"|"&amp;$T211)</f>
        <v/>
      </c>
      <c r="V211" s="14">
        <f>IF($C211="","",$C211&amp;"|"&amp;$T211&amp;"|"&amp;$G211)</f>
        <v/>
      </c>
      <c r="W211" s="14">
        <f>IF($A211="","",IF(OR($B211="",$F211="",$G211="",$H211="",$I211=""),"Faltam campos básicos",IF(AND(OR($F211="Ponto de atenção",$F211="Incidente"),OR($K211="",$L211="",$O211="",$P211="")),"Faltam campos de sinalização","OK")))</f>
        <v/>
      </c>
      <c r="X211" s="14">
        <f>IF($A211="","",IF(AND(OR($F211="Ponto de atenção",$F211="Incidente"),$L211&lt;&gt;"Sim"),"Não",IF(AND($S211="",$W211&lt;&gt;"OK"),"Não","Sim")))</f>
        <v/>
      </c>
      <c r="Y211" s="14">
        <f>IF($C211="",0,IF(COUNTIFS($C$5:$C211,$C211,$D$5:$D211,$D211)=1,1,0))</f>
        <v/>
      </c>
      <c r="Z211" s="14">
        <f>IF($A211="","",IF(Config!$B$7-$T211&gt;2,"Arquivada",IF(Config!$B$7-$T211&gt;0,"Histórico","Ativa")))</f>
        <v/>
      </c>
      <c r="AA211" s="14">
        <f>IF($A211="",0,IF(AND(OR($F211="Ponto de atenção",$F211="Incidente"),$L211="Sim"),1,0))</f>
        <v/>
      </c>
      <c r="AB211" s="14">
        <f>IF(OR($C211="",$C211&lt;&gt;'1a1'!$B$4,$T211&lt;&gt;Config!$B$7),"",COUNTIFS($C$5:$C211,'1a1'!$B$4,$T$5:$T211,Config!$B$7))</f>
        <v/>
      </c>
    </row>
    <row r="212">
      <c r="A212" s="18" t="n"/>
      <c r="B212" s="19" t="n"/>
      <c r="C212" s="14">
        <f>IFERROR(INDEX(Pessoas!$A$5:$A$64,MATCH($B212,Pessoas!$B$5:$B$64,0)),"")</f>
        <v/>
      </c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8" t="n"/>
      <c r="N212" s="19" t="n"/>
      <c r="O212" s="19" t="n"/>
      <c r="P212" s="19" t="n"/>
      <c r="Q212" s="20">
        <f>IF(OR($M212="",$P212=""),"",$M212+IF($P212="7 dias",7,IF($P212="14 dias",14,90)))</f>
        <v/>
      </c>
      <c r="R212" s="19" t="n"/>
      <c r="S212" s="19" t="n"/>
      <c r="T212" s="14">
        <f>IF($A212="","",YEAR($A212)*4+ROUNDUP(MONTH($A212)/3,0))</f>
        <v/>
      </c>
      <c r="U212" s="14">
        <f>IF($C212="","",$C212&amp;"|"&amp;$T212)</f>
        <v/>
      </c>
      <c r="V212" s="14">
        <f>IF($C212="","",$C212&amp;"|"&amp;$T212&amp;"|"&amp;$G212)</f>
        <v/>
      </c>
      <c r="W212" s="14">
        <f>IF($A212="","",IF(OR($B212="",$F212="",$G212="",$H212="",$I212=""),"Faltam campos básicos",IF(AND(OR($F212="Ponto de atenção",$F212="Incidente"),OR($K212="",$L212="",$O212="",$P212="")),"Faltam campos de sinalização","OK")))</f>
        <v/>
      </c>
      <c r="X212" s="14">
        <f>IF($A212="","",IF(AND(OR($F212="Ponto de atenção",$F212="Incidente"),$L212&lt;&gt;"Sim"),"Não",IF(AND($S212="",$W212&lt;&gt;"OK"),"Não","Sim")))</f>
        <v/>
      </c>
      <c r="Y212" s="14">
        <f>IF($C212="",0,IF(COUNTIFS($C$5:$C212,$C212,$D$5:$D212,$D212)=1,1,0))</f>
        <v/>
      </c>
      <c r="Z212" s="14">
        <f>IF($A212="","",IF(Config!$B$7-$T212&gt;2,"Arquivada",IF(Config!$B$7-$T212&gt;0,"Histórico","Ativa")))</f>
        <v/>
      </c>
      <c r="AA212" s="14">
        <f>IF($A212="",0,IF(AND(OR($F212="Ponto de atenção",$F212="Incidente"),$L212="Sim"),1,0))</f>
        <v/>
      </c>
      <c r="AB212" s="14">
        <f>IF(OR($C212="",$C212&lt;&gt;'1a1'!$B$4,$T212&lt;&gt;Config!$B$7),"",COUNTIFS($C$5:$C212,'1a1'!$B$4,$T$5:$T212,Config!$B$7))</f>
        <v/>
      </c>
    </row>
    <row r="213">
      <c r="A213" s="18" t="n"/>
      <c r="B213" s="19" t="n"/>
      <c r="C213" s="14">
        <f>IFERROR(INDEX(Pessoas!$A$5:$A$64,MATCH($B213,Pessoas!$B$5:$B$64,0)),"")</f>
        <v/>
      </c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8" t="n"/>
      <c r="N213" s="19" t="n"/>
      <c r="O213" s="19" t="n"/>
      <c r="P213" s="19" t="n"/>
      <c r="Q213" s="20">
        <f>IF(OR($M213="",$P213=""),"",$M213+IF($P213="7 dias",7,IF($P213="14 dias",14,90)))</f>
        <v/>
      </c>
      <c r="R213" s="19" t="n"/>
      <c r="S213" s="19" t="n"/>
      <c r="T213" s="14">
        <f>IF($A213="","",YEAR($A213)*4+ROUNDUP(MONTH($A213)/3,0))</f>
        <v/>
      </c>
      <c r="U213" s="14">
        <f>IF($C213="","",$C213&amp;"|"&amp;$T213)</f>
        <v/>
      </c>
      <c r="V213" s="14">
        <f>IF($C213="","",$C213&amp;"|"&amp;$T213&amp;"|"&amp;$G213)</f>
        <v/>
      </c>
      <c r="W213" s="14">
        <f>IF($A213="","",IF(OR($B213="",$F213="",$G213="",$H213="",$I213=""),"Faltam campos básicos",IF(AND(OR($F213="Ponto de atenção",$F213="Incidente"),OR($K213="",$L213="",$O213="",$P213="")),"Faltam campos de sinalização","OK")))</f>
        <v/>
      </c>
      <c r="X213" s="14">
        <f>IF($A213="","",IF(AND(OR($F213="Ponto de atenção",$F213="Incidente"),$L213&lt;&gt;"Sim"),"Não",IF(AND($S213="",$W213&lt;&gt;"OK"),"Não","Sim")))</f>
        <v/>
      </c>
      <c r="Y213" s="14">
        <f>IF($C213="",0,IF(COUNTIFS($C$5:$C213,$C213,$D$5:$D213,$D213)=1,1,0))</f>
        <v/>
      </c>
      <c r="Z213" s="14">
        <f>IF($A213="","",IF(Config!$B$7-$T213&gt;2,"Arquivada",IF(Config!$B$7-$T213&gt;0,"Histórico","Ativa")))</f>
        <v/>
      </c>
      <c r="AA213" s="14">
        <f>IF($A213="",0,IF(AND(OR($F213="Ponto de atenção",$F213="Incidente"),$L213="Sim"),1,0))</f>
        <v/>
      </c>
      <c r="AB213" s="14">
        <f>IF(OR($C213="",$C213&lt;&gt;'1a1'!$B$4,$T213&lt;&gt;Config!$B$7),"",COUNTIFS($C$5:$C213,'1a1'!$B$4,$T$5:$T213,Config!$B$7))</f>
        <v/>
      </c>
    </row>
    <row r="214">
      <c r="A214" s="18" t="n"/>
      <c r="B214" s="19" t="n"/>
      <c r="C214" s="14">
        <f>IFERROR(INDEX(Pessoas!$A$5:$A$64,MATCH($B214,Pessoas!$B$5:$B$64,0)),"")</f>
        <v/>
      </c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8" t="n"/>
      <c r="N214" s="19" t="n"/>
      <c r="O214" s="19" t="n"/>
      <c r="P214" s="19" t="n"/>
      <c r="Q214" s="20">
        <f>IF(OR($M214="",$P214=""),"",$M214+IF($P214="7 dias",7,IF($P214="14 dias",14,90)))</f>
        <v/>
      </c>
      <c r="R214" s="19" t="n"/>
      <c r="S214" s="19" t="n"/>
      <c r="T214" s="14">
        <f>IF($A214="","",YEAR($A214)*4+ROUNDUP(MONTH($A214)/3,0))</f>
        <v/>
      </c>
      <c r="U214" s="14">
        <f>IF($C214="","",$C214&amp;"|"&amp;$T214)</f>
        <v/>
      </c>
      <c r="V214" s="14">
        <f>IF($C214="","",$C214&amp;"|"&amp;$T214&amp;"|"&amp;$G214)</f>
        <v/>
      </c>
      <c r="W214" s="14">
        <f>IF($A214="","",IF(OR($B214="",$F214="",$G214="",$H214="",$I214=""),"Faltam campos básicos",IF(AND(OR($F214="Ponto de atenção",$F214="Incidente"),OR($K214="",$L214="",$O214="",$P214="")),"Faltam campos de sinalização","OK")))</f>
        <v/>
      </c>
      <c r="X214" s="14">
        <f>IF($A214="","",IF(AND(OR($F214="Ponto de atenção",$F214="Incidente"),$L214&lt;&gt;"Sim"),"Não",IF(AND($S214="",$W214&lt;&gt;"OK"),"Não","Sim")))</f>
        <v/>
      </c>
      <c r="Y214" s="14">
        <f>IF($C214="",0,IF(COUNTIFS($C$5:$C214,$C214,$D$5:$D214,$D214)=1,1,0))</f>
        <v/>
      </c>
      <c r="Z214" s="14">
        <f>IF($A214="","",IF(Config!$B$7-$T214&gt;2,"Arquivada",IF(Config!$B$7-$T214&gt;0,"Histórico","Ativa")))</f>
        <v/>
      </c>
      <c r="AA214" s="14">
        <f>IF($A214="",0,IF(AND(OR($F214="Ponto de atenção",$F214="Incidente"),$L214="Sim"),1,0))</f>
        <v/>
      </c>
      <c r="AB214" s="14">
        <f>IF(OR($C214="",$C214&lt;&gt;'1a1'!$B$4,$T214&lt;&gt;Config!$B$7),"",COUNTIFS($C$5:$C214,'1a1'!$B$4,$T$5:$T214,Config!$B$7))</f>
        <v/>
      </c>
    </row>
    <row r="215">
      <c r="A215" s="18" t="n"/>
      <c r="B215" s="19" t="n"/>
      <c r="C215" s="14">
        <f>IFERROR(INDEX(Pessoas!$A$5:$A$64,MATCH($B215,Pessoas!$B$5:$B$64,0)),"")</f>
        <v/>
      </c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8" t="n"/>
      <c r="N215" s="19" t="n"/>
      <c r="O215" s="19" t="n"/>
      <c r="P215" s="19" t="n"/>
      <c r="Q215" s="20">
        <f>IF(OR($M215="",$P215=""),"",$M215+IF($P215="7 dias",7,IF($P215="14 dias",14,90)))</f>
        <v/>
      </c>
      <c r="R215" s="19" t="n"/>
      <c r="S215" s="19" t="n"/>
      <c r="T215" s="14">
        <f>IF($A215="","",YEAR($A215)*4+ROUNDUP(MONTH($A215)/3,0))</f>
        <v/>
      </c>
      <c r="U215" s="14">
        <f>IF($C215="","",$C215&amp;"|"&amp;$T215)</f>
        <v/>
      </c>
      <c r="V215" s="14">
        <f>IF($C215="","",$C215&amp;"|"&amp;$T215&amp;"|"&amp;$G215)</f>
        <v/>
      </c>
      <c r="W215" s="14">
        <f>IF($A215="","",IF(OR($B215="",$F215="",$G215="",$H215="",$I215=""),"Faltam campos básicos",IF(AND(OR($F215="Ponto de atenção",$F215="Incidente"),OR($K215="",$L215="",$O215="",$P215="")),"Faltam campos de sinalização","OK")))</f>
        <v/>
      </c>
      <c r="X215" s="14">
        <f>IF($A215="","",IF(AND(OR($F215="Ponto de atenção",$F215="Incidente"),$L215&lt;&gt;"Sim"),"Não",IF(AND($S215="",$W215&lt;&gt;"OK"),"Não","Sim")))</f>
        <v/>
      </c>
      <c r="Y215" s="14">
        <f>IF($C215="",0,IF(COUNTIFS($C$5:$C215,$C215,$D$5:$D215,$D215)=1,1,0))</f>
        <v/>
      </c>
      <c r="Z215" s="14">
        <f>IF($A215="","",IF(Config!$B$7-$T215&gt;2,"Arquivada",IF(Config!$B$7-$T215&gt;0,"Histórico","Ativa")))</f>
        <v/>
      </c>
      <c r="AA215" s="14">
        <f>IF($A215="",0,IF(AND(OR($F215="Ponto de atenção",$F215="Incidente"),$L215="Sim"),1,0))</f>
        <v/>
      </c>
      <c r="AB215" s="14">
        <f>IF(OR($C215="",$C215&lt;&gt;'1a1'!$B$4,$T215&lt;&gt;Config!$B$7),"",COUNTIFS($C$5:$C215,'1a1'!$B$4,$T$5:$T215,Config!$B$7))</f>
        <v/>
      </c>
    </row>
    <row r="216">
      <c r="A216" s="18" t="n"/>
      <c r="B216" s="19" t="n"/>
      <c r="C216" s="14">
        <f>IFERROR(INDEX(Pessoas!$A$5:$A$64,MATCH($B216,Pessoas!$B$5:$B$64,0)),"")</f>
        <v/>
      </c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8" t="n"/>
      <c r="N216" s="19" t="n"/>
      <c r="O216" s="19" t="n"/>
      <c r="P216" s="19" t="n"/>
      <c r="Q216" s="20">
        <f>IF(OR($M216="",$P216=""),"",$M216+IF($P216="7 dias",7,IF($P216="14 dias",14,90)))</f>
        <v/>
      </c>
      <c r="R216" s="19" t="n"/>
      <c r="S216" s="19" t="n"/>
      <c r="T216" s="14">
        <f>IF($A216="","",YEAR($A216)*4+ROUNDUP(MONTH($A216)/3,0))</f>
        <v/>
      </c>
      <c r="U216" s="14">
        <f>IF($C216="","",$C216&amp;"|"&amp;$T216)</f>
        <v/>
      </c>
      <c r="V216" s="14">
        <f>IF($C216="","",$C216&amp;"|"&amp;$T216&amp;"|"&amp;$G216)</f>
        <v/>
      </c>
      <c r="W216" s="14">
        <f>IF($A216="","",IF(OR($B216="",$F216="",$G216="",$H216="",$I216=""),"Faltam campos básicos",IF(AND(OR($F216="Ponto de atenção",$F216="Incidente"),OR($K216="",$L216="",$O216="",$P216="")),"Faltam campos de sinalização","OK")))</f>
        <v/>
      </c>
      <c r="X216" s="14">
        <f>IF($A216="","",IF(AND(OR($F216="Ponto de atenção",$F216="Incidente"),$L216&lt;&gt;"Sim"),"Não",IF(AND($S216="",$W216&lt;&gt;"OK"),"Não","Sim")))</f>
        <v/>
      </c>
      <c r="Y216" s="14">
        <f>IF($C216="",0,IF(COUNTIFS($C$5:$C216,$C216,$D$5:$D216,$D216)=1,1,0))</f>
        <v/>
      </c>
      <c r="Z216" s="14">
        <f>IF($A216="","",IF(Config!$B$7-$T216&gt;2,"Arquivada",IF(Config!$B$7-$T216&gt;0,"Histórico","Ativa")))</f>
        <v/>
      </c>
      <c r="AA216" s="14">
        <f>IF($A216="",0,IF(AND(OR($F216="Ponto de atenção",$F216="Incidente"),$L216="Sim"),1,0))</f>
        <v/>
      </c>
      <c r="AB216" s="14">
        <f>IF(OR($C216="",$C216&lt;&gt;'1a1'!$B$4,$T216&lt;&gt;Config!$B$7),"",COUNTIFS($C$5:$C216,'1a1'!$B$4,$T$5:$T216,Config!$B$7))</f>
        <v/>
      </c>
    </row>
    <row r="217">
      <c r="A217" s="18" t="n"/>
      <c r="B217" s="19" t="n"/>
      <c r="C217" s="14">
        <f>IFERROR(INDEX(Pessoas!$A$5:$A$64,MATCH($B217,Pessoas!$B$5:$B$64,0)),"")</f>
        <v/>
      </c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8" t="n"/>
      <c r="N217" s="19" t="n"/>
      <c r="O217" s="19" t="n"/>
      <c r="P217" s="19" t="n"/>
      <c r="Q217" s="20">
        <f>IF(OR($M217="",$P217=""),"",$M217+IF($P217="7 dias",7,IF($P217="14 dias",14,90)))</f>
        <v/>
      </c>
      <c r="R217" s="19" t="n"/>
      <c r="S217" s="19" t="n"/>
      <c r="T217" s="14">
        <f>IF($A217="","",YEAR($A217)*4+ROUNDUP(MONTH($A217)/3,0))</f>
        <v/>
      </c>
      <c r="U217" s="14">
        <f>IF($C217="","",$C217&amp;"|"&amp;$T217)</f>
        <v/>
      </c>
      <c r="V217" s="14">
        <f>IF($C217="","",$C217&amp;"|"&amp;$T217&amp;"|"&amp;$G217)</f>
        <v/>
      </c>
      <c r="W217" s="14">
        <f>IF($A217="","",IF(OR($B217="",$F217="",$G217="",$H217="",$I217=""),"Faltam campos básicos",IF(AND(OR($F217="Ponto de atenção",$F217="Incidente"),OR($K217="",$L217="",$O217="",$P217="")),"Faltam campos de sinalização","OK")))</f>
        <v/>
      </c>
      <c r="X217" s="14">
        <f>IF($A217="","",IF(AND(OR($F217="Ponto de atenção",$F217="Incidente"),$L217&lt;&gt;"Sim"),"Não",IF(AND($S217="",$W217&lt;&gt;"OK"),"Não","Sim")))</f>
        <v/>
      </c>
      <c r="Y217" s="14">
        <f>IF($C217="",0,IF(COUNTIFS($C$5:$C217,$C217,$D$5:$D217,$D217)=1,1,0))</f>
        <v/>
      </c>
      <c r="Z217" s="14">
        <f>IF($A217="","",IF(Config!$B$7-$T217&gt;2,"Arquivada",IF(Config!$B$7-$T217&gt;0,"Histórico","Ativa")))</f>
        <v/>
      </c>
      <c r="AA217" s="14">
        <f>IF($A217="",0,IF(AND(OR($F217="Ponto de atenção",$F217="Incidente"),$L217="Sim"),1,0))</f>
        <v/>
      </c>
      <c r="AB217" s="14">
        <f>IF(OR($C217="",$C217&lt;&gt;'1a1'!$B$4,$T217&lt;&gt;Config!$B$7),"",COUNTIFS($C$5:$C217,'1a1'!$B$4,$T$5:$T217,Config!$B$7))</f>
        <v/>
      </c>
    </row>
    <row r="218">
      <c r="A218" s="18" t="n"/>
      <c r="B218" s="19" t="n"/>
      <c r="C218" s="14">
        <f>IFERROR(INDEX(Pessoas!$A$5:$A$64,MATCH($B218,Pessoas!$B$5:$B$64,0)),"")</f>
        <v/>
      </c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8" t="n"/>
      <c r="N218" s="19" t="n"/>
      <c r="O218" s="19" t="n"/>
      <c r="P218" s="19" t="n"/>
      <c r="Q218" s="20">
        <f>IF(OR($M218="",$P218=""),"",$M218+IF($P218="7 dias",7,IF($P218="14 dias",14,90)))</f>
        <v/>
      </c>
      <c r="R218" s="19" t="n"/>
      <c r="S218" s="19" t="n"/>
      <c r="T218" s="14">
        <f>IF($A218="","",YEAR($A218)*4+ROUNDUP(MONTH($A218)/3,0))</f>
        <v/>
      </c>
      <c r="U218" s="14">
        <f>IF($C218="","",$C218&amp;"|"&amp;$T218)</f>
        <v/>
      </c>
      <c r="V218" s="14">
        <f>IF($C218="","",$C218&amp;"|"&amp;$T218&amp;"|"&amp;$G218)</f>
        <v/>
      </c>
      <c r="W218" s="14">
        <f>IF($A218="","",IF(OR($B218="",$F218="",$G218="",$H218="",$I218=""),"Faltam campos básicos",IF(AND(OR($F218="Ponto de atenção",$F218="Incidente"),OR($K218="",$L218="",$O218="",$P218="")),"Faltam campos de sinalização","OK")))</f>
        <v/>
      </c>
      <c r="X218" s="14">
        <f>IF($A218="","",IF(AND(OR($F218="Ponto de atenção",$F218="Incidente"),$L218&lt;&gt;"Sim"),"Não",IF(AND($S218="",$W218&lt;&gt;"OK"),"Não","Sim")))</f>
        <v/>
      </c>
      <c r="Y218" s="14">
        <f>IF($C218="",0,IF(COUNTIFS($C$5:$C218,$C218,$D$5:$D218,$D218)=1,1,0))</f>
        <v/>
      </c>
      <c r="Z218" s="14">
        <f>IF($A218="","",IF(Config!$B$7-$T218&gt;2,"Arquivada",IF(Config!$B$7-$T218&gt;0,"Histórico","Ativa")))</f>
        <v/>
      </c>
      <c r="AA218" s="14">
        <f>IF($A218="",0,IF(AND(OR($F218="Ponto de atenção",$F218="Incidente"),$L218="Sim"),1,0))</f>
        <v/>
      </c>
      <c r="AB218" s="14">
        <f>IF(OR($C218="",$C218&lt;&gt;'1a1'!$B$4,$T218&lt;&gt;Config!$B$7),"",COUNTIFS($C$5:$C218,'1a1'!$B$4,$T$5:$T218,Config!$B$7))</f>
        <v/>
      </c>
    </row>
    <row r="219">
      <c r="A219" s="18" t="n"/>
      <c r="B219" s="19" t="n"/>
      <c r="C219" s="14">
        <f>IFERROR(INDEX(Pessoas!$A$5:$A$64,MATCH($B219,Pessoas!$B$5:$B$64,0)),"")</f>
        <v/>
      </c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8" t="n"/>
      <c r="N219" s="19" t="n"/>
      <c r="O219" s="19" t="n"/>
      <c r="P219" s="19" t="n"/>
      <c r="Q219" s="20">
        <f>IF(OR($M219="",$P219=""),"",$M219+IF($P219="7 dias",7,IF($P219="14 dias",14,90)))</f>
        <v/>
      </c>
      <c r="R219" s="19" t="n"/>
      <c r="S219" s="19" t="n"/>
      <c r="T219" s="14">
        <f>IF($A219="","",YEAR($A219)*4+ROUNDUP(MONTH($A219)/3,0))</f>
        <v/>
      </c>
      <c r="U219" s="14">
        <f>IF($C219="","",$C219&amp;"|"&amp;$T219)</f>
        <v/>
      </c>
      <c r="V219" s="14">
        <f>IF($C219="","",$C219&amp;"|"&amp;$T219&amp;"|"&amp;$G219)</f>
        <v/>
      </c>
      <c r="W219" s="14">
        <f>IF($A219="","",IF(OR($B219="",$F219="",$G219="",$H219="",$I219=""),"Faltam campos básicos",IF(AND(OR($F219="Ponto de atenção",$F219="Incidente"),OR($K219="",$L219="",$O219="",$P219="")),"Faltam campos de sinalização","OK")))</f>
        <v/>
      </c>
      <c r="X219" s="14">
        <f>IF($A219="","",IF(AND(OR($F219="Ponto de atenção",$F219="Incidente"),$L219&lt;&gt;"Sim"),"Não",IF(AND($S219="",$W219&lt;&gt;"OK"),"Não","Sim")))</f>
        <v/>
      </c>
      <c r="Y219" s="14">
        <f>IF($C219="",0,IF(COUNTIFS($C$5:$C219,$C219,$D$5:$D219,$D219)=1,1,0))</f>
        <v/>
      </c>
      <c r="Z219" s="14">
        <f>IF($A219="","",IF(Config!$B$7-$T219&gt;2,"Arquivada",IF(Config!$B$7-$T219&gt;0,"Histórico","Ativa")))</f>
        <v/>
      </c>
      <c r="AA219" s="14">
        <f>IF($A219="",0,IF(AND(OR($F219="Ponto de atenção",$F219="Incidente"),$L219="Sim"),1,0))</f>
        <v/>
      </c>
      <c r="AB219" s="14">
        <f>IF(OR($C219="",$C219&lt;&gt;'1a1'!$B$4,$T219&lt;&gt;Config!$B$7),"",COUNTIFS($C$5:$C219,'1a1'!$B$4,$T$5:$T219,Config!$B$7))</f>
        <v/>
      </c>
    </row>
    <row r="220">
      <c r="A220" s="18" t="n"/>
      <c r="B220" s="19" t="n"/>
      <c r="C220" s="14">
        <f>IFERROR(INDEX(Pessoas!$A$5:$A$64,MATCH($B220,Pessoas!$B$5:$B$64,0)),"")</f>
        <v/>
      </c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8" t="n"/>
      <c r="N220" s="19" t="n"/>
      <c r="O220" s="19" t="n"/>
      <c r="P220" s="19" t="n"/>
      <c r="Q220" s="20">
        <f>IF(OR($M220="",$P220=""),"",$M220+IF($P220="7 dias",7,IF($P220="14 dias",14,90)))</f>
        <v/>
      </c>
      <c r="R220" s="19" t="n"/>
      <c r="S220" s="19" t="n"/>
      <c r="T220" s="14">
        <f>IF($A220="","",YEAR($A220)*4+ROUNDUP(MONTH($A220)/3,0))</f>
        <v/>
      </c>
      <c r="U220" s="14">
        <f>IF($C220="","",$C220&amp;"|"&amp;$T220)</f>
        <v/>
      </c>
      <c r="V220" s="14">
        <f>IF($C220="","",$C220&amp;"|"&amp;$T220&amp;"|"&amp;$G220)</f>
        <v/>
      </c>
      <c r="W220" s="14">
        <f>IF($A220="","",IF(OR($B220="",$F220="",$G220="",$H220="",$I220=""),"Faltam campos básicos",IF(AND(OR($F220="Ponto de atenção",$F220="Incidente"),OR($K220="",$L220="",$O220="",$P220="")),"Faltam campos de sinalização","OK")))</f>
        <v/>
      </c>
      <c r="X220" s="14">
        <f>IF($A220="","",IF(AND(OR($F220="Ponto de atenção",$F220="Incidente"),$L220&lt;&gt;"Sim"),"Não",IF(AND($S220="",$W220&lt;&gt;"OK"),"Não","Sim")))</f>
        <v/>
      </c>
      <c r="Y220" s="14">
        <f>IF($C220="",0,IF(COUNTIFS($C$5:$C220,$C220,$D$5:$D220,$D220)=1,1,0))</f>
        <v/>
      </c>
      <c r="Z220" s="14">
        <f>IF($A220="","",IF(Config!$B$7-$T220&gt;2,"Arquivada",IF(Config!$B$7-$T220&gt;0,"Histórico","Ativa")))</f>
        <v/>
      </c>
      <c r="AA220" s="14">
        <f>IF($A220="",0,IF(AND(OR($F220="Ponto de atenção",$F220="Incidente"),$L220="Sim"),1,0))</f>
        <v/>
      </c>
      <c r="AB220" s="14">
        <f>IF(OR($C220="",$C220&lt;&gt;'1a1'!$B$4,$T220&lt;&gt;Config!$B$7),"",COUNTIFS($C$5:$C220,'1a1'!$B$4,$T$5:$T220,Config!$B$7))</f>
        <v/>
      </c>
    </row>
    <row r="221">
      <c r="A221" s="18" t="n"/>
      <c r="B221" s="19" t="n"/>
      <c r="C221" s="14">
        <f>IFERROR(INDEX(Pessoas!$A$5:$A$64,MATCH($B221,Pessoas!$B$5:$B$64,0)),"")</f>
        <v/>
      </c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8" t="n"/>
      <c r="N221" s="19" t="n"/>
      <c r="O221" s="19" t="n"/>
      <c r="P221" s="19" t="n"/>
      <c r="Q221" s="20">
        <f>IF(OR($M221="",$P221=""),"",$M221+IF($P221="7 dias",7,IF($P221="14 dias",14,90)))</f>
        <v/>
      </c>
      <c r="R221" s="19" t="n"/>
      <c r="S221" s="19" t="n"/>
      <c r="T221" s="14">
        <f>IF($A221="","",YEAR($A221)*4+ROUNDUP(MONTH($A221)/3,0))</f>
        <v/>
      </c>
      <c r="U221" s="14">
        <f>IF($C221="","",$C221&amp;"|"&amp;$T221)</f>
        <v/>
      </c>
      <c r="V221" s="14">
        <f>IF($C221="","",$C221&amp;"|"&amp;$T221&amp;"|"&amp;$G221)</f>
        <v/>
      </c>
      <c r="W221" s="14">
        <f>IF($A221="","",IF(OR($B221="",$F221="",$G221="",$H221="",$I221=""),"Faltam campos básicos",IF(AND(OR($F221="Ponto de atenção",$F221="Incidente"),OR($K221="",$L221="",$O221="",$P221="")),"Faltam campos de sinalização","OK")))</f>
        <v/>
      </c>
      <c r="X221" s="14">
        <f>IF($A221="","",IF(AND(OR($F221="Ponto de atenção",$F221="Incidente"),$L221&lt;&gt;"Sim"),"Não",IF(AND($S221="",$W221&lt;&gt;"OK"),"Não","Sim")))</f>
        <v/>
      </c>
      <c r="Y221" s="14">
        <f>IF($C221="",0,IF(COUNTIFS($C$5:$C221,$C221,$D$5:$D221,$D221)=1,1,0))</f>
        <v/>
      </c>
      <c r="Z221" s="14">
        <f>IF($A221="","",IF(Config!$B$7-$T221&gt;2,"Arquivada",IF(Config!$B$7-$T221&gt;0,"Histórico","Ativa")))</f>
        <v/>
      </c>
      <c r="AA221" s="14">
        <f>IF($A221="",0,IF(AND(OR($F221="Ponto de atenção",$F221="Incidente"),$L221="Sim"),1,0))</f>
        <v/>
      </c>
      <c r="AB221" s="14">
        <f>IF(OR($C221="",$C221&lt;&gt;'1a1'!$B$4,$T221&lt;&gt;Config!$B$7),"",COUNTIFS($C$5:$C221,'1a1'!$B$4,$T$5:$T221,Config!$B$7))</f>
        <v/>
      </c>
    </row>
    <row r="222">
      <c r="A222" s="18" t="n"/>
      <c r="B222" s="19" t="n"/>
      <c r="C222" s="14">
        <f>IFERROR(INDEX(Pessoas!$A$5:$A$64,MATCH($B222,Pessoas!$B$5:$B$64,0)),"")</f>
        <v/>
      </c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8" t="n"/>
      <c r="N222" s="19" t="n"/>
      <c r="O222" s="19" t="n"/>
      <c r="P222" s="19" t="n"/>
      <c r="Q222" s="20">
        <f>IF(OR($M222="",$P222=""),"",$M222+IF($P222="7 dias",7,IF($P222="14 dias",14,90)))</f>
        <v/>
      </c>
      <c r="R222" s="19" t="n"/>
      <c r="S222" s="19" t="n"/>
      <c r="T222" s="14">
        <f>IF($A222="","",YEAR($A222)*4+ROUNDUP(MONTH($A222)/3,0))</f>
        <v/>
      </c>
      <c r="U222" s="14">
        <f>IF($C222="","",$C222&amp;"|"&amp;$T222)</f>
        <v/>
      </c>
      <c r="V222" s="14">
        <f>IF($C222="","",$C222&amp;"|"&amp;$T222&amp;"|"&amp;$G222)</f>
        <v/>
      </c>
      <c r="W222" s="14">
        <f>IF($A222="","",IF(OR($B222="",$F222="",$G222="",$H222="",$I222=""),"Faltam campos básicos",IF(AND(OR($F222="Ponto de atenção",$F222="Incidente"),OR($K222="",$L222="",$O222="",$P222="")),"Faltam campos de sinalização","OK")))</f>
        <v/>
      </c>
      <c r="X222" s="14">
        <f>IF($A222="","",IF(AND(OR($F222="Ponto de atenção",$F222="Incidente"),$L222&lt;&gt;"Sim"),"Não",IF(AND($S222="",$W222&lt;&gt;"OK"),"Não","Sim")))</f>
        <v/>
      </c>
      <c r="Y222" s="14">
        <f>IF($C222="",0,IF(COUNTIFS($C$5:$C222,$C222,$D$5:$D222,$D222)=1,1,0))</f>
        <v/>
      </c>
      <c r="Z222" s="14">
        <f>IF($A222="","",IF(Config!$B$7-$T222&gt;2,"Arquivada",IF(Config!$B$7-$T222&gt;0,"Histórico","Ativa")))</f>
        <v/>
      </c>
      <c r="AA222" s="14">
        <f>IF($A222="",0,IF(AND(OR($F222="Ponto de atenção",$F222="Incidente"),$L222="Sim"),1,0))</f>
        <v/>
      </c>
      <c r="AB222" s="14">
        <f>IF(OR($C222="",$C222&lt;&gt;'1a1'!$B$4,$T222&lt;&gt;Config!$B$7),"",COUNTIFS($C$5:$C222,'1a1'!$B$4,$T$5:$T222,Config!$B$7))</f>
        <v/>
      </c>
    </row>
    <row r="223">
      <c r="A223" s="18" t="n"/>
      <c r="B223" s="19" t="n"/>
      <c r="C223" s="14">
        <f>IFERROR(INDEX(Pessoas!$A$5:$A$64,MATCH($B223,Pessoas!$B$5:$B$64,0)),"")</f>
        <v/>
      </c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8" t="n"/>
      <c r="N223" s="19" t="n"/>
      <c r="O223" s="19" t="n"/>
      <c r="P223" s="19" t="n"/>
      <c r="Q223" s="20">
        <f>IF(OR($M223="",$P223=""),"",$M223+IF($P223="7 dias",7,IF($P223="14 dias",14,90)))</f>
        <v/>
      </c>
      <c r="R223" s="19" t="n"/>
      <c r="S223" s="19" t="n"/>
      <c r="T223" s="14">
        <f>IF($A223="","",YEAR($A223)*4+ROUNDUP(MONTH($A223)/3,0))</f>
        <v/>
      </c>
      <c r="U223" s="14">
        <f>IF($C223="","",$C223&amp;"|"&amp;$T223)</f>
        <v/>
      </c>
      <c r="V223" s="14">
        <f>IF($C223="","",$C223&amp;"|"&amp;$T223&amp;"|"&amp;$G223)</f>
        <v/>
      </c>
      <c r="W223" s="14">
        <f>IF($A223="","",IF(OR($B223="",$F223="",$G223="",$H223="",$I223=""),"Faltam campos básicos",IF(AND(OR($F223="Ponto de atenção",$F223="Incidente"),OR($K223="",$L223="",$O223="",$P223="")),"Faltam campos de sinalização","OK")))</f>
        <v/>
      </c>
      <c r="X223" s="14">
        <f>IF($A223="","",IF(AND(OR($F223="Ponto de atenção",$F223="Incidente"),$L223&lt;&gt;"Sim"),"Não",IF(AND($S223="",$W223&lt;&gt;"OK"),"Não","Sim")))</f>
        <v/>
      </c>
      <c r="Y223" s="14">
        <f>IF($C223="",0,IF(COUNTIFS($C$5:$C223,$C223,$D$5:$D223,$D223)=1,1,0))</f>
        <v/>
      </c>
      <c r="Z223" s="14">
        <f>IF($A223="","",IF(Config!$B$7-$T223&gt;2,"Arquivada",IF(Config!$B$7-$T223&gt;0,"Histórico","Ativa")))</f>
        <v/>
      </c>
      <c r="AA223" s="14">
        <f>IF($A223="",0,IF(AND(OR($F223="Ponto de atenção",$F223="Incidente"),$L223="Sim"),1,0))</f>
        <v/>
      </c>
      <c r="AB223" s="14">
        <f>IF(OR($C223="",$C223&lt;&gt;'1a1'!$B$4,$T223&lt;&gt;Config!$B$7),"",COUNTIFS($C$5:$C223,'1a1'!$B$4,$T$5:$T223,Config!$B$7))</f>
        <v/>
      </c>
    </row>
    <row r="224">
      <c r="A224" s="18" t="n"/>
      <c r="B224" s="19" t="n"/>
      <c r="C224" s="14">
        <f>IFERROR(INDEX(Pessoas!$A$5:$A$64,MATCH($B224,Pessoas!$B$5:$B$64,0)),"")</f>
        <v/>
      </c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8" t="n"/>
      <c r="N224" s="19" t="n"/>
      <c r="O224" s="19" t="n"/>
      <c r="P224" s="19" t="n"/>
      <c r="Q224" s="20">
        <f>IF(OR($M224="",$P224=""),"",$M224+IF($P224="7 dias",7,IF($P224="14 dias",14,90)))</f>
        <v/>
      </c>
      <c r="R224" s="19" t="n"/>
      <c r="S224" s="19" t="n"/>
      <c r="T224" s="14">
        <f>IF($A224="","",YEAR($A224)*4+ROUNDUP(MONTH($A224)/3,0))</f>
        <v/>
      </c>
      <c r="U224" s="14">
        <f>IF($C224="","",$C224&amp;"|"&amp;$T224)</f>
        <v/>
      </c>
      <c r="V224" s="14">
        <f>IF($C224="","",$C224&amp;"|"&amp;$T224&amp;"|"&amp;$G224)</f>
        <v/>
      </c>
      <c r="W224" s="14">
        <f>IF($A224="","",IF(OR($B224="",$F224="",$G224="",$H224="",$I224=""),"Faltam campos básicos",IF(AND(OR($F224="Ponto de atenção",$F224="Incidente"),OR($K224="",$L224="",$O224="",$P224="")),"Faltam campos de sinalização","OK")))</f>
        <v/>
      </c>
      <c r="X224" s="14">
        <f>IF($A224="","",IF(AND(OR($F224="Ponto de atenção",$F224="Incidente"),$L224&lt;&gt;"Sim"),"Não",IF(AND($S224="",$W224&lt;&gt;"OK"),"Não","Sim")))</f>
        <v/>
      </c>
      <c r="Y224" s="14">
        <f>IF($C224="",0,IF(COUNTIFS($C$5:$C224,$C224,$D$5:$D224,$D224)=1,1,0))</f>
        <v/>
      </c>
      <c r="Z224" s="14">
        <f>IF($A224="","",IF(Config!$B$7-$T224&gt;2,"Arquivada",IF(Config!$B$7-$T224&gt;0,"Histórico","Ativa")))</f>
        <v/>
      </c>
      <c r="AA224" s="14">
        <f>IF($A224="",0,IF(AND(OR($F224="Ponto de atenção",$F224="Incidente"),$L224="Sim"),1,0))</f>
        <v/>
      </c>
      <c r="AB224" s="14">
        <f>IF(OR($C224="",$C224&lt;&gt;'1a1'!$B$4,$T224&lt;&gt;Config!$B$7),"",COUNTIFS($C$5:$C224,'1a1'!$B$4,$T$5:$T224,Config!$B$7))</f>
        <v/>
      </c>
    </row>
    <row r="225">
      <c r="A225" s="18" t="n"/>
      <c r="B225" s="19" t="n"/>
      <c r="C225" s="14">
        <f>IFERROR(INDEX(Pessoas!$A$5:$A$64,MATCH($B225,Pessoas!$B$5:$B$64,0)),"")</f>
        <v/>
      </c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8" t="n"/>
      <c r="N225" s="19" t="n"/>
      <c r="O225" s="19" t="n"/>
      <c r="P225" s="19" t="n"/>
      <c r="Q225" s="20">
        <f>IF(OR($M225="",$P225=""),"",$M225+IF($P225="7 dias",7,IF($P225="14 dias",14,90)))</f>
        <v/>
      </c>
      <c r="R225" s="19" t="n"/>
      <c r="S225" s="19" t="n"/>
      <c r="T225" s="14">
        <f>IF($A225="","",YEAR($A225)*4+ROUNDUP(MONTH($A225)/3,0))</f>
        <v/>
      </c>
      <c r="U225" s="14">
        <f>IF($C225="","",$C225&amp;"|"&amp;$T225)</f>
        <v/>
      </c>
      <c r="V225" s="14">
        <f>IF($C225="","",$C225&amp;"|"&amp;$T225&amp;"|"&amp;$G225)</f>
        <v/>
      </c>
      <c r="W225" s="14">
        <f>IF($A225="","",IF(OR($B225="",$F225="",$G225="",$H225="",$I225=""),"Faltam campos básicos",IF(AND(OR($F225="Ponto de atenção",$F225="Incidente"),OR($K225="",$L225="",$O225="",$P225="")),"Faltam campos de sinalização","OK")))</f>
        <v/>
      </c>
      <c r="X225" s="14">
        <f>IF($A225="","",IF(AND(OR($F225="Ponto de atenção",$F225="Incidente"),$L225&lt;&gt;"Sim"),"Não",IF(AND($S225="",$W225&lt;&gt;"OK"),"Não","Sim")))</f>
        <v/>
      </c>
      <c r="Y225" s="14">
        <f>IF($C225="",0,IF(COUNTIFS($C$5:$C225,$C225,$D$5:$D225,$D225)=1,1,0))</f>
        <v/>
      </c>
      <c r="Z225" s="14">
        <f>IF($A225="","",IF(Config!$B$7-$T225&gt;2,"Arquivada",IF(Config!$B$7-$T225&gt;0,"Histórico","Ativa")))</f>
        <v/>
      </c>
      <c r="AA225" s="14">
        <f>IF($A225="",0,IF(AND(OR($F225="Ponto de atenção",$F225="Incidente"),$L225="Sim"),1,0))</f>
        <v/>
      </c>
      <c r="AB225" s="14">
        <f>IF(OR($C225="",$C225&lt;&gt;'1a1'!$B$4,$T225&lt;&gt;Config!$B$7),"",COUNTIFS($C$5:$C225,'1a1'!$B$4,$T$5:$T225,Config!$B$7))</f>
        <v/>
      </c>
    </row>
    <row r="226">
      <c r="A226" s="18" t="n"/>
      <c r="B226" s="19" t="n"/>
      <c r="C226" s="14">
        <f>IFERROR(INDEX(Pessoas!$A$5:$A$64,MATCH($B226,Pessoas!$B$5:$B$64,0)),"")</f>
        <v/>
      </c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8" t="n"/>
      <c r="N226" s="19" t="n"/>
      <c r="O226" s="19" t="n"/>
      <c r="P226" s="19" t="n"/>
      <c r="Q226" s="20">
        <f>IF(OR($M226="",$P226=""),"",$M226+IF($P226="7 dias",7,IF($P226="14 dias",14,90)))</f>
        <v/>
      </c>
      <c r="R226" s="19" t="n"/>
      <c r="S226" s="19" t="n"/>
      <c r="T226" s="14">
        <f>IF($A226="","",YEAR($A226)*4+ROUNDUP(MONTH($A226)/3,0))</f>
        <v/>
      </c>
      <c r="U226" s="14">
        <f>IF($C226="","",$C226&amp;"|"&amp;$T226)</f>
        <v/>
      </c>
      <c r="V226" s="14">
        <f>IF($C226="","",$C226&amp;"|"&amp;$T226&amp;"|"&amp;$G226)</f>
        <v/>
      </c>
      <c r="W226" s="14">
        <f>IF($A226="","",IF(OR($B226="",$F226="",$G226="",$H226="",$I226=""),"Faltam campos básicos",IF(AND(OR($F226="Ponto de atenção",$F226="Incidente"),OR($K226="",$L226="",$O226="",$P226="")),"Faltam campos de sinalização","OK")))</f>
        <v/>
      </c>
      <c r="X226" s="14">
        <f>IF($A226="","",IF(AND(OR($F226="Ponto de atenção",$F226="Incidente"),$L226&lt;&gt;"Sim"),"Não",IF(AND($S226="",$W226&lt;&gt;"OK"),"Não","Sim")))</f>
        <v/>
      </c>
      <c r="Y226" s="14">
        <f>IF($C226="",0,IF(COUNTIFS($C$5:$C226,$C226,$D$5:$D226,$D226)=1,1,0))</f>
        <v/>
      </c>
      <c r="Z226" s="14">
        <f>IF($A226="","",IF(Config!$B$7-$T226&gt;2,"Arquivada",IF(Config!$B$7-$T226&gt;0,"Histórico","Ativa")))</f>
        <v/>
      </c>
      <c r="AA226" s="14">
        <f>IF($A226="",0,IF(AND(OR($F226="Ponto de atenção",$F226="Incidente"),$L226="Sim"),1,0))</f>
        <v/>
      </c>
      <c r="AB226" s="14">
        <f>IF(OR($C226="",$C226&lt;&gt;'1a1'!$B$4,$T226&lt;&gt;Config!$B$7),"",COUNTIFS($C$5:$C226,'1a1'!$B$4,$T$5:$T226,Config!$B$7))</f>
        <v/>
      </c>
    </row>
    <row r="227">
      <c r="A227" s="18" t="n"/>
      <c r="B227" s="19" t="n"/>
      <c r="C227" s="14">
        <f>IFERROR(INDEX(Pessoas!$A$5:$A$64,MATCH($B227,Pessoas!$B$5:$B$64,0)),"")</f>
        <v/>
      </c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8" t="n"/>
      <c r="N227" s="19" t="n"/>
      <c r="O227" s="19" t="n"/>
      <c r="P227" s="19" t="n"/>
      <c r="Q227" s="20">
        <f>IF(OR($M227="",$P227=""),"",$M227+IF($P227="7 dias",7,IF($P227="14 dias",14,90)))</f>
        <v/>
      </c>
      <c r="R227" s="19" t="n"/>
      <c r="S227" s="19" t="n"/>
      <c r="T227" s="14">
        <f>IF($A227="","",YEAR($A227)*4+ROUNDUP(MONTH($A227)/3,0))</f>
        <v/>
      </c>
      <c r="U227" s="14">
        <f>IF($C227="","",$C227&amp;"|"&amp;$T227)</f>
        <v/>
      </c>
      <c r="V227" s="14">
        <f>IF($C227="","",$C227&amp;"|"&amp;$T227&amp;"|"&amp;$G227)</f>
        <v/>
      </c>
      <c r="W227" s="14">
        <f>IF($A227="","",IF(OR($B227="",$F227="",$G227="",$H227="",$I227=""),"Faltam campos básicos",IF(AND(OR($F227="Ponto de atenção",$F227="Incidente"),OR($K227="",$L227="",$O227="",$P227="")),"Faltam campos de sinalização","OK")))</f>
        <v/>
      </c>
      <c r="X227" s="14">
        <f>IF($A227="","",IF(AND(OR($F227="Ponto de atenção",$F227="Incidente"),$L227&lt;&gt;"Sim"),"Não",IF(AND($S227="",$W227&lt;&gt;"OK"),"Não","Sim")))</f>
        <v/>
      </c>
      <c r="Y227" s="14">
        <f>IF($C227="",0,IF(COUNTIFS($C$5:$C227,$C227,$D$5:$D227,$D227)=1,1,0))</f>
        <v/>
      </c>
      <c r="Z227" s="14">
        <f>IF($A227="","",IF(Config!$B$7-$T227&gt;2,"Arquivada",IF(Config!$B$7-$T227&gt;0,"Histórico","Ativa")))</f>
        <v/>
      </c>
      <c r="AA227" s="14">
        <f>IF($A227="",0,IF(AND(OR($F227="Ponto de atenção",$F227="Incidente"),$L227="Sim"),1,0))</f>
        <v/>
      </c>
      <c r="AB227" s="14">
        <f>IF(OR($C227="",$C227&lt;&gt;'1a1'!$B$4,$T227&lt;&gt;Config!$B$7),"",COUNTIFS($C$5:$C227,'1a1'!$B$4,$T$5:$T227,Config!$B$7))</f>
        <v/>
      </c>
    </row>
    <row r="228">
      <c r="A228" s="18" t="n"/>
      <c r="B228" s="19" t="n"/>
      <c r="C228" s="14">
        <f>IFERROR(INDEX(Pessoas!$A$5:$A$64,MATCH($B228,Pessoas!$B$5:$B$64,0)),"")</f>
        <v/>
      </c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8" t="n"/>
      <c r="N228" s="19" t="n"/>
      <c r="O228" s="19" t="n"/>
      <c r="P228" s="19" t="n"/>
      <c r="Q228" s="20">
        <f>IF(OR($M228="",$P228=""),"",$M228+IF($P228="7 dias",7,IF($P228="14 dias",14,90)))</f>
        <v/>
      </c>
      <c r="R228" s="19" t="n"/>
      <c r="S228" s="19" t="n"/>
      <c r="T228" s="14">
        <f>IF($A228="","",YEAR($A228)*4+ROUNDUP(MONTH($A228)/3,0))</f>
        <v/>
      </c>
      <c r="U228" s="14">
        <f>IF($C228="","",$C228&amp;"|"&amp;$T228)</f>
        <v/>
      </c>
      <c r="V228" s="14">
        <f>IF($C228="","",$C228&amp;"|"&amp;$T228&amp;"|"&amp;$G228)</f>
        <v/>
      </c>
      <c r="W228" s="14">
        <f>IF($A228="","",IF(OR($B228="",$F228="",$G228="",$H228="",$I228=""),"Faltam campos básicos",IF(AND(OR($F228="Ponto de atenção",$F228="Incidente"),OR($K228="",$L228="",$O228="",$P228="")),"Faltam campos de sinalização","OK")))</f>
        <v/>
      </c>
      <c r="X228" s="14">
        <f>IF($A228="","",IF(AND(OR($F228="Ponto de atenção",$F228="Incidente"),$L228&lt;&gt;"Sim"),"Não",IF(AND($S228="",$W228&lt;&gt;"OK"),"Não","Sim")))</f>
        <v/>
      </c>
      <c r="Y228" s="14">
        <f>IF($C228="",0,IF(COUNTIFS($C$5:$C228,$C228,$D$5:$D228,$D228)=1,1,0))</f>
        <v/>
      </c>
      <c r="Z228" s="14">
        <f>IF($A228="","",IF(Config!$B$7-$T228&gt;2,"Arquivada",IF(Config!$B$7-$T228&gt;0,"Histórico","Ativa")))</f>
        <v/>
      </c>
      <c r="AA228" s="14">
        <f>IF($A228="",0,IF(AND(OR($F228="Ponto de atenção",$F228="Incidente"),$L228="Sim"),1,0))</f>
        <v/>
      </c>
      <c r="AB228" s="14">
        <f>IF(OR($C228="",$C228&lt;&gt;'1a1'!$B$4,$T228&lt;&gt;Config!$B$7),"",COUNTIFS($C$5:$C228,'1a1'!$B$4,$T$5:$T228,Config!$B$7))</f>
        <v/>
      </c>
    </row>
    <row r="229">
      <c r="A229" s="18" t="n"/>
      <c r="B229" s="19" t="n"/>
      <c r="C229" s="14">
        <f>IFERROR(INDEX(Pessoas!$A$5:$A$64,MATCH($B229,Pessoas!$B$5:$B$64,0)),"")</f>
        <v/>
      </c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8" t="n"/>
      <c r="N229" s="19" t="n"/>
      <c r="O229" s="19" t="n"/>
      <c r="P229" s="19" t="n"/>
      <c r="Q229" s="20">
        <f>IF(OR($M229="",$P229=""),"",$M229+IF($P229="7 dias",7,IF($P229="14 dias",14,90)))</f>
        <v/>
      </c>
      <c r="R229" s="19" t="n"/>
      <c r="S229" s="19" t="n"/>
      <c r="T229" s="14">
        <f>IF($A229="","",YEAR($A229)*4+ROUNDUP(MONTH($A229)/3,0))</f>
        <v/>
      </c>
      <c r="U229" s="14">
        <f>IF($C229="","",$C229&amp;"|"&amp;$T229)</f>
        <v/>
      </c>
      <c r="V229" s="14">
        <f>IF($C229="","",$C229&amp;"|"&amp;$T229&amp;"|"&amp;$G229)</f>
        <v/>
      </c>
      <c r="W229" s="14">
        <f>IF($A229="","",IF(OR($B229="",$F229="",$G229="",$H229="",$I229=""),"Faltam campos básicos",IF(AND(OR($F229="Ponto de atenção",$F229="Incidente"),OR($K229="",$L229="",$O229="",$P229="")),"Faltam campos de sinalização","OK")))</f>
        <v/>
      </c>
      <c r="X229" s="14">
        <f>IF($A229="","",IF(AND(OR($F229="Ponto de atenção",$F229="Incidente"),$L229&lt;&gt;"Sim"),"Não",IF(AND($S229="",$W229&lt;&gt;"OK"),"Não","Sim")))</f>
        <v/>
      </c>
      <c r="Y229" s="14">
        <f>IF($C229="",0,IF(COUNTIFS($C$5:$C229,$C229,$D$5:$D229,$D229)=1,1,0))</f>
        <v/>
      </c>
      <c r="Z229" s="14">
        <f>IF($A229="","",IF(Config!$B$7-$T229&gt;2,"Arquivada",IF(Config!$B$7-$T229&gt;0,"Histórico","Ativa")))</f>
        <v/>
      </c>
      <c r="AA229" s="14">
        <f>IF($A229="",0,IF(AND(OR($F229="Ponto de atenção",$F229="Incidente"),$L229="Sim"),1,0))</f>
        <v/>
      </c>
      <c r="AB229" s="14">
        <f>IF(OR($C229="",$C229&lt;&gt;'1a1'!$B$4,$T229&lt;&gt;Config!$B$7),"",COUNTIFS($C$5:$C229,'1a1'!$B$4,$T$5:$T229,Config!$B$7))</f>
        <v/>
      </c>
    </row>
    <row r="230">
      <c r="A230" s="18" t="n"/>
      <c r="B230" s="19" t="n"/>
      <c r="C230" s="14">
        <f>IFERROR(INDEX(Pessoas!$A$5:$A$64,MATCH($B230,Pessoas!$B$5:$B$64,0)),"")</f>
        <v/>
      </c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8" t="n"/>
      <c r="N230" s="19" t="n"/>
      <c r="O230" s="19" t="n"/>
      <c r="P230" s="19" t="n"/>
      <c r="Q230" s="20">
        <f>IF(OR($M230="",$P230=""),"",$M230+IF($P230="7 dias",7,IF($P230="14 dias",14,90)))</f>
        <v/>
      </c>
      <c r="R230" s="19" t="n"/>
      <c r="S230" s="19" t="n"/>
      <c r="T230" s="14">
        <f>IF($A230="","",YEAR($A230)*4+ROUNDUP(MONTH($A230)/3,0))</f>
        <v/>
      </c>
      <c r="U230" s="14">
        <f>IF($C230="","",$C230&amp;"|"&amp;$T230)</f>
        <v/>
      </c>
      <c r="V230" s="14">
        <f>IF($C230="","",$C230&amp;"|"&amp;$T230&amp;"|"&amp;$G230)</f>
        <v/>
      </c>
      <c r="W230" s="14">
        <f>IF($A230="","",IF(OR($B230="",$F230="",$G230="",$H230="",$I230=""),"Faltam campos básicos",IF(AND(OR($F230="Ponto de atenção",$F230="Incidente"),OR($K230="",$L230="",$O230="",$P230="")),"Faltam campos de sinalização","OK")))</f>
        <v/>
      </c>
      <c r="X230" s="14">
        <f>IF($A230="","",IF(AND(OR($F230="Ponto de atenção",$F230="Incidente"),$L230&lt;&gt;"Sim"),"Não",IF(AND($S230="",$W230&lt;&gt;"OK"),"Não","Sim")))</f>
        <v/>
      </c>
      <c r="Y230" s="14">
        <f>IF($C230="",0,IF(COUNTIFS($C$5:$C230,$C230,$D$5:$D230,$D230)=1,1,0))</f>
        <v/>
      </c>
      <c r="Z230" s="14">
        <f>IF($A230="","",IF(Config!$B$7-$T230&gt;2,"Arquivada",IF(Config!$B$7-$T230&gt;0,"Histórico","Ativa")))</f>
        <v/>
      </c>
      <c r="AA230" s="14">
        <f>IF($A230="",0,IF(AND(OR($F230="Ponto de atenção",$F230="Incidente"),$L230="Sim"),1,0))</f>
        <v/>
      </c>
      <c r="AB230" s="14">
        <f>IF(OR($C230="",$C230&lt;&gt;'1a1'!$B$4,$T230&lt;&gt;Config!$B$7),"",COUNTIFS($C$5:$C230,'1a1'!$B$4,$T$5:$T230,Config!$B$7))</f>
        <v/>
      </c>
    </row>
    <row r="231">
      <c r="A231" s="18" t="n"/>
      <c r="B231" s="19" t="n"/>
      <c r="C231" s="14">
        <f>IFERROR(INDEX(Pessoas!$A$5:$A$64,MATCH($B231,Pessoas!$B$5:$B$64,0)),"")</f>
        <v/>
      </c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8" t="n"/>
      <c r="N231" s="19" t="n"/>
      <c r="O231" s="19" t="n"/>
      <c r="P231" s="19" t="n"/>
      <c r="Q231" s="20">
        <f>IF(OR($M231="",$P231=""),"",$M231+IF($P231="7 dias",7,IF($P231="14 dias",14,90)))</f>
        <v/>
      </c>
      <c r="R231" s="19" t="n"/>
      <c r="S231" s="19" t="n"/>
      <c r="T231" s="14">
        <f>IF($A231="","",YEAR($A231)*4+ROUNDUP(MONTH($A231)/3,0))</f>
        <v/>
      </c>
      <c r="U231" s="14">
        <f>IF($C231="","",$C231&amp;"|"&amp;$T231)</f>
        <v/>
      </c>
      <c r="V231" s="14">
        <f>IF($C231="","",$C231&amp;"|"&amp;$T231&amp;"|"&amp;$G231)</f>
        <v/>
      </c>
      <c r="W231" s="14">
        <f>IF($A231="","",IF(OR($B231="",$F231="",$G231="",$H231="",$I231=""),"Faltam campos básicos",IF(AND(OR($F231="Ponto de atenção",$F231="Incidente"),OR($K231="",$L231="",$O231="",$P231="")),"Faltam campos de sinalização","OK")))</f>
        <v/>
      </c>
      <c r="X231" s="14">
        <f>IF($A231="","",IF(AND(OR($F231="Ponto de atenção",$F231="Incidente"),$L231&lt;&gt;"Sim"),"Não",IF(AND($S231="",$W231&lt;&gt;"OK"),"Não","Sim")))</f>
        <v/>
      </c>
      <c r="Y231" s="14">
        <f>IF($C231="",0,IF(COUNTIFS($C$5:$C231,$C231,$D$5:$D231,$D231)=1,1,0))</f>
        <v/>
      </c>
      <c r="Z231" s="14">
        <f>IF($A231="","",IF(Config!$B$7-$T231&gt;2,"Arquivada",IF(Config!$B$7-$T231&gt;0,"Histórico","Ativa")))</f>
        <v/>
      </c>
      <c r="AA231" s="14">
        <f>IF($A231="",0,IF(AND(OR($F231="Ponto de atenção",$F231="Incidente"),$L231="Sim"),1,0))</f>
        <v/>
      </c>
      <c r="AB231" s="14">
        <f>IF(OR($C231="",$C231&lt;&gt;'1a1'!$B$4,$T231&lt;&gt;Config!$B$7),"",COUNTIFS($C$5:$C231,'1a1'!$B$4,$T$5:$T231,Config!$B$7))</f>
        <v/>
      </c>
    </row>
    <row r="232">
      <c r="A232" s="18" t="n"/>
      <c r="B232" s="19" t="n"/>
      <c r="C232" s="14">
        <f>IFERROR(INDEX(Pessoas!$A$5:$A$64,MATCH($B232,Pessoas!$B$5:$B$64,0)),"")</f>
        <v/>
      </c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8" t="n"/>
      <c r="N232" s="19" t="n"/>
      <c r="O232" s="19" t="n"/>
      <c r="P232" s="19" t="n"/>
      <c r="Q232" s="20">
        <f>IF(OR($M232="",$P232=""),"",$M232+IF($P232="7 dias",7,IF($P232="14 dias",14,90)))</f>
        <v/>
      </c>
      <c r="R232" s="19" t="n"/>
      <c r="S232" s="19" t="n"/>
      <c r="T232" s="14">
        <f>IF($A232="","",YEAR($A232)*4+ROUNDUP(MONTH($A232)/3,0))</f>
        <v/>
      </c>
      <c r="U232" s="14">
        <f>IF($C232="","",$C232&amp;"|"&amp;$T232)</f>
        <v/>
      </c>
      <c r="V232" s="14">
        <f>IF($C232="","",$C232&amp;"|"&amp;$T232&amp;"|"&amp;$G232)</f>
        <v/>
      </c>
      <c r="W232" s="14">
        <f>IF($A232="","",IF(OR($B232="",$F232="",$G232="",$H232="",$I232=""),"Faltam campos básicos",IF(AND(OR($F232="Ponto de atenção",$F232="Incidente"),OR($K232="",$L232="",$O232="",$P232="")),"Faltam campos de sinalização","OK")))</f>
        <v/>
      </c>
      <c r="X232" s="14">
        <f>IF($A232="","",IF(AND(OR($F232="Ponto de atenção",$F232="Incidente"),$L232&lt;&gt;"Sim"),"Não",IF(AND($S232="",$W232&lt;&gt;"OK"),"Não","Sim")))</f>
        <v/>
      </c>
      <c r="Y232" s="14">
        <f>IF($C232="",0,IF(COUNTIFS($C$5:$C232,$C232,$D$5:$D232,$D232)=1,1,0))</f>
        <v/>
      </c>
      <c r="Z232" s="14">
        <f>IF($A232="","",IF(Config!$B$7-$T232&gt;2,"Arquivada",IF(Config!$B$7-$T232&gt;0,"Histórico","Ativa")))</f>
        <v/>
      </c>
      <c r="AA232" s="14">
        <f>IF($A232="",0,IF(AND(OR($F232="Ponto de atenção",$F232="Incidente"),$L232="Sim"),1,0))</f>
        <v/>
      </c>
      <c r="AB232" s="14">
        <f>IF(OR($C232="",$C232&lt;&gt;'1a1'!$B$4,$T232&lt;&gt;Config!$B$7),"",COUNTIFS($C$5:$C232,'1a1'!$B$4,$T$5:$T232,Config!$B$7))</f>
        <v/>
      </c>
    </row>
    <row r="233">
      <c r="A233" s="18" t="n"/>
      <c r="B233" s="19" t="n"/>
      <c r="C233" s="14">
        <f>IFERROR(INDEX(Pessoas!$A$5:$A$64,MATCH($B233,Pessoas!$B$5:$B$64,0)),"")</f>
        <v/>
      </c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8" t="n"/>
      <c r="N233" s="19" t="n"/>
      <c r="O233" s="19" t="n"/>
      <c r="P233" s="19" t="n"/>
      <c r="Q233" s="20">
        <f>IF(OR($M233="",$P233=""),"",$M233+IF($P233="7 dias",7,IF($P233="14 dias",14,90)))</f>
        <v/>
      </c>
      <c r="R233" s="19" t="n"/>
      <c r="S233" s="19" t="n"/>
      <c r="T233" s="14">
        <f>IF($A233="","",YEAR($A233)*4+ROUNDUP(MONTH($A233)/3,0))</f>
        <v/>
      </c>
      <c r="U233" s="14">
        <f>IF($C233="","",$C233&amp;"|"&amp;$T233)</f>
        <v/>
      </c>
      <c r="V233" s="14">
        <f>IF($C233="","",$C233&amp;"|"&amp;$T233&amp;"|"&amp;$G233)</f>
        <v/>
      </c>
      <c r="W233" s="14">
        <f>IF($A233="","",IF(OR($B233="",$F233="",$G233="",$H233="",$I233=""),"Faltam campos básicos",IF(AND(OR($F233="Ponto de atenção",$F233="Incidente"),OR($K233="",$L233="",$O233="",$P233="")),"Faltam campos de sinalização","OK")))</f>
        <v/>
      </c>
      <c r="X233" s="14">
        <f>IF($A233="","",IF(AND(OR($F233="Ponto de atenção",$F233="Incidente"),$L233&lt;&gt;"Sim"),"Não",IF(AND($S233="",$W233&lt;&gt;"OK"),"Não","Sim")))</f>
        <v/>
      </c>
      <c r="Y233" s="14">
        <f>IF($C233="",0,IF(COUNTIFS($C$5:$C233,$C233,$D$5:$D233,$D233)=1,1,0))</f>
        <v/>
      </c>
      <c r="Z233" s="14">
        <f>IF($A233="","",IF(Config!$B$7-$T233&gt;2,"Arquivada",IF(Config!$B$7-$T233&gt;0,"Histórico","Ativa")))</f>
        <v/>
      </c>
      <c r="AA233" s="14">
        <f>IF($A233="",0,IF(AND(OR($F233="Ponto de atenção",$F233="Incidente"),$L233="Sim"),1,0))</f>
        <v/>
      </c>
      <c r="AB233" s="14">
        <f>IF(OR($C233="",$C233&lt;&gt;'1a1'!$B$4,$T233&lt;&gt;Config!$B$7),"",COUNTIFS($C$5:$C233,'1a1'!$B$4,$T$5:$T233,Config!$B$7))</f>
        <v/>
      </c>
    </row>
    <row r="234">
      <c r="A234" s="18" t="n"/>
      <c r="B234" s="19" t="n"/>
      <c r="C234" s="14">
        <f>IFERROR(INDEX(Pessoas!$A$5:$A$64,MATCH($B234,Pessoas!$B$5:$B$64,0)),"")</f>
        <v/>
      </c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8" t="n"/>
      <c r="N234" s="19" t="n"/>
      <c r="O234" s="19" t="n"/>
      <c r="P234" s="19" t="n"/>
      <c r="Q234" s="20">
        <f>IF(OR($M234="",$P234=""),"",$M234+IF($P234="7 dias",7,IF($P234="14 dias",14,90)))</f>
        <v/>
      </c>
      <c r="R234" s="19" t="n"/>
      <c r="S234" s="19" t="n"/>
      <c r="T234" s="14">
        <f>IF($A234="","",YEAR($A234)*4+ROUNDUP(MONTH($A234)/3,0))</f>
        <v/>
      </c>
      <c r="U234" s="14">
        <f>IF($C234="","",$C234&amp;"|"&amp;$T234)</f>
        <v/>
      </c>
      <c r="V234" s="14">
        <f>IF($C234="","",$C234&amp;"|"&amp;$T234&amp;"|"&amp;$G234)</f>
        <v/>
      </c>
      <c r="W234" s="14">
        <f>IF($A234="","",IF(OR($B234="",$F234="",$G234="",$H234="",$I234=""),"Faltam campos básicos",IF(AND(OR($F234="Ponto de atenção",$F234="Incidente"),OR($K234="",$L234="",$O234="",$P234="")),"Faltam campos de sinalização","OK")))</f>
        <v/>
      </c>
      <c r="X234" s="14">
        <f>IF($A234="","",IF(AND(OR($F234="Ponto de atenção",$F234="Incidente"),$L234&lt;&gt;"Sim"),"Não",IF(AND($S234="",$W234&lt;&gt;"OK"),"Não","Sim")))</f>
        <v/>
      </c>
      <c r="Y234" s="14">
        <f>IF($C234="",0,IF(COUNTIFS($C$5:$C234,$C234,$D$5:$D234,$D234)=1,1,0))</f>
        <v/>
      </c>
      <c r="Z234" s="14">
        <f>IF($A234="","",IF(Config!$B$7-$T234&gt;2,"Arquivada",IF(Config!$B$7-$T234&gt;0,"Histórico","Ativa")))</f>
        <v/>
      </c>
      <c r="AA234" s="14">
        <f>IF($A234="",0,IF(AND(OR($F234="Ponto de atenção",$F234="Incidente"),$L234="Sim"),1,0))</f>
        <v/>
      </c>
      <c r="AB234" s="14">
        <f>IF(OR($C234="",$C234&lt;&gt;'1a1'!$B$4,$T234&lt;&gt;Config!$B$7),"",COUNTIFS($C$5:$C234,'1a1'!$B$4,$T$5:$T234,Config!$B$7))</f>
        <v/>
      </c>
    </row>
    <row r="235">
      <c r="A235" s="18" t="n"/>
      <c r="B235" s="19" t="n"/>
      <c r="C235" s="14">
        <f>IFERROR(INDEX(Pessoas!$A$5:$A$64,MATCH($B235,Pessoas!$B$5:$B$64,0)),"")</f>
        <v/>
      </c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8" t="n"/>
      <c r="N235" s="19" t="n"/>
      <c r="O235" s="19" t="n"/>
      <c r="P235" s="19" t="n"/>
      <c r="Q235" s="20">
        <f>IF(OR($M235="",$P235=""),"",$M235+IF($P235="7 dias",7,IF($P235="14 dias",14,90)))</f>
        <v/>
      </c>
      <c r="R235" s="19" t="n"/>
      <c r="S235" s="19" t="n"/>
      <c r="T235" s="14">
        <f>IF($A235="","",YEAR($A235)*4+ROUNDUP(MONTH($A235)/3,0))</f>
        <v/>
      </c>
      <c r="U235" s="14">
        <f>IF($C235="","",$C235&amp;"|"&amp;$T235)</f>
        <v/>
      </c>
      <c r="V235" s="14">
        <f>IF($C235="","",$C235&amp;"|"&amp;$T235&amp;"|"&amp;$G235)</f>
        <v/>
      </c>
      <c r="W235" s="14">
        <f>IF($A235="","",IF(OR($B235="",$F235="",$G235="",$H235="",$I235=""),"Faltam campos básicos",IF(AND(OR($F235="Ponto de atenção",$F235="Incidente"),OR($K235="",$L235="",$O235="",$P235="")),"Faltam campos de sinalização","OK")))</f>
        <v/>
      </c>
      <c r="X235" s="14">
        <f>IF($A235="","",IF(AND(OR($F235="Ponto de atenção",$F235="Incidente"),$L235&lt;&gt;"Sim"),"Não",IF(AND($S235="",$W235&lt;&gt;"OK"),"Não","Sim")))</f>
        <v/>
      </c>
      <c r="Y235" s="14">
        <f>IF($C235="",0,IF(COUNTIFS($C$5:$C235,$C235,$D$5:$D235,$D235)=1,1,0))</f>
        <v/>
      </c>
      <c r="Z235" s="14">
        <f>IF($A235="","",IF(Config!$B$7-$T235&gt;2,"Arquivada",IF(Config!$B$7-$T235&gt;0,"Histórico","Ativa")))</f>
        <v/>
      </c>
      <c r="AA235" s="14">
        <f>IF($A235="",0,IF(AND(OR($F235="Ponto de atenção",$F235="Incidente"),$L235="Sim"),1,0))</f>
        <v/>
      </c>
      <c r="AB235" s="14">
        <f>IF(OR($C235="",$C235&lt;&gt;'1a1'!$B$4,$T235&lt;&gt;Config!$B$7),"",COUNTIFS($C$5:$C235,'1a1'!$B$4,$T$5:$T235,Config!$B$7))</f>
        <v/>
      </c>
    </row>
    <row r="236">
      <c r="A236" s="18" t="n"/>
      <c r="B236" s="19" t="n"/>
      <c r="C236" s="14">
        <f>IFERROR(INDEX(Pessoas!$A$5:$A$64,MATCH($B236,Pessoas!$B$5:$B$64,0)),"")</f>
        <v/>
      </c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8" t="n"/>
      <c r="N236" s="19" t="n"/>
      <c r="O236" s="19" t="n"/>
      <c r="P236" s="19" t="n"/>
      <c r="Q236" s="20">
        <f>IF(OR($M236="",$P236=""),"",$M236+IF($P236="7 dias",7,IF($P236="14 dias",14,90)))</f>
        <v/>
      </c>
      <c r="R236" s="19" t="n"/>
      <c r="S236" s="19" t="n"/>
      <c r="T236" s="14">
        <f>IF($A236="","",YEAR($A236)*4+ROUNDUP(MONTH($A236)/3,0))</f>
        <v/>
      </c>
      <c r="U236" s="14">
        <f>IF($C236="","",$C236&amp;"|"&amp;$T236)</f>
        <v/>
      </c>
      <c r="V236" s="14">
        <f>IF($C236="","",$C236&amp;"|"&amp;$T236&amp;"|"&amp;$G236)</f>
        <v/>
      </c>
      <c r="W236" s="14">
        <f>IF($A236="","",IF(OR($B236="",$F236="",$G236="",$H236="",$I236=""),"Faltam campos básicos",IF(AND(OR($F236="Ponto de atenção",$F236="Incidente"),OR($K236="",$L236="",$O236="",$P236="")),"Faltam campos de sinalização","OK")))</f>
        <v/>
      </c>
      <c r="X236" s="14">
        <f>IF($A236="","",IF(AND(OR($F236="Ponto de atenção",$F236="Incidente"),$L236&lt;&gt;"Sim"),"Não",IF(AND($S236="",$W236&lt;&gt;"OK"),"Não","Sim")))</f>
        <v/>
      </c>
      <c r="Y236" s="14">
        <f>IF($C236="",0,IF(COUNTIFS($C$5:$C236,$C236,$D$5:$D236,$D236)=1,1,0))</f>
        <v/>
      </c>
      <c r="Z236" s="14">
        <f>IF($A236="","",IF(Config!$B$7-$T236&gt;2,"Arquivada",IF(Config!$B$7-$T236&gt;0,"Histórico","Ativa")))</f>
        <v/>
      </c>
      <c r="AA236" s="14">
        <f>IF($A236="",0,IF(AND(OR($F236="Ponto de atenção",$F236="Incidente"),$L236="Sim"),1,0))</f>
        <v/>
      </c>
      <c r="AB236" s="14">
        <f>IF(OR($C236="",$C236&lt;&gt;'1a1'!$B$4,$T236&lt;&gt;Config!$B$7),"",COUNTIFS($C$5:$C236,'1a1'!$B$4,$T$5:$T236,Config!$B$7))</f>
        <v/>
      </c>
    </row>
    <row r="237">
      <c r="A237" s="18" t="n"/>
      <c r="B237" s="19" t="n"/>
      <c r="C237" s="14">
        <f>IFERROR(INDEX(Pessoas!$A$5:$A$64,MATCH($B237,Pessoas!$B$5:$B$64,0)),"")</f>
        <v/>
      </c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8" t="n"/>
      <c r="N237" s="19" t="n"/>
      <c r="O237" s="19" t="n"/>
      <c r="P237" s="19" t="n"/>
      <c r="Q237" s="20">
        <f>IF(OR($M237="",$P237=""),"",$M237+IF($P237="7 dias",7,IF($P237="14 dias",14,90)))</f>
        <v/>
      </c>
      <c r="R237" s="19" t="n"/>
      <c r="S237" s="19" t="n"/>
      <c r="T237" s="14">
        <f>IF($A237="","",YEAR($A237)*4+ROUNDUP(MONTH($A237)/3,0))</f>
        <v/>
      </c>
      <c r="U237" s="14">
        <f>IF($C237="","",$C237&amp;"|"&amp;$T237)</f>
        <v/>
      </c>
      <c r="V237" s="14">
        <f>IF($C237="","",$C237&amp;"|"&amp;$T237&amp;"|"&amp;$G237)</f>
        <v/>
      </c>
      <c r="W237" s="14">
        <f>IF($A237="","",IF(OR($B237="",$F237="",$G237="",$H237="",$I237=""),"Faltam campos básicos",IF(AND(OR($F237="Ponto de atenção",$F237="Incidente"),OR($K237="",$L237="",$O237="",$P237="")),"Faltam campos de sinalização","OK")))</f>
        <v/>
      </c>
      <c r="X237" s="14">
        <f>IF($A237="","",IF(AND(OR($F237="Ponto de atenção",$F237="Incidente"),$L237&lt;&gt;"Sim"),"Não",IF(AND($S237="",$W237&lt;&gt;"OK"),"Não","Sim")))</f>
        <v/>
      </c>
      <c r="Y237" s="14">
        <f>IF($C237="",0,IF(COUNTIFS($C$5:$C237,$C237,$D$5:$D237,$D237)=1,1,0))</f>
        <v/>
      </c>
      <c r="Z237" s="14">
        <f>IF($A237="","",IF(Config!$B$7-$T237&gt;2,"Arquivada",IF(Config!$B$7-$T237&gt;0,"Histórico","Ativa")))</f>
        <v/>
      </c>
      <c r="AA237" s="14">
        <f>IF($A237="",0,IF(AND(OR($F237="Ponto de atenção",$F237="Incidente"),$L237="Sim"),1,0))</f>
        <v/>
      </c>
      <c r="AB237" s="14">
        <f>IF(OR($C237="",$C237&lt;&gt;'1a1'!$B$4,$T237&lt;&gt;Config!$B$7),"",COUNTIFS($C$5:$C237,'1a1'!$B$4,$T$5:$T237,Config!$B$7))</f>
        <v/>
      </c>
    </row>
    <row r="238">
      <c r="A238" s="18" t="n"/>
      <c r="B238" s="19" t="n"/>
      <c r="C238" s="14">
        <f>IFERROR(INDEX(Pessoas!$A$5:$A$64,MATCH($B238,Pessoas!$B$5:$B$64,0)),"")</f>
        <v/>
      </c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8" t="n"/>
      <c r="N238" s="19" t="n"/>
      <c r="O238" s="19" t="n"/>
      <c r="P238" s="19" t="n"/>
      <c r="Q238" s="20">
        <f>IF(OR($M238="",$P238=""),"",$M238+IF($P238="7 dias",7,IF($P238="14 dias",14,90)))</f>
        <v/>
      </c>
      <c r="R238" s="19" t="n"/>
      <c r="S238" s="19" t="n"/>
      <c r="T238" s="14">
        <f>IF($A238="","",YEAR($A238)*4+ROUNDUP(MONTH($A238)/3,0))</f>
        <v/>
      </c>
      <c r="U238" s="14">
        <f>IF($C238="","",$C238&amp;"|"&amp;$T238)</f>
        <v/>
      </c>
      <c r="V238" s="14">
        <f>IF($C238="","",$C238&amp;"|"&amp;$T238&amp;"|"&amp;$G238)</f>
        <v/>
      </c>
      <c r="W238" s="14">
        <f>IF($A238="","",IF(OR($B238="",$F238="",$G238="",$H238="",$I238=""),"Faltam campos básicos",IF(AND(OR($F238="Ponto de atenção",$F238="Incidente"),OR($K238="",$L238="",$O238="",$P238="")),"Faltam campos de sinalização","OK")))</f>
        <v/>
      </c>
      <c r="X238" s="14">
        <f>IF($A238="","",IF(AND(OR($F238="Ponto de atenção",$F238="Incidente"),$L238&lt;&gt;"Sim"),"Não",IF(AND($S238="",$W238&lt;&gt;"OK"),"Não","Sim")))</f>
        <v/>
      </c>
      <c r="Y238" s="14">
        <f>IF($C238="",0,IF(COUNTIFS($C$5:$C238,$C238,$D$5:$D238,$D238)=1,1,0))</f>
        <v/>
      </c>
      <c r="Z238" s="14">
        <f>IF($A238="","",IF(Config!$B$7-$T238&gt;2,"Arquivada",IF(Config!$B$7-$T238&gt;0,"Histórico","Ativa")))</f>
        <v/>
      </c>
      <c r="AA238" s="14">
        <f>IF($A238="",0,IF(AND(OR($F238="Ponto de atenção",$F238="Incidente"),$L238="Sim"),1,0))</f>
        <v/>
      </c>
      <c r="AB238" s="14">
        <f>IF(OR($C238="",$C238&lt;&gt;'1a1'!$B$4,$T238&lt;&gt;Config!$B$7),"",COUNTIFS($C$5:$C238,'1a1'!$B$4,$T$5:$T238,Config!$B$7))</f>
        <v/>
      </c>
    </row>
    <row r="239">
      <c r="A239" s="18" t="n"/>
      <c r="B239" s="19" t="n"/>
      <c r="C239" s="14">
        <f>IFERROR(INDEX(Pessoas!$A$5:$A$64,MATCH($B239,Pessoas!$B$5:$B$64,0)),"")</f>
        <v/>
      </c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8" t="n"/>
      <c r="N239" s="19" t="n"/>
      <c r="O239" s="19" t="n"/>
      <c r="P239" s="19" t="n"/>
      <c r="Q239" s="20">
        <f>IF(OR($M239="",$P239=""),"",$M239+IF($P239="7 dias",7,IF($P239="14 dias",14,90)))</f>
        <v/>
      </c>
      <c r="R239" s="19" t="n"/>
      <c r="S239" s="19" t="n"/>
      <c r="T239" s="14">
        <f>IF($A239="","",YEAR($A239)*4+ROUNDUP(MONTH($A239)/3,0))</f>
        <v/>
      </c>
      <c r="U239" s="14">
        <f>IF($C239="","",$C239&amp;"|"&amp;$T239)</f>
        <v/>
      </c>
      <c r="V239" s="14">
        <f>IF($C239="","",$C239&amp;"|"&amp;$T239&amp;"|"&amp;$G239)</f>
        <v/>
      </c>
      <c r="W239" s="14">
        <f>IF($A239="","",IF(OR($B239="",$F239="",$G239="",$H239="",$I239=""),"Faltam campos básicos",IF(AND(OR($F239="Ponto de atenção",$F239="Incidente"),OR($K239="",$L239="",$O239="",$P239="")),"Faltam campos de sinalização","OK")))</f>
        <v/>
      </c>
      <c r="X239" s="14">
        <f>IF($A239="","",IF(AND(OR($F239="Ponto de atenção",$F239="Incidente"),$L239&lt;&gt;"Sim"),"Não",IF(AND($S239="",$W239&lt;&gt;"OK"),"Não","Sim")))</f>
        <v/>
      </c>
      <c r="Y239" s="14">
        <f>IF($C239="",0,IF(COUNTIFS($C$5:$C239,$C239,$D$5:$D239,$D239)=1,1,0))</f>
        <v/>
      </c>
      <c r="Z239" s="14">
        <f>IF($A239="","",IF(Config!$B$7-$T239&gt;2,"Arquivada",IF(Config!$B$7-$T239&gt;0,"Histórico","Ativa")))</f>
        <v/>
      </c>
      <c r="AA239" s="14">
        <f>IF($A239="",0,IF(AND(OR($F239="Ponto de atenção",$F239="Incidente"),$L239="Sim"),1,0))</f>
        <v/>
      </c>
      <c r="AB239" s="14">
        <f>IF(OR($C239="",$C239&lt;&gt;'1a1'!$B$4,$T239&lt;&gt;Config!$B$7),"",COUNTIFS($C$5:$C239,'1a1'!$B$4,$T$5:$T239,Config!$B$7))</f>
        <v/>
      </c>
    </row>
    <row r="240">
      <c r="A240" s="18" t="n"/>
      <c r="B240" s="19" t="n"/>
      <c r="C240" s="14">
        <f>IFERROR(INDEX(Pessoas!$A$5:$A$64,MATCH($B240,Pessoas!$B$5:$B$64,0)),"")</f>
        <v/>
      </c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8" t="n"/>
      <c r="N240" s="19" t="n"/>
      <c r="O240" s="19" t="n"/>
      <c r="P240" s="19" t="n"/>
      <c r="Q240" s="20">
        <f>IF(OR($M240="",$P240=""),"",$M240+IF($P240="7 dias",7,IF($P240="14 dias",14,90)))</f>
        <v/>
      </c>
      <c r="R240" s="19" t="n"/>
      <c r="S240" s="19" t="n"/>
      <c r="T240" s="14">
        <f>IF($A240="","",YEAR($A240)*4+ROUNDUP(MONTH($A240)/3,0))</f>
        <v/>
      </c>
      <c r="U240" s="14">
        <f>IF($C240="","",$C240&amp;"|"&amp;$T240)</f>
        <v/>
      </c>
      <c r="V240" s="14">
        <f>IF($C240="","",$C240&amp;"|"&amp;$T240&amp;"|"&amp;$G240)</f>
        <v/>
      </c>
      <c r="W240" s="14">
        <f>IF($A240="","",IF(OR($B240="",$F240="",$G240="",$H240="",$I240=""),"Faltam campos básicos",IF(AND(OR($F240="Ponto de atenção",$F240="Incidente"),OR($K240="",$L240="",$O240="",$P240="")),"Faltam campos de sinalização","OK")))</f>
        <v/>
      </c>
      <c r="X240" s="14">
        <f>IF($A240="","",IF(AND(OR($F240="Ponto de atenção",$F240="Incidente"),$L240&lt;&gt;"Sim"),"Não",IF(AND($S240="",$W240&lt;&gt;"OK"),"Não","Sim")))</f>
        <v/>
      </c>
      <c r="Y240" s="14">
        <f>IF($C240="",0,IF(COUNTIFS($C$5:$C240,$C240,$D$5:$D240,$D240)=1,1,0))</f>
        <v/>
      </c>
      <c r="Z240" s="14">
        <f>IF($A240="","",IF(Config!$B$7-$T240&gt;2,"Arquivada",IF(Config!$B$7-$T240&gt;0,"Histórico","Ativa")))</f>
        <v/>
      </c>
      <c r="AA240" s="14">
        <f>IF($A240="",0,IF(AND(OR($F240="Ponto de atenção",$F240="Incidente"),$L240="Sim"),1,0))</f>
        <v/>
      </c>
      <c r="AB240" s="14">
        <f>IF(OR($C240="",$C240&lt;&gt;'1a1'!$B$4,$T240&lt;&gt;Config!$B$7),"",COUNTIFS($C$5:$C240,'1a1'!$B$4,$T$5:$T240,Config!$B$7))</f>
        <v/>
      </c>
    </row>
    <row r="241">
      <c r="A241" s="18" t="n"/>
      <c r="B241" s="19" t="n"/>
      <c r="C241" s="14">
        <f>IFERROR(INDEX(Pessoas!$A$5:$A$64,MATCH($B241,Pessoas!$B$5:$B$64,0)),"")</f>
        <v/>
      </c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8" t="n"/>
      <c r="N241" s="19" t="n"/>
      <c r="O241" s="19" t="n"/>
      <c r="P241" s="19" t="n"/>
      <c r="Q241" s="20">
        <f>IF(OR($M241="",$P241=""),"",$M241+IF($P241="7 dias",7,IF($P241="14 dias",14,90)))</f>
        <v/>
      </c>
      <c r="R241" s="19" t="n"/>
      <c r="S241" s="19" t="n"/>
      <c r="T241" s="14">
        <f>IF($A241="","",YEAR($A241)*4+ROUNDUP(MONTH($A241)/3,0))</f>
        <v/>
      </c>
      <c r="U241" s="14">
        <f>IF($C241="","",$C241&amp;"|"&amp;$T241)</f>
        <v/>
      </c>
      <c r="V241" s="14">
        <f>IF($C241="","",$C241&amp;"|"&amp;$T241&amp;"|"&amp;$G241)</f>
        <v/>
      </c>
      <c r="W241" s="14">
        <f>IF($A241="","",IF(OR($B241="",$F241="",$G241="",$H241="",$I241=""),"Faltam campos básicos",IF(AND(OR($F241="Ponto de atenção",$F241="Incidente"),OR($K241="",$L241="",$O241="",$P241="")),"Faltam campos de sinalização","OK")))</f>
        <v/>
      </c>
      <c r="X241" s="14">
        <f>IF($A241="","",IF(AND(OR($F241="Ponto de atenção",$F241="Incidente"),$L241&lt;&gt;"Sim"),"Não",IF(AND($S241="",$W241&lt;&gt;"OK"),"Não","Sim")))</f>
        <v/>
      </c>
      <c r="Y241" s="14">
        <f>IF($C241="",0,IF(COUNTIFS($C$5:$C241,$C241,$D$5:$D241,$D241)=1,1,0))</f>
        <v/>
      </c>
      <c r="Z241" s="14">
        <f>IF($A241="","",IF(Config!$B$7-$T241&gt;2,"Arquivada",IF(Config!$B$7-$T241&gt;0,"Histórico","Ativa")))</f>
        <v/>
      </c>
      <c r="AA241" s="14">
        <f>IF($A241="",0,IF(AND(OR($F241="Ponto de atenção",$F241="Incidente"),$L241="Sim"),1,0))</f>
        <v/>
      </c>
      <c r="AB241" s="14">
        <f>IF(OR($C241="",$C241&lt;&gt;'1a1'!$B$4,$T241&lt;&gt;Config!$B$7),"",COUNTIFS($C$5:$C241,'1a1'!$B$4,$T$5:$T241,Config!$B$7))</f>
        <v/>
      </c>
    </row>
    <row r="242">
      <c r="A242" s="18" t="n"/>
      <c r="B242" s="19" t="n"/>
      <c r="C242" s="14">
        <f>IFERROR(INDEX(Pessoas!$A$5:$A$64,MATCH($B242,Pessoas!$B$5:$B$64,0)),"")</f>
        <v/>
      </c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8" t="n"/>
      <c r="N242" s="19" t="n"/>
      <c r="O242" s="19" t="n"/>
      <c r="P242" s="19" t="n"/>
      <c r="Q242" s="20">
        <f>IF(OR($M242="",$P242=""),"",$M242+IF($P242="7 dias",7,IF($P242="14 dias",14,90)))</f>
        <v/>
      </c>
      <c r="R242" s="19" t="n"/>
      <c r="S242" s="19" t="n"/>
      <c r="T242" s="14">
        <f>IF($A242="","",YEAR($A242)*4+ROUNDUP(MONTH($A242)/3,0))</f>
        <v/>
      </c>
      <c r="U242" s="14">
        <f>IF($C242="","",$C242&amp;"|"&amp;$T242)</f>
        <v/>
      </c>
      <c r="V242" s="14">
        <f>IF($C242="","",$C242&amp;"|"&amp;$T242&amp;"|"&amp;$G242)</f>
        <v/>
      </c>
      <c r="W242" s="14">
        <f>IF($A242="","",IF(OR($B242="",$F242="",$G242="",$H242="",$I242=""),"Faltam campos básicos",IF(AND(OR($F242="Ponto de atenção",$F242="Incidente"),OR($K242="",$L242="",$O242="",$P242="")),"Faltam campos de sinalização","OK")))</f>
        <v/>
      </c>
      <c r="X242" s="14">
        <f>IF($A242="","",IF(AND(OR($F242="Ponto de atenção",$F242="Incidente"),$L242&lt;&gt;"Sim"),"Não",IF(AND($S242="",$W242&lt;&gt;"OK"),"Não","Sim")))</f>
        <v/>
      </c>
      <c r="Y242" s="14">
        <f>IF($C242="",0,IF(COUNTIFS($C$5:$C242,$C242,$D$5:$D242,$D242)=1,1,0))</f>
        <v/>
      </c>
      <c r="Z242" s="14">
        <f>IF($A242="","",IF(Config!$B$7-$T242&gt;2,"Arquivada",IF(Config!$B$7-$T242&gt;0,"Histórico","Ativa")))</f>
        <v/>
      </c>
      <c r="AA242" s="14">
        <f>IF($A242="",0,IF(AND(OR($F242="Ponto de atenção",$F242="Incidente"),$L242="Sim"),1,0))</f>
        <v/>
      </c>
      <c r="AB242" s="14">
        <f>IF(OR($C242="",$C242&lt;&gt;'1a1'!$B$4,$T242&lt;&gt;Config!$B$7),"",COUNTIFS($C$5:$C242,'1a1'!$B$4,$T$5:$T242,Config!$B$7))</f>
        <v/>
      </c>
    </row>
    <row r="243">
      <c r="A243" s="18" t="n"/>
      <c r="B243" s="19" t="n"/>
      <c r="C243" s="14">
        <f>IFERROR(INDEX(Pessoas!$A$5:$A$64,MATCH($B243,Pessoas!$B$5:$B$64,0)),"")</f>
        <v/>
      </c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8" t="n"/>
      <c r="N243" s="19" t="n"/>
      <c r="O243" s="19" t="n"/>
      <c r="P243" s="19" t="n"/>
      <c r="Q243" s="20">
        <f>IF(OR($M243="",$P243=""),"",$M243+IF($P243="7 dias",7,IF($P243="14 dias",14,90)))</f>
        <v/>
      </c>
      <c r="R243" s="19" t="n"/>
      <c r="S243" s="19" t="n"/>
      <c r="T243" s="14">
        <f>IF($A243="","",YEAR($A243)*4+ROUNDUP(MONTH($A243)/3,0))</f>
        <v/>
      </c>
      <c r="U243" s="14">
        <f>IF($C243="","",$C243&amp;"|"&amp;$T243)</f>
        <v/>
      </c>
      <c r="V243" s="14">
        <f>IF($C243="","",$C243&amp;"|"&amp;$T243&amp;"|"&amp;$G243)</f>
        <v/>
      </c>
      <c r="W243" s="14">
        <f>IF($A243="","",IF(OR($B243="",$F243="",$G243="",$H243="",$I243=""),"Faltam campos básicos",IF(AND(OR($F243="Ponto de atenção",$F243="Incidente"),OR($K243="",$L243="",$O243="",$P243="")),"Faltam campos de sinalização","OK")))</f>
        <v/>
      </c>
      <c r="X243" s="14">
        <f>IF($A243="","",IF(AND(OR($F243="Ponto de atenção",$F243="Incidente"),$L243&lt;&gt;"Sim"),"Não",IF(AND($S243="",$W243&lt;&gt;"OK"),"Não","Sim")))</f>
        <v/>
      </c>
      <c r="Y243" s="14">
        <f>IF($C243="",0,IF(COUNTIFS($C$5:$C243,$C243,$D$5:$D243,$D243)=1,1,0))</f>
        <v/>
      </c>
      <c r="Z243" s="14">
        <f>IF($A243="","",IF(Config!$B$7-$T243&gt;2,"Arquivada",IF(Config!$B$7-$T243&gt;0,"Histórico","Ativa")))</f>
        <v/>
      </c>
      <c r="AA243" s="14">
        <f>IF($A243="",0,IF(AND(OR($F243="Ponto de atenção",$F243="Incidente"),$L243="Sim"),1,0))</f>
        <v/>
      </c>
      <c r="AB243" s="14">
        <f>IF(OR($C243="",$C243&lt;&gt;'1a1'!$B$4,$T243&lt;&gt;Config!$B$7),"",COUNTIFS($C$5:$C243,'1a1'!$B$4,$T$5:$T243,Config!$B$7))</f>
        <v/>
      </c>
    </row>
    <row r="244">
      <c r="A244" s="18" t="n"/>
      <c r="B244" s="19" t="n"/>
      <c r="C244" s="14">
        <f>IFERROR(INDEX(Pessoas!$A$5:$A$64,MATCH($B244,Pessoas!$B$5:$B$64,0)),"")</f>
        <v/>
      </c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8" t="n"/>
      <c r="N244" s="19" t="n"/>
      <c r="O244" s="19" t="n"/>
      <c r="P244" s="19" t="n"/>
      <c r="Q244" s="20">
        <f>IF(OR($M244="",$P244=""),"",$M244+IF($P244="7 dias",7,IF($P244="14 dias",14,90)))</f>
        <v/>
      </c>
      <c r="R244" s="19" t="n"/>
      <c r="S244" s="19" t="n"/>
      <c r="T244" s="14">
        <f>IF($A244="","",YEAR($A244)*4+ROUNDUP(MONTH($A244)/3,0))</f>
        <v/>
      </c>
      <c r="U244" s="14">
        <f>IF($C244="","",$C244&amp;"|"&amp;$T244)</f>
        <v/>
      </c>
      <c r="V244" s="14">
        <f>IF($C244="","",$C244&amp;"|"&amp;$T244&amp;"|"&amp;$G244)</f>
        <v/>
      </c>
      <c r="W244" s="14">
        <f>IF($A244="","",IF(OR($B244="",$F244="",$G244="",$H244="",$I244=""),"Faltam campos básicos",IF(AND(OR($F244="Ponto de atenção",$F244="Incidente"),OR($K244="",$L244="",$O244="",$P244="")),"Faltam campos de sinalização","OK")))</f>
        <v/>
      </c>
      <c r="X244" s="14">
        <f>IF($A244="","",IF(AND(OR($F244="Ponto de atenção",$F244="Incidente"),$L244&lt;&gt;"Sim"),"Não",IF(AND($S244="",$W244&lt;&gt;"OK"),"Não","Sim")))</f>
        <v/>
      </c>
      <c r="Y244" s="14">
        <f>IF($C244="",0,IF(COUNTIFS($C$5:$C244,$C244,$D$5:$D244,$D244)=1,1,0))</f>
        <v/>
      </c>
      <c r="Z244" s="14">
        <f>IF($A244="","",IF(Config!$B$7-$T244&gt;2,"Arquivada",IF(Config!$B$7-$T244&gt;0,"Histórico","Ativa")))</f>
        <v/>
      </c>
      <c r="AA244" s="14">
        <f>IF($A244="",0,IF(AND(OR($F244="Ponto de atenção",$F244="Incidente"),$L244="Sim"),1,0))</f>
        <v/>
      </c>
      <c r="AB244" s="14">
        <f>IF(OR($C244="",$C244&lt;&gt;'1a1'!$B$4,$T244&lt;&gt;Config!$B$7),"",COUNTIFS($C$5:$C244,'1a1'!$B$4,$T$5:$T244,Config!$B$7))</f>
        <v/>
      </c>
    </row>
    <row r="245">
      <c r="A245" s="18" t="n"/>
      <c r="B245" s="19" t="n"/>
      <c r="C245" s="14">
        <f>IFERROR(INDEX(Pessoas!$A$5:$A$64,MATCH($B245,Pessoas!$B$5:$B$64,0)),"")</f>
        <v/>
      </c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8" t="n"/>
      <c r="N245" s="19" t="n"/>
      <c r="O245" s="19" t="n"/>
      <c r="P245" s="19" t="n"/>
      <c r="Q245" s="20">
        <f>IF(OR($M245="",$P245=""),"",$M245+IF($P245="7 dias",7,IF($P245="14 dias",14,90)))</f>
        <v/>
      </c>
      <c r="R245" s="19" t="n"/>
      <c r="S245" s="19" t="n"/>
      <c r="T245" s="14">
        <f>IF($A245="","",YEAR($A245)*4+ROUNDUP(MONTH($A245)/3,0))</f>
        <v/>
      </c>
      <c r="U245" s="14">
        <f>IF($C245="","",$C245&amp;"|"&amp;$T245)</f>
        <v/>
      </c>
      <c r="V245" s="14">
        <f>IF($C245="","",$C245&amp;"|"&amp;$T245&amp;"|"&amp;$G245)</f>
        <v/>
      </c>
      <c r="W245" s="14">
        <f>IF($A245="","",IF(OR($B245="",$F245="",$G245="",$H245="",$I245=""),"Faltam campos básicos",IF(AND(OR($F245="Ponto de atenção",$F245="Incidente"),OR($K245="",$L245="",$O245="",$P245="")),"Faltam campos de sinalização","OK")))</f>
        <v/>
      </c>
      <c r="X245" s="14">
        <f>IF($A245="","",IF(AND(OR($F245="Ponto de atenção",$F245="Incidente"),$L245&lt;&gt;"Sim"),"Não",IF(AND($S245="",$W245&lt;&gt;"OK"),"Não","Sim")))</f>
        <v/>
      </c>
      <c r="Y245" s="14">
        <f>IF($C245="",0,IF(COUNTIFS($C$5:$C245,$C245,$D$5:$D245,$D245)=1,1,0))</f>
        <v/>
      </c>
      <c r="Z245" s="14">
        <f>IF($A245="","",IF(Config!$B$7-$T245&gt;2,"Arquivada",IF(Config!$B$7-$T245&gt;0,"Histórico","Ativa")))</f>
        <v/>
      </c>
      <c r="AA245" s="14">
        <f>IF($A245="",0,IF(AND(OR($F245="Ponto de atenção",$F245="Incidente"),$L245="Sim"),1,0))</f>
        <v/>
      </c>
      <c r="AB245" s="14">
        <f>IF(OR($C245="",$C245&lt;&gt;'1a1'!$B$4,$T245&lt;&gt;Config!$B$7),"",COUNTIFS($C$5:$C245,'1a1'!$B$4,$T$5:$T245,Config!$B$7))</f>
        <v/>
      </c>
    </row>
    <row r="246">
      <c r="A246" s="18" t="n"/>
      <c r="B246" s="19" t="n"/>
      <c r="C246" s="14">
        <f>IFERROR(INDEX(Pessoas!$A$5:$A$64,MATCH($B246,Pessoas!$B$5:$B$64,0)),"")</f>
        <v/>
      </c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8" t="n"/>
      <c r="N246" s="19" t="n"/>
      <c r="O246" s="19" t="n"/>
      <c r="P246" s="19" t="n"/>
      <c r="Q246" s="20">
        <f>IF(OR($M246="",$P246=""),"",$M246+IF($P246="7 dias",7,IF($P246="14 dias",14,90)))</f>
        <v/>
      </c>
      <c r="R246" s="19" t="n"/>
      <c r="S246" s="19" t="n"/>
      <c r="T246" s="14">
        <f>IF($A246="","",YEAR($A246)*4+ROUNDUP(MONTH($A246)/3,0))</f>
        <v/>
      </c>
      <c r="U246" s="14">
        <f>IF($C246="","",$C246&amp;"|"&amp;$T246)</f>
        <v/>
      </c>
      <c r="V246" s="14">
        <f>IF($C246="","",$C246&amp;"|"&amp;$T246&amp;"|"&amp;$G246)</f>
        <v/>
      </c>
      <c r="W246" s="14">
        <f>IF($A246="","",IF(OR($B246="",$F246="",$G246="",$H246="",$I246=""),"Faltam campos básicos",IF(AND(OR($F246="Ponto de atenção",$F246="Incidente"),OR($K246="",$L246="",$O246="",$P246="")),"Faltam campos de sinalização","OK")))</f>
        <v/>
      </c>
      <c r="X246" s="14">
        <f>IF($A246="","",IF(AND(OR($F246="Ponto de atenção",$F246="Incidente"),$L246&lt;&gt;"Sim"),"Não",IF(AND($S246="",$W246&lt;&gt;"OK"),"Não","Sim")))</f>
        <v/>
      </c>
      <c r="Y246" s="14">
        <f>IF($C246="",0,IF(COUNTIFS($C$5:$C246,$C246,$D$5:$D246,$D246)=1,1,0))</f>
        <v/>
      </c>
      <c r="Z246" s="14">
        <f>IF($A246="","",IF(Config!$B$7-$T246&gt;2,"Arquivada",IF(Config!$B$7-$T246&gt;0,"Histórico","Ativa")))</f>
        <v/>
      </c>
      <c r="AA246" s="14">
        <f>IF($A246="",0,IF(AND(OR($F246="Ponto de atenção",$F246="Incidente"),$L246="Sim"),1,0))</f>
        <v/>
      </c>
      <c r="AB246" s="14">
        <f>IF(OR($C246="",$C246&lt;&gt;'1a1'!$B$4,$T246&lt;&gt;Config!$B$7),"",COUNTIFS($C$5:$C246,'1a1'!$B$4,$T$5:$T246,Config!$B$7))</f>
        <v/>
      </c>
    </row>
    <row r="247">
      <c r="A247" s="18" t="n"/>
      <c r="B247" s="19" t="n"/>
      <c r="C247" s="14">
        <f>IFERROR(INDEX(Pessoas!$A$5:$A$64,MATCH($B247,Pessoas!$B$5:$B$64,0)),"")</f>
        <v/>
      </c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8" t="n"/>
      <c r="N247" s="19" t="n"/>
      <c r="O247" s="19" t="n"/>
      <c r="P247" s="19" t="n"/>
      <c r="Q247" s="20">
        <f>IF(OR($M247="",$P247=""),"",$M247+IF($P247="7 dias",7,IF($P247="14 dias",14,90)))</f>
        <v/>
      </c>
      <c r="R247" s="19" t="n"/>
      <c r="S247" s="19" t="n"/>
      <c r="T247" s="14">
        <f>IF($A247="","",YEAR($A247)*4+ROUNDUP(MONTH($A247)/3,0))</f>
        <v/>
      </c>
      <c r="U247" s="14">
        <f>IF($C247="","",$C247&amp;"|"&amp;$T247)</f>
        <v/>
      </c>
      <c r="V247" s="14">
        <f>IF($C247="","",$C247&amp;"|"&amp;$T247&amp;"|"&amp;$G247)</f>
        <v/>
      </c>
      <c r="W247" s="14">
        <f>IF($A247="","",IF(OR($B247="",$F247="",$G247="",$H247="",$I247=""),"Faltam campos básicos",IF(AND(OR($F247="Ponto de atenção",$F247="Incidente"),OR($K247="",$L247="",$O247="",$P247="")),"Faltam campos de sinalização","OK")))</f>
        <v/>
      </c>
      <c r="X247" s="14">
        <f>IF($A247="","",IF(AND(OR($F247="Ponto de atenção",$F247="Incidente"),$L247&lt;&gt;"Sim"),"Não",IF(AND($S247="",$W247&lt;&gt;"OK"),"Não","Sim")))</f>
        <v/>
      </c>
      <c r="Y247" s="14">
        <f>IF($C247="",0,IF(COUNTIFS($C$5:$C247,$C247,$D$5:$D247,$D247)=1,1,0))</f>
        <v/>
      </c>
      <c r="Z247" s="14">
        <f>IF($A247="","",IF(Config!$B$7-$T247&gt;2,"Arquivada",IF(Config!$B$7-$T247&gt;0,"Histórico","Ativa")))</f>
        <v/>
      </c>
      <c r="AA247" s="14">
        <f>IF($A247="",0,IF(AND(OR($F247="Ponto de atenção",$F247="Incidente"),$L247="Sim"),1,0))</f>
        <v/>
      </c>
      <c r="AB247" s="14">
        <f>IF(OR($C247="",$C247&lt;&gt;'1a1'!$B$4,$T247&lt;&gt;Config!$B$7),"",COUNTIFS($C$5:$C247,'1a1'!$B$4,$T$5:$T247,Config!$B$7))</f>
        <v/>
      </c>
    </row>
    <row r="248">
      <c r="A248" s="18" t="n"/>
      <c r="B248" s="19" t="n"/>
      <c r="C248" s="14">
        <f>IFERROR(INDEX(Pessoas!$A$5:$A$64,MATCH($B248,Pessoas!$B$5:$B$64,0)),"")</f>
        <v/>
      </c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8" t="n"/>
      <c r="N248" s="19" t="n"/>
      <c r="O248" s="19" t="n"/>
      <c r="P248" s="19" t="n"/>
      <c r="Q248" s="20">
        <f>IF(OR($M248="",$P248=""),"",$M248+IF($P248="7 dias",7,IF($P248="14 dias",14,90)))</f>
        <v/>
      </c>
      <c r="R248" s="19" t="n"/>
      <c r="S248" s="19" t="n"/>
      <c r="T248" s="14">
        <f>IF($A248="","",YEAR($A248)*4+ROUNDUP(MONTH($A248)/3,0))</f>
        <v/>
      </c>
      <c r="U248" s="14">
        <f>IF($C248="","",$C248&amp;"|"&amp;$T248)</f>
        <v/>
      </c>
      <c r="V248" s="14">
        <f>IF($C248="","",$C248&amp;"|"&amp;$T248&amp;"|"&amp;$G248)</f>
        <v/>
      </c>
      <c r="W248" s="14">
        <f>IF($A248="","",IF(OR($B248="",$F248="",$G248="",$H248="",$I248=""),"Faltam campos básicos",IF(AND(OR($F248="Ponto de atenção",$F248="Incidente"),OR($K248="",$L248="",$O248="",$P248="")),"Faltam campos de sinalização","OK")))</f>
        <v/>
      </c>
      <c r="X248" s="14">
        <f>IF($A248="","",IF(AND(OR($F248="Ponto de atenção",$F248="Incidente"),$L248&lt;&gt;"Sim"),"Não",IF(AND($S248="",$W248&lt;&gt;"OK"),"Não","Sim")))</f>
        <v/>
      </c>
      <c r="Y248" s="14">
        <f>IF($C248="",0,IF(COUNTIFS($C$5:$C248,$C248,$D$5:$D248,$D248)=1,1,0))</f>
        <v/>
      </c>
      <c r="Z248" s="14">
        <f>IF($A248="","",IF(Config!$B$7-$T248&gt;2,"Arquivada",IF(Config!$B$7-$T248&gt;0,"Histórico","Ativa")))</f>
        <v/>
      </c>
      <c r="AA248" s="14">
        <f>IF($A248="",0,IF(AND(OR($F248="Ponto de atenção",$F248="Incidente"),$L248="Sim"),1,0))</f>
        <v/>
      </c>
      <c r="AB248" s="14">
        <f>IF(OR($C248="",$C248&lt;&gt;'1a1'!$B$4,$T248&lt;&gt;Config!$B$7),"",COUNTIFS($C$5:$C248,'1a1'!$B$4,$T$5:$T248,Config!$B$7))</f>
        <v/>
      </c>
    </row>
    <row r="249">
      <c r="A249" s="18" t="n"/>
      <c r="B249" s="19" t="n"/>
      <c r="C249" s="14">
        <f>IFERROR(INDEX(Pessoas!$A$5:$A$64,MATCH($B249,Pessoas!$B$5:$B$64,0)),"")</f>
        <v/>
      </c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8" t="n"/>
      <c r="N249" s="19" t="n"/>
      <c r="O249" s="19" t="n"/>
      <c r="P249" s="19" t="n"/>
      <c r="Q249" s="20">
        <f>IF(OR($M249="",$P249=""),"",$M249+IF($P249="7 dias",7,IF($P249="14 dias",14,90)))</f>
        <v/>
      </c>
      <c r="R249" s="19" t="n"/>
      <c r="S249" s="19" t="n"/>
      <c r="T249" s="14">
        <f>IF($A249="","",YEAR($A249)*4+ROUNDUP(MONTH($A249)/3,0))</f>
        <v/>
      </c>
      <c r="U249" s="14">
        <f>IF($C249="","",$C249&amp;"|"&amp;$T249)</f>
        <v/>
      </c>
      <c r="V249" s="14">
        <f>IF($C249="","",$C249&amp;"|"&amp;$T249&amp;"|"&amp;$G249)</f>
        <v/>
      </c>
      <c r="W249" s="14">
        <f>IF($A249="","",IF(OR($B249="",$F249="",$G249="",$H249="",$I249=""),"Faltam campos básicos",IF(AND(OR($F249="Ponto de atenção",$F249="Incidente"),OR($K249="",$L249="",$O249="",$P249="")),"Faltam campos de sinalização","OK")))</f>
        <v/>
      </c>
      <c r="X249" s="14">
        <f>IF($A249="","",IF(AND(OR($F249="Ponto de atenção",$F249="Incidente"),$L249&lt;&gt;"Sim"),"Não",IF(AND($S249="",$W249&lt;&gt;"OK"),"Não","Sim")))</f>
        <v/>
      </c>
      <c r="Y249" s="14">
        <f>IF($C249="",0,IF(COUNTIFS($C$5:$C249,$C249,$D$5:$D249,$D249)=1,1,0))</f>
        <v/>
      </c>
      <c r="Z249" s="14">
        <f>IF($A249="","",IF(Config!$B$7-$T249&gt;2,"Arquivada",IF(Config!$B$7-$T249&gt;0,"Histórico","Ativa")))</f>
        <v/>
      </c>
      <c r="AA249" s="14">
        <f>IF($A249="",0,IF(AND(OR($F249="Ponto de atenção",$F249="Incidente"),$L249="Sim"),1,0))</f>
        <v/>
      </c>
      <c r="AB249" s="14">
        <f>IF(OR($C249="",$C249&lt;&gt;'1a1'!$B$4,$T249&lt;&gt;Config!$B$7),"",COUNTIFS($C$5:$C249,'1a1'!$B$4,$T$5:$T249,Config!$B$7))</f>
        <v/>
      </c>
    </row>
    <row r="250">
      <c r="A250" s="18" t="n"/>
      <c r="B250" s="19" t="n"/>
      <c r="C250" s="14">
        <f>IFERROR(INDEX(Pessoas!$A$5:$A$64,MATCH($B250,Pessoas!$B$5:$B$64,0)),"")</f>
        <v/>
      </c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8" t="n"/>
      <c r="N250" s="19" t="n"/>
      <c r="O250" s="19" t="n"/>
      <c r="P250" s="19" t="n"/>
      <c r="Q250" s="20">
        <f>IF(OR($M250="",$P250=""),"",$M250+IF($P250="7 dias",7,IF($P250="14 dias",14,90)))</f>
        <v/>
      </c>
      <c r="R250" s="19" t="n"/>
      <c r="S250" s="19" t="n"/>
      <c r="T250" s="14">
        <f>IF($A250="","",YEAR($A250)*4+ROUNDUP(MONTH($A250)/3,0))</f>
        <v/>
      </c>
      <c r="U250" s="14">
        <f>IF($C250="","",$C250&amp;"|"&amp;$T250)</f>
        <v/>
      </c>
      <c r="V250" s="14">
        <f>IF($C250="","",$C250&amp;"|"&amp;$T250&amp;"|"&amp;$G250)</f>
        <v/>
      </c>
      <c r="W250" s="14">
        <f>IF($A250="","",IF(OR($B250="",$F250="",$G250="",$H250="",$I250=""),"Faltam campos básicos",IF(AND(OR($F250="Ponto de atenção",$F250="Incidente"),OR($K250="",$L250="",$O250="",$P250="")),"Faltam campos de sinalização","OK")))</f>
        <v/>
      </c>
      <c r="X250" s="14">
        <f>IF($A250="","",IF(AND(OR($F250="Ponto de atenção",$F250="Incidente"),$L250&lt;&gt;"Sim"),"Não",IF(AND($S250="",$W250&lt;&gt;"OK"),"Não","Sim")))</f>
        <v/>
      </c>
      <c r="Y250" s="14">
        <f>IF($C250="",0,IF(COUNTIFS($C$5:$C250,$C250,$D$5:$D250,$D250)=1,1,0))</f>
        <v/>
      </c>
      <c r="Z250" s="14">
        <f>IF($A250="","",IF(Config!$B$7-$T250&gt;2,"Arquivada",IF(Config!$B$7-$T250&gt;0,"Histórico","Ativa")))</f>
        <v/>
      </c>
      <c r="AA250" s="14">
        <f>IF($A250="",0,IF(AND(OR($F250="Ponto de atenção",$F250="Incidente"),$L250="Sim"),1,0))</f>
        <v/>
      </c>
      <c r="AB250" s="14">
        <f>IF(OR($C250="",$C250&lt;&gt;'1a1'!$B$4,$T250&lt;&gt;Config!$B$7),"",COUNTIFS($C$5:$C250,'1a1'!$B$4,$T$5:$T250,Config!$B$7))</f>
        <v/>
      </c>
    </row>
    <row r="251">
      <c r="A251" s="18" t="n"/>
      <c r="B251" s="19" t="n"/>
      <c r="C251" s="14">
        <f>IFERROR(INDEX(Pessoas!$A$5:$A$64,MATCH($B251,Pessoas!$B$5:$B$64,0)),"")</f>
        <v/>
      </c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8" t="n"/>
      <c r="N251" s="19" t="n"/>
      <c r="O251" s="19" t="n"/>
      <c r="P251" s="19" t="n"/>
      <c r="Q251" s="20">
        <f>IF(OR($M251="",$P251=""),"",$M251+IF($P251="7 dias",7,IF($P251="14 dias",14,90)))</f>
        <v/>
      </c>
      <c r="R251" s="19" t="n"/>
      <c r="S251" s="19" t="n"/>
      <c r="T251" s="14">
        <f>IF($A251="","",YEAR($A251)*4+ROUNDUP(MONTH($A251)/3,0))</f>
        <v/>
      </c>
      <c r="U251" s="14">
        <f>IF($C251="","",$C251&amp;"|"&amp;$T251)</f>
        <v/>
      </c>
      <c r="V251" s="14">
        <f>IF($C251="","",$C251&amp;"|"&amp;$T251&amp;"|"&amp;$G251)</f>
        <v/>
      </c>
      <c r="W251" s="14">
        <f>IF($A251="","",IF(OR($B251="",$F251="",$G251="",$H251="",$I251=""),"Faltam campos básicos",IF(AND(OR($F251="Ponto de atenção",$F251="Incidente"),OR($K251="",$L251="",$O251="",$P251="")),"Faltam campos de sinalização","OK")))</f>
        <v/>
      </c>
      <c r="X251" s="14">
        <f>IF($A251="","",IF(AND(OR($F251="Ponto de atenção",$F251="Incidente"),$L251&lt;&gt;"Sim"),"Não",IF(AND($S251="",$W251&lt;&gt;"OK"),"Não","Sim")))</f>
        <v/>
      </c>
      <c r="Y251" s="14">
        <f>IF($C251="",0,IF(COUNTIFS($C$5:$C251,$C251,$D$5:$D251,$D251)=1,1,0))</f>
        <v/>
      </c>
      <c r="Z251" s="14">
        <f>IF($A251="","",IF(Config!$B$7-$T251&gt;2,"Arquivada",IF(Config!$B$7-$T251&gt;0,"Histórico","Ativa")))</f>
        <v/>
      </c>
      <c r="AA251" s="14">
        <f>IF($A251="",0,IF(AND(OR($F251="Ponto de atenção",$F251="Incidente"),$L251="Sim"),1,0))</f>
        <v/>
      </c>
      <c r="AB251" s="14">
        <f>IF(OR($C251="",$C251&lt;&gt;'1a1'!$B$4,$T251&lt;&gt;Config!$B$7),"",COUNTIFS($C$5:$C251,'1a1'!$B$4,$T$5:$T251,Config!$B$7))</f>
        <v/>
      </c>
    </row>
    <row r="252">
      <c r="A252" s="18" t="n"/>
      <c r="B252" s="19" t="n"/>
      <c r="C252" s="14">
        <f>IFERROR(INDEX(Pessoas!$A$5:$A$64,MATCH($B252,Pessoas!$B$5:$B$64,0)),"")</f>
        <v/>
      </c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8" t="n"/>
      <c r="N252" s="19" t="n"/>
      <c r="O252" s="19" t="n"/>
      <c r="P252" s="19" t="n"/>
      <c r="Q252" s="20">
        <f>IF(OR($M252="",$P252=""),"",$M252+IF($P252="7 dias",7,IF($P252="14 dias",14,90)))</f>
        <v/>
      </c>
      <c r="R252" s="19" t="n"/>
      <c r="S252" s="19" t="n"/>
      <c r="T252" s="14">
        <f>IF($A252="","",YEAR($A252)*4+ROUNDUP(MONTH($A252)/3,0))</f>
        <v/>
      </c>
      <c r="U252" s="14">
        <f>IF($C252="","",$C252&amp;"|"&amp;$T252)</f>
        <v/>
      </c>
      <c r="V252" s="14">
        <f>IF($C252="","",$C252&amp;"|"&amp;$T252&amp;"|"&amp;$G252)</f>
        <v/>
      </c>
      <c r="W252" s="14">
        <f>IF($A252="","",IF(OR($B252="",$F252="",$G252="",$H252="",$I252=""),"Faltam campos básicos",IF(AND(OR($F252="Ponto de atenção",$F252="Incidente"),OR($K252="",$L252="",$O252="",$P252="")),"Faltam campos de sinalização","OK")))</f>
        <v/>
      </c>
      <c r="X252" s="14">
        <f>IF($A252="","",IF(AND(OR($F252="Ponto de atenção",$F252="Incidente"),$L252&lt;&gt;"Sim"),"Não",IF(AND($S252="",$W252&lt;&gt;"OK"),"Não","Sim")))</f>
        <v/>
      </c>
      <c r="Y252" s="14">
        <f>IF($C252="",0,IF(COUNTIFS($C$5:$C252,$C252,$D$5:$D252,$D252)=1,1,0))</f>
        <v/>
      </c>
      <c r="Z252" s="14">
        <f>IF($A252="","",IF(Config!$B$7-$T252&gt;2,"Arquivada",IF(Config!$B$7-$T252&gt;0,"Histórico","Ativa")))</f>
        <v/>
      </c>
      <c r="AA252" s="14">
        <f>IF($A252="",0,IF(AND(OR($F252="Ponto de atenção",$F252="Incidente"),$L252="Sim"),1,0))</f>
        <v/>
      </c>
      <c r="AB252" s="14">
        <f>IF(OR($C252="",$C252&lt;&gt;'1a1'!$B$4,$T252&lt;&gt;Config!$B$7),"",COUNTIFS($C$5:$C252,'1a1'!$B$4,$T$5:$T252,Config!$B$7))</f>
        <v/>
      </c>
    </row>
    <row r="253">
      <c r="A253" s="18" t="n"/>
      <c r="B253" s="19" t="n"/>
      <c r="C253" s="14">
        <f>IFERROR(INDEX(Pessoas!$A$5:$A$64,MATCH($B253,Pessoas!$B$5:$B$64,0)),"")</f>
        <v/>
      </c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8" t="n"/>
      <c r="N253" s="19" t="n"/>
      <c r="O253" s="19" t="n"/>
      <c r="P253" s="19" t="n"/>
      <c r="Q253" s="20">
        <f>IF(OR($M253="",$P253=""),"",$M253+IF($P253="7 dias",7,IF($P253="14 dias",14,90)))</f>
        <v/>
      </c>
      <c r="R253" s="19" t="n"/>
      <c r="S253" s="19" t="n"/>
      <c r="T253" s="14">
        <f>IF($A253="","",YEAR($A253)*4+ROUNDUP(MONTH($A253)/3,0))</f>
        <v/>
      </c>
      <c r="U253" s="14">
        <f>IF($C253="","",$C253&amp;"|"&amp;$T253)</f>
        <v/>
      </c>
      <c r="V253" s="14">
        <f>IF($C253="","",$C253&amp;"|"&amp;$T253&amp;"|"&amp;$G253)</f>
        <v/>
      </c>
      <c r="W253" s="14">
        <f>IF($A253="","",IF(OR($B253="",$F253="",$G253="",$H253="",$I253=""),"Faltam campos básicos",IF(AND(OR($F253="Ponto de atenção",$F253="Incidente"),OR($K253="",$L253="",$O253="",$P253="")),"Faltam campos de sinalização","OK")))</f>
        <v/>
      </c>
      <c r="X253" s="14">
        <f>IF($A253="","",IF(AND(OR($F253="Ponto de atenção",$F253="Incidente"),$L253&lt;&gt;"Sim"),"Não",IF(AND($S253="",$W253&lt;&gt;"OK"),"Não","Sim")))</f>
        <v/>
      </c>
      <c r="Y253" s="14">
        <f>IF($C253="",0,IF(COUNTIFS($C$5:$C253,$C253,$D$5:$D253,$D253)=1,1,0))</f>
        <v/>
      </c>
      <c r="Z253" s="14">
        <f>IF($A253="","",IF(Config!$B$7-$T253&gt;2,"Arquivada",IF(Config!$B$7-$T253&gt;0,"Histórico","Ativa")))</f>
        <v/>
      </c>
      <c r="AA253" s="14">
        <f>IF($A253="",0,IF(AND(OR($F253="Ponto de atenção",$F253="Incidente"),$L253="Sim"),1,0))</f>
        <v/>
      </c>
      <c r="AB253" s="14">
        <f>IF(OR($C253="",$C253&lt;&gt;'1a1'!$B$4,$T253&lt;&gt;Config!$B$7),"",COUNTIFS($C$5:$C253,'1a1'!$B$4,$T$5:$T253,Config!$B$7))</f>
        <v/>
      </c>
    </row>
    <row r="254">
      <c r="A254" s="18" t="n"/>
      <c r="B254" s="19" t="n"/>
      <c r="C254" s="14">
        <f>IFERROR(INDEX(Pessoas!$A$5:$A$64,MATCH($B254,Pessoas!$B$5:$B$64,0)),"")</f>
        <v/>
      </c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8" t="n"/>
      <c r="N254" s="19" t="n"/>
      <c r="O254" s="19" t="n"/>
      <c r="P254" s="19" t="n"/>
      <c r="Q254" s="20">
        <f>IF(OR($M254="",$P254=""),"",$M254+IF($P254="7 dias",7,IF($P254="14 dias",14,90)))</f>
        <v/>
      </c>
      <c r="R254" s="19" t="n"/>
      <c r="S254" s="19" t="n"/>
      <c r="T254" s="14">
        <f>IF($A254="","",YEAR($A254)*4+ROUNDUP(MONTH($A254)/3,0))</f>
        <v/>
      </c>
      <c r="U254" s="14">
        <f>IF($C254="","",$C254&amp;"|"&amp;$T254)</f>
        <v/>
      </c>
      <c r="V254" s="14">
        <f>IF($C254="","",$C254&amp;"|"&amp;$T254&amp;"|"&amp;$G254)</f>
        <v/>
      </c>
      <c r="W254" s="14">
        <f>IF($A254="","",IF(OR($B254="",$F254="",$G254="",$H254="",$I254=""),"Faltam campos básicos",IF(AND(OR($F254="Ponto de atenção",$F254="Incidente"),OR($K254="",$L254="",$O254="",$P254="")),"Faltam campos de sinalização","OK")))</f>
        <v/>
      </c>
      <c r="X254" s="14">
        <f>IF($A254="","",IF(AND(OR($F254="Ponto de atenção",$F254="Incidente"),$L254&lt;&gt;"Sim"),"Não",IF(AND($S254="",$W254&lt;&gt;"OK"),"Não","Sim")))</f>
        <v/>
      </c>
      <c r="Y254" s="14">
        <f>IF($C254="",0,IF(COUNTIFS($C$5:$C254,$C254,$D$5:$D254,$D254)=1,1,0))</f>
        <v/>
      </c>
      <c r="Z254" s="14">
        <f>IF($A254="","",IF(Config!$B$7-$T254&gt;2,"Arquivada",IF(Config!$B$7-$T254&gt;0,"Histórico","Ativa")))</f>
        <v/>
      </c>
      <c r="AA254" s="14">
        <f>IF($A254="",0,IF(AND(OR($F254="Ponto de atenção",$F254="Incidente"),$L254="Sim"),1,0))</f>
        <v/>
      </c>
      <c r="AB254" s="14">
        <f>IF(OR($C254="",$C254&lt;&gt;'1a1'!$B$4,$T254&lt;&gt;Config!$B$7),"",COUNTIFS($C$5:$C254,'1a1'!$B$4,$T$5:$T254,Config!$B$7))</f>
        <v/>
      </c>
    </row>
    <row r="255">
      <c r="A255" s="18" t="n"/>
      <c r="B255" s="19" t="n"/>
      <c r="C255" s="14">
        <f>IFERROR(INDEX(Pessoas!$A$5:$A$64,MATCH($B255,Pessoas!$B$5:$B$64,0)),"")</f>
        <v/>
      </c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8" t="n"/>
      <c r="N255" s="19" t="n"/>
      <c r="O255" s="19" t="n"/>
      <c r="P255" s="19" t="n"/>
      <c r="Q255" s="20">
        <f>IF(OR($M255="",$P255=""),"",$M255+IF($P255="7 dias",7,IF($P255="14 dias",14,90)))</f>
        <v/>
      </c>
      <c r="R255" s="19" t="n"/>
      <c r="S255" s="19" t="n"/>
      <c r="T255" s="14">
        <f>IF($A255="","",YEAR($A255)*4+ROUNDUP(MONTH($A255)/3,0))</f>
        <v/>
      </c>
      <c r="U255" s="14">
        <f>IF($C255="","",$C255&amp;"|"&amp;$T255)</f>
        <v/>
      </c>
      <c r="V255" s="14">
        <f>IF($C255="","",$C255&amp;"|"&amp;$T255&amp;"|"&amp;$G255)</f>
        <v/>
      </c>
      <c r="W255" s="14">
        <f>IF($A255="","",IF(OR($B255="",$F255="",$G255="",$H255="",$I255=""),"Faltam campos básicos",IF(AND(OR($F255="Ponto de atenção",$F255="Incidente"),OR($K255="",$L255="",$O255="",$P255="")),"Faltam campos de sinalização","OK")))</f>
        <v/>
      </c>
      <c r="X255" s="14">
        <f>IF($A255="","",IF(AND(OR($F255="Ponto de atenção",$F255="Incidente"),$L255&lt;&gt;"Sim"),"Não",IF(AND($S255="",$W255&lt;&gt;"OK"),"Não","Sim")))</f>
        <v/>
      </c>
      <c r="Y255" s="14">
        <f>IF($C255="",0,IF(COUNTIFS($C$5:$C255,$C255,$D$5:$D255,$D255)=1,1,0))</f>
        <v/>
      </c>
      <c r="Z255" s="14">
        <f>IF($A255="","",IF(Config!$B$7-$T255&gt;2,"Arquivada",IF(Config!$B$7-$T255&gt;0,"Histórico","Ativa")))</f>
        <v/>
      </c>
      <c r="AA255" s="14">
        <f>IF($A255="",0,IF(AND(OR($F255="Ponto de atenção",$F255="Incidente"),$L255="Sim"),1,0))</f>
        <v/>
      </c>
      <c r="AB255" s="14">
        <f>IF(OR($C255="",$C255&lt;&gt;'1a1'!$B$4,$T255&lt;&gt;Config!$B$7),"",COUNTIFS($C$5:$C255,'1a1'!$B$4,$T$5:$T255,Config!$B$7))</f>
        <v/>
      </c>
    </row>
    <row r="256">
      <c r="A256" s="18" t="n"/>
      <c r="B256" s="19" t="n"/>
      <c r="C256" s="14">
        <f>IFERROR(INDEX(Pessoas!$A$5:$A$64,MATCH($B256,Pessoas!$B$5:$B$64,0)),"")</f>
        <v/>
      </c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8" t="n"/>
      <c r="N256" s="19" t="n"/>
      <c r="O256" s="19" t="n"/>
      <c r="P256" s="19" t="n"/>
      <c r="Q256" s="20">
        <f>IF(OR($M256="",$P256=""),"",$M256+IF($P256="7 dias",7,IF($P256="14 dias",14,90)))</f>
        <v/>
      </c>
      <c r="R256" s="19" t="n"/>
      <c r="S256" s="19" t="n"/>
      <c r="T256" s="14">
        <f>IF($A256="","",YEAR($A256)*4+ROUNDUP(MONTH($A256)/3,0))</f>
        <v/>
      </c>
      <c r="U256" s="14">
        <f>IF($C256="","",$C256&amp;"|"&amp;$T256)</f>
        <v/>
      </c>
      <c r="V256" s="14">
        <f>IF($C256="","",$C256&amp;"|"&amp;$T256&amp;"|"&amp;$G256)</f>
        <v/>
      </c>
      <c r="W256" s="14">
        <f>IF($A256="","",IF(OR($B256="",$F256="",$G256="",$H256="",$I256=""),"Faltam campos básicos",IF(AND(OR($F256="Ponto de atenção",$F256="Incidente"),OR($K256="",$L256="",$O256="",$P256="")),"Faltam campos de sinalização","OK")))</f>
        <v/>
      </c>
      <c r="X256" s="14">
        <f>IF($A256="","",IF(AND(OR($F256="Ponto de atenção",$F256="Incidente"),$L256&lt;&gt;"Sim"),"Não",IF(AND($S256="",$W256&lt;&gt;"OK"),"Não","Sim")))</f>
        <v/>
      </c>
      <c r="Y256" s="14">
        <f>IF($C256="",0,IF(COUNTIFS($C$5:$C256,$C256,$D$5:$D256,$D256)=1,1,0))</f>
        <v/>
      </c>
      <c r="Z256" s="14">
        <f>IF($A256="","",IF(Config!$B$7-$T256&gt;2,"Arquivada",IF(Config!$B$7-$T256&gt;0,"Histórico","Ativa")))</f>
        <v/>
      </c>
      <c r="AA256" s="14">
        <f>IF($A256="",0,IF(AND(OR($F256="Ponto de atenção",$F256="Incidente"),$L256="Sim"),1,0))</f>
        <v/>
      </c>
      <c r="AB256" s="14">
        <f>IF(OR($C256="",$C256&lt;&gt;'1a1'!$B$4,$T256&lt;&gt;Config!$B$7),"",COUNTIFS($C$5:$C256,'1a1'!$B$4,$T$5:$T256,Config!$B$7))</f>
        <v/>
      </c>
    </row>
    <row r="257">
      <c r="A257" s="18" t="n"/>
      <c r="B257" s="19" t="n"/>
      <c r="C257" s="14">
        <f>IFERROR(INDEX(Pessoas!$A$5:$A$64,MATCH($B257,Pessoas!$B$5:$B$64,0)),"")</f>
        <v/>
      </c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8" t="n"/>
      <c r="N257" s="19" t="n"/>
      <c r="O257" s="19" t="n"/>
      <c r="P257" s="19" t="n"/>
      <c r="Q257" s="20">
        <f>IF(OR($M257="",$P257=""),"",$M257+IF($P257="7 dias",7,IF($P257="14 dias",14,90)))</f>
        <v/>
      </c>
      <c r="R257" s="19" t="n"/>
      <c r="S257" s="19" t="n"/>
      <c r="T257" s="14">
        <f>IF($A257="","",YEAR($A257)*4+ROUNDUP(MONTH($A257)/3,0))</f>
        <v/>
      </c>
      <c r="U257" s="14">
        <f>IF($C257="","",$C257&amp;"|"&amp;$T257)</f>
        <v/>
      </c>
      <c r="V257" s="14">
        <f>IF($C257="","",$C257&amp;"|"&amp;$T257&amp;"|"&amp;$G257)</f>
        <v/>
      </c>
      <c r="W257" s="14">
        <f>IF($A257="","",IF(OR($B257="",$F257="",$G257="",$H257="",$I257=""),"Faltam campos básicos",IF(AND(OR($F257="Ponto de atenção",$F257="Incidente"),OR($K257="",$L257="",$O257="",$P257="")),"Faltam campos de sinalização","OK")))</f>
        <v/>
      </c>
      <c r="X257" s="14">
        <f>IF($A257="","",IF(AND(OR($F257="Ponto de atenção",$F257="Incidente"),$L257&lt;&gt;"Sim"),"Não",IF(AND($S257="",$W257&lt;&gt;"OK"),"Não","Sim")))</f>
        <v/>
      </c>
      <c r="Y257" s="14">
        <f>IF($C257="",0,IF(COUNTIFS($C$5:$C257,$C257,$D$5:$D257,$D257)=1,1,0))</f>
        <v/>
      </c>
      <c r="Z257" s="14">
        <f>IF($A257="","",IF(Config!$B$7-$T257&gt;2,"Arquivada",IF(Config!$B$7-$T257&gt;0,"Histórico","Ativa")))</f>
        <v/>
      </c>
      <c r="AA257" s="14">
        <f>IF($A257="",0,IF(AND(OR($F257="Ponto de atenção",$F257="Incidente"),$L257="Sim"),1,0))</f>
        <v/>
      </c>
      <c r="AB257" s="14">
        <f>IF(OR($C257="",$C257&lt;&gt;'1a1'!$B$4,$T257&lt;&gt;Config!$B$7),"",COUNTIFS($C$5:$C257,'1a1'!$B$4,$T$5:$T257,Config!$B$7))</f>
        <v/>
      </c>
    </row>
    <row r="258">
      <c r="A258" s="18" t="n"/>
      <c r="B258" s="19" t="n"/>
      <c r="C258" s="14">
        <f>IFERROR(INDEX(Pessoas!$A$5:$A$64,MATCH($B258,Pessoas!$B$5:$B$64,0)),"")</f>
        <v/>
      </c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8" t="n"/>
      <c r="N258" s="19" t="n"/>
      <c r="O258" s="19" t="n"/>
      <c r="P258" s="19" t="n"/>
      <c r="Q258" s="20">
        <f>IF(OR($M258="",$P258=""),"",$M258+IF($P258="7 dias",7,IF($P258="14 dias",14,90)))</f>
        <v/>
      </c>
      <c r="R258" s="19" t="n"/>
      <c r="S258" s="19" t="n"/>
      <c r="T258" s="14">
        <f>IF($A258="","",YEAR($A258)*4+ROUNDUP(MONTH($A258)/3,0))</f>
        <v/>
      </c>
      <c r="U258" s="14">
        <f>IF($C258="","",$C258&amp;"|"&amp;$T258)</f>
        <v/>
      </c>
      <c r="V258" s="14">
        <f>IF($C258="","",$C258&amp;"|"&amp;$T258&amp;"|"&amp;$G258)</f>
        <v/>
      </c>
      <c r="W258" s="14">
        <f>IF($A258="","",IF(OR($B258="",$F258="",$G258="",$H258="",$I258=""),"Faltam campos básicos",IF(AND(OR($F258="Ponto de atenção",$F258="Incidente"),OR($K258="",$L258="",$O258="",$P258="")),"Faltam campos de sinalização","OK")))</f>
        <v/>
      </c>
      <c r="X258" s="14">
        <f>IF($A258="","",IF(AND(OR($F258="Ponto de atenção",$F258="Incidente"),$L258&lt;&gt;"Sim"),"Não",IF(AND($S258="",$W258&lt;&gt;"OK"),"Não","Sim")))</f>
        <v/>
      </c>
      <c r="Y258" s="14">
        <f>IF($C258="",0,IF(COUNTIFS($C$5:$C258,$C258,$D$5:$D258,$D258)=1,1,0))</f>
        <v/>
      </c>
      <c r="Z258" s="14">
        <f>IF($A258="","",IF(Config!$B$7-$T258&gt;2,"Arquivada",IF(Config!$B$7-$T258&gt;0,"Histórico","Ativa")))</f>
        <v/>
      </c>
      <c r="AA258" s="14">
        <f>IF($A258="",0,IF(AND(OR($F258="Ponto de atenção",$F258="Incidente"),$L258="Sim"),1,0))</f>
        <v/>
      </c>
      <c r="AB258" s="14">
        <f>IF(OR($C258="",$C258&lt;&gt;'1a1'!$B$4,$T258&lt;&gt;Config!$B$7),"",COUNTIFS($C$5:$C258,'1a1'!$B$4,$T$5:$T258,Config!$B$7))</f>
        <v/>
      </c>
    </row>
    <row r="259">
      <c r="A259" s="18" t="n"/>
      <c r="B259" s="19" t="n"/>
      <c r="C259" s="14">
        <f>IFERROR(INDEX(Pessoas!$A$5:$A$64,MATCH($B259,Pessoas!$B$5:$B$64,0)),"")</f>
        <v/>
      </c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8" t="n"/>
      <c r="N259" s="19" t="n"/>
      <c r="O259" s="19" t="n"/>
      <c r="P259" s="19" t="n"/>
      <c r="Q259" s="20">
        <f>IF(OR($M259="",$P259=""),"",$M259+IF($P259="7 dias",7,IF($P259="14 dias",14,90)))</f>
        <v/>
      </c>
      <c r="R259" s="19" t="n"/>
      <c r="S259" s="19" t="n"/>
      <c r="T259" s="14">
        <f>IF($A259="","",YEAR($A259)*4+ROUNDUP(MONTH($A259)/3,0))</f>
        <v/>
      </c>
      <c r="U259" s="14">
        <f>IF($C259="","",$C259&amp;"|"&amp;$T259)</f>
        <v/>
      </c>
      <c r="V259" s="14">
        <f>IF($C259="","",$C259&amp;"|"&amp;$T259&amp;"|"&amp;$G259)</f>
        <v/>
      </c>
      <c r="W259" s="14">
        <f>IF($A259="","",IF(OR($B259="",$F259="",$G259="",$H259="",$I259=""),"Faltam campos básicos",IF(AND(OR($F259="Ponto de atenção",$F259="Incidente"),OR($K259="",$L259="",$O259="",$P259="")),"Faltam campos de sinalização","OK")))</f>
        <v/>
      </c>
      <c r="X259" s="14">
        <f>IF($A259="","",IF(AND(OR($F259="Ponto de atenção",$F259="Incidente"),$L259&lt;&gt;"Sim"),"Não",IF(AND($S259="",$W259&lt;&gt;"OK"),"Não","Sim")))</f>
        <v/>
      </c>
      <c r="Y259" s="14">
        <f>IF($C259="",0,IF(COUNTIFS($C$5:$C259,$C259,$D$5:$D259,$D259)=1,1,0))</f>
        <v/>
      </c>
      <c r="Z259" s="14">
        <f>IF($A259="","",IF(Config!$B$7-$T259&gt;2,"Arquivada",IF(Config!$B$7-$T259&gt;0,"Histórico","Ativa")))</f>
        <v/>
      </c>
      <c r="AA259" s="14">
        <f>IF($A259="",0,IF(AND(OR($F259="Ponto de atenção",$F259="Incidente"),$L259="Sim"),1,0))</f>
        <v/>
      </c>
      <c r="AB259" s="14">
        <f>IF(OR($C259="",$C259&lt;&gt;'1a1'!$B$4,$T259&lt;&gt;Config!$B$7),"",COUNTIFS($C$5:$C259,'1a1'!$B$4,$T$5:$T259,Config!$B$7))</f>
        <v/>
      </c>
    </row>
    <row r="260">
      <c r="A260" s="18" t="n"/>
      <c r="B260" s="19" t="n"/>
      <c r="C260" s="14">
        <f>IFERROR(INDEX(Pessoas!$A$5:$A$64,MATCH($B260,Pessoas!$B$5:$B$64,0)),"")</f>
        <v/>
      </c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8" t="n"/>
      <c r="N260" s="19" t="n"/>
      <c r="O260" s="19" t="n"/>
      <c r="P260" s="19" t="n"/>
      <c r="Q260" s="20">
        <f>IF(OR($M260="",$P260=""),"",$M260+IF($P260="7 dias",7,IF($P260="14 dias",14,90)))</f>
        <v/>
      </c>
      <c r="R260" s="19" t="n"/>
      <c r="S260" s="19" t="n"/>
      <c r="T260" s="14">
        <f>IF($A260="","",YEAR($A260)*4+ROUNDUP(MONTH($A260)/3,0))</f>
        <v/>
      </c>
      <c r="U260" s="14">
        <f>IF($C260="","",$C260&amp;"|"&amp;$T260)</f>
        <v/>
      </c>
      <c r="V260" s="14">
        <f>IF($C260="","",$C260&amp;"|"&amp;$T260&amp;"|"&amp;$G260)</f>
        <v/>
      </c>
      <c r="W260" s="14">
        <f>IF($A260="","",IF(OR($B260="",$F260="",$G260="",$H260="",$I260=""),"Faltam campos básicos",IF(AND(OR($F260="Ponto de atenção",$F260="Incidente"),OR($K260="",$L260="",$O260="",$P260="")),"Faltam campos de sinalização","OK")))</f>
        <v/>
      </c>
      <c r="X260" s="14">
        <f>IF($A260="","",IF(AND(OR($F260="Ponto de atenção",$F260="Incidente"),$L260&lt;&gt;"Sim"),"Não",IF(AND($S260="",$W260&lt;&gt;"OK"),"Não","Sim")))</f>
        <v/>
      </c>
      <c r="Y260" s="14">
        <f>IF($C260="",0,IF(COUNTIFS($C$5:$C260,$C260,$D$5:$D260,$D260)=1,1,0))</f>
        <v/>
      </c>
      <c r="Z260" s="14">
        <f>IF($A260="","",IF(Config!$B$7-$T260&gt;2,"Arquivada",IF(Config!$B$7-$T260&gt;0,"Histórico","Ativa")))</f>
        <v/>
      </c>
      <c r="AA260" s="14">
        <f>IF($A260="",0,IF(AND(OR($F260="Ponto de atenção",$F260="Incidente"),$L260="Sim"),1,0))</f>
        <v/>
      </c>
      <c r="AB260" s="14">
        <f>IF(OR($C260="",$C260&lt;&gt;'1a1'!$B$4,$T260&lt;&gt;Config!$B$7),"",COUNTIFS($C$5:$C260,'1a1'!$B$4,$T$5:$T260,Config!$B$7))</f>
        <v/>
      </c>
    </row>
    <row r="261">
      <c r="A261" s="18" t="n"/>
      <c r="B261" s="19" t="n"/>
      <c r="C261" s="14">
        <f>IFERROR(INDEX(Pessoas!$A$5:$A$64,MATCH($B261,Pessoas!$B$5:$B$64,0)),"")</f>
        <v/>
      </c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8" t="n"/>
      <c r="N261" s="19" t="n"/>
      <c r="O261" s="19" t="n"/>
      <c r="P261" s="19" t="n"/>
      <c r="Q261" s="20">
        <f>IF(OR($M261="",$P261=""),"",$M261+IF($P261="7 dias",7,IF($P261="14 dias",14,90)))</f>
        <v/>
      </c>
      <c r="R261" s="19" t="n"/>
      <c r="S261" s="19" t="n"/>
      <c r="T261" s="14">
        <f>IF($A261="","",YEAR($A261)*4+ROUNDUP(MONTH($A261)/3,0))</f>
        <v/>
      </c>
      <c r="U261" s="14">
        <f>IF($C261="","",$C261&amp;"|"&amp;$T261)</f>
        <v/>
      </c>
      <c r="V261" s="14">
        <f>IF($C261="","",$C261&amp;"|"&amp;$T261&amp;"|"&amp;$G261)</f>
        <v/>
      </c>
      <c r="W261" s="14">
        <f>IF($A261="","",IF(OR($B261="",$F261="",$G261="",$H261="",$I261=""),"Faltam campos básicos",IF(AND(OR($F261="Ponto de atenção",$F261="Incidente"),OR($K261="",$L261="",$O261="",$P261="")),"Faltam campos de sinalização","OK")))</f>
        <v/>
      </c>
      <c r="X261" s="14">
        <f>IF($A261="","",IF(AND(OR($F261="Ponto de atenção",$F261="Incidente"),$L261&lt;&gt;"Sim"),"Não",IF(AND($S261="",$W261&lt;&gt;"OK"),"Não","Sim")))</f>
        <v/>
      </c>
      <c r="Y261" s="14">
        <f>IF($C261="",0,IF(COUNTIFS($C$5:$C261,$C261,$D$5:$D261,$D261)=1,1,0))</f>
        <v/>
      </c>
      <c r="Z261" s="14">
        <f>IF($A261="","",IF(Config!$B$7-$T261&gt;2,"Arquivada",IF(Config!$B$7-$T261&gt;0,"Histórico","Ativa")))</f>
        <v/>
      </c>
      <c r="AA261" s="14">
        <f>IF($A261="",0,IF(AND(OR($F261="Ponto de atenção",$F261="Incidente"),$L261="Sim"),1,0))</f>
        <v/>
      </c>
      <c r="AB261" s="14">
        <f>IF(OR($C261="",$C261&lt;&gt;'1a1'!$B$4,$T261&lt;&gt;Config!$B$7),"",COUNTIFS($C$5:$C261,'1a1'!$B$4,$T$5:$T261,Config!$B$7))</f>
        <v/>
      </c>
    </row>
    <row r="262">
      <c r="A262" s="18" t="n"/>
      <c r="B262" s="19" t="n"/>
      <c r="C262" s="14">
        <f>IFERROR(INDEX(Pessoas!$A$5:$A$64,MATCH($B262,Pessoas!$B$5:$B$64,0)),"")</f>
        <v/>
      </c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8" t="n"/>
      <c r="N262" s="19" t="n"/>
      <c r="O262" s="19" t="n"/>
      <c r="P262" s="19" t="n"/>
      <c r="Q262" s="20">
        <f>IF(OR($M262="",$P262=""),"",$M262+IF($P262="7 dias",7,IF($P262="14 dias",14,90)))</f>
        <v/>
      </c>
      <c r="R262" s="19" t="n"/>
      <c r="S262" s="19" t="n"/>
      <c r="T262" s="14">
        <f>IF($A262="","",YEAR($A262)*4+ROUNDUP(MONTH($A262)/3,0))</f>
        <v/>
      </c>
      <c r="U262" s="14">
        <f>IF($C262="","",$C262&amp;"|"&amp;$T262)</f>
        <v/>
      </c>
      <c r="V262" s="14">
        <f>IF($C262="","",$C262&amp;"|"&amp;$T262&amp;"|"&amp;$G262)</f>
        <v/>
      </c>
      <c r="W262" s="14">
        <f>IF($A262="","",IF(OR($B262="",$F262="",$G262="",$H262="",$I262=""),"Faltam campos básicos",IF(AND(OR($F262="Ponto de atenção",$F262="Incidente"),OR($K262="",$L262="",$O262="",$P262="")),"Faltam campos de sinalização","OK")))</f>
        <v/>
      </c>
      <c r="X262" s="14">
        <f>IF($A262="","",IF(AND(OR($F262="Ponto de atenção",$F262="Incidente"),$L262&lt;&gt;"Sim"),"Não",IF(AND($S262="",$W262&lt;&gt;"OK"),"Não","Sim")))</f>
        <v/>
      </c>
      <c r="Y262" s="14">
        <f>IF($C262="",0,IF(COUNTIFS($C$5:$C262,$C262,$D$5:$D262,$D262)=1,1,0))</f>
        <v/>
      </c>
      <c r="Z262" s="14">
        <f>IF($A262="","",IF(Config!$B$7-$T262&gt;2,"Arquivada",IF(Config!$B$7-$T262&gt;0,"Histórico","Ativa")))</f>
        <v/>
      </c>
      <c r="AA262" s="14">
        <f>IF($A262="",0,IF(AND(OR($F262="Ponto de atenção",$F262="Incidente"),$L262="Sim"),1,0))</f>
        <v/>
      </c>
      <c r="AB262" s="14">
        <f>IF(OR($C262="",$C262&lt;&gt;'1a1'!$B$4,$T262&lt;&gt;Config!$B$7),"",COUNTIFS($C$5:$C262,'1a1'!$B$4,$T$5:$T262,Config!$B$7))</f>
        <v/>
      </c>
    </row>
    <row r="263">
      <c r="A263" s="18" t="n"/>
      <c r="B263" s="19" t="n"/>
      <c r="C263" s="14">
        <f>IFERROR(INDEX(Pessoas!$A$5:$A$64,MATCH($B263,Pessoas!$B$5:$B$64,0)),"")</f>
        <v/>
      </c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8" t="n"/>
      <c r="N263" s="19" t="n"/>
      <c r="O263" s="19" t="n"/>
      <c r="P263" s="19" t="n"/>
      <c r="Q263" s="20">
        <f>IF(OR($M263="",$P263=""),"",$M263+IF($P263="7 dias",7,IF($P263="14 dias",14,90)))</f>
        <v/>
      </c>
      <c r="R263" s="19" t="n"/>
      <c r="S263" s="19" t="n"/>
      <c r="T263" s="14">
        <f>IF($A263="","",YEAR($A263)*4+ROUNDUP(MONTH($A263)/3,0))</f>
        <v/>
      </c>
      <c r="U263" s="14">
        <f>IF($C263="","",$C263&amp;"|"&amp;$T263)</f>
        <v/>
      </c>
      <c r="V263" s="14">
        <f>IF($C263="","",$C263&amp;"|"&amp;$T263&amp;"|"&amp;$G263)</f>
        <v/>
      </c>
      <c r="W263" s="14">
        <f>IF($A263="","",IF(OR($B263="",$F263="",$G263="",$H263="",$I263=""),"Faltam campos básicos",IF(AND(OR($F263="Ponto de atenção",$F263="Incidente"),OR($K263="",$L263="",$O263="",$P263="")),"Faltam campos de sinalização","OK")))</f>
        <v/>
      </c>
      <c r="X263" s="14">
        <f>IF($A263="","",IF(AND(OR($F263="Ponto de atenção",$F263="Incidente"),$L263&lt;&gt;"Sim"),"Não",IF(AND($S263="",$W263&lt;&gt;"OK"),"Não","Sim")))</f>
        <v/>
      </c>
      <c r="Y263" s="14">
        <f>IF($C263="",0,IF(COUNTIFS($C$5:$C263,$C263,$D$5:$D263,$D263)=1,1,0))</f>
        <v/>
      </c>
      <c r="Z263" s="14">
        <f>IF($A263="","",IF(Config!$B$7-$T263&gt;2,"Arquivada",IF(Config!$B$7-$T263&gt;0,"Histórico","Ativa")))</f>
        <v/>
      </c>
      <c r="AA263" s="14">
        <f>IF($A263="",0,IF(AND(OR($F263="Ponto de atenção",$F263="Incidente"),$L263="Sim"),1,0))</f>
        <v/>
      </c>
      <c r="AB263" s="14">
        <f>IF(OR($C263="",$C263&lt;&gt;'1a1'!$B$4,$T263&lt;&gt;Config!$B$7),"",COUNTIFS($C$5:$C263,'1a1'!$B$4,$T$5:$T263,Config!$B$7))</f>
        <v/>
      </c>
    </row>
    <row r="264">
      <c r="A264" s="18" t="n"/>
      <c r="B264" s="19" t="n"/>
      <c r="C264" s="14">
        <f>IFERROR(INDEX(Pessoas!$A$5:$A$64,MATCH($B264,Pessoas!$B$5:$B$64,0)),"")</f>
        <v/>
      </c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8" t="n"/>
      <c r="N264" s="19" t="n"/>
      <c r="O264" s="19" t="n"/>
      <c r="P264" s="19" t="n"/>
      <c r="Q264" s="20">
        <f>IF(OR($M264="",$P264=""),"",$M264+IF($P264="7 dias",7,IF($P264="14 dias",14,90)))</f>
        <v/>
      </c>
      <c r="R264" s="19" t="n"/>
      <c r="S264" s="19" t="n"/>
      <c r="T264" s="14">
        <f>IF($A264="","",YEAR($A264)*4+ROUNDUP(MONTH($A264)/3,0))</f>
        <v/>
      </c>
      <c r="U264" s="14">
        <f>IF($C264="","",$C264&amp;"|"&amp;$T264)</f>
        <v/>
      </c>
      <c r="V264" s="14">
        <f>IF($C264="","",$C264&amp;"|"&amp;$T264&amp;"|"&amp;$G264)</f>
        <v/>
      </c>
      <c r="W264" s="14">
        <f>IF($A264="","",IF(OR($B264="",$F264="",$G264="",$H264="",$I264=""),"Faltam campos básicos",IF(AND(OR($F264="Ponto de atenção",$F264="Incidente"),OR($K264="",$L264="",$O264="",$P264="")),"Faltam campos de sinalização","OK")))</f>
        <v/>
      </c>
      <c r="X264" s="14">
        <f>IF($A264="","",IF(AND(OR($F264="Ponto de atenção",$F264="Incidente"),$L264&lt;&gt;"Sim"),"Não",IF(AND($S264="",$W264&lt;&gt;"OK"),"Não","Sim")))</f>
        <v/>
      </c>
      <c r="Y264" s="14">
        <f>IF($C264="",0,IF(COUNTIFS($C$5:$C264,$C264,$D$5:$D264,$D264)=1,1,0))</f>
        <v/>
      </c>
      <c r="Z264" s="14">
        <f>IF($A264="","",IF(Config!$B$7-$T264&gt;2,"Arquivada",IF(Config!$B$7-$T264&gt;0,"Histórico","Ativa")))</f>
        <v/>
      </c>
      <c r="AA264" s="14">
        <f>IF($A264="",0,IF(AND(OR($F264="Ponto de atenção",$F264="Incidente"),$L264="Sim"),1,0))</f>
        <v/>
      </c>
      <c r="AB264" s="14">
        <f>IF(OR($C264="",$C264&lt;&gt;'1a1'!$B$4,$T264&lt;&gt;Config!$B$7),"",COUNTIFS($C$5:$C264,'1a1'!$B$4,$T$5:$T264,Config!$B$7))</f>
        <v/>
      </c>
    </row>
    <row r="265">
      <c r="A265" s="18" t="n"/>
      <c r="B265" s="19" t="n"/>
      <c r="C265" s="14">
        <f>IFERROR(INDEX(Pessoas!$A$5:$A$64,MATCH($B265,Pessoas!$B$5:$B$64,0)),"")</f>
        <v/>
      </c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8" t="n"/>
      <c r="N265" s="19" t="n"/>
      <c r="O265" s="19" t="n"/>
      <c r="P265" s="19" t="n"/>
      <c r="Q265" s="20">
        <f>IF(OR($M265="",$P265=""),"",$M265+IF($P265="7 dias",7,IF($P265="14 dias",14,90)))</f>
        <v/>
      </c>
      <c r="R265" s="19" t="n"/>
      <c r="S265" s="19" t="n"/>
      <c r="T265" s="14">
        <f>IF($A265="","",YEAR($A265)*4+ROUNDUP(MONTH($A265)/3,0))</f>
        <v/>
      </c>
      <c r="U265" s="14">
        <f>IF($C265="","",$C265&amp;"|"&amp;$T265)</f>
        <v/>
      </c>
      <c r="V265" s="14">
        <f>IF($C265="","",$C265&amp;"|"&amp;$T265&amp;"|"&amp;$G265)</f>
        <v/>
      </c>
      <c r="W265" s="14">
        <f>IF($A265="","",IF(OR($B265="",$F265="",$G265="",$H265="",$I265=""),"Faltam campos básicos",IF(AND(OR($F265="Ponto de atenção",$F265="Incidente"),OR($K265="",$L265="",$O265="",$P265="")),"Faltam campos de sinalização","OK")))</f>
        <v/>
      </c>
      <c r="X265" s="14">
        <f>IF($A265="","",IF(AND(OR($F265="Ponto de atenção",$F265="Incidente"),$L265&lt;&gt;"Sim"),"Não",IF(AND($S265="",$W265&lt;&gt;"OK"),"Não","Sim")))</f>
        <v/>
      </c>
      <c r="Y265" s="14">
        <f>IF($C265="",0,IF(COUNTIFS($C$5:$C265,$C265,$D$5:$D265,$D265)=1,1,0))</f>
        <v/>
      </c>
      <c r="Z265" s="14">
        <f>IF($A265="","",IF(Config!$B$7-$T265&gt;2,"Arquivada",IF(Config!$B$7-$T265&gt;0,"Histórico","Ativa")))</f>
        <v/>
      </c>
      <c r="AA265" s="14">
        <f>IF($A265="",0,IF(AND(OR($F265="Ponto de atenção",$F265="Incidente"),$L265="Sim"),1,0))</f>
        <v/>
      </c>
      <c r="AB265" s="14">
        <f>IF(OR($C265="",$C265&lt;&gt;'1a1'!$B$4,$T265&lt;&gt;Config!$B$7),"",COUNTIFS($C$5:$C265,'1a1'!$B$4,$T$5:$T265,Config!$B$7))</f>
        <v/>
      </c>
    </row>
    <row r="266">
      <c r="A266" s="18" t="n"/>
      <c r="B266" s="19" t="n"/>
      <c r="C266" s="14">
        <f>IFERROR(INDEX(Pessoas!$A$5:$A$64,MATCH($B266,Pessoas!$B$5:$B$64,0)),"")</f>
        <v/>
      </c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8" t="n"/>
      <c r="N266" s="19" t="n"/>
      <c r="O266" s="19" t="n"/>
      <c r="P266" s="19" t="n"/>
      <c r="Q266" s="20">
        <f>IF(OR($M266="",$P266=""),"",$M266+IF($P266="7 dias",7,IF($P266="14 dias",14,90)))</f>
        <v/>
      </c>
      <c r="R266" s="19" t="n"/>
      <c r="S266" s="19" t="n"/>
      <c r="T266" s="14">
        <f>IF($A266="","",YEAR($A266)*4+ROUNDUP(MONTH($A266)/3,0))</f>
        <v/>
      </c>
      <c r="U266" s="14">
        <f>IF($C266="","",$C266&amp;"|"&amp;$T266)</f>
        <v/>
      </c>
      <c r="V266" s="14">
        <f>IF($C266="","",$C266&amp;"|"&amp;$T266&amp;"|"&amp;$G266)</f>
        <v/>
      </c>
      <c r="W266" s="14">
        <f>IF($A266="","",IF(OR($B266="",$F266="",$G266="",$H266="",$I266=""),"Faltam campos básicos",IF(AND(OR($F266="Ponto de atenção",$F266="Incidente"),OR($K266="",$L266="",$O266="",$P266="")),"Faltam campos de sinalização","OK")))</f>
        <v/>
      </c>
      <c r="X266" s="14">
        <f>IF($A266="","",IF(AND(OR($F266="Ponto de atenção",$F266="Incidente"),$L266&lt;&gt;"Sim"),"Não",IF(AND($S266="",$W266&lt;&gt;"OK"),"Não","Sim")))</f>
        <v/>
      </c>
      <c r="Y266" s="14">
        <f>IF($C266="",0,IF(COUNTIFS($C$5:$C266,$C266,$D$5:$D266,$D266)=1,1,0))</f>
        <v/>
      </c>
      <c r="Z266" s="14">
        <f>IF($A266="","",IF(Config!$B$7-$T266&gt;2,"Arquivada",IF(Config!$B$7-$T266&gt;0,"Histórico","Ativa")))</f>
        <v/>
      </c>
      <c r="AA266" s="14">
        <f>IF($A266="",0,IF(AND(OR($F266="Ponto de atenção",$F266="Incidente"),$L266="Sim"),1,0))</f>
        <v/>
      </c>
      <c r="AB266" s="14">
        <f>IF(OR($C266="",$C266&lt;&gt;'1a1'!$B$4,$T266&lt;&gt;Config!$B$7),"",COUNTIFS($C$5:$C266,'1a1'!$B$4,$T$5:$T266,Config!$B$7))</f>
        <v/>
      </c>
    </row>
    <row r="267">
      <c r="A267" s="18" t="n"/>
      <c r="B267" s="19" t="n"/>
      <c r="C267" s="14">
        <f>IFERROR(INDEX(Pessoas!$A$5:$A$64,MATCH($B267,Pessoas!$B$5:$B$64,0)),"")</f>
        <v/>
      </c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8" t="n"/>
      <c r="N267" s="19" t="n"/>
      <c r="O267" s="19" t="n"/>
      <c r="P267" s="19" t="n"/>
      <c r="Q267" s="20">
        <f>IF(OR($M267="",$P267=""),"",$M267+IF($P267="7 dias",7,IF($P267="14 dias",14,90)))</f>
        <v/>
      </c>
      <c r="R267" s="19" t="n"/>
      <c r="S267" s="19" t="n"/>
      <c r="T267" s="14">
        <f>IF($A267="","",YEAR($A267)*4+ROUNDUP(MONTH($A267)/3,0))</f>
        <v/>
      </c>
      <c r="U267" s="14">
        <f>IF($C267="","",$C267&amp;"|"&amp;$T267)</f>
        <v/>
      </c>
      <c r="V267" s="14">
        <f>IF($C267="","",$C267&amp;"|"&amp;$T267&amp;"|"&amp;$G267)</f>
        <v/>
      </c>
      <c r="W267" s="14">
        <f>IF($A267="","",IF(OR($B267="",$F267="",$G267="",$H267="",$I267=""),"Faltam campos básicos",IF(AND(OR($F267="Ponto de atenção",$F267="Incidente"),OR($K267="",$L267="",$O267="",$P267="")),"Faltam campos de sinalização","OK")))</f>
        <v/>
      </c>
      <c r="X267" s="14">
        <f>IF($A267="","",IF(AND(OR($F267="Ponto de atenção",$F267="Incidente"),$L267&lt;&gt;"Sim"),"Não",IF(AND($S267="",$W267&lt;&gt;"OK"),"Não","Sim")))</f>
        <v/>
      </c>
      <c r="Y267" s="14">
        <f>IF($C267="",0,IF(COUNTIFS($C$5:$C267,$C267,$D$5:$D267,$D267)=1,1,0))</f>
        <v/>
      </c>
      <c r="Z267" s="14">
        <f>IF($A267="","",IF(Config!$B$7-$T267&gt;2,"Arquivada",IF(Config!$B$7-$T267&gt;0,"Histórico","Ativa")))</f>
        <v/>
      </c>
      <c r="AA267" s="14">
        <f>IF($A267="",0,IF(AND(OR($F267="Ponto de atenção",$F267="Incidente"),$L267="Sim"),1,0))</f>
        <v/>
      </c>
      <c r="AB267" s="14">
        <f>IF(OR($C267="",$C267&lt;&gt;'1a1'!$B$4,$T267&lt;&gt;Config!$B$7),"",COUNTIFS($C$5:$C267,'1a1'!$B$4,$T$5:$T267,Config!$B$7))</f>
        <v/>
      </c>
    </row>
    <row r="268">
      <c r="A268" s="18" t="n"/>
      <c r="B268" s="19" t="n"/>
      <c r="C268" s="14">
        <f>IFERROR(INDEX(Pessoas!$A$5:$A$64,MATCH($B268,Pessoas!$B$5:$B$64,0)),"")</f>
        <v/>
      </c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8" t="n"/>
      <c r="N268" s="19" t="n"/>
      <c r="O268" s="19" t="n"/>
      <c r="P268" s="19" t="n"/>
      <c r="Q268" s="20">
        <f>IF(OR($M268="",$P268=""),"",$M268+IF($P268="7 dias",7,IF($P268="14 dias",14,90)))</f>
        <v/>
      </c>
      <c r="R268" s="19" t="n"/>
      <c r="S268" s="19" t="n"/>
      <c r="T268" s="14">
        <f>IF($A268="","",YEAR($A268)*4+ROUNDUP(MONTH($A268)/3,0))</f>
        <v/>
      </c>
      <c r="U268" s="14">
        <f>IF($C268="","",$C268&amp;"|"&amp;$T268)</f>
        <v/>
      </c>
      <c r="V268" s="14">
        <f>IF($C268="","",$C268&amp;"|"&amp;$T268&amp;"|"&amp;$G268)</f>
        <v/>
      </c>
      <c r="W268" s="14">
        <f>IF($A268="","",IF(OR($B268="",$F268="",$G268="",$H268="",$I268=""),"Faltam campos básicos",IF(AND(OR($F268="Ponto de atenção",$F268="Incidente"),OR($K268="",$L268="",$O268="",$P268="")),"Faltam campos de sinalização","OK")))</f>
        <v/>
      </c>
      <c r="X268" s="14">
        <f>IF($A268="","",IF(AND(OR($F268="Ponto de atenção",$F268="Incidente"),$L268&lt;&gt;"Sim"),"Não",IF(AND($S268="",$W268&lt;&gt;"OK"),"Não","Sim")))</f>
        <v/>
      </c>
      <c r="Y268" s="14">
        <f>IF($C268="",0,IF(COUNTIFS($C$5:$C268,$C268,$D$5:$D268,$D268)=1,1,0))</f>
        <v/>
      </c>
      <c r="Z268" s="14">
        <f>IF($A268="","",IF(Config!$B$7-$T268&gt;2,"Arquivada",IF(Config!$B$7-$T268&gt;0,"Histórico","Ativa")))</f>
        <v/>
      </c>
      <c r="AA268" s="14">
        <f>IF($A268="",0,IF(AND(OR($F268="Ponto de atenção",$F268="Incidente"),$L268="Sim"),1,0))</f>
        <v/>
      </c>
      <c r="AB268" s="14">
        <f>IF(OR($C268="",$C268&lt;&gt;'1a1'!$B$4,$T268&lt;&gt;Config!$B$7),"",COUNTIFS($C$5:$C268,'1a1'!$B$4,$T$5:$T268,Config!$B$7))</f>
        <v/>
      </c>
    </row>
    <row r="269">
      <c r="A269" s="18" t="n"/>
      <c r="B269" s="19" t="n"/>
      <c r="C269" s="14">
        <f>IFERROR(INDEX(Pessoas!$A$5:$A$64,MATCH($B269,Pessoas!$B$5:$B$64,0)),"")</f>
        <v/>
      </c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8" t="n"/>
      <c r="N269" s="19" t="n"/>
      <c r="O269" s="19" t="n"/>
      <c r="P269" s="19" t="n"/>
      <c r="Q269" s="20">
        <f>IF(OR($M269="",$P269=""),"",$M269+IF($P269="7 dias",7,IF($P269="14 dias",14,90)))</f>
        <v/>
      </c>
      <c r="R269" s="19" t="n"/>
      <c r="S269" s="19" t="n"/>
      <c r="T269" s="14">
        <f>IF($A269="","",YEAR($A269)*4+ROUNDUP(MONTH($A269)/3,0))</f>
        <v/>
      </c>
      <c r="U269" s="14">
        <f>IF($C269="","",$C269&amp;"|"&amp;$T269)</f>
        <v/>
      </c>
      <c r="V269" s="14">
        <f>IF($C269="","",$C269&amp;"|"&amp;$T269&amp;"|"&amp;$G269)</f>
        <v/>
      </c>
      <c r="W269" s="14">
        <f>IF($A269="","",IF(OR($B269="",$F269="",$G269="",$H269="",$I269=""),"Faltam campos básicos",IF(AND(OR($F269="Ponto de atenção",$F269="Incidente"),OR($K269="",$L269="",$O269="",$P269="")),"Faltam campos de sinalização","OK")))</f>
        <v/>
      </c>
      <c r="X269" s="14">
        <f>IF($A269="","",IF(AND(OR($F269="Ponto de atenção",$F269="Incidente"),$L269&lt;&gt;"Sim"),"Não",IF(AND($S269="",$W269&lt;&gt;"OK"),"Não","Sim")))</f>
        <v/>
      </c>
      <c r="Y269" s="14">
        <f>IF($C269="",0,IF(COUNTIFS($C$5:$C269,$C269,$D$5:$D269,$D269)=1,1,0))</f>
        <v/>
      </c>
      <c r="Z269" s="14">
        <f>IF($A269="","",IF(Config!$B$7-$T269&gt;2,"Arquivada",IF(Config!$B$7-$T269&gt;0,"Histórico","Ativa")))</f>
        <v/>
      </c>
      <c r="AA269" s="14">
        <f>IF($A269="",0,IF(AND(OR($F269="Ponto de atenção",$F269="Incidente"),$L269="Sim"),1,0))</f>
        <v/>
      </c>
      <c r="AB269" s="14">
        <f>IF(OR($C269="",$C269&lt;&gt;'1a1'!$B$4,$T269&lt;&gt;Config!$B$7),"",COUNTIFS($C$5:$C269,'1a1'!$B$4,$T$5:$T269,Config!$B$7))</f>
        <v/>
      </c>
    </row>
    <row r="270">
      <c r="A270" s="18" t="n"/>
      <c r="B270" s="19" t="n"/>
      <c r="C270" s="14">
        <f>IFERROR(INDEX(Pessoas!$A$5:$A$64,MATCH($B270,Pessoas!$B$5:$B$64,0)),"")</f>
        <v/>
      </c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8" t="n"/>
      <c r="N270" s="19" t="n"/>
      <c r="O270" s="19" t="n"/>
      <c r="P270" s="19" t="n"/>
      <c r="Q270" s="20">
        <f>IF(OR($M270="",$P270=""),"",$M270+IF($P270="7 dias",7,IF($P270="14 dias",14,90)))</f>
        <v/>
      </c>
      <c r="R270" s="19" t="n"/>
      <c r="S270" s="19" t="n"/>
      <c r="T270" s="14">
        <f>IF($A270="","",YEAR($A270)*4+ROUNDUP(MONTH($A270)/3,0))</f>
        <v/>
      </c>
      <c r="U270" s="14">
        <f>IF($C270="","",$C270&amp;"|"&amp;$T270)</f>
        <v/>
      </c>
      <c r="V270" s="14">
        <f>IF($C270="","",$C270&amp;"|"&amp;$T270&amp;"|"&amp;$G270)</f>
        <v/>
      </c>
      <c r="W270" s="14">
        <f>IF($A270="","",IF(OR($B270="",$F270="",$G270="",$H270="",$I270=""),"Faltam campos básicos",IF(AND(OR($F270="Ponto de atenção",$F270="Incidente"),OR($K270="",$L270="",$O270="",$P270="")),"Faltam campos de sinalização","OK")))</f>
        <v/>
      </c>
      <c r="X270" s="14">
        <f>IF($A270="","",IF(AND(OR($F270="Ponto de atenção",$F270="Incidente"),$L270&lt;&gt;"Sim"),"Não",IF(AND($S270="",$W270&lt;&gt;"OK"),"Não","Sim")))</f>
        <v/>
      </c>
      <c r="Y270" s="14">
        <f>IF($C270="",0,IF(COUNTIFS($C$5:$C270,$C270,$D$5:$D270,$D270)=1,1,0))</f>
        <v/>
      </c>
      <c r="Z270" s="14">
        <f>IF($A270="","",IF(Config!$B$7-$T270&gt;2,"Arquivada",IF(Config!$B$7-$T270&gt;0,"Histórico","Ativa")))</f>
        <v/>
      </c>
      <c r="AA270" s="14">
        <f>IF($A270="",0,IF(AND(OR($F270="Ponto de atenção",$F270="Incidente"),$L270="Sim"),1,0))</f>
        <v/>
      </c>
      <c r="AB270" s="14">
        <f>IF(OR($C270="",$C270&lt;&gt;'1a1'!$B$4,$T270&lt;&gt;Config!$B$7),"",COUNTIFS($C$5:$C270,'1a1'!$B$4,$T$5:$T270,Config!$B$7))</f>
        <v/>
      </c>
    </row>
    <row r="271">
      <c r="A271" s="18" t="n"/>
      <c r="B271" s="19" t="n"/>
      <c r="C271" s="14">
        <f>IFERROR(INDEX(Pessoas!$A$5:$A$64,MATCH($B271,Pessoas!$B$5:$B$64,0)),"")</f>
        <v/>
      </c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8" t="n"/>
      <c r="N271" s="19" t="n"/>
      <c r="O271" s="19" t="n"/>
      <c r="P271" s="19" t="n"/>
      <c r="Q271" s="20">
        <f>IF(OR($M271="",$P271=""),"",$M271+IF($P271="7 dias",7,IF($P271="14 dias",14,90)))</f>
        <v/>
      </c>
      <c r="R271" s="19" t="n"/>
      <c r="S271" s="19" t="n"/>
      <c r="T271" s="14">
        <f>IF($A271="","",YEAR($A271)*4+ROUNDUP(MONTH($A271)/3,0))</f>
        <v/>
      </c>
      <c r="U271" s="14">
        <f>IF($C271="","",$C271&amp;"|"&amp;$T271)</f>
        <v/>
      </c>
      <c r="V271" s="14">
        <f>IF($C271="","",$C271&amp;"|"&amp;$T271&amp;"|"&amp;$G271)</f>
        <v/>
      </c>
      <c r="W271" s="14">
        <f>IF($A271="","",IF(OR($B271="",$F271="",$G271="",$H271="",$I271=""),"Faltam campos básicos",IF(AND(OR($F271="Ponto de atenção",$F271="Incidente"),OR($K271="",$L271="",$O271="",$P271="")),"Faltam campos de sinalização","OK")))</f>
        <v/>
      </c>
      <c r="X271" s="14">
        <f>IF($A271="","",IF(AND(OR($F271="Ponto de atenção",$F271="Incidente"),$L271&lt;&gt;"Sim"),"Não",IF(AND($S271="",$W271&lt;&gt;"OK"),"Não","Sim")))</f>
        <v/>
      </c>
      <c r="Y271" s="14">
        <f>IF($C271="",0,IF(COUNTIFS($C$5:$C271,$C271,$D$5:$D271,$D271)=1,1,0))</f>
        <v/>
      </c>
      <c r="Z271" s="14">
        <f>IF($A271="","",IF(Config!$B$7-$T271&gt;2,"Arquivada",IF(Config!$B$7-$T271&gt;0,"Histórico","Ativa")))</f>
        <v/>
      </c>
      <c r="AA271" s="14">
        <f>IF($A271="",0,IF(AND(OR($F271="Ponto de atenção",$F271="Incidente"),$L271="Sim"),1,0))</f>
        <v/>
      </c>
      <c r="AB271" s="14">
        <f>IF(OR($C271="",$C271&lt;&gt;'1a1'!$B$4,$T271&lt;&gt;Config!$B$7),"",COUNTIFS($C$5:$C271,'1a1'!$B$4,$T$5:$T271,Config!$B$7))</f>
        <v/>
      </c>
    </row>
    <row r="272">
      <c r="A272" s="18" t="n"/>
      <c r="B272" s="19" t="n"/>
      <c r="C272" s="14">
        <f>IFERROR(INDEX(Pessoas!$A$5:$A$64,MATCH($B272,Pessoas!$B$5:$B$64,0)),"")</f>
        <v/>
      </c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8" t="n"/>
      <c r="N272" s="19" t="n"/>
      <c r="O272" s="19" t="n"/>
      <c r="P272" s="19" t="n"/>
      <c r="Q272" s="20">
        <f>IF(OR($M272="",$P272=""),"",$M272+IF($P272="7 dias",7,IF($P272="14 dias",14,90)))</f>
        <v/>
      </c>
      <c r="R272" s="19" t="n"/>
      <c r="S272" s="19" t="n"/>
      <c r="T272" s="14">
        <f>IF($A272="","",YEAR($A272)*4+ROUNDUP(MONTH($A272)/3,0))</f>
        <v/>
      </c>
      <c r="U272" s="14">
        <f>IF($C272="","",$C272&amp;"|"&amp;$T272)</f>
        <v/>
      </c>
      <c r="V272" s="14">
        <f>IF($C272="","",$C272&amp;"|"&amp;$T272&amp;"|"&amp;$G272)</f>
        <v/>
      </c>
      <c r="W272" s="14">
        <f>IF($A272="","",IF(OR($B272="",$F272="",$G272="",$H272="",$I272=""),"Faltam campos básicos",IF(AND(OR($F272="Ponto de atenção",$F272="Incidente"),OR($K272="",$L272="",$O272="",$P272="")),"Faltam campos de sinalização","OK")))</f>
        <v/>
      </c>
      <c r="X272" s="14">
        <f>IF($A272="","",IF(AND(OR($F272="Ponto de atenção",$F272="Incidente"),$L272&lt;&gt;"Sim"),"Não",IF(AND($S272="",$W272&lt;&gt;"OK"),"Não","Sim")))</f>
        <v/>
      </c>
      <c r="Y272" s="14">
        <f>IF($C272="",0,IF(COUNTIFS($C$5:$C272,$C272,$D$5:$D272,$D272)=1,1,0))</f>
        <v/>
      </c>
      <c r="Z272" s="14">
        <f>IF($A272="","",IF(Config!$B$7-$T272&gt;2,"Arquivada",IF(Config!$B$7-$T272&gt;0,"Histórico","Ativa")))</f>
        <v/>
      </c>
      <c r="AA272" s="14">
        <f>IF($A272="",0,IF(AND(OR($F272="Ponto de atenção",$F272="Incidente"),$L272="Sim"),1,0))</f>
        <v/>
      </c>
      <c r="AB272" s="14">
        <f>IF(OR($C272="",$C272&lt;&gt;'1a1'!$B$4,$T272&lt;&gt;Config!$B$7),"",COUNTIFS($C$5:$C272,'1a1'!$B$4,$T$5:$T272,Config!$B$7))</f>
        <v/>
      </c>
    </row>
    <row r="273">
      <c r="A273" s="18" t="n"/>
      <c r="B273" s="19" t="n"/>
      <c r="C273" s="14">
        <f>IFERROR(INDEX(Pessoas!$A$5:$A$64,MATCH($B273,Pessoas!$B$5:$B$64,0)),"")</f>
        <v/>
      </c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8" t="n"/>
      <c r="N273" s="19" t="n"/>
      <c r="O273" s="19" t="n"/>
      <c r="P273" s="19" t="n"/>
      <c r="Q273" s="20">
        <f>IF(OR($M273="",$P273=""),"",$M273+IF($P273="7 dias",7,IF($P273="14 dias",14,90)))</f>
        <v/>
      </c>
      <c r="R273" s="19" t="n"/>
      <c r="S273" s="19" t="n"/>
      <c r="T273" s="14">
        <f>IF($A273="","",YEAR($A273)*4+ROUNDUP(MONTH($A273)/3,0))</f>
        <v/>
      </c>
      <c r="U273" s="14">
        <f>IF($C273="","",$C273&amp;"|"&amp;$T273)</f>
        <v/>
      </c>
      <c r="V273" s="14">
        <f>IF($C273="","",$C273&amp;"|"&amp;$T273&amp;"|"&amp;$G273)</f>
        <v/>
      </c>
      <c r="W273" s="14">
        <f>IF($A273="","",IF(OR($B273="",$F273="",$G273="",$H273="",$I273=""),"Faltam campos básicos",IF(AND(OR($F273="Ponto de atenção",$F273="Incidente"),OR($K273="",$L273="",$O273="",$P273="")),"Faltam campos de sinalização","OK")))</f>
        <v/>
      </c>
      <c r="X273" s="14">
        <f>IF($A273="","",IF(AND(OR($F273="Ponto de atenção",$F273="Incidente"),$L273&lt;&gt;"Sim"),"Não",IF(AND($S273="",$W273&lt;&gt;"OK"),"Não","Sim")))</f>
        <v/>
      </c>
      <c r="Y273" s="14">
        <f>IF($C273="",0,IF(COUNTIFS($C$5:$C273,$C273,$D$5:$D273,$D273)=1,1,0))</f>
        <v/>
      </c>
      <c r="Z273" s="14">
        <f>IF($A273="","",IF(Config!$B$7-$T273&gt;2,"Arquivada",IF(Config!$B$7-$T273&gt;0,"Histórico","Ativa")))</f>
        <v/>
      </c>
      <c r="AA273" s="14">
        <f>IF($A273="",0,IF(AND(OR($F273="Ponto de atenção",$F273="Incidente"),$L273="Sim"),1,0))</f>
        <v/>
      </c>
      <c r="AB273" s="14">
        <f>IF(OR($C273="",$C273&lt;&gt;'1a1'!$B$4,$T273&lt;&gt;Config!$B$7),"",COUNTIFS($C$5:$C273,'1a1'!$B$4,$T$5:$T273,Config!$B$7))</f>
        <v/>
      </c>
    </row>
    <row r="274">
      <c r="A274" s="18" t="n"/>
      <c r="B274" s="19" t="n"/>
      <c r="C274" s="14">
        <f>IFERROR(INDEX(Pessoas!$A$5:$A$64,MATCH($B274,Pessoas!$B$5:$B$64,0)),"")</f>
        <v/>
      </c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8" t="n"/>
      <c r="N274" s="19" t="n"/>
      <c r="O274" s="19" t="n"/>
      <c r="P274" s="19" t="n"/>
      <c r="Q274" s="20">
        <f>IF(OR($M274="",$P274=""),"",$M274+IF($P274="7 dias",7,IF($P274="14 dias",14,90)))</f>
        <v/>
      </c>
      <c r="R274" s="19" t="n"/>
      <c r="S274" s="19" t="n"/>
      <c r="T274" s="14">
        <f>IF($A274="","",YEAR($A274)*4+ROUNDUP(MONTH($A274)/3,0))</f>
        <v/>
      </c>
      <c r="U274" s="14">
        <f>IF($C274="","",$C274&amp;"|"&amp;$T274)</f>
        <v/>
      </c>
      <c r="V274" s="14">
        <f>IF($C274="","",$C274&amp;"|"&amp;$T274&amp;"|"&amp;$G274)</f>
        <v/>
      </c>
      <c r="W274" s="14">
        <f>IF($A274="","",IF(OR($B274="",$F274="",$G274="",$H274="",$I274=""),"Faltam campos básicos",IF(AND(OR($F274="Ponto de atenção",$F274="Incidente"),OR($K274="",$L274="",$O274="",$P274="")),"Faltam campos de sinalização","OK")))</f>
        <v/>
      </c>
      <c r="X274" s="14">
        <f>IF($A274="","",IF(AND(OR($F274="Ponto de atenção",$F274="Incidente"),$L274&lt;&gt;"Sim"),"Não",IF(AND($S274="",$W274&lt;&gt;"OK"),"Não","Sim")))</f>
        <v/>
      </c>
      <c r="Y274" s="14">
        <f>IF($C274="",0,IF(COUNTIFS($C$5:$C274,$C274,$D$5:$D274,$D274)=1,1,0))</f>
        <v/>
      </c>
      <c r="Z274" s="14">
        <f>IF($A274="","",IF(Config!$B$7-$T274&gt;2,"Arquivada",IF(Config!$B$7-$T274&gt;0,"Histórico","Ativa")))</f>
        <v/>
      </c>
      <c r="AA274" s="14">
        <f>IF($A274="",0,IF(AND(OR($F274="Ponto de atenção",$F274="Incidente"),$L274="Sim"),1,0))</f>
        <v/>
      </c>
      <c r="AB274" s="14">
        <f>IF(OR($C274="",$C274&lt;&gt;'1a1'!$B$4,$T274&lt;&gt;Config!$B$7),"",COUNTIFS($C$5:$C274,'1a1'!$B$4,$T$5:$T274,Config!$B$7))</f>
        <v/>
      </c>
    </row>
    <row r="275">
      <c r="A275" s="18" t="n"/>
      <c r="B275" s="19" t="n"/>
      <c r="C275" s="14">
        <f>IFERROR(INDEX(Pessoas!$A$5:$A$64,MATCH($B275,Pessoas!$B$5:$B$64,0)),"")</f>
        <v/>
      </c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8" t="n"/>
      <c r="N275" s="19" t="n"/>
      <c r="O275" s="19" t="n"/>
      <c r="P275" s="19" t="n"/>
      <c r="Q275" s="20">
        <f>IF(OR($M275="",$P275=""),"",$M275+IF($P275="7 dias",7,IF($P275="14 dias",14,90)))</f>
        <v/>
      </c>
      <c r="R275" s="19" t="n"/>
      <c r="S275" s="19" t="n"/>
      <c r="T275" s="14">
        <f>IF($A275="","",YEAR($A275)*4+ROUNDUP(MONTH($A275)/3,0))</f>
        <v/>
      </c>
      <c r="U275" s="14">
        <f>IF($C275="","",$C275&amp;"|"&amp;$T275)</f>
        <v/>
      </c>
      <c r="V275" s="14">
        <f>IF($C275="","",$C275&amp;"|"&amp;$T275&amp;"|"&amp;$G275)</f>
        <v/>
      </c>
      <c r="W275" s="14">
        <f>IF($A275="","",IF(OR($B275="",$F275="",$G275="",$H275="",$I275=""),"Faltam campos básicos",IF(AND(OR($F275="Ponto de atenção",$F275="Incidente"),OR($K275="",$L275="",$O275="",$P275="")),"Faltam campos de sinalização","OK")))</f>
        <v/>
      </c>
      <c r="X275" s="14">
        <f>IF($A275="","",IF(AND(OR($F275="Ponto de atenção",$F275="Incidente"),$L275&lt;&gt;"Sim"),"Não",IF(AND($S275="",$W275&lt;&gt;"OK"),"Não","Sim")))</f>
        <v/>
      </c>
      <c r="Y275" s="14">
        <f>IF($C275="",0,IF(COUNTIFS($C$5:$C275,$C275,$D$5:$D275,$D275)=1,1,0))</f>
        <v/>
      </c>
      <c r="Z275" s="14">
        <f>IF($A275="","",IF(Config!$B$7-$T275&gt;2,"Arquivada",IF(Config!$B$7-$T275&gt;0,"Histórico","Ativa")))</f>
        <v/>
      </c>
      <c r="AA275" s="14">
        <f>IF($A275="",0,IF(AND(OR($F275="Ponto de atenção",$F275="Incidente"),$L275="Sim"),1,0))</f>
        <v/>
      </c>
      <c r="AB275" s="14">
        <f>IF(OR($C275="",$C275&lt;&gt;'1a1'!$B$4,$T275&lt;&gt;Config!$B$7),"",COUNTIFS($C$5:$C275,'1a1'!$B$4,$T$5:$T275,Config!$B$7))</f>
        <v/>
      </c>
    </row>
    <row r="276">
      <c r="A276" s="18" t="n"/>
      <c r="B276" s="19" t="n"/>
      <c r="C276" s="14">
        <f>IFERROR(INDEX(Pessoas!$A$5:$A$64,MATCH($B276,Pessoas!$B$5:$B$64,0)),"")</f>
        <v/>
      </c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8" t="n"/>
      <c r="N276" s="19" t="n"/>
      <c r="O276" s="19" t="n"/>
      <c r="P276" s="19" t="n"/>
      <c r="Q276" s="20">
        <f>IF(OR($M276="",$P276=""),"",$M276+IF($P276="7 dias",7,IF($P276="14 dias",14,90)))</f>
        <v/>
      </c>
      <c r="R276" s="19" t="n"/>
      <c r="S276" s="19" t="n"/>
      <c r="T276" s="14">
        <f>IF($A276="","",YEAR($A276)*4+ROUNDUP(MONTH($A276)/3,0))</f>
        <v/>
      </c>
      <c r="U276" s="14">
        <f>IF($C276="","",$C276&amp;"|"&amp;$T276)</f>
        <v/>
      </c>
      <c r="V276" s="14">
        <f>IF($C276="","",$C276&amp;"|"&amp;$T276&amp;"|"&amp;$G276)</f>
        <v/>
      </c>
      <c r="W276" s="14">
        <f>IF($A276="","",IF(OR($B276="",$F276="",$G276="",$H276="",$I276=""),"Faltam campos básicos",IF(AND(OR($F276="Ponto de atenção",$F276="Incidente"),OR($K276="",$L276="",$O276="",$P276="")),"Faltam campos de sinalização","OK")))</f>
        <v/>
      </c>
      <c r="X276" s="14">
        <f>IF($A276="","",IF(AND(OR($F276="Ponto de atenção",$F276="Incidente"),$L276&lt;&gt;"Sim"),"Não",IF(AND($S276="",$W276&lt;&gt;"OK"),"Não","Sim")))</f>
        <v/>
      </c>
      <c r="Y276" s="14">
        <f>IF($C276="",0,IF(COUNTIFS($C$5:$C276,$C276,$D$5:$D276,$D276)=1,1,0))</f>
        <v/>
      </c>
      <c r="Z276" s="14">
        <f>IF($A276="","",IF(Config!$B$7-$T276&gt;2,"Arquivada",IF(Config!$B$7-$T276&gt;0,"Histórico","Ativa")))</f>
        <v/>
      </c>
      <c r="AA276" s="14">
        <f>IF($A276="",0,IF(AND(OR($F276="Ponto de atenção",$F276="Incidente"),$L276="Sim"),1,0))</f>
        <v/>
      </c>
      <c r="AB276" s="14">
        <f>IF(OR($C276="",$C276&lt;&gt;'1a1'!$B$4,$T276&lt;&gt;Config!$B$7),"",COUNTIFS($C$5:$C276,'1a1'!$B$4,$T$5:$T276,Config!$B$7))</f>
        <v/>
      </c>
    </row>
    <row r="277">
      <c r="A277" s="18" t="n"/>
      <c r="B277" s="19" t="n"/>
      <c r="C277" s="14">
        <f>IFERROR(INDEX(Pessoas!$A$5:$A$64,MATCH($B277,Pessoas!$B$5:$B$64,0)),"")</f>
        <v/>
      </c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8" t="n"/>
      <c r="N277" s="19" t="n"/>
      <c r="O277" s="19" t="n"/>
      <c r="P277" s="19" t="n"/>
      <c r="Q277" s="20">
        <f>IF(OR($M277="",$P277=""),"",$M277+IF($P277="7 dias",7,IF($P277="14 dias",14,90)))</f>
        <v/>
      </c>
      <c r="R277" s="19" t="n"/>
      <c r="S277" s="19" t="n"/>
      <c r="T277" s="14">
        <f>IF($A277="","",YEAR($A277)*4+ROUNDUP(MONTH($A277)/3,0))</f>
        <v/>
      </c>
      <c r="U277" s="14">
        <f>IF($C277="","",$C277&amp;"|"&amp;$T277)</f>
        <v/>
      </c>
      <c r="V277" s="14">
        <f>IF($C277="","",$C277&amp;"|"&amp;$T277&amp;"|"&amp;$G277)</f>
        <v/>
      </c>
      <c r="W277" s="14">
        <f>IF($A277="","",IF(OR($B277="",$F277="",$G277="",$H277="",$I277=""),"Faltam campos básicos",IF(AND(OR($F277="Ponto de atenção",$F277="Incidente"),OR($K277="",$L277="",$O277="",$P277="")),"Faltam campos de sinalização","OK")))</f>
        <v/>
      </c>
      <c r="X277" s="14">
        <f>IF($A277="","",IF(AND(OR($F277="Ponto de atenção",$F277="Incidente"),$L277&lt;&gt;"Sim"),"Não",IF(AND($S277="",$W277&lt;&gt;"OK"),"Não","Sim")))</f>
        <v/>
      </c>
      <c r="Y277" s="14">
        <f>IF($C277="",0,IF(COUNTIFS($C$5:$C277,$C277,$D$5:$D277,$D277)=1,1,0))</f>
        <v/>
      </c>
      <c r="Z277" s="14">
        <f>IF($A277="","",IF(Config!$B$7-$T277&gt;2,"Arquivada",IF(Config!$B$7-$T277&gt;0,"Histórico","Ativa")))</f>
        <v/>
      </c>
      <c r="AA277" s="14">
        <f>IF($A277="",0,IF(AND(OR($F277="Ponto de atenção",$F277="Incidente"),$L277="Sim"),1,0))</f>
        <v/>
      </c>
      <c r="AB277" s="14">
        <f>IF(OR($C277="",$C277&lt;&gt;'1a1'!$B$4,$T277&lt;&gt;Config!$B$7),"",COUNTIFS($C$5:$C277,'1a1'!$B$4,$T$5:$T277,Config!$B$7))</f>
        <v/>
      </c>
    </row>
    <row r="278">
      <c r="A278" s="18" t="n"/>
      <c r="B278" s="19" t="n"/>
      <c r="C278" s="14">
        <f>IFERROR(INDEX(Pessoas!$A$5:$A$64,MATCH($B278,Pessoas!$B$5:$B$64,0)),"")</f>
        <v/>
      </c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8" t="n"/>
      <c r="N278" s="19" t="n"/>
      <c r="O278" s="19" t="n"/>
      <c r="P278" s="19" t="n"/>
      <c r="Q278" s="20">
        <f>IF(OR($M278="",$P278=""),"",$M278+IF($P278="7 dias",7,IF($P278="14 dias",14,90)))</f>
        <v/>
      </c>
      <c r="R278" s="19" t="n"/>
      <c r="S278" s="19" t="n"/>
      <c r="T278" s="14">
        <f>IF($A278="","",YEAR($A278)*4+ROUNDUP(MONTH($A278)/3,0))</f>
        <v/>
      </c>
      <c r="U278" s="14">
        <f>IF($C278="","",$C278&amp;"|"&amp;$T278)</f>
        <v/>
      </c>
      <c r="V278" s="14">
        <f>IF($C278="","",$C278&amp;"|"&amp;$T278&amp;"|"&amp;$G278)</f>
        <v/>
      </c>
      <c r="W278" s="14">
        <f>IF($A278="","",IF(OR($B278="",$F278="",$G278="",$H278="",$I278=""),"Faltam campos básicos",IF(AND(OR($F278="Ponto de atenção",$F278="Incidente"),OR($K278="",$L278="",$O278="",$P278="")),"Faltam campos de sinalização","OK")))</f>
        <v/>
      </c>
      <c r="X278" s="14">
        <f>IF($A278="","",IF(AND(OR($F278="Ponto de atenção",$F278="Incidente"),$L278&lt;&gt;"Sim"),"Não",IF(AND($S278="",$W278&lt;&gt;"OK"),"Não","Sim")))</f>
        <v/>
      </c>
      <c r="Y278" s="14">
        <f>IF($C278="",0,IF(COUNTIFS($C$5:$C278,$C278,$D$5:$D278,$D278)=1,1,0))</f>
        <v/>
      </c>
      <c r="Z278" s="14">
        <f>IF($A278="","",IF(Config!$B$7-$T278&gt;2,"Arquivada",IF(Config!$B$7-$T278&gt;0,"Histórico","Ativa")))</f>
        <v/>
      </c>
      <c r="AA278" s="14">
        <f>IF($A278="",0,IF(AND(OR($F278="Ponto de atenção",$F278="Incidente"),$L278="Sim"),1,0))</f>
        <v/>
      </c>
      <c r="AB278" s="14">
        <f>IF(OR($C278="",$C278&lt;&gt;'1a1'!$B$4,$T278&lt;&gt;Config!$B$7),"",COUNTIFS($C$5:$C278,'1a1'!$B$4,$T$5:$T278,Config!$B$7))</f>
        <v/>
      </c>
    </row>
    <row r="279">
      <c r="A279" s="18" t="n"/>
      <c r="B279" s="19" t="n"/>
      <c r="C279" s="14">
        <f>IFERROR(INDEX(Pessoas!$A$5:$A$64,MATCH($B279,Pessoas!$B$5:$B$64,0)),"")</f>
        <v/>
      </c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8" t="n"/>
      <c r="N279" s="19" t="n"/>
      <c r="O279" s="19" t="n"/>
      <c r="P279" s="19" t="n"/>
      <c r="Q279" s="20">
        <f>IF(OR($M279="",$P279=""),"",$M279+IF($P279="7 dias",7,IF($P279="14 dias",14,90)))</f>
        <v/>
      </c>
      <c r="R279" s="19" t="n"/>
      <c r="S279" s="19" t="n"/>
      <c r="T279" s="14">
        <f>IF($A279="","",YEAR($A279)*4+ROUNDUP(MONTH($A279)/3,0))</f>
        <v/>
      </c>
      <c r="U279" s="14">
        <f>IF($C279="","",$C279&amp;"|"&amp;$T279)</f>
        <v/>
      </c>
      <c r="V279" s="14">
        <f>IF($C279="","",$C279&amp;"|"&amp;$T279&amp;"|"&amp;$G279)</f>
        <v/>
      </c>
      <c r="W279" s="14">
        <f>IF($A279="","",IF(OR($B279="",$F279="",$G279="",$H279="",$I279=""),"Faltam campos básicos",IF(AND(OR($F279="Ponto de atenção",$F279="Incidente"),OR($K279="",$L279="",$O279="",$P279="")),"Faltam campos de sinalização","OK")))</f>
        <v/>
      </c>
      <c r="X279" s="14">
        <f>IF($A279="","",IF(AND(OR($F279="Ponto de atenção",$F279="Incidente"),$L279&lt;&gt;"Sim"),"Não",IF(AND($S279="",$W279&lt;&gt;"OK"),"Não","Sim")))</f>
        <v/>
      </c>
      <c r="Y279" s="14">
        <f>IF($C279="",0,IF(COUNTIFS($C$5:$C279,$C279,$D$5:$D279,$D279)=1,1,0))</f>
        <v/>
      </c>
      <c r="Z279" s="14">
        <f>IF($A279="","",IF(Config!$B$7-$T279&gt;2,"Arquivada",IF(Config!$B$7-$T279&gt;0,"Histórico","Ativa")))</f>
        <v/>
      </c>
      <c r="AA279" s="14">
        <f>IF($A279="",0,IF(AND(OR($F279="Ponto de atenção",$F279="Incidente"),$L279="Sim"),1,0))</f>
        <v/>
      </c>
      <c r="AB279" s="14">
        <f>IF(OR($C279="",$C279&lt;&gt;'1a1'!$B$4,$T279&lt;&gt;Config!$B$7),"",COUNTIFS($C$5:$C279,'1a1'!$B$4,$T$5:$T279,Config!$B$7))</f>
        <v/>
      </c>
    </row>
    <row r="280">
      <c r="A280" s="18" t="n"/>
      <c r="B280" s="19" t="n"/>
      <c r="C280" s="14">
        <f>IFERROR(INDEX(Pessoas!$A$5:$A$64,MATCH($B280,Pessoas!$B$5:$B$64,0)),"")</f>
        <v/>
      </c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8" t="n"/>
      <c r="N280" s="19" t="n"/>
      <c r="O280" s="19" t="n"/>
      <c r="P280" s="19" t="n"/>
      <c r="Q280" s="20">
        <f>IF(OR($M280="",$P280=""),"",$M280+IF($P280="7 dias",7,IF($P280="14 dias",14,90)))</f>
        <v/>
      </c>
      <c r="R280" s="19" t="n"/>
      <c r="S280" s="19" t="n"/>
      <c r="T280" s="14">
        <f>IF($A280="","",YEAR($A280)*4+ROUNDUP(MONTH($A280)/3,0))</f>
        <v/>
      </c>
      <c r="U280" s="14">
        <f>IF($C280="","",$C280&amp;"|"&amp;$T280)</f>
        <v/>
      </c>
      <c r="V280" s="14">
        <f>IF($C280="","",$C280&amp;"|"&amp;$T280&amp;"|"&amp;$G280)</f>
        <v/>
      </c>
      <c r="W280" s="14">
        <f>IF($A280="","",IF(OR($B280="",$F280="",$G280="",$H280="",$I280=""),"Faltam campos básicos",IF(AND(OR($F280="Ponto de atenção",$F280="Incidente"),OR($K280="",$L280="",$O280="",$P280="")),"Faltam campos de sinalização","OK")))</f>
        <v/>
      </c>
      <c r="X280" s="14">
        <f>IF($A280="","",IF(AND(OR($F280="Ponto de atenção",$F280="Incidente"),$L280&lt;&gt;"Sim"),"Não",IF(AND($S280="",$W280&lt;&gt;"OK"),"Não","Sim")))</f>
        <v/>
      </c>
      <c r="Y280" s="14">
        <f>IF($C280="",0,IF(COUNTIFS($C$5:$C280,$C280,$D$5:$D280,$D280)=1,1,0))</f>
        <v/>
      </c>
      <c r="Z280" s="14">
        <f>IF($A280="","",IF(Config!$B$7-$T280&gt;2,"Arquivada",IF(Config!$B$7-$T280&gt;0,"Histórico","Ativa")))</f>
        <v/>
      </c>
      <c r="AA280" s="14">
        <f>IF($A280="",0,IF(AND(OR($F280="Ponto de atenção",$F280="Incidente"),$L280="Sim"),1,0))</f>
        <v/>
      </c>
      <c r="AB280" s="14">
        <f>IF(OR($C280="",$C280&lt;&gt;'1a1'!$B$4,$T280&lt;&gt;Config!$B$7),"",COUNTIFS($C$5:$C280,'1a1'!$B$4,$T$5:$T280,Config!$B$7))</f>
        <v/>
      </c>
    </row>
    <row r="281">
      <c r="A281" s="18" t="n"/>
      <c r="B281" s="19" t="n"/>
      <c r="C281" s="14">
        <f>IFERROR(INDEX(Pessoas!$A$5:$A$64,MATCH($B281,Pessoas!$B$5:$B$64,0)),"")</f>
        <v/>
      </c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8" t="n"/>
      <c r="N281" s="19" t="n"/>
      <c r="O281" s="19" t="n"/>
      <c r="P281" s="19" t="n"/>
      <c r="Q281" s="20">
        <f>IF(OR($M281="",$P281=""),"",$M281+IF($P281="7 dias",7,IF($P281="14 dias",14,90)))</f>
        <v/>
      </c>
      <c r="R281" s="19" t="n"/>
      <c r="S281" s="19" t="n"/>
      <c r="T281" s="14">
        <f>IF($A281="","",YEAR($A281)*4+ROUNDUP(MONTH($A281)/3,0))</f>
        <v/>
      </c>
      <c r="U281" s="14">
        <f>IF($C281="","",$C281&amp;"|"&amp;$T281)</f>
        <v/>
      </c>
      <c r="V281" s="14">
        <f>IF($C281="","",$C281&amp;"|"&amp;$T281&amp;"|"&amp;$G281)</f>
        <v/>
      </c>
      <c r="W281" s="14">
        <f>IF($A281="","",IF(OR($B281="",$F281="",$G281="",$H281="",$I281=""),"Faltam campos básicos",IF(AND(OR($F281="Ponto de atenção",$F281="Incidente"),OR($K281="",$L281="",$O281="",$P281="")),"Faltam campos de sinalização","OK")))</f>
        <v/>
      </c>
      <c r="X281" s="14">
        <f>IF($A281="","",IF(AND(OR($F281="Ponto de atenção",$F281="Incidente"),$L281&lt;&gt;"Sim"),"Não",IF(AND($S281="",$W281&lt;&gt;"OK"),"Não","Sim")))</f>
        <v/>
      </c>
      <c r="Y281" s="14">
        <f>IF($C281="",0,IF(COUNTIFS($C$5:$C281,$C281,$D$5:$D281,$D281)=1,1,0))</f>
        <v/>
      </c>
      <c r="Z281" s="14">
        <f>IF($A281="","",IF(Config!$B$7-$T281&gt;2,"Arquivada",IF(Config!$B$7-$T281&gt;0,"Histórico","Ativa")))</f>
        <v/>
      </c>
      <c r="AA281" s="14">
        <f>IF($A281="",0,IF(AND(OR($F281="Ponto de atenção",$F281="Incidente"),$L281="Sim"),1,0))</f>
        <v/>
      </c>
      <c r="AB281" s="14">
        <f>IF(OR($C281="",$C281&lt;&gt;'1a1'!$B$4,$T281&lt;&gt;Config!$B$7),"",COUNTIFS($C$5:$C281,'1a1'!$B$4,$T$5:$T281,Config!$B$7))</f>
        <v/>
      </c>
    </row>
    <row r="282">
      <c r="A282" s="18" t="n"/>
      <c r="B282" s="19" t="n"/>
      <c r="C282" s="14">
        <f>IFERROR(INDEX(Pessoas!$A$5:$A$64,MATCH($B282,Pessoas!$B$5:$B$64,0)),"")</f>
        <v/>
      </c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8" t="n"/>
      <c r="N282" s="19" t="n"/>
      <c r="O282" s="19" t="n"/>
      <c r="P282" s="19" t="n"/>
      <c r="Q282" s="20">
        <f>IF(OR($M282="",$P282=""),"",$M282+IF($P282="7 dias",7,IF($P282="14 dias",14,90)))</f>
        <v/>
      </c>
      <c r="R282" s="19" t="n"/>
      <c r="S282" s="19" t="n"/>
      <c r="T282" s="14">
        <f>IF($A282="","",YEAR($A282)*4+ROUNDUP(MONTH($A282)/3,0))</f>
        <v/>
      </c>
      <c r="U282" s="14">
        <f>IF($C282="","",$C282&amp;"|"&amp;$T282)</f>
        <v/>
      </c>
      <c r="V282" s="14">
        <f>IF($C282="","",$C282&amp;"|"&amp;$T282&amp;"|"&amp;$G282)</f>
        <v/>
      </c>
      <c r="W282" s="14">
        <f>IF($A282="","",IF(OR($B282="",$F282="",$G282="",$H282="",$I282=""),"Faltam campos básicos",IF(AND(OR($F282="Ponto de atenção",$F282="Incidente"),OR($K282="",$L282="",$O282="",$P282="")),"Faltam campos de sinalização","OK")))</f>
        <v/>
      </c>
      <c r="X282" s="14">
        <f>IF($A282="","",IF(AND(OR($F282="Ponto de atenção",$F282="Incidente"),$L282&lt;&gt;"Sim"),"Não",IF(AND($S282="",$W282&lt;&gt;"OK"),"Não","Sim")))</f>
        <v/>
      </c>
      <c r="Y282" s="14">
        <f>IF($C282="",0,IF(COUNTIFS($C$5:$C282,$C282,$D$5:$D282,$D282)=1,1,0))</f>
        <v/>
      </c>
      <c r="Z282" s="14">
        <f>IF($A282="","",IF(Config!$B$7-$T282&gt;2,"Arquivada",IF(Config!$B$7-$T282&gt;0,"Histórico","Ativa")))</f>
        <v/>
      </c>
      <c r="AA282" s="14">
        <f>IF($A282="",0,IF(AND(OR($F282="Ponto de atenção",$F282="Incidente"),$L282="Sim"),1,0))</f>
        <v/>
      </c>
      <c r="AB282" s="14">
        <f>IF(OR($C282="",$C282&lt;&gt;'1a1'!$B$4,$T282&lt;&gt;Config!$B$7),"",COUNTIFS($C$5:$C282,'1a1'!$B$4,$T$5:$T282,Config!$B$7))</f>
        <v/>
      </c>
    </row>
    <row r="283">
      <c r="A283" s="18" t="n"/>
      <c r="B283" s="19" t="n"/>
      <c r="C283" s="14">
        <f>IFERROR(INDEX(Pessoas!$A$5:$A$64,MATCH($B283,Pessoas!$B$5:$B$64,0)),"")</f>
        <v/>
      </c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8" t="n"/>
      <c r="N283" s="19" t="n"/>
      <c r="O283" s="19" t="n"/>
      <c r="P283" s="19" t="n"/>
      <c r="Q283" s="20">
        <f>IF(OR($M283="",$P283=""),"",$M283+IF($P283="7 dias",7,IF($P283="14 dias",14,90)))</f>
        <v/>
      </c>
      <c r="R283" s="19" t="n"/>
      <c r="S283" s="19" t="n"/>
      <c r="T283" s="14">
        <f>IF($A283="","",YEAR($A283)*4+ROUNDUP(MONTH($A283)/3,0))</f>
        <v/>
      </c>
      <c r="U283" s="14">
        <f>IF($C283="","",$C283&amp;"|"&amp;$T283)</f>
        <v/>
      </c>
      <c r="V283" s="14">
        <f>IF($C283="","",$C283&amp;"|"&amp;$T283&amp;"|"&amp;$G283)</f>
        <v/>
      </c>
      <c r="W283" s="14">
        <f>IF($A283="","",IF(OR($B283="",$F283="",$G283="",$H283="",$I283=""),"Faltam campos básicos",IF(AND(OR($F283="Ponto de atenção",$F283="Incidente"),OR($K283="",$L283="",$O283="",$P283="")),"Faltam campos de sinalização","OK")))</f>
        <v/>
      </c>
      <c r="X283" s="14">
        <f>IF($A283="","",IF(AND(OR($F283="Ponto de atenção",$F283="Incidente"),$L283&lt;&gt;"Sim"),"Não",IF(AND($S283="",$W283&lt;&gt;"OK"),"Não","Sim")))</f>
        <v/>
      </c>
      <c r="Y283" s="14">
        <f>IF($C283="",0,IF(COUNTIFS($C$5:$C283,$C283,$D$5:$D283,$D283)=1,1,0))</f>
        <v/>
      </c>
      <c r="Z283" s="14">
        <f>IF($A283="","",IF(Config!$B$7-$T283&gt;2,"Arquivada",IF(Config!$B$7-$T283&gt;0,"Histórico","Ativa")))</f>
        <v/>
      </c>
      <c r="AA283" s="14">
        <f>IF($A283="",0,IF(AND(OR($F283="Ponto de atenção",$F283="Incidente"),$L283="Sim"),1,0))</f>
        <v/>
      </c>
      <c r="AB283" s="14">
        <f>IF(OR($C283="",$C283&lt;&gt;'1a1'!$B$4,$T283&lt;&gt;Config!$B$7),"",COUNTIFS($C$5:$C283,'1a1'!$B$4,$T$5:$T283,Config!$B$7))</f>
        <v/>
      </c>
    </row>
    <row r="284">
      <c r="A284" s="18" t="n"/>
      <c r="B284" s="19" t="n"/>
      <c r="C284" s="14">
        <f>IFERROR(INDEX(Pessoas!$A$5:$A$64,MATCH($B284,Pessoas!$B$5:$B$64,0)),"")</f>
        <v/>
      </c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8" t="n"/>
      <c r="N284" s="19" t="n"/>
      <c r="O284" s="19" t="n"/>
      <c r="P284" s="19" t="n"/>
      <c r="Q284" s="20">
        <f>IF(OR($M284="",$P284=""),"",$M284+IF($P284="7 dias",7,IF($P284="14 dias",14,90)))</f>
        <v/>
      </c>
      <c r="R284" s="19" t="n"/>
      <c r="S284" s="19" t="n"/>
      <c r="T284" s="14">
        <f>IF($A284="","",YEAR($A284)*4+ROUNDUP(MONTH($A284)/3,0))</f>
        <v/>
      </c>
      <c r="U284" s="14">
        <f>IF($C284="","",$C284&amp;"|"&amp;$T284)</f>
        <v/>
      </c>
      <c r="V284" s="14">
        <f>IF($C284="","",$C284&amp;"|"&amp;$T284&amp;"|"&amp;$G284)</f>
        <v/>
      </c>
      <c r="W284" s="14">
        <f>IF($A284="","",IF(OR($B284="",$F284="",$G284="",$H284="",$I284=""),"Faltam campos básicos",IF(AND(OR($F284="Ponto de atenção",$F284="Incidente"),OR($K284="",$L284="",$O284="",$P284="")),"Faltam campos de sinalização","OK")))</f>
        <v/>
      </c>
      <c r="X284" s="14">
        <f>IF($A284="","",IF(AND(OR($F284="Ponto de atenção",$F284="Incidente"),$L284&lt;&gt;"Sim"),"Não",IF(AND($S284="",$W284&lt;&gt;"OK"),"Não","Sim")))</f>
        <v/>
      </c>
      <c r="Y284" s="14">
        <f>IF($C284="",0,IF(COUNTIFS($C$5:$C284,$C284,$D$5:$D284,$D284)=1,1,0))</f>
        <v/>
      </c>
      <c r="Z284" s="14">
        <f>IF($A284="","",IF(Config!$B$7-$T284&gt;2,"Arquivada",IF(Config!$B$7-$T284&gt;0,"Histórico","Ativa")))</f>
        <v/>
      </c>
      <c r="AA284" s="14">
        <f>IF($A284="",0,IF(AND(OR($F284="Ponto de atenção",$F284="Incidente"),$L284="Sim"),1,0))</f>
        <v/>
      </c>
      <c r="AB284" s="14">
        <f>IF(OR($C284="",$C284&lt;&gt;'1a1'!$B$4,$T284&lt;&gt;Config!$B$7),"",COUNTIFS($C$5:$C284,'1a1'!$B$4,$T$5:$T284,Config!$B$7))</f>
        <v/>
      </c>
    </row>
    <row r="285">
      <c r="A285" s="18" t="n"/>
      <c r="B285" s="19" t="n"/>
      <c r="C285" s="14">
        <f>IFERROR(INDEX(Pessoas!$A$5:$A$64,MATCH($B285,Pessoas!$B$5:$B$64,0)),"")</f>
        <v/>
      </c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8" t="n"/>
      <c r="N285" s="19" t="n"/>
      <c r="O285" s="19" t="n"/>
      <c r="P285" s="19" t="n"/>
      <c r="Q285" s="20">
        <f>IF(OR($M285="",$P285=""),"",$M285+IF($P285="7 dias",7,IF($P285="14 dias",14,90)))</f>
        <v/>
      </c>
      <c r="R285" s="19" t="n"/>
      <c r="S285" s="19" t="n"/>
      <c r="T285" s="14">
        <f>IF($A285="","",YEAR($A285)*4+ROUNDUP(MONTH($A285)/3,0))</f>
        <v/>
      </c>
      <c r="U285" s="14">
        <f>IF($C285="","",$C285&amp;"|"&amp;$T285)</f>
        <v/>
      </c>
      <c r="V285" s="14">
        <f>IF($C285="","",$C285&amp;"|"&amp;$T285&amp;"|"&amp;$G285)</f>
        <v/>
      </c>
      <c r="W285" s="14">
        <f>IF($A285="","",IF(OR($B285="",$F285="",$G285="",$H285="",$I285=""),"Faltam campos básicos",IF(AND(OR($F285="Ponto de atenção",$F285="Incidente"),OR($K285="",$L285="",$O285="",$P285="")),"Faltam campos de sinalização","OK")))</f>
        <v/>
      </c>
      <c r="X285" s="14">
        <f>IF($A285="","",IF(AND(OR($F285="Ponto de atenção",$F285="Incidente"),$L285&lt;&gt;"Sim"),"Não",IF(AND($S285="",$W285&lt;&gt;"OK"),"Não","Sim")))</f>
        <v/>
      </c>
      <c r="Y285" s="14">
        <f>IF($C285="",0,IF(COUNTIFS($C$5:$C285,$C285,$D$5:$D285,$D285)=1,1,0))</f>
        <v/>
      </c>
      <c r="Z285" s="14">
        <f>IF($A285="","",IF(Config!$B$7-$T285&gt;2,"Arquivada",IF(Config!$B$7-$T285&gt;0,"Histórico","Ativa")))</f>
        <v/>
      </c>
      <c r="AA285" s="14">
        <f>IF($A285="",0,IF(AND(OR($F285="Ponto de atenção",$F285="Incidente"),$L285="Sim"),1,0))</f>
        <v/>
      </c>
      <c r="AB285" s="14">
        <f>IF(OR($C285="",$C285&lt;&gt;'1a1'!$B$4,$T285&lt;&gt;Config!$B$7),"",COUNTIFS($C$5:$C285,'1a1'!$B$4,$T$5:$T285,Config!$B$7))</f>
        <v/>
      </c>
    </row>
    <row r="286">
      <c r="A286" s="18" t="n"/>
      <c r="B286" s="19" t="n"/>
      <c r="C286" s="14">
        <f>IFERROR(INDEX(Pessoas!$A$5:$A$64,MATCH($B286,Pessoas!$B$5:$B$64,0)),"")</f>
        <v/>
      </c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8" t="n"/>
      <c r="N286" s="19" t="n"/>
      <c r="O286" s="19" t="n"/>
      <c r="P286" s="19" t="n"/>
      <c r="Q286" s="20">
        <f>IF(OR($M286="",$P286=""),"",$M286+IF($P286="7 dias",7,IF($P286="14 dias",14,90)))</f>
        <v/>
      </c>
      <c r="R286" s="19" t="n"/>
      <c r="S286" s="19" t="n"/>
      <c r="T286" s="14">
        <f>IF($A286="","",YEAR($A286)*4+ROUNDUP(MONTH($A286)/3,0))</f>
        <v/>
      </c>
      <c r="U286" s="14">
        <f>IF($C286="","",$C286&amp;"|"&amp;$T286)</f>
        <v/>
      </c>
      <c r="V286" s="14">
        <f>IF($C286="","",$C286&amp;"|"&amp;$T286&amp;"|"&amp;$G286)</f>
        <v/>
      </c>
      <c r="W286" s="14">
        <f>IF($A286="","",IF(OR($B286="",$F286="",$G286="",$H286="",$I286=""),"Faltam campos básicos",IF(AND(OR($F286="Ponto de atenção",$F286="Incidente"),OR($K286="",$L286="",$O286="",$P286="")),"Faltam campos de sinalização","OK")))</f>
        <v/>
      </c>
      <c r="X286" s="14">
        <f>IF($A286="","",IF(AND(OR($F286="Ponto de atenção",$F286="Incidente"),$L286&lt;&gt;"Sim"),"Não",IF(AND($S286="",$W286&lt;&gt;"OK"),"Não","Sim")))</f>
        <v/>
      </c>
      <c r="Y286" s="14">
        <f>IF($C286="",0,IF(COUNTIFS($C$5:$C286,$C286,$D$5:$D286,$D286)=1,1,0))</f>
        <v/>
      </c>
      <c r="Z286" s="14">
        <f>IF($A286="","",IF(Config!$B$7-$T286&gt;2,"Arquivada",IF(Config!$B$7-$T286&gt;0,"Histórico","Ativa")))</f>
        <v/>
      </c>
      <c r="AA286" s="14">
        <f>IF($A286="",0,IF(AND(OR($F286="Ponto de atenção",$F286="Incidente"),$L286="Sim"),1,0))</f>
        <v/>
      </c>
      <c r="AB286" s="14">
        <f>IF(OR($C286="",$C286&lt;&gt;'1a1'!$B$4,$T286&lt;&gt;Config!$B$7),"",COUNTIFS($C$5:$C286,'1a1'!$B$4,$T$5:$T286,Config!$B$7))</f>
        <v/>
      </c>
    </row>
    <row r="287">
      <c r="A287" s="18" t="n"/>
      <c r="B287" s="19" t="n"/>
      <c r="C287" s="14">
        <f>IFERROR(INDEX(Pessoas!$A$5:$A$64,MATCH($B287,Pessoas!$B$5:$B$64,0)),"")</f>
        <v/>
      </c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8" t="n"/>
      <c r="N287" s="19" t="n"/>
      <c r="O287" s="19" t="n"/>
      <c r="P287" s="19" t="n"/>
      <c r="Q287" s="20">
        <f>IF(OR($M287="",$P287=""),"",$M287+IF($P287="7 dias",7,IF($P287="14 dias",14,90)))</f>
        <v/>
      </c>
      <c r="R287" s="19" t="n"/>
      <c r="S287" s="19" t="n"/>
      <c r="T287" s="14">
        <f>IF($A287="","",YEAR($A287)*4+ROUNDUP(MONTH($A287)/3,0))</f>
        <v/>
      </c>
      <c r="U287" s="14">
        <f>IF($C287="","",$C287&amp;"|"&amp;$T287)</f>
        <v/>
      </c>
      <c r="V287" s="14">
        <f>IF($C287="","",$C287&amp;"|"&amp;$T287&amp;"|"&amp;$G287)</f>
        <v/>
      </c>
      <c r="W287" s="14">
        <f>IF($A287="","",IF(OR($B287="",$F287="",$G287="",$H287="",$I287=""),"Faltam campos básicos",IF(AND(OR($F287="Ponto de atenção",$F287="Incidente"),OR($K287="",$L287="",$O287="",$P287="")),"Faltam campos de sinalização","OK")))</f>
        <v/>
      </c>
      <c r="X287" s="14">
        <f>IF($A287="","",IF(AND(OR($F287="Ponto de atenção",$F287="Incidente"),$L287&lt;&gt;"Sim"),"Não",IF(AND($S287="",$W287&lt;&gt;"OK"),"Não","Sim")))</f>
        <v/>
      </c>
      <c r="Y287" s="14">
        <f>IF($C287="",0,IF(COUNTIFS($C$5:$C287,$C287,$D$5:$D287,$D287)=1,1,0))</f>
        <v/>
      </c>
      <c r="Z287" s="14">
        <f>IF($A287="","",IF(Config!$B$7-$T287&gt;2,"Arquivada",IF(Config!$B$7-$T287&gt;0,"Histórico","Ativa")))</f>
        <v/>
      </c>
      <c r="AA287" s="14">
        <f>IF($A287="",0,IF(AND(OR($F287="Ponto de atenção",$F287="Incidente"),$L287="Sim"),1,0))</f>
        <v/>
      </c>
      <c r="AB287" s="14">
        <f>IF(OR($C287="",$C287&lt;&gt;'1a1'!$B$4,$T287&lt;&gt;Config!$B$7),"",COUNTIFS($C$5:$C287,'1a1'!$B$4,$T$5:$T287,Config!$B$7))</f>
        <v/>
      </c>
    </row>
    <row r="288">
      <c r="A288" s="18" t="n"/>
      <c r="B288" s="19" t="n"/>
      <c r="C288" s="14">
        <f>IFERROR(INDEX(Pessoas!$A$5:$A$64,MATCH($B288,Pessoas!$B$5:$B$64,0)),"")</f>
        <v/>
      </c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8" t="n"/>
      <c r="N288" s="19" t="n"/>
      <c r="O288" s="19" t="n"/>
      <c r="P288" s="19" t="n"/>
      <c r="Q288" s="20">
        <f>IF(OR($M288="",$P288=""),"",$M288+IF($P288="7 dias",7,IF($P288="14 dias",14,90)))</f>
        <v/>
      </c>
      <c r="R288" s="19" t="n"/>
      <c r="S288" s="19" t="n"/>
      <c r="T288" s="14">
        <f>IF($A288="","",YEAR($A288)*4+ROUNDUP(MONTH($A288)/3,0))</f>
        <v/>
      </c>
      <c r="U288" s="14">
        <f>IF($C288="","",$C288&amp;"|"&amp;$T288)</f>
        <v/>
      </c>
      <c r="V288" s="14">
        <f>IF($C288="","",$C288&amp;"|"&amp;$T288&amp;"|"&amp;$G288)</f>
        <v/>
      </c>
      <c r="W288" s="14">
        <f>IF($A288="","",IF(OR($B288="",$F288="",$G288="",$H288="",$I288=""),"Faltam campos básicos",IF(AND(OR($F288="Ponto de atenção",$F288="Incidente"),OR($K288="",$L288="",$O288="",$P288="")),"Faltam campos de sinalização","OK")))</f>
        <v/>
      </c>
      <c r="X288" s="14">
        <f>IF($A288="","",IF(AND(OR($F288="Ponto de atenção",$F288="Incidente"),$L288&lt;&gt;"Sim"),"Não",IF(AND($S288="",$W288&lt;&gt;"OK"),"Não","Sim")))</f>
        <v/>
      </c>
      <c r="Y288" s="14">
        <f>IF($C288="",0,IF(COUNTIFS($C$5:$C288,$C288,$D$5:$D288,$D288)=1,1,0))</f>
        <v/>
      </c>
      <c r="Z288" s="14">
        <f>IF($A288="","",IF(Config!$B$7-$T288&gt;2,"Arquivada",IF(Config!$B$7-$T288&gt;0,"Histórico","Ativa")))</f>
        <v/>
      </c>
      <c r="AA288" s="14">
        <f>IF($A288="",0,IF(AND(OR($F288="Ponto de atenção",$F288="Incidente"),$L288="Sim"),1,0))</f>
        <v/>
      </c>
      <c r="AB288" s="14">
        <f>IF(OR($C288="",$C288&lt;&gt;'1a1'!$B$4,$T288&lt;&gt;Config!$B$7),"",COUNTIFS($C$5:$C288,'1a1'!$B$4,$T$5:$T288,Config!$B$7))</f>
        <v/>
      </c>
    </row>
    <row r="289">
      <c r="A289" s="18" t="n"/>
      <c r="B289" s="19" t="n"/>
      <c r="C289" s="14">
        <f>IFERROR(INDEX(Pessoas!$A$5:$A$64,MATCH($B289,Pessoas!$B$5:$B$64,0)),"")</f>
        <v/>
      </c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8" t="n"/>
      <c r="N289" s="19" t="n"/>
      <c r="O289" s="19" t="n"/>
      <c r="P289" s="19" t="n"/>
      <c r="Q289" s="20">
        <f>IF(OR($M289="",$P289=""),"",$M289+IF($P289="7 dias",7,IF($P289="14 dias",14,90)))</f>
        <v/>
      </c>
      <c r="R289" s="19" t="n"/>
      <c r="S289" s="19" t="n"/>
      <c r="T289" s="14">
        <f>IF($A289="","",YEAR($A289)*4+ROUNDUP(MONTH($A289)/3,0))</f>
        <v/>
      </c>
      <c r="U289" s="14">
        <f>IF($C289="","",$C289&amp;"|"&amp;$T289)</f>
        <v/>
      </c>
      <c r="V289" s="14">
        <f>IF($C289="","",$C289&amp;"|"&amp;$T289&amp;"|"&amp;$G289)</f>
        <v/>
      </c>
      <c r="W289" s="14">
        <f>IF($A289="","",IF(OR($B289="",$F289="",$G289="",$H289="",$I289=""),"Faltam campos básicos",IF(AND(OR($F289="Ponto de atenção",$F289="Incidente"),OR($K289="",$L289="",$O289="",$P289="")),"Faltam campos de sinalização","OK")))</f>
        <v/>
      </c>
      <c r="X289" s="14">
        <f>IF($A289="","",IF(AND(OR($F289="Ponto de atenção",$F289="Incidente"),$L289&lt;&gt;"Sim"),"Não",IF(AND($S289="",$W289&lt;&gt;"OK"),"Não","Sim")))</f>
        <v/>
      </c>
      <c r="Y289" s="14">
        <f>IF($C289="",0,IF(COUNTIFS($C$5:$C289,$C289,$D$5:$D289,$D289)=1,1,0))</f>
        <v/>
      </c>
      <c r="Z289" s="14">
        <f>IF($A289="","",IF(Config!$B$7-$T289&gt;2,"Arquivada",IF(Config!$B$7-$T289&gt;0,"Histórico","Ativa")))</f>
        <v/>
      </c>
      <c r="AA289" s="14">
        <f>IF($A289="",0,IF(AND(OR($F289="Ponto de atenção",$F289="Incidente"),$L289="Sim"),1,0))</f>
        <v/>
      </c>
      <c r="AB289" s="14">
        <f>IF(OR($C289="",$C289&lt;&gt;'1a1'!$B$4,$T289&lt;&gt;Config!$B$7),"",COUNTIFS($C$5:$C289,'1a1'!$B$4,$T$5:$T289,Config!$B$7))</f>
        <v/>
      </c>
    </row>
    <row r="290">
      <c r="A290" s="18" t="n"/>
      <c r="B290" s="19" t="n"/>
      <c r="C290" s="14">
        <f>IFERROR(INDEX(Pessoas!$A$5:$A$64,MATCH($B290,Pessoas!$B$5:$B$64,0)),"")</f>
        <v/>
      </c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8" t="n"/>
      <c r="N290" s="19" t="n"/>
      <c r="O290" s="19" t="n"/>
      <c r="P290" s="19" t="n"/>
      <c r="Q290" s="20">
        <f>IF(OR($M290="",$P290=""),"",$M290+IF($P290="7 dias",7,IF($P290="14 dias",14,90)))</f>
        <v/>
      </c>
      <c r="R290" s="19" t="n"/>
      <c r="S290" s="19" t="n"/>
      <c r="T290" s="14">
        <f>IF($A290="","",YEAR($A290)*4+ROUNDUP(MONTH($A290)/3,0))</f>
        <v/>
      </c>
      <c r="U290" s="14">
        <f>IF($C290="","",$C290&amp;"|"&amp;$T290)</f>
        <v/>
      </c>
      <c r="V290" s="14">
        <f>IF($C290="","",$C290&amp;"|"&amp;$T290&amp;"|"&amp;$G290)</f>
        <v/>
      </c>
      <c r="W290" s="14">
        <f>IF($A290="","",IF(OR($B290="",$F290="",$G290="",$H290="",$I290=""),"Faltam campos básicos",IF(AND(OR($F290="Ponto de atenção",$F290="Incidente"),OR($K290="",$L290="",$O290="",$P290="")),"Faltam campos de sinalização","OK")))</f>
        <v/>
      </c>
      <c r="X290" s="14">
        <f>IF($A290="","",IF(AND(OR($F290="Ponto de atenção",$F290="Incidente"),$L290&lt;&gt;"Sim"),"Não",IF(AND($S290="",$W290&lt;&gt;"OK"),"Não","Sim")))</f>
        <v/>
      </c>
      <c r="Y290" s="14">
        <f>IF($C290="",0,IF(COUNTIFS($C$5:$C290,$C290,$D$5:$D290,$D290)=1,1,0))</f>
        <v/>
      </c>
      <c r="Z290" s="14">
        <f>IF($A290="","",IF(Config!$B$7-$T290&gt;2,"Arquivada",IF(Config!$B$7-$T290&gt;0,"Histórico","Ativa")))</f>
        <v/>
      </c>
      <c r="AA290" s="14">
        <f>IF($A290="",0,IF(AND(OR($F290="Ponto de atenção",$F290="Incidente"),$L290="Sim"),1,0))</f>
        <v/>
      </c>
      <c r="AB290" s="14">
        <f>IF(OR($C290="",$C290&lt;&gt;'1a1'!$B$4,$T290&lt;&gt;Config!$B$7),"",COUNTIFS($C$5:$C290,'1a1'!$B$4,$T$5:$T290,Config!$B$7))</f>
        <v/>
      </c>
    </row>
    <row r="291">
      <c r="A291" s="18" t="n"/>
      <c r="B291" s="19" t="n"/>
      <c r="C291" s="14">
        <f>IFERROR(INDEX(Pessoas!$A$5:$A$64,MATCH($B291,Pessoas!$B$5:$B$64,0)),"")</f>
        <v/>
      </c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8" t="n"/>
      <c r="N291" s="19" t="n"/>
      <c r="O291" s="19" t="n"/>
      <c r="P291" s="19" t="n"/>
      <c r="Q291" s="20">
        <f>IF(OR($M291="",$P291=""),"",$M291+IF($P291="7 dias",7,IF($P291="14 dias",14,90)))</f>
        <v/>
      </c>
      <c r="R291" s="19" t="n"/>
      <c r="S291" s="19" t="n"/>
      <c r="T291" s="14">
        <f>IF($A291="","",YEAR($A291)*4+ROUNDUP(MONTH($A291)/3,0))</f>
        <v/>
      </c>
      <c r="U291" s="14">
        <f>IF($C291="","",$C291&amp;"|"&amp;$T291)</f>
        <v/>
      </c>
      <c r="V291" s="14">
        <f>IF($C291="","",$C291&amp;"|"&amp;$T291&amp;"|"&amp;$G291)</f>
        <v/>
      </c>
      <c r="W291" s="14">
        <f>IF($A291="","",IF(OR($B291="",$F291="",$G291="",$H291="",$I291=""),"Faltam campos básicos",IF(AND(OR($F291="Ponto de atenção",$F291="Incidente"),OR($K291="",$L291="",$O291="",$P291="")),"Faltam campos de sinalização","OK")))</f>
        <v/>
      </c>
      <c r="X291" s="14">
        <f>IF($A291="","",IF(AND(OR($F291="Ponto de atenção",$F291="Incidente"),$L291&lt;&gt;"Sim"),"Não",IF(AND($S291="",$W291&lt;&gt;"OK"),"Não","Sim")))</f>
        <v/>
      </c>
      <c r="Y291" s="14">
        <f>IF($C291="",0,IF(COUNTIFS($C$5:$C291,$C291,$D$5:$D291,$D291)=1,1,0))</f>
        <v/>
      </c>
      <c r="Z291" s="14">
        <f>IF($A291="","",IF(Config!$B$7-$T291&gt;2,"Arquivada",IF(Config!$B$7-$T291&gt;0,"Histórico","Ativa")))</f>
        <v/>
      </c>
      <c r="AA291" s="14">
        <f>IF($A291="",0,IF(AND(OR($F291="Ponto de atenção",$F291="Incidente"),$L291="Sim"),1,0))</f>
        <v/>
      </c>
      <c r="AB291" s="14">
        <f>IF(OR($C291="",$C291&lt;&gt;'1a1'!$B$4,$T291&lt;&gt;Config!$B$7),"",COUNTIFS($C$5:$C291,'1a1'!$B$4,$T$5:$T291,Config!$B$7))</f>
        <v/>
      </c>
    </row>
    <row r="292">
      <c r="A292" s="18" t="n"/>
      <c r="B292" s="19" t="n"/>
      <c r="C292" s="14">
        <f>IFERROR(INDEX(Pessoas!$A$5:$A$64,MATCH($B292,Pessoas!$B$5:$B$64,0)),"")</f>
        <v/>
      </c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8" t="n"/>
      <c r="N292" s="19" t="n"/>
      <c r="O292" s="19" t="n"/>
      <c r="P292" s="19" t="n"/>
      <c r="Q292" s="20">
        <f>IF(OR($M292="",$P292=""),"",$M292+IF($P292="7 dias",7,IF($P292="14 dias",14,90)))</f>
        <v/>
      </c>
      <c r="R292" s="19" t="n"/>
      <c r="S292" s="19" t="n"/>
      <c r="T292" s="14">
        <f>IF($A292="","",YEAR($A292)*4+ROUNDUP(MONTH($A292)/3,0))</f>
        <v/>
      </c>
      <c r="U292" s="14">
        <f>IF($C292="","",$C292&amp;"|"&amp;$T292)</f>
        <v/>
      </c>
      <c r="V292" s="14">
        <f>IF($C292="","",$C292&amp;"|"&amp;$T292&amp;"|"&amp;$G292)</f>
        <v/>
      </c>
      <c r="W292" s="14">
        <f>IF($A292="","",IF(OR($B292="",$F292="",$G292="",$H292="",$I292=""),"Faltam campos básicos",IF(AND(OR($F292="Ponto de atenção",$F292="Incidente"),OR($K292="",$L292="",$O292="",$P292="")),"Faltam campos de sinalização","OK")))</f>
        <v/>
      </c>
      <c r="X292" s="14">
        <f>IF($A292="","",IF(AND(OR($F292="Ponto de atenção",$F292="Incidente"),$L292&lt;&gt;"Sim"),"Não",IF(AND($S292="",$W292&lt;&gt;"OK"),"Não","Sim")))</f>
        <v/>
      </c>
      <c r="Y292" s="14">
        <f>IF($C292="",0,IF(COUNTIFS($C$5:$C292,$C292,$D$5:$D292,$D292)=1,1,0))</f>
        <v/>
      </c>
      <c r="Z292" s="14">
        <f>IF($A292="","",IF(Config!$B$7-$T292&gt;2,"Arquivada",IF(Config!$B$7-$T292&gt;0,"Histórico","Ativa")))</f>
        <v/>
      </c>
      <c r="AA292" s="14">
        <f>IF($A292="",0,IF(AND(OR($F292="Ponto de atenção",$F292="Incidente"),$L292="Sim"),1,0))</f>
        <v/>
      </c>
      <c r="AB292" s="14">
        <f>IF(OR($C292="",$C292&lt;&gt;'1a1'!$B$4,$T292&lt;&gt;Config!$B$7),"",COUNTIFS($C$5:$C292,'1a1'!$B$4,$T$5:$T292,Config!$B$7))</f>
        <v/>
      </c>
    </row>
    <row r="293">
      <c r="A293" s="18" t="n"/>
      <c r="B293" s="19" t="n"/>
      <c r="C293" s="14">
        <f>IFERROR(INDEX(Pessoas!$A$5:$A$64,MATCH($B293,Pessoas!$B$5:$B$64,0)),"")</f>
        <v/>
      </c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8" t="n"/>
      <c r="N293" s="19" t="n"/>
      <c r="O293" s="19" t="n"/>
      <c r="P293" s="19" t="n"/>
      <c r="Q293" s="20">
        <f>IF(OR($M293="",$P293=""),"",$M293+IF($P293="7 dias",7,IF($P293="14 dias",14,90)))</f>
        <v/>
      </c>
      <c r="R293" s="19" t="n"/>
      <c r="S293" s="19" t="n"/>
      <c r="T293" s="14">
        <f>IF($A293="","",YEAR($A293)*4+ROUNDUP(MONTH($A293)/3,0))</f>
        <v/>
      </c>
      <c r="U293" s="14">
        <f>IF($C293="","",$C293&amp;"|"&amp;$T293)</f>
        <v/>
      </c>
      <c r="V293" s="14">
        <f>IF($C293="","",$C293&amp;"|"&amp;$T293&amp;"|"&amp;$G293)</f>
        <v/>
      </c>
      <c r="W293" s="14">
        <f>IF($A293="","",IF(OR($B293="",$F293="",$G293="",$H293="",$I293=""),"Faltam campos básicos",IF(AND(OR($F293="Ponto de atenção",$F293="Incidente"),OR($K293="",$L293="",$O293="",$P293="")),"Faltam campos de sinalização","OK")))</f>
        <v/>
      </c>
      <c r="X293" s="14">
        <f>IF($A293="","",IF(AND(OR($F293="Ponto de atenção",$F293="Incidente"),$L293&lt;&gt;"Sim"),"Não",IF(AND($S293="",$W293&lt;&gt;"OK"),"Não","Sim")))</f>
        <v/>
      </c>
      <c r="Y293" s="14">
        <f>IF($C293="",0,IF(COUNTIFS($C$5:$C293,$C293,$D$5:$D293,$D293)=1,1,0))</f>
        <v/>
      </c>
      <c r="Z293" s="14">
        <f>IF($A293="","",IF(Config!$B$7-$T293&gt;2,"Arquivada",IF(Config!$B$7-$T293&gt;0,"Histórico","Ativa")))</f>
        <v/>
      </c>
      <c r="AA293" s="14">
        <f>IF($A293="",0,IF(AND(OR($F293="Ponto de atenção",$F293="Incidente"),$L293="Sim"),1,0))</f>
        <v/>
      </c>
      <c r="AB293" s="14">
        <f>IF(OR($C293="",$C293&lt;&gt;'1a1'!$B$4,$T293&lt;&gt;Config!$B$7),"",COUNTIFS($C$5:$C293,'1a1'!$B$4,$T$5:$T293,Config!$B$7))</f>
        <v/>
      </c>
    </row>
    <row r="294">
      <c r="A294" s="18" t="n"/>
      <c r="B294" s="19" t="n"/>
      <c r="C294" s="14">
        <f>IFERROR(INDEX(Pessoas!$A$5:$A$64,MATCH($B294,Pessoas!$B$5:$B$64,0)),"")</f>
        <v/>
      </c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8" t="n"/>
      <c r="N294" s="19" t="n"/>
      <c r="O294" s="19" t="n"/>
      <c r="P294" s="19" t="n"/>
      <c r="Q294" s="20">
        <f>IF(OR($M294="",$P294=""),"",$M294+IF($P294="7 dias",7,IF($P294="14 dias",14,90)))</f>
        <v/>
      </c>
      <c r="R294" s="19" t="n"/>
      <c r="S294" s="19" t="n"/>
      <c r="T294" s="14">
        <f>IF($A294="","",YEAR($A294)*4+ROUNDUP(MONTH($A294)/3,0))</f>
        <v/>
      </c>
      <c r="U294" s="14">
        <f>IF($C294="","",$C294&amp;"|"&amp;$T294)</f>
        <v/>
      </c>
      <c r="V294" s="14">
        <f>IF($C294="","",$C294&amp;"|"&amp;$T294&amp;"|"&amp;$G294)</f>
        <v/>
      </c>
      <c r="W294" s="14">
        <f>IF($A294="","",IF(OR($B294="",$F294="",$G294="",$H294="",$I294=""),"Faltam campos básicos",IF(AND(OR($F294="Ponto de atenção",$F294="Incidente"),OR($K294="",$L294="",$O294="",$P294="")),"Faltam campos de sinalização","OK")))</f>
        <v/>
      </c>
      <c r="X294" s="14">
        <f>IF($A294="","",IF(AND(OR($F294="Ponto de atenção",$F294="Incidente"),$L294&lt;&gt;"Sim"),"Não",IF(AND($S294="",$W294&lt;&gt;"OK"),"Não","Sim")))</f>
        <v/>
      </c>
      <c r="Y294" s="14">
        <f>IF($C294="",0,IF(COUNTIFS($C$5:$C294,$C294,$D$5:$D294,$D294)=1,1,0))</f>
        <v/>
      </c>
      <c r="Z294" s="14">
        <f>IF($A294="","",IF(Config!$B$7-$T294&gt;2,"Arquivada",IF(Config!$B$7-$T294&gt;0,"Histórico","Ativa")))</f>
        <v/>
      </c>
      <c r="AA294" s="14">
        <f>IF($A294="",0,IF(AND(OR($F294="Ponto de atenção",$F294="Incidente"),$L294="Sim"),1,0))</f>
        <v/>
      </c>
      <c r="AB294" s="14">
        <f>IF(OR($C294="",$C294&lt;&gt;'1a1'!$B$4,$T294&lt;&gt;Config!$B$7),"",COUNTIFS($C$5:$C294,'1a1'!$B$4,$T$5:$T294,Config!$B$7))</f>
        <v/>
      </c>
    </row>
    <row r="295">
      <c r="A295" s="18" t="n"/>
      <c r="B295" s="19" t="n"/>
      <c r="C295" s="14">
        <f>IFERROR(INDEX(Pessoas!$A$5:$A$64,MATCH($B295,Pessoas!$B$5:$B$64,0)),"")</f>
        <v/>
      </c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8" t="n"/>
      <c r="N295" s="19" t="n"/>
      <c r="O295" s="19" t="n"/>
      <c r="P295" s="19" t="n"/>
      <c r="Q295" s="20">
        <f>IF(OR($M295="",$P295=""),"",$M295+IF($P295="7 dias",7,IF($P295="14 dias",14,90)))</f>
        <v/>
      </c>
      <c r="R295" s="19" t="n"/>
      <c r="S295" s="19" t="n"/>
      <c r="T295" s="14">
        <f>IF($A295="","",YEAR($A295)*4+ROUNDUP(MONTH($A295)/3,0))</f>
        <v/>
      </c>
      <c r="U295" s="14">
        <f>IF($C295="","",$C295&amp;"|"&amp;$T295)</f>
        <v/>
      </c>
      <c r="V295" s="14">
        <f>IF($C295="","",$C295&amp;"|"&amp;$T295&amp;"|"&amp;$G295)</f>
        <v/>
      </c>
      <c r="W295" s="14">
        <f>IF($A295="","",IF(OR($B295="",$F295="",$G295="",$H295="",$I295=""),"Faltam campos básicos",IF(AND(OR($F295="Ponto de atenção",$F295="Incidente"),OR($K295="",$L295="",$O295="",$P295="")),"Faltam campos de sinalização","OK")))</f>
        <v/>
      </c>
      <c r="X295" s="14">
        <f>IF($A295="","",IF(AND(OR($F295="Ponto de atenção",$F295="Incidente"),$L295&lt;&gt;"Sim"),"Não",IF(AND($S295="",$W295&lt;&gt;"OK"),"Não","Sim")))</f>
        <v/>
      </c>
      <c r="Y295" s="14">
        <f>IF($C295="",0,IF(COUNTIFS($C$5:$C295,$C295,$D$5:$D295,$D295)=1,1,0))</f>
        <v/>
      </c>
      <c r="Z295" s="14">
        <f>IF($A295="","",IF(Config!$B$7-$T295&gt;2,"Arquivada",IF(Config!$B$7-$T295&gt;0,"Histórico","Ativa")))</f>
        <v/>
      </c>
      <c r="AA295" s="14">
        <f>IF($A295="",0,IF(AND(OR($F295="Ponto de atenção",$F295="Incidente"),$L295="Sim"),1,0))</f>
        <v/>
      </c>
      <c r="AB295" s="14">
        <f>IF(OR($C295="",$C295&lt;&gt;'1a1'!$B$4,$T295&lt;&gt;Config!$B$7),"",COUNTIFS($C$5:$C295,'1a1'!$B$4,$T$5:$T295,Config!$B$7))</f>
        <v/>
      </c>
    </row>
    <row r="296">
      <c r="A296" s="18" t="n"/>
      <c r="B296" s="19" t="n"/>
      <c r="C296" s="14">
        <f>IFERROR(INDEX(Pessoas!$A$5:$A$64,MATCH($B296,Pessoas!$B$5:$B$64,0)),"")</f>
        <v/>
      </c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8" t="n"/>
      <c r="N296" s="19" t="n"/>
      <c r="O296" s="19" t="n"/>
      <c r="P296" s="19" t="n"/>
      <c r="Q296" s="20">
        <f>IF(OR($M296="",$P296=""),"",$M296+IF($P296="7 dias",7,IF($P296="14 dias",14,90)))</f>
        <v/>
      </c>
      <c r="R296" s="19" t="n"/>
      <c r="S296" s="19" t="n"/>
      <c r="T296" s="14">
        <f>IF($A296="","",YEAR($A296)*4+ROUNDUP(MONTH($A296)/3,0))</f>
        <v/>
      </c>
      <c r="U296" s="14">
        <f>IF($C296="","",$C296&amp;"|"&amp;$T296)</f>
        <v/>
      </c>
      <c r="V296" s="14">
        <f>IF($C296="","",$C296&amp;"|"&amp;$T296&amp;"|"&amp;$G296)</f>
        <v/>
      </c>
      <c r="W296" s="14">
        <f>IF($A296="","",IF(OR($B296="",$F296="",$G296="",$H296="",$I296=""),"Faltam campos básicos",IF(AND(OR($F296="Ponto de atenção",$F296="Incidente"),OR($K296="",$L296="",$O296="",$P296="")),"Faltam campos de sinalização","OK")))</f>
        <v/>
      </c>
      <c r="X296" s="14">
        <f>IF($A296="","",IF(AND(OR($F296="Ponto de atenção",$F296="Incidente"),$L296&lt;&gt;"Sim"),"Não",IF(AND($S296="",$W296&lt;&gt;"OK"),"Não","Sim")))</f>
        <v/>
      </c>
      <c r="Y296" s="14">
        <f>IF($C296="",0,IF(COUNTIFS($C$5:$C296,$C296,$D$5:$D296,$D296)=1,1,0))</f>
        <v/>
      </c>
      <c r="Z296" s="14">
        <f>IF($A296="","",IF(Config!$B$7-$T296&gt;2,"Arquivada",IF(Config!$B$7-$T296&gt;0,"Histórico","Ativa")))</f>
        <v/>
      </c>
      <c r="AA296" s="14">
        <f>IF($A296="",0,IF(AND(OR($F296="Ponto de atenção",$F296="Incidente"),$L296="Sim"),1,0))</f>
        <v/>
      </c>
      <c r="AB296" s="14">
        <f>IF(OR($C296="",$C296&lt;&gt;'1a1'!$B$4,$T296&lt;&gt;Config!$B$7),"",COUNTIFS($C$5:$C296,'1a1'!$B$4,$T$5:$T296,Config!$B$7))</f>
        <v/>
      </c>
    </row>
    <row r="297">
      <c r="A297" s="18" t="n"/>
      <c r="B297" s="19" t="n"/>
      <c r="C297" s="14">
        <f>IFERROR(INDEX(Pessoas!$A$5:$A$64,MATCH($B297,Pessoas!$B$5:$B$64,0)),"")</f>
        <v/>
      </c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8" t="n"/>
      <c r="N297" s="19" t="n"/>
      <c r="O297" s="19" t="n"/>
      <c r="P297" s="19" t="n"/>
      <c r="Q297" s="20">
        <f>IF(OR($M297="",$P297=""),"",$M297+IF($P297="7 dias",7,IF($P297="14 dias",14,90)))</f>
        <v/>
      </c>
      <c r="R297" s="19" t="n"/>
      <c r="S297" s="19" t="n"/>
      <c r="T297" s="14">
        <f>IF($A297="","",YEAR($A297)*4+ROUNDUP(MONTH($A297)/3,0))</f>
        <v/>
      </c>
      <c r="U297" s="14">
        <f>IF($C297="","",$C297&amp;"|"&amp;$T297)</f>
        <v/>
      </c>
      <c r="V297" s="14">
        <f>IF($C297="","",$C297&amp;"|"&amp;$T297&amp;"|"&amp;$G297)</f>
        <v/>
      </c>
      <c r="W297" s="14">
        <f>IF($A297="","",IF(OR($B297="",$F297="",$G297="",$H297="",$I297=""),"Faltam campos básicos",IF(AND(OR($F297="Ponto de atenção",$F297="Incidente"),OR($K297="",$L297="",$O297="",$P297="")),"Faltam campos de sinalização","OK")))</f>
        <v/>
      </c>
      <c r="X297" s="14">
        <f>IF($A297="","",IF(AND(OR($F297="Ponto de atenção",$F297="Incidente"),$L297&lt;&gt;"Sim"),"Não",IF(AND($S297="",$W297&lt;&gt;"OK"),"Não","Sim")))</f>
        <v/>
      </c>
      <c r="Y297" s="14">
        <f>IF($C297="",0,IF(COUNTIFS($C$5:$C297,$C297,$D$5:$D297,$D297)=1,1,0))</f>
        <v/>
      </c>
      <c r="Z297" s="14">
        <f>IF($A297="","",IF(Config!$B$7-$T297&gt;2,"Arquivada",IF(Config!$B$7-$T297&gt;0,"Histórico","Ativa")))</f>
        <v/>
      </c>
      <c r="AA297" s="14">
        <f>IF($A297="",0,IF(AND(OR($F297="Ponto de atenção",$F297="Incidente"),$L297="Sim"),1,0))</f>
        <v/>
      </c>
      <c r="AB297" s="14">
        <f>IF(OR($C297="",$C297&lt;&gt;'1a1'!$B$4,$T297&lt;&gt;Config!$B$7),"",COUNTIFS($C$5:$C297,'1a1'!$B$4,$T$5:$T297,Config!$B$7))</f>
        <v/>
      </c>
    </row>
    <row r="298">
      <c r="A298" s="18" t="n"/>
      <c r="B298" s="19" t="n"/>
      <c r="C298" s="14">
        <f>IFERROR(INDEX(Pessoas!$A$5:$A$64,MATCH($B298,Pessoas!$B$5:$B$64,0)),"")</f>
        <v/>
      </c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8" t="n"/>
      <c r="N298" s="19" t="n"/>
      <c r="O298" s="19" t="n"/>
      <c r="P298" s="19" t="n"/>
      <c r="Q298" s="20">
        <f>IF(OR($M298="",$P298=""),"",$M298+IF($P298="7 dias",7,IF($P298="14 dias",14,90)))</f>
        <v/>
      </c>
      <c r="R298" s="19" t="n"/>
      <c r="S298" s="19" t="n"/>
      <c r="T298" s="14">
        <f>IF($A298="","",YEAR($A298)*4+ROUNDUP(MONTH($A298)/3,0))</f>
        <v/>
      </c>
      <c r="U298" s="14">
        <f>IF($C298="","",$C298&amp;"|"&amp;$T298)</f>
        <v/>
      </c>
      <c r="V298" s="14">
        <f>IF($C298="","",$C298&amp;"|"&amp;$T298&amp;"|"&amp;$G298)</f>
        <v/>
      </c>
      <c r="W298" s="14">
        <f>IF($A298="","",IF(OR($B298="",$F298="",$G298="",$H298="",$I298=""),"Faltam campos básicos",IF(AND(OR($F298="Ponto de atenção",$F298="Incidente"),OR($K298="",$L298="",$O298="",$P298="")),"Faltam campos de sinalização","OK")))</f>
        <v/>
      </c>
      <c r="X298" s="14">
        <f>IF($A298="","",IF(AND(OR($F298="Ponto de atenção",$F298="Incidente"),$L298&lt;&gt;"Sim"),"Não",IF(AND($S298="",$W298&lt;&gt;"OK"),"Não","Sim")))</f>
        <v/>
      </c>
      <c r="Y298" s="14">
        <f>IF($C298="",0,IF(COUNTIFS($C$5:$C298,$C298,$D$5:$D298,$D298)=1,1,0))</f>
        <v/>
      </c>
      <c r="Z298" s="14">
        <f>IF($A298="","",IF(Config!$B$7-$T298&gt;2,"Arquivada",IF(Config!$B$7-$T298&gt;0,"Histórico","Ativa")))</f>
        <v/>
      </c>
      <c r="AA298" s="14">
        <f>IF($A298="",0,IF(AND(OR($F298="Ponto de atenção",$F298="Incidente"),$L298="Sim"),1,0))</f>
        <v/>
      </c>
      <c r="AB298" s="14">
        <f>IF(OR($C298="",$C298&lt;&gt;'1a1'!$B$4,$T298&lt;&gt;Config!$B$7),"",COUNTIFS($C$5:$C298,'1a1'!$B$4,$T$5:$T298,Config!$B$7))</f>
        <v/>
      </c>
    </row>
    <row r="299">
      <c r="A299" s="18" t="n"/>
      <c r="B299" s="19" t="n"/>
      <c r="C299" s="14">
        <f>IFERROR(INDEX(Pessoas!$A$5:$A$64,MATCH($B299,Pessoas!$B$5:$B$64,0)),"")</f>
        <v/>
      </c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8" t="n"/>
      <c r="N299" s="19" t="n"/>
      <c r="O299" s="19" t="n"/>
      <c r="P299" s="19" t="n"/>
      <c r="Q299" s="20">
        <f>IF(OR($M299="",$P299=""),"",$M299+IF($P299="7 dias",7,IF($P299="14 dias",14,90)))</f>
        <v/>
      </c>
      <c r="R299" s="19" t="n"/>
      <c r="S299" s="19" t="n"/>
      <c r="T299" s="14">
        <f>IF($A299="","",YEAR($A299)*4+ROUNDUP(MONTH($A299)/3,0))</f>
        <v/>
      </c>
      <c r="U299" s="14">
        <f>IF($C299="","",$C299&amp;"|"&amp;$T299)</f>
        <v/>
      </c>
      <c r="V299" s="14">
        <f>IF($C299="","",$C299&amp;"|"&amp;$T299&amp;"|"&amp;$G299)</f>
        <v/>
      </c>
      <c r="W299" s="14">
        <f>IF($A299="","",IF(OR($B299="",$F299="",$G299="",$H299="",$I299=""),"Faltam campos básicos",IF(AND(OR($F299="Ponto de atenção",$F299="Incidente"),OR($K299="",$L299="",$O299="",$P299="")),"Faltam campos de sinalização","OK")))</f>
        <v/>
      </c>
      <c r="X299" s="14">
        <f>IF($A299="","",IF(AND(OR($F299="Ponto de atenção",$F299="Incidente"),$L299&lt;&gt;"Sim"),"Não",IF(AND($S299="",$W299&lt;&gt;"OK"),"Não","Sim")))</f>
        <v/>
      </c>
      <c r="Y299" s="14">
        <f>IF($C299="",0,IF(COUNTIFS($C$5:$C299,$C299,$D$5:$D299,$D299)=1,1,0))</f>
        <v/>
      </c>
      <c r="Z299" s="14">
        <f>IF($A299="","",IF(Config!$B$7-$T299&gt;2,"Arquivada",IF(Config!$B$7-$T299&gt;0,"Histórico","Ativa")))</f>
        <v/>
      </c>
      <c r="AA299" s="14">
        <f>IF($A299="",0,IF(AND(OR($F299="Ponto de atenção",$F299="Incidente"),$L299="Sim"),1,0))</f>
        <v/>
      </c>
      <c r="AB299" s="14">
        <f>IF(OR($C299="",$C299&lt;&gt;'1a1'!$B$4,$T299&lt;&gt;Config!$B$7),"",COUNTIFS($C$5:$C299,'1a1'!$B$4,$T$5:$T299,Config!$B$7))</f>
        <v/>
      </c>
    </row>
    <row r="300">
      <c r="A300" s="18" t="n"/>
      <c r="B300" s="19" t="n"/>
      <c r="C300" s="14">
        <f>IFERROR(INDEX(Pessoas!$A$5:$A$64,MATCH($B300,Pessoas!$B$5:$B$64,0)),"")</f>
        <v/>
      </c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8" t="n"/>
      <c r="N300" s="19" t="n"/>
      <c r="O300" s="19" t="n"/>
      <c r="P300" s="19" t="n"/>
      <c r="Q300" s="20">
        <f>IF(OR($M300="",$P300=""),"",$M300+IF($P300="7 dias",7,IF($P300="14 dias",14,90)))</f>
        <v/>
      </c>
      <c r="R300" s="19" t="n"/>
      <c r="S300" s="19" t="n"/>
      <c r="T300" s="14">
        <f>IF($A300="","",YEAR($A300)*4+ROUNDUP(MONTH($A300)/3,0))</f>
        <v/>
      </c>
      <c r="U300" s="14">
        <f>IF($C300="","",$C300&amp;"|"&amp;$T300)</f>
        <v/>
      </c>
      <c r="V300" s="14">
        <f>IF($C300="","",$C300&amp;"|"&amp;$T300&amp;"|"&amp;$G300)</f>
        <v/>
      </c>
      <c r="W300" s="14">
        <f>IF($A300="","",IF(OR($B300="",$F300="",$G300="",$H300="",$I300=""),"Faltam campos básicos",IF(AND(OR($F300="Ponto de atenção",$F300="Incidente"),OR($K300="",$L300="",$O300="",$P300="")),"Faltam campos de sinalização","OK")))</f>
        <v/>
      </c>
      <c r="X300" s="14">
        <f>IF($A300="","",IF(AND(OR($F300="Ponto de atenção",$F300="Incidente"),$L300&lt;&gt;"Sim"),"Não",IF(AND($S300="",$W300&lt;&gt;"OK"),"Não","Sim")))</f>
        <v/>
      </c>
      <c r="Y300" s="14">
        <f>IF($C300="",0,IF(COUNTIFS($C$5:$C300,$C300,$D$5:$D300,$D300)=1,1,0))</f>
        <v/>
      </c>
      <c r="Z300" s="14">
        <f>IF($A300="","",IF(Config!$B$7-$T300&gt;2,"Arquivada",IF(Config!$B$7-$T300&gt;0,"Histórico","Ativa")))</f>
        <v/>
      </c>
      <c r="AA300" s="14">
        <f>IF($A300="",0,IF(AND(OR($F300="Ponto de atenção",$F300="Incidente"),$L300="Sim"),1,0))</f>
        <v/>
      </c>
      <c r="AB300" s="14">
        <f>IF(OR($C300="",$C300&lt;&gt;'1a1'!$B$4,$T300&lt;&gt;Config!$B$7),"",COUNTIFS($C$5:$C300,'1a1'!$B$4,$T$5:$T300,Config!$B$7))</f>
        <v/>
      </c>
    </row>
    <row r="301">
      <c r="A301" s="18" t="n"/>
      <c r="B301" s="19" t="n"/>
      <c r="C301" s="14">
        <f>IFERROR(INDEX(Pessoas!$A$5:$A$64,MATCH($B301,Pessoas!$B$5:$B$64,0)),"")</f>
        <v/>
      </c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8" t="n"/>
      <c r="N301" s="19" t="n"/>
      <c r="O301" s="19" t="n"/>
      <c r="P301" s="19" t="n"/>
      <c r="Q301" s="20">
        <f>IF(OR($M301="",$P301=""),"",$M301+IF($P301="7 dias",7,IF($P301="14 dias",14,90)))</f>
        <v/>
      </c>
      <c r="R301" s="19" t="n"/>
      <c r="S301" s="19" t="n"/>
      <c r="T301" s="14">
        <f>IF($A301="","",YEAR($A301)*4+ROUNDUP(MONTH($A301)/3,0))</f>
        <v/>
      </c>
      <c r="U301" s="14">
        <f>IF($C301="","",$C301&amp;"|"&amp;$T301)</f>
        <v/>
      </c>
      <c r="V301" s="14">
        <f>IF($C301="","",$C301&amp;"|"&amp;$T301&amp;"|"&amp;$G301)</f>
        <v/>
      </c>
      <c r="W301" s="14">
        <f>IF($A301="","",IF(OR($B301="",$F301="",$G301="",$H301="",$I301=""),"Faltam campos básicos",IF(AND(OR($F301="Ponto de atenção",$F301="Incidente"),OR($K301="",$L301="",$O301="",$P301="")),"Faltam campos de sinalização","OK")))</f>
        <v/>
      </c>
      <c r="X301" s="14">
        <f>IF($A301="","",IF(AND(OR($F301="Ponto de atenção",$F301="Incidente"),$L301&lt;&gt;"Sim"),"Não",IF(AND($S301="",$W301&lt;&gt;"OK"),"Não","Sim")))</f>
        <v/>
      </c>
      <c r="Y301" s="14">
        <f>IF($C301="",0,IF(COUNTIFS($C$5:$C301,$C301,$D$5:$D301,$D301)=1,1,0))</f>
        <v/>
      </c>
      <c r="Z301" s="14">
        <f>IF($A301="","",IF(Config!$B$7-$T301&gt;2,"Arquivada",IF(Config!$B$7-$T301&gt;0,"Histórico","Ativa")))</f>
        <v/>
      </c>
      <c r="AA301" s="14">
        <f>IF($A301="",0,IF(AND(OR($F301="Ponto de atenção",$F301="Incidente"),$L301="Sim"),1,0))</f>
        <v/>
      </c>
      <c r="AB301" s="14">
        <f>IF(OR($C301="",$C301&lt;&gt;'1a1'!$B$4,$T301&lt;&gt;Config!$B$7),"",COUNTIFS($C$5:$C301,'1a1'!$B$4,$T$5:$T301,Config!$B$7))</f>
        <v/>
      </c>
    </row>
    <row r="302">
      <c r="A302" s="18" t="n"/>
      <c r="B302" s="19" t="n"/>
      <c r="C302" s="14">
        <f>IFERROR(INDEX(Pessoas!$A$5:$A$64,MATCH($B302,Pessoas!$B$5:$B$64,0)),"")</f>
        <v/>
      </c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8" t="n"/>
      <c r="N302" s="19" t="n"/>
      <c r="O302" s="19" t="n"/>
      <c r="P302" s="19" t="n"/>
      <c r="Q302" s="20">
        <f>IF(OR($M302="",$P302=""),"",$M302+IF($P302="7 dias",7,IF($P302="14 dias",14,90)))</f>
        <v/>
      </c>
      <c r="R302" s="19" t="n"/>
      <c r="S302" s="19" t="n"/>
      <c r="T302" s="14">
        <f>IF($A302="","",YEAR($A302)*4+ROUNDUP(MONTH($A302)/3,0))</f>
        <v/>
      </c>
      <c r="U302" s="14">
        <f>IF($C302="","",$C302&amp;"|"&amp;$T302)</f>
        <v/>
      </c>
      <c r="V302" s="14">
        <f>IF($C302="","",$C302&amp;"|"&amp;$T302&amp;"|"&amp;$G302)</f>
        <v/>
      </c>
      <c r="W302" s="14">
        <f>IF($A302="","",IF(OR($B302="",$F302="",$G302="",$H302="",$I302=""),"Faltam campos básicos",IF(AND(OR($F302="Ponto de atenção",$F302="Incidente"),OR($K302="",$L302="",$O302="",$P302="")),"Faltam campos de sinalização","OK")))</f>
        <v/>
      </c>
      <c r="X302" s="14">
        <f>IF($A302="","",IF(AND(OR($F302="Ponto de atenção",$F302="Incidente"),$L302&lt;&gt;"Sim"),"Não",IF(AND($S302="",$W302&lt;&gt;"OK"),"Não","Sim")))</f>
        <v/>
      </c>
      <c r="Y302" s="14">
        <f>IF($C302="",0,IF(COUNTIFS($C$5:$C302,$C302,$D$5:$D302,$D302)=1,1,0))</f>
        <v/>
      </c>
      <c r="Z302" s="14">
        <f>IF($A302="","",IF(Config!$B$7-$T302&gt;2,"Arquivada",IF(Config!$B$7-$T302&gt;0,"Histórico","Ativa")))</f>
        <v/>
      </c>
      <c r="AA302" s="14">
        <f>IF($A302="",0,IF(AND(OR($F302="Ponto de atenção",$F302="Incidente"),$L302="Sim"),1,0))</f>
        <v/>
      </c>
      <c r="AB302" s="14">
        <f>IF(OR($C302="",$C302&lt;&gt;'1a1'!$B$4,$T302&lt;&gt;Config!$B$7),"",COUNTIFS($C$5:$C302,'1a1'!$B$4,$T$5:$T302,Config!$B$7))</f>
        <v/>
      </c>
    </row>
    <row r="303">
      <c r="A303" s="18" t="n"/>
      <c r="B303" s="19" t="n"/>
      <c r="C303" s="14">
        <f>IFERROR(INDEX(Pessoas!$A$5:$A$64,MATCH($B303,Pessoas!$B$5:$B$64,0)),"")</f>
        <v/>
      </c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8" t="n"/>
      <c r="N303" s="19" t="n"/>
      <c r="O303" s="19" t="n"/>
      <c r="P303" s="19" t="n"/>
      <c r="Q303" s="20">
        <f>IF(OR($M303="",$P303=""),"",$M303+IF($P303="7 dias",7,IF($P303="14 dias",14,90)))</f>
        <v/>
      </c>
      <c r="R303" s="19" t="n"/>
      <c r="S303" s="19" t="n"/>
      <c r="T303" s="14">
        <f>IF($A303="","",YEAR($A303)*4+ROUNDUP(MONTH($A303)/3,0))</f>
        <v/>
      </c>
      <c r="U303" s="14">
        <f>IF($C303="","",$C303&amp;"|"&amp;$T303)</f>
        <v/>
      </c>
      <c r="V303" s="14">
        <f>IF($C303="","",$C303&amp;"|"&amp;$T303&amp;"|"&amp;$G303)</f>
        <v/>
      </c>
      <c r="W303" s="14">
        <f>IF($A303="","",IF(OR($B303="",$F303="",$G303="",$H303="",$I303=""),"Faltam campos básicos",IF(AND(OR($F303="Ponto de atenção",$F303="Incidente"),OR($K303="",$L303="",$O303="",$P303="")),"Faltam campos de sinalização","OK")))</f>
        <v/>
      </c>
      <c r="X303" s="14">
        <f>IF($A303="","",IF(AND(OR($F303="Ponto de atenção",$F303="Incidente"),$L303&lt;&gt;"Sim"),"Não",IF(AND($S303="",$W303&lt;&gt;"OK"),"Não","Sim")))</f>
        <v/>
      </c>
      <c r="Y303" s="14">
        <f>IF($C303="",0,IF(COUNTIFS($C$5:$C303,$C303,$D$5:$D303,$D303)=1,1,0))</f>
        <v/>
      </c>
      <c r="Z303" s="14">
        <f>IF($A303="","",IF(Config!$B$7-$T303&gt;2,"Arquivada",IF(Config!$B$7-$T303&gt;0,"Histórico","Ativa")))</f>
        <v/>
      </c>
      <c r="AA303" s="14">
        <f>IF($A303="",0,IF(AND(OR($F303="Ponto de atenção",$F303="Incidente"),$L303="Sim"),1,0))</f>
        <v/>
      </c>
      <c r="AB303" s="14">
        <f>IF(OR($C303="",$C303&lt;&gt;'1a1'!$B$4,$T303&lt;&gt;Config!$B$7),"",COUNTIFS($C$5:$C303,'1a1'!$B$4,$T$5:$T303,Config!$B$7))</f>
        <v/>
      </c>
    </row>
    <row r="304">
      <c r="A304" s="18" t="n"/>
      <c r="B304" s="19" t="n"/>
      <c r="C304" s="14">
        <f>IFERROR(INDEX(Pessoas!$A$5:$A$64,MATCH($B304,Pessoas!$B$5:$B$64,0)),"")</f>
        <v/>
      </c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8" t="n"/>
      <c r="N304" s="19" t="n"/>
      <c r="O304" s="19" t="n"/>
      <c r="P304" s="19" t="n"/>
      <c r="Q304" s="20">
        <f>IF(OR($M304="",$P304=""),"",$M304+IF($P304="7 dias",7,IF($P304="14 dias",14,90)))</f>
        <v/>
      </c>
      <c r="R304" s="19" t="n"/>
      <c r="S304" s="19" t="n"/>
      <c r="T304" s="14">
        <f>IF($A304="","",YEAR($A304)*4+ROUNDUP(MONTH($A304)/3,0))</f>
        <v/>
      </c>
      <c r="U304" s="14">
        <f>IF($C304="","",$C304&amp;"|"&amp;$T304)</f>
        <v/>
      </c>
      <c r="V304" s="14">
        <f>IF($C304="","",$C304&amp;"|"&amp;$T304&amp;"|"&amp;$G304)</f>
        <v/>
      </c>
      <c r="W304" s="14">
        <f>IF($A304="","",IF(OR($B304="",$F304="",$G304="",$H304="",$I304=""),"Faltam campos básicos",IF(AND(OR($F304="Ponto de atenção",$F304="Incidente"),OR($K304="",$L304="",$O304="",$P304="")),"Faltam campos de sinalização","OK")))</f>
        <v/>
      </c>
      <c r="X304" s="14">
        <f>IF($A304="","",IF(AND(OR($F304="Ponto de atenção",$F304="Incidente"),$L304&lt;&gt;"Sim"),"Não",IF(AND($S304="",$W304&lt;&gt;"OK"),"Não","Sim")))</f>
        <v/>
      </c>
      <c r="Y304" s="14">
        <f>IF($C304="",0,IF(COUNTIFS($C$5:$C304,$C304,$D$5:$D304,$D304)=1,1,0))</f>
        <v/>
      </c>
      <c r="Z304" s="14">
        <f>IF($A304="","",IF(Config!$B$7-$T304&gt;2,"Arquivada",IF(Config!$B$7-$T304&gt;0,"Histórico","Ativa")))</f>
        <v/>
      </c>
      <c r="AA304" s="14">
        <f>IF($A304="",0,IF(AND(OR($F304="Ponto de atenção",$F304="Incidente"),$L304="Sim"),1,0))</f>
        <v/>
      </c>
      <c r="AB304" s="14">
        <f>IF(OR($C304="",$C304&lt;&gt;'1a1'!$B$4,$T304&lt;&gt;Config!$B$7),"",COUNTIFS($C$5:$C304,'1a1'!$B$4,$T$5:$T304,Config!$B$7))</f>
        <v/>
      </c>
    </row>
    <row r="305">
      <c r="A305" s="18" t="n"/>
      <c r="B305" s="19" t="n"/>
      <c r="C305" s="14">
        <f>IFERROR(INDEX(Pessoas!$A$5:$A$64,MATCH($B305,Pessoas!$B$5:$B$64,0)),"")</f>
        <v/>
      </c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8" t="n"/>
      <c r="N305" s="19" t="n"/>
      <c r="O305" s="19" t="n"/>
      <c r="P305" s="19" t="n"/>
      <c r="Q305" s="20">
        <f>IF(OR($M305="",$P305=""),"",$M305+IF($P305="7 dias",7,IF($P305="14 dias",14,90)))</f>
        <v/>
      </c>
      <c r="R305" s="19" t="n"/>
      <c r="S305" s="19" t="n"/>
      <c r="T305" s="14">
        <f>IF($A305="","",YEAR($A305)*4+ROUNDUP(MONTH($A305)/3,0))</f>
        <v/>
      </c>
      <c r="U305" s="14">
        <f>IF($C305="","",$C305&amp;"|"&amp;$T305)</f>
        <v/>
      </c>
      <c r="V305" s="14">
        <f>IF($C305="","",$C305&amp;"|"&amp;$T305&amp;"|"&amp;$G305)</f>
        <v/>
      </c>
      <c r="W305" s="14">
        <f>IF($A305="","",IF(OR($B305="",$F305="",$G305="",$H305="",$I305=""),"Faltam campos básicos",IF(AND(OR($F305="Ponto de atenção",$F305="Incidente"),OR($K305="",$L305="",$O305="",$P305="")),"Faltam campos de sinalização","OK")))</f>
        <v/>
      </c>
      <c r="X305" s="14">
        <f>IF($A305="","",IF(AND(OR($F305="Ponto de atenção",$F305="Incidente"),$L305&lt;&gt;"Sim"),"Não",IF(AND($S305="",$W305&lt;&gt;"OK"),"Não","Sim")))</f>
        <v/>
      </c>
      <c r="Y305" s="14">
        <f>IF($C305="",0,IF(COUNTIFS($C$5:$C305,$C305,$D$5:$D305,$D305)=1,1,0))</f>
        <v/>
      </c>
      <c r="Z305" s="14">
        <f>IF($A305="","",IF(Config!$B$7-$T305&gt;2,"Arquivada",IF(Config!$B$7-$T305&gt;0,"Histórico","Ativa")))</f>
        <v/>
      </c>
      <c r="AA305" s="14">
        <f>IF($A305="",0,IF(AND(OR($F305="Ponto de atenção",$F305="Incidente"),$L305="Sim"),1,0))</f>
        <v/>
      </c>
      <c r="AB305" s="14">
        <f>IF(OR($C305="",$C305&lt;&gt;'1a1'!$B$4,$T305&lt;&gt;Config!$B$7),"",COUNTIFS($C$5:$C305,'1a1'!$B$4,$T$5:$T305,Config!$B$7))</f>
        <v/>
      </c>
    </row>
    <row r="306">
      <c r="A306" s="18" t="n"/>
      <c r="B306" s="19" t="n"/>
      <c r="C306" s="14">
        <f>IFERROR(INDEX(Pessoas!$A$5:$A$64,MATCH($B306,Pessoas!$B$5:$B$64,0)),"")</f>
        <v/>
      </c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8" t="n"/>
      <c r="N306" s="19" t="n"/>
      <c r="O306" s="19" t="n"/>
      <c r="P306" s="19" t="n"/>
      <c r="Q306" s="20">
        <f>IF(OR($M306="",$P306=""),"",$M306+IF($P306="7 dias",7,IF($P306="14 dias",14,90)))</f>
        <v/>
      </c>
      <c r="R306" s="19" t="n"/>
      <c r="S306" s="19" t="n"/>
      <c r="T306" s="14">
        <f>IF($A306="","",YEAR($A306)*4+ROUNDUP(MONTH($A306)/3,0))</f>
        <v/>
      </c>
      <c r="U306" s="14">
        <f>IF($C306="","",$C306&amp;"|"&amp;$T306)</f>
        <v/>
      </c>
      <c r="V306" s="14">
        <f>IF($C306="","",$C306&amp;"|"&amp;$T306&amp;"|"&amp;$G306)</f>
        <v/>
      </c>
      <c r="W306" s="14">
        <f>IF($A306="","",IF(OR($B306="",$F306="",$G306="",$H306="",$I306=""),"Faltam campos básicos",IF(AND(OR($F306="Ponto de atenção",$F306="Incidente"),OR($K306="",$L306="",$O306="",$P306="")),"Faltam campos de sinalização","OK")))</f>
        <v/>
      </c>
      <c r="X306" s="14">
        <f>IF($A306="","",IF(AND(OR($F306="Ponto de atenção",$F306="Incidente"),$L306&lt;&gt;"Sim"),"Não",IF(AND($S306="",$W306&lt;&gt;"OK"),"Não","Sim")))</f>
        <v/>
      </c>
      <c r="Y306" s="14">
        <f>IF($C306="",0,IF(COUNTIFS($C$5:$C306,$C306,$D$5:$D306,$D306)=1,1,0))</f>
        <v/>
      </c>
      <c r="Z306" s="14">
        <f>IF($A306="","",IF(Config!$B$7-$T306&gt;2,"Arquivada",IF(Config!$B$7-$T306&gt;0,"Histórico","Ativa")))</f>
        <v/>
      </c>
      <c r="AA306" s="14">
        <f>IF($A306="",0,IF(AND(OR($F306="Ponto de atenção",$F306="Incidente"),$L306="Sim"),1,0))</f>
        <v/>
      </c>
      <c r="AB306" s="14">
        <f>IF(OR($C306="",$C306&lt;&gt;'1a1'!$B$4,$T306&lt;&gt;Config!$B$7),"",COUNTIFS($C$5:$C306,'1a1'!$B$4,$T$5:$T306,Config!$B$7))</f>
        <v/>
      </c>
    </row>
    <row r="307">
      <c r="A307" s="18" t="n"/>
      <c r="B307" s="19" t="n"/>
      <c r="C307" s="14">
        <f>IFERROR(INDEX(Pessoas!$A$5:$A$64,MATCH($B307,Pessoas!$B$5:$B$64,0)),"")</f>
        <v/>
      </c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8" t="n"/>
      <c r="N307" s="19" t="n"/>
      <c r="O307" s="19" t="n"/>
      <c r="P307" s="19" t="n"/>
      <c r="Q307" s="20">
        <f>IF(OR($M307="",$P307=""),"",$M307+IF($P307="7 dias",7,IF($P307="14 dias",14,90)))</f>
        <v/>
      </c>
      <c r="R307" s="19" t="n"/>
      <c r="S307" s="19" t="n"/>
      <c r="T307" s="14">
        <f>IF($A307="","",YEAR($A307)*4+ROUNDUP(MONTH($A307)/3,0))</f>
        <v/>
      </c>
      <c r="U307" s="14">
        <f>IF($C307="","",$C307&amp;"|"&amp;$T307)</f>
        <v/>
      </c>
      <c r="V307" s="14">
        <f>IF($C307="","",$C307&amp;"|"&amp;$T307&amp;"|"&amp;$G307)</f>
        <v/>
      </c>
      <c r="W307" s="14">
        <f>IF($A307="","",IF(OR($B307="",$F307="",$G307="",$H307="",$I307=""),"Faltam campos básicos",IF(AND(OR($F307="Ponto de atenção",$F307="Incidente"),OR($K307="",$L307="",$O307="",$P307="")),"Faltam campos de sinalização","OK")))</f>
        <v/>
      </c>
      <c r="X307" s="14">
        <f>IF($A307="","",IF(AND(OR($F307="Ponto de atenção",$F307="Incidente"),$L307&lt;&gt;"Sim"),"Não",IF(AND($S307="",$W307&lt;&gt;"OK"),"Não","Sim")))</f>
        <v/>
      </c>
      <c r="Y307" s="14">
        <f>IF($C307="",0,IF(COUNTIFS($C$5:$C307,$C307,$D$5:$D307,$D307)=1,1,0))</f>
        <v/>
      </c>
      <c r="Z307" s="14">
        <f>IF($A307="","",IF(Config!$B$7-$T307&gt;2,"Arquivada",IF(Config!$B$7-$T307&gt;0,"Histórico","Ativa")))</f>
        <v/>
      </c>
      <c r="AA307" s="14">
        <f>IF($A307="",0,IF(AND(OR($F307="Ponto de atenção",$F307="Incidente"),$L307="Sim"),1,0))</f>
        <v/>
      </c>
      <c r="AB307" s="14">
        <f>IF(OR($C307="",$C307&lt;&gt;'1a1'!$B$4,$T307&lt;&gt;Config!$B$7),"",COUNTIFS($C$5:$C307,'1a1'!$B$4,$T$5:$T307,Config!$B$7))</f>
        <v/>
      </c>
    </row>
    <row r="308">
      <c r="A308" s="18" t="n"/>
      <c r="B308" s="19" t="n"/>
      <c r="C308" s="14">
        <f>IFERROR(INDEX(Pessoas!$A$5:$A$64,MATCH($B308,Pessoas!$B$5:$B$64,0)),"")</f>
        <v/>
      </c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8" t="n"/>
      <c r="N308" s="19" t="n"/>
      <c r="O308" s="19" t="n"/>
      <c r="P308" s="19" t="n"/>
      <c r="Q308" s="20">
        <f>IF(OR($M308="",$P308=""),"",$M308+IF($P308="7 dias",7,IF($P308="14 dias",14,90)))</f>
        <v/>
      </c>
      <c r="R308" s="19" t="n"/>
      <c r="S308" s="19" t="n"/>
      <c r="T308" s="14">
        <f>IF($A308="","",YEAR($A308)*4+ROUNDUP(MONTH($A308)/3,0))</f>
        <v/>
      </c>
      <c r="U308" s="14">
        <f>IF($C308="","",$C308&amp;"|"&amp;$T308)</f>
        <v/>
      </c>
      <c r="V308" s="14">
        <f>IF($C308="","",$C308&amp;"|"&amp;$T308&amp;"|"&amp;$G308)</f>
        <v/>
      </c>
      <c r="W308" s="14">
        <f>IF($A308="","",IF(OR($B308="",$F308="",$G308="",$H308="",$I308=""),"Faltam campos básicos",IF(AND(OR($F308="Ponto de atenção",$F308="Incidente"),OR($K308="",$L308="",$O308="",$P308="")),"Faltam campos de sinalização","OK")))</f>
        <v/>
      </c>
      <c r="X308" s="14">
        <f>IF($A308="","",IF(AND(OR($F308="Ponto de atenção",$F308="Incidente"),$L308&lt;&gt;"Sim"),"Não",IF(AND($S308="",$W308&lt;&gt;"OK"),"Não","Sim")))</f>
        <v/>
      </c>
      <c r="Y308" s="14">
        <f>IF($C308="",0,IF(COUNTIFS($C$5:$C308,$C308,$D$5:$D308,$D308)=1,1,0))</f>
        <v/>
      </c>
      <c r="Z308" s="14">
        <f>IF($A308="","",IF(Config!$B$7-$T308&gt;2,"Arquivada",IF(Config!$B$7-$T308&gt;0,"Histórico","Ativa")))</f>
        <v/>
      </c>
      <c r="AA308" s="14">
        <f>IF($A308="",0,IF(AND(OR($F308="Ponto de atenção",$F308="Incidente"),$L308="Sim"),1,0))</f>
        <v/>
      </c>
      <c r="AB308" s="14">
        <f>IF(OR($C308="",$C308&lt;&gt;'1a1'!$B$4,$T308&lt;&gt;Config!$B$7),"",COUNTIFS($C$5:$C308,'1a1'!$B$4,$T$5:$T308,Config!$B$7))</f>
        <v/>
      </c>
    </row>
    <row r="309">
      <c r="A309" s="18" t="n"/>
      <c r="B309" s="19" t="n"/>
      <c r="C309" s="14">
        <f>IFERROR(INDEX(Pessoas!$A$5:$A$64,MATCH($B309,Pessoas!$B$5:$B$64,0)),"")</f>
        <v/>
      </c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8" t="n"/>
      <c r="N309" s="19" t="n"/>
      <c r="O309" s="19" t="n"/>
      <c r="P309" s="19" t="n"/>
      <c r="Q309" s="20">
        <f>IF(OR($M309="",$P309=""),"",$M309+IF($P309="7 dias",7,IF($P309="14 dias",14,90)))</f>
        <v/>
      </c>
      <c r="R309" s="19" t="n"/>
      <c r="S309" s="19" t="n"/>
      <c r="T309" s="14">
        <f>IF($A309="","",YEAR($A309)*4+ROUNDUP(MONTH($A309)/3,0))</f>
        <v/>
      </c>
      <c r="U309" s="14">
        <f>IF($C309="","",$C309&amp;"|"&amp;$T309)</f>
        <v/>
      </c>
      <c r="V309" s="14">
        <f>IF($C309="","",$C309&amp;"|"&amp;$T309&amp;"|"&amp;$G309)</f>
        <v/>
      </c>
      <c r="W309" s="14">
        <f>IF($A309="","",IF(OR($B309="",$F309="",$G309="",$H309="",$I309=""),"Faltam campos básicos",IF(AND(OR($F309="Ponto de atenção",$F309="Incidente"),OR($K309="",$L309="",$O309="",$P309="")),"Faltam campos de sinalização","OK")))</f>
        <v/>
      </c>
      <c r="X309" s="14">
        <f>IF($A309="","",IF(AND(OR($F309="Ponto de atenção",$F309="Incidente"),$L309&lt;&gt;"Sim"),"Não",IF(AND($S309="",$W309&lt;&gt;"OK"),"Não","Sim")))</f>
        <v/>
      </c>
      <c r="Y309" s="14">
        <f>IF($C309="",0,IF(COUNTIFS($C$5:$C309,$C309,$D$5:$D309,$D309)=1,1,0))</f>
        <v/>
      </c>
      <c r="Z309" s="14">
        <f>IF($A309="","",IF(Config!$B$7-$T309&gt;2,"Arquivada",IF(Config!$B$7-$T309&gt;0,"Histórico","Ativa")))</f>
        <v/>
      </c>
      <c r="AA309" s="14">
        <f>IF($A309="",0,IF(AND(OR($F309="Ponto de atenção",$F309="Incidente"),$L309="Sim"),1,0))</f>
        <v/>
      </c>
      <c r="AB309" s="14">
        <f>IF(OR($C309="",$C309&lt;&gt;'1a1'!$B$4,$T309&lt;&gt;Config!$B$7),"",COUNTIFS($C$5:$C309,'1a1'!$B$4,$T$5:$T309,Config!$B$7))</f>
        <v/>
      </c>
    </row>
    <row r="310">
      <c r="A310" s="18" t="n"/>
      <c r="B310" s="19" t="n"/>
      <c r="C310" s="14">
        <f>IFERROR(INDEX(Pessoas!$A$5:$A$64,MATCH($B310,Pessoas!$B$5:$B$64,0)),"")</f>
        <v/>
      </c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8" t="n"/>
      <c r="N310" s="19" t="n"/>
      <c r="O310" s="19" t="n"/>
      <c r="P310" s="19" t="n"/>
      <c r="Q310" s="20">
        <f>IF(OR($M310="",$P310=""),"",$M310+IF($P310="7 dias",7,IF($P310="14 dias",14,90)))</f>
        <v/>
      </c>
      <c r="R310" s="19" t="n"/>
      <c r="S310" s="19" t="n"/>
      <c r="T310" s="14">
        <f>IF($A310="","",YEAR($A310)*4+ROUNDUP(MONTH($A310)/3,0))</f>
        <v/>
      </c>
      <c r="U310" s="14">
        <f>IF($C310="","",$C310&amp;"|"&amp;$T310)</f>
        <v/>
      </c>
      <c r="V310" s="14">
        <f>IF($C310="","",$C310&amp;"|"&amp;$T310&amp;"|"&amp;$G310)</f>
        <v/>
      </c>
      <c r="W310" s="14">
        <f>IF($A310="","",IF(OR($B310="",$F310="",$G310="",$H310="",$I310=""),"Faltam campos básicos",IF(AND(OR($F310="Ponto de atenção",$F310="Incidente"),OR($K310="",$L310="",$O310="",$P310="")),"Faltam campos de sinalização","OK")))</f>
        <v/>
      </c>
      <c r="X310" s="14">
        <f>IF($A310="","",IF(AND(OR($F310="Ponto de atenção",$F310="Incidente"),$L310&lt;&gt;"Sim"),"Não",IF(AND($S310="",$W310&lt;&gt;"OK"),"Não","Sim")))</f>
        <v/>
      </c>
      <c r="Y310" s="14">
        <f>IF($C310="",0,IF(COUNTIFS($C$5:$C310,$C310,$D$5:$D310,$D310)=1,1,0))</f>
        <v/>
      </c>
      <c r="Z310" s="14">
        <f>IF($A310="","",IF(Config!$B$7-$T310&gt;2,"Arquivada",IF(Config!$B$7-$T310&gt;0,"Histórico","Ativa")))</f>
        <v/>
      </c>
      <c r="AA310" s="14">
        <f>IF($A310="",0,IF(AND(OR($F310="Ponto de atenção",$F310="Incidente"),$L310="Sim"),1,0))</f>
        <v/>
      </c>
      <c r="AB310" s="14">
        <f>IF(OR($C310="",$C310&lt;&gt;'1a1'!$B$4,$T310&lt;&gt;Config!$B$7),"",COUNTIFS($C$5:$C310,'1a1'!$B$4,$T$5:$T310,Config!$B$7))</f>
        <v/>
      </c>
    </row>
    <row r="311">
      <c r="A311" s="18" t="n"/>
      <c r="B311" s="19" t="n"/>
      <c r="C311" s="14">
        <f>IFERROR(INDEX(Pessoas!$A$5:$A$64,MATCH($B311,Pessoas!$B$5:$B$64,0)),"")</f>
        <v/>
      </c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8" t="n"/>
      <c r="N311" s="19" t="n"/>
      <c r="O311" s="19" t="n"/>
      <c r="P311" s="19" t="n"/>
      <c r="Q311" s="20">
        <f>IF(OR($M311="",$P311=""),"",$M311+IF($P311="7 dias",7,IF($P311="14 dias",14,90)))</f>
        <v/>
      </c>
      <c r="R311" s="19" t="n"/>
      <c r="S311" s="19" t="n"/>
      <c r="T311" s="14">
        <f>IF($A311="","",YEAR($A311)*4+ROUNDUP(MONTH($A311)/3,0))</f>
        <v/>
      </c>
      <c r="U311" s="14">
        <f>IF($C311="","",$C311&amp;"|"&amp;$T311)</f>
        <v/>
      </c>
      <c r="V311" s="14">
        <f>IF($C311="","",$C311&amp;"|"&amp;$T311&amp;"|"&amp;$G311)</f>
        <v/>
      </c>
      <c r="W311" s="14">
        <f>IF($A311="","",IF(OR($B311="",$F311="",$G311="",$H311="",$I311=""),"Faltam campos básicos",IF(AND(OR($F311="Ponto de atenção",$F311="Incidente"),OR($K311="",$L311="",$O311="",$P311="")),"Faltam campos de sinalização","OK")))</f>
        <v/>
      </c>
      <c r="X311" s="14">
        <f>IF($A311="","",IF(AND(OR($F311="Ponto de atenção",$F311="Incidente"),$L311&lt;&gt;"Sim"),"Não",IF(AND($S311="",$W311&lt;&gt;"OK"),"Não","Sim")))</f>
        <v/>
      </c>
      <c r="Y311" s="14">
        <f>IF($C311="",0,IF(COUNTIFS($C$5:$C311,$C311,$D$5:$D311,$D311)=1,1,0))</f>
        <v/>
      </c>
      <c r="Z311" s="14">
        <f>IF($A311="","",IF(Config!$B$7-$T311&gt;2,"Arquivada",IF(Config!$B$7-$T311&gt;0,"Histórico","Ativa")))</f>
        <v/>
      </c>
      <c r="AA311" s="14">
        <f>IF($A311="",0,IF(AND(OR($F311="Ponto de atenção",$F311="Incidente"),$L311="Sim"),1,0))</f>
        <v/>
      </c>
      <c r="AB311" s="14">
        <f>IF(OR($C311="",$C311&lt;&gt;'1a1'!$B$4,$T311&lt;&gt;Config!$B$7),"",COUNTIFS($C$5:$C311,'1a1'!$B$4,$T$5:$T311,Config!$B$7))</f>
        <v/>
      </c>
    </row>
    <row r="312">
      <c r="A312" s="18" t="n"/>
      <c r="B312" s="19" t="n"/>
      <c r="C312" s="14">
        <f>IFERROR(INDEX(Pessoas!$A$5:$A$64,MATCH($B312,Pessoas!$B$5:$B$64,0)),"")</f>
        <v/>
      </c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8" t="n"/>
      <c r="N312" s="19" t="n"/>
      <c r="O312" s="19" t="n"/>
      <c r="P312" s="19" t="n"/>
      <c r="Q312" s="20">
        <f>IF(OR($M312="",$P312=""),"",$M312+IF($P312="7 dias",7,IF($P312="14 dias",14,90)))</f>
        <v/>
      </c>
      <c r="R312" s="19" t="n"/>
      <c r="S312" s="19" t="n"/>
      <c r="T312" s="14">
        <f>IF($A312="","",YEAR($A312)*4+ROUNDUP(MONTH($A312)/3,0))</f>
        <v/>
      </c>
      <c r="U312" s="14">
        <f>IF($C312="","",$C312&amp;"|"&amp;$T312)</f>
        <v/>
      </c>
      <c r="V312" s="14">
        <f>IF($C312="","",$C312&amp;"|"&amp;$T312&amp;"|"&amp;$G312)</f>
        <v/>
      </c>
      <c r="W312" s="14">
        <f>IF($A312="","",IF(OR($B312="",$F312="",$G312="",$H312="",$I312=""),"Faltam campos básicos",IF(AND(OR($F312="Ponto de atenção",$F312="Incidente"),OR($K312="",$L312="",$O312="",$P312="")),"Faltam campos de sinalização","OK")))</f>
        <v/>
      </c>
      <c r="X312" s="14">
        <f>IF($A312="","",IF(AND(OR($F312="Ponto de atenção",$F312="Incidente"),$L312&lt;&gt;"Sim"),"Não",IF(AND($S312="",$W312&lt;&gt;"OK"),"Não","Sim")))</f>
        <v/>
      </c>
      <c r="Y312" s="14">
        <f>IF($C312="",0,IF(COUNTIFS($C$5:$C312,$C312,$D$5:$D312,$D312)=1,1,0))</f>
        <v/>
      </c>
      <c r="Z312" s="14">
        <f>IF($A312="","",IF(Config!$B$7-$T312&gt;2,"Arquivada",IF(Config!$B$7-$T312&gt;0,"Histórico","Ativa")))</f>
        <v/>
      </c>
      <c r="AA312" s="14">
        <f>IF($A312="",0,IF(AND(OR($F312="Ponto de atenção",$F312="Incidente"),$L312="Sim"),1,0))</f>
        <v/>
      </c>
      <c r="AB312" s="14">
        <f>IF(OR($C312="",$C312&lt;&gt;'1a1'!$B$4,$T312&lt;&gt;Config!$B$7),"",COUNTIFS($C$5:$C312,'1a1'!$B$4,$T$5:$T312,Config!$B$7))</f>
        <v/>
      </c>
    </row>
    <row r="313">
      <c r="A313" s="18" t="n"/>
      <c r="B313" s="19" t="n"/>
      <c r="C313" s="14">
        <f>IFERROR(INDEX(Pessoas!$A$5:$A$64,MATCH($B313,Pessoas!$B$5:$B$64,0)),"")</f>
        <v/>
      </c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8" t="n"/>
      <c r="N313" s="19" t="n"/>
      <c r="O313" s="19" t="n"/>
      <c r="P313" s="19" t="n"/>
      <c r="Q313" s="20">
        <f>IF(OR($M313="",$P313=""),"",$M313+IF($P313="7 dias",7,IF($P313="14 dias",14,90)))</f>
        <v/>
      </c>
      <c r="R313" s="19" t="n"/>
      <c r="S313" s="19" t="n"/>
      <c r="T313" s="14">
        <f>IF($A313="","",YEAR($A313)*4+ROUNDUP(MONTH($A313)/3,0))</f>
        <v/>
      </c>
      <c r="U313" s="14">
        <f>IF($C313="","",$C313&amp;"|"&amp;$T313)</f>
        <v/>
      </c>
      <c r="V313" s="14">
        <f>IF($C313="","",$C313&amp;"|"&amp;$T313&amp;"|"&amp;$G313)</f>
        <v/>
      </c>
      <c r="W313" s="14">
        <f>IF($A313="","",IF(OR($B313="",$F313="",$G313="",$H313="",$I313=""),"Faltam campos básicos",IF(AND(OR($F313="Ponto de atenção",$F313="Incidente"),OR($K313="",$L313="",$O313="",$P313="")),"Faltam campos de sinalização","OK")))</f>
        <v/>
      </c>
      <c r="X313" s="14">
        <f>IF($A313="","",IF(AND(OR($F313="Ponto de atenção",$F313="Incidente"),$L313&lt;&gt;"Sim"),"Não",IF(AND($S313="",$W313&lt;&gt;"OK"),"Não","Sim")))</f>
        <v/>
      </c>
      <c r="Y313" s="14">
        <f>IF($C313="",0,IF(COUNTIFS($C$5:$C313,$C313,$D$5:$D313,$D313)=1,1,0))</f>
        <v/>
      </c>
      <c r="Z313" s="14">
        <f>IF($A313="","",IF(Config!$B$7-$T313&gt;2,"Arquivada",IF(Config!$B$7-$T313&gt;0,"Histórico","Ativa")))</f>
        <v/>
      </c>
      <c r="AA313" s="14">
        <f>IF($A313="",0,IF(AND(OR($F313="Ponto de atenção",$F313="Incidente"),$L313="Sim"),1,0))</f>
        <v/>
      </c>
      <c r="AB313" s="14">
        <f>IF(OR($C313="",$C313&lt;&gt;'1a1'!$B$4,$T313&lt;&gt;Config!$B$7),"",COUNTIFS($C$5:$C313,'1a1'!$B$4,$T$5:$T313,Config!$B$7))</f>
        <v/>
      </c>
    </row>
    <row r="314">
      <c r="A314" s="18" t="n"/>
      <c r="B314" s="19" t="n"/>
      <c r="C314" s="14">
        <f>IFERROR(INDEX(Pessoas!$A$5:$A$64,MATCH($B314,Pessoas!$B$5:$B$64,0)),"")</f>
        <v/>
      </c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8" t="n"/>
      <c r="N314" s="19" t="n"/>
      <c r="O314" s="19" t="n"/>
      <c r="P314" s="19" t="n"/>
      <c r="Q314" s="20">
        <f>IF(OR($M314="",$P314=""),"",$M314+IF($P314="7 dias",7,IF($P314="14 dias",14,90)))</f>
        <v/>
      </c>
      <c r="R314" s="19" t="n"/>
      <c r="S314" s="19" t="n"/>
      <c r="T314" s="14">
        <f>IF($A314="","",YEAR($A314)*4+ROUNDUP(MONTH($A314)/3,0))</f>
        <v/>
      </c>
      <c r="U314" s="14">
        <f>IF($C314="","",$C314&amp;"|"&amp;$T314)</f>
        <v/>
      </c>
      <c r="V314" s="14">
        <f>IF($C314="","",$C314&amp;"|"&amp;$T314&amp;"|"&amp;$G314)</f>
        <v/>
      </c>
      <c r="W314" s="14">
        <f>IF($A314="","",IF(OR($B314="",$F314="",$G314="",$H314="",$I314=""),"Faltam campos básicos",IF(AND(OR($F314="Ponto de atenção",$F314="Incidente"),OR($K314="",$L314="",$O314="",$P314="")),"Faltam campos de sinalização","OK")))</f>
        <v/>
      </c>
      <c r="X314" s="14">
        <f>IF($A314="","",IF(AND(OR($F314="Ponto de atenção",$F314="Incidente"),$L314&lt;&gt;"Sim"),"Não",IF(AND($S314="",$W314&lt;&gt;"OK"),"Não","Sim")))</f>
        <v/>
      </c>
      <c r="Y314" s="14">
        <f>IF($C314="",0,IF(COUNTIFS($C$5:$C314,$C314,$D$5:$D314,$D314)=1,1,0))</f>
        <v/>
      </c>
      <c r="Z314" s="14">
        <f>IF($A314="","",IF(Config!$B$7-$T314&gt;2,"Arquivada",IF(Config!$B$7-$T314&gt;0,"Histórico","Ativa")))</f>
        <v/>
      </c>
      <c r="AA314" s="14">
        <f>IF($A314="",0,IF(AND(OR($F314="Ponto de atenção",$F314="Incidente"),$L314="Sim"),1,0))</f>
        <v/>
      </c>
      <c r="AB314" s="14">
        <f>IF(OR($C314="",$C314&lt;&gt;'1a1'!$B$4,$T314&lt;&gt;Config!$B$7),"",COUNTIFS($C$5:$C314,'1a1'!$B$4,$T$5:$T314,Config!$B$7))</f>
        <v/>
      </c>
    </row>
    <row r="315">
      <c r="A315" s="18" t="n"/>
      <c r="B315" s="19" t="n"/>
      <c r="C315" s="14">
        <f>IFERROR(INDEX(Pessoas!$A$5:$A$64,MATCH($B315,Pessoas!$B$5:$B$64,0)),"")</f>
        <v/>
      </c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8" t="n"/>
      <c r="N315" s="19" t="n"/>
      <c r="O315" s="19" t="n"/>
      <c r="P315" s="19" t="n"/>
      <c r="Q315" s="20">
        <f>IF(OR($M315="",$P315=""),"",$M315+IF($P315="7 dias",7,IF($P315="14 dias",14,90)))</f>
        <v/>
      </c>
      <c r="R315" s="19" t="n"/>
      <c r="S315" s="19" t="n"/>
      <c r="T315" s="14">
        <f>IF($A315="","",YEAR($A315)*4+ROUNDUP(MONTH($A315)/3,0))</f>
        <v/>
      </c>
      <c r="U315" s="14">
        <f>IF($C315="","",$C315&amp;"|"&amp;$T315)</f>
        <v/>
      </c>
      <c r="V315" s="14">
        <f>IF($C315="","",$C315&amp;"|"&amp;$T315&amp;"|"&amp;$G315)</f>
        <v/>
      </c>
      <c r="W315" s="14">
        <f>IF($A315="","",IF(OR($B315="",$F315="",$G315="",$H315="",$I315=""),"Faltam campos básicos",IF(AND(OR($F315="Ponto de atenção",$F315="Incidente"),OR($K315="",$L315="",$O315="",$P315="")),"Faltam campos de sinalização","OK")))</f>
        <v/>
      </c>
      <c r="X315" s="14">
        <f>IF($A315="","",IF(AND(OR($F315="Ponto de atenção",$F315="Incidente"),$L315&lt;&gt;"Sim"),"Não",IF(AND($S315="",$W315&lt;&gt;"OK"),"Não","Sim")))</f>
        <v/>
      </c>
      <c r="Y315" s="14">
        <f>IF($C315="",0,IF(COUNTIFS($C$5:$C315,$C315,$D$5:$D315,$D315)=1,1,0))</f>
        <v/>
      </c>
      <c r="Z315" s="14">
        <f>IF($A315="","",IF(Config!$B$7-$T315&gt;2,"Arquivada",IF(Config!$B$7-$T315&gt;0,"Histórico","Ativa")))</f>
        <v/>
      </c>
      <c r="AA315" s="14">
        <f>IF($A315="",0,IF(AND(OR($F315="Ponto de atenção",$F315="Incidente"),$L315="Sim"),1,0))</f>
        <v/>
      </c>
      <c r="AB315" s="14">
        <f>IF(OR($C315="",$C315&lt;&gt;'1a1'!$B$4,$T315&lt;&gt;Config!$B$7),"",COUNTIFS($C$5:$C315,'1a1'!$B$4,$T$5:$T315,Config!$B$7))</f>
        <v/>
      </c>
    </row>
    <row r="316">
      <c r="A316" s="18" t="n"/>
      <c r="B316" s="19" t="n"/>
      <c r="C316" s="14">
        <f>IFERROR(INDEX(Pessoas!$A$5:$A$64,MATCH($B316,Pessoas!$B$5:$B$64,0)),"")</f>
        <v/>
      </c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8" t="n"/>
      <c r="N316" s="19" t="n"/>
      <c r="O316" s="19" t="n"/>
      <c r="P316" s="19" t="n"/>
      <c r="Q316" s="20">
        <f>IF(OR($M316="",$P316=""),"",$M316+IF($P316="7 dias",7,IF($P316="14 dias",14,90)))</f>
        <v/>
      </c>
      <c r="R316" s="19" t="n"/>
      <c r="S316" s="19" t="n"/>
      <c r="T316" s="14">
        <f>IF($A316="","",YEAR($A316)*4+ROUNDUP(MONTH($A316)/3,0))</f>
        <v/>
      </c>
      <c r="U316" s="14">
        <f>IF($C316="","",$C316&amp;"|"&amp;$T316)</f>
        <v/>
      </c>
      <c r="V316" s="14">
        <f>IF($C316="","",$C316&amp;"|"&amp;$T316&amp;"|"&amp;$G316)</f>
        <v/>
      </c>
      <c r="W316" s="14">
        <f>IF($A316="","",IF(OR($B316="",$F316="",$G316="",$H316="",$I316=""),"Faltam campos básicos",IF(AND(OR($F316="Ponto de atenção",$F316="Incidente"),OR($K316="",$L316="",$O316="",$P316="")),"Faltam campos de sinalização","OK")))</f>
        <v/>
      </c>
      <c r="X316" s="14">
        <f>IF($A316="","",IF(AND(OR($F316="Ponto de atenção",$F316="Incidente"),$L316&lt;&gt;"Sim"),"Não",IF(AND($S316="",$W316&lt;&gt;"OK"),"Não","Sim")))</f>
        <v/>
      </c>
      <c r="Y316" s="14">
        <f>IF($C316="",0,IF(COUNTIFS($C$5:$C316,$C316,$D$5:$D316,$D316)=1,1,0))</f>
        <v/>
      </c>
      <c r="Z316" s="14">
        <f>IF($A316="","",IF(Config!$B$7-$T316&gt;2,"Arquivada",IF(Config!$B$7-$T316&gt;0,"Histórico","Ativa")))</f>
        <v/>
      </c>
      <c r="AA316" s="14">
        <f>IF($A316="",0,IF(AND(OR($F316="Ponto de atenção",$F316="Incidente"),$L316="Sim"),1,0))</f>
        <v/>
      </c>
      <c r="AB316" s="14">
        <f>IF(OR($C316="",$C316&lt;&gt;'1a1'!$B$4,$T316&lt;&gt;Config!$B$7),"",COUNTIFS($C$5:$C316,'1a1'!$B$4,$T$5:$T316,Config!$B$7))</f>
        <v/>
      </c>
    </row>
    <row r="317">
      <c r="A317" s="18" t="n"/>
      <c r="B317" s="19" t="n"/>
      <c r="C317" s="14">
        <f>IFERROR(INDEX(Pessoas!$A$5:$A$64,MATCH($B317,Pessoas!$B$5:$B$64,0)),"")</f>
        <v/>
      </c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8" t="n"/>
      <c r="N317" s="19" t="n"/>
      <c r="O317" s="19" t="n"/>
      <c r="P317" s="19" t="n"/>
      <c r="Q317" s="20">
        <f>IF(OR($M317="",$P317=""),"",$M317+IF($P317="7 dias",7,IF($P317="14 dias",14,90)))</f>
        <v/>
      </c>
      <c r="R317" s="19" t="n"/>
      <c r="S317" s="19" t="n"/>
      <c r="T317" s="14">
        <f>IF($A317="","",YEAR($A317)*4+ROUNDUP(MONTH($A317)/3,0))</f>
        <v/>
      </c>
      <c r="U317" s="14">
        <f>IF($C317="","",$C317&amp;"|"&amp;$T317)</f>
        <v/>
      </c>
      <c r="V317" s="14">
        <f>IF($C317="","",$C317&amp;"|"&amp;$T317&amp;"|"&amp;$G317)</f>
        <v/>
      </c>
      <c r="W317" s="14">
        <f>IF($A317="","",IF(OR($B317="",$F317="",$G317="",$H317="",$I317=""),"Faltam campos básicos",IF(AND(OR($F317="Ponto de atenção",$F317="Incidente"),OR($K317="",$L317="",$O317="",$P317="")),"Faltam campos de sinalização","OK")))</f>
        <v/>
      </c>
      <c r="X317" s="14">
        <f>IF($A317="","",IF(AND(OR($F317="Ponto de atenção",$F317="Incidente"),$L317&lt;&gt;"Sim"),"Não",IF(AND($S317="",$W317&lt;&gt;"OK"),"Não","Sim")))</f>
        <v/>
      </c>
      <c r="Y317" s="14">
        <f>IF($C317="",0,IF(COUNTIFS($C$5:$C317,$C317,$D$5:$D317,$D317)=1,1,0))</f>
        <v/>
      </c>
      <c r="Z317" s="14">
        <f>IF($A317="","",IF(Config!$B$7-$T317&gt;2,"Arquivada",IF(Config!$B$7-$T317&gt;0,"Histórico","Ativa")))</f>
        <v/>
      </c>
      <c r="AA317" s="14">
        <f>IF($A317="",0,IF(AND(OR($F317="Ponto de atenção",$F317="Incidente"),$L317="Sim"),1,0))</f>
        <v/>
      </c>
      <c r="AB317" s="14">
        <f>IF(OR($C317="",$C317&lt;&gt;'1a1'!$B$4,$T317&lt;&gt;Config!$B$7),"",COUNTIFS($C$5:$C317,'1a1'!$B$4,$T$5:$T317,Config!$B$7))</f>
        <v/>
      </c>
    </row>
    <row r="318">
      <c r="A318" s="18" t="n"/>
      <c r="B318" s="19" t="n"/>
      <c r="C318" s="14">
        <f>IFERROR(INDEX(Pessoas!$A$5:$A$64,MATCH($B318,Pessoas!$B$5:$B$64,0)),"")</f>
        <v/>
      </c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8" t="n"/>
      <c r="N318" s="19" t="n"/>
      <c r="O318" s="19" t="n"/>
      <c r="P318" s="19" t="n"/>
      <c r="Q318" s="20">
        <f>IF(OR($M318="",$P318=""),"",$M318+IF($P318="7 dias",7,IF($P318="14 dias",14,90)))</f>
        <v/>
      </c>
      <c r="R318" s="19" t="n"/>
      <c r="S318" s="19" t="n"/>
      <c r="T318" s="14">
        <f>IF($A318="","",YEAR($A318)*4+ROUNDUP(MONTH($A318)/3,0))</f>
        <v/>
      </c>
      <c r="U318" s="14">
        <f>IF($C318="","",$C318&amp;"|"&amp;$T318)</f>
        <v/>
      </c>
      <c r="V318" s="14">
        <f>IF($C318="","",$C318&amp;"|"&amp;$T318&amp;"|"&amp;$G318)</f>
        <v/>
      </c>
      <c r="W318" s="14">
        <f>IF($A318="","",IF(OR($B318="",$F318="",$G318="",$H318="",$I318=""),"Faltam campos básicos",IF(AND(OR($F318="Ponto de atenção",$F318="Incidente"),OR($K318="",$L318="",$O318="",$P318="")),"Faltam campos de sinalização","OK")))</f>
        <v/>
      </c>
      <c r="X318" s="14">
        <f>IF($A318="","",IF(AND(OR($F318="Ponto de atenção",$F318="Incidente"),$L318&lt;&gt;"Sim"),"Não",IF(AND($S318="",$W318&lt;&gt;"OK"),"Não","Sim")))</f>
        <v/>
      </c>
      <c r="Y318" s="14">
        <f>IF($C318="",0,IF(COUNTIFS($C$5:$C318,$C318,$D$5:$D318,$D318)=1,1,0))</f>
        <v/>
      </c>
      <c r="Z318" s="14">
        <f>IF($A318="","",IF(Config!$B$7-$T318&gt;2,"Arquivada",IF(Config!$B$7-$T318&gt;0,"Histórico","Ativa")))</f>
        <v/>
      </c>
      <c r="AA318" s="14">
        <f>IF($A318="",0,IF(AND(OR($F318="Ponto de atenção",$F318="Incidente"),$L318="Sim"),1,0))</f>
        <v/>
      </c>
      <c r="AB318" s="14">
        <f>IF(OR($C318="",$C318&lt;&gt;'1a1'!$B$4,$T318&lt;&gt;Config!$B$7),"",COUNTIFS($C$5:$C318,'1a1'!$B$4,$T$5:$T318,Config!$B$7))</f>
        <v/>
      </c>
    </row>
    <row r="319">
      <c r="A319" s="18" t="n"/>
      <c r="B319" s="19" t="n"/>
      <c r="C319" s="14">
        <f>IFERROR(INDEX(Pessoas!$A$5:$A$64,MATCH($B319,Pessoas!$B$5:$B$64,0)),"")</f>
        <v/>
      </c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8" t="n"/>
      <c r="N319" s="19" t="n"/>
      <c r="O319" s="19" t="n"/>
      <c r="P319" s="19" t="n"/>
      <c r="Q319" s="20">
        <f>IF(OR($M319="",$P319=""),"",$M319+IF($P319="7 dias",7,IF($P319="14 dias",14,90)))</f>
        <v/>
      </c>
      <c r="R319" s="19" t="n"/>
      <c r="S319" s="19" t="n"/>
      <c r="T319" s="14">
        <f>IF($A319="","",YEAR($A319)*4+ROUNDUP(MONTH($A319)/3,0))</f>
        <v/>
      </c>
      <c r="U319" s="14">
        <f>IF($C319="","",$C319&amp;"|"&amp;$T319)</f>
        <v/>
      </c>
      <c r="V319" s="14">
        <f>IF($C319="","",$C319&amp;"|"&amp;$T319&amp;"|"&amp;$G319)</f>
        <v/>
      </c>
      <c r="W319" s="14">
        <f>IF($A319="","",IF(OR($B319="",$F319="",$G319="",$H319="",$I319=""),"Faltam campos básicos",IF(AND(OR($F319="Ponto de atenção",$F319="Incidente"),OR($K319="",$L319="",$O319="",$P319="")),"Faltam campos de sinalização","OK")))</f>
        <v/>
      </c>
      <c r="X319" s="14">
        <f>IF($A319="","",IF(AND(OR($F319="Ponto de atenção",$F319="Incidente"),$L319&lt;&gt;"Sim"),"Não",IF(AND($S319="",$W319&lt;&gt;"OK"),"Não","Sim")))</f>
        <v/>
      </c>
      <c r="Y319" s="14">
        <f>IF($C319="",0,IF(COUNTIFS($C$5:$C319,$C319,$D$5:$D319,$D319)=1,1,0))</f>
        <v/>
      </c>
      <c r="Z319" s="14">
        <f>IF($A319="","",IF(Config!$B$7-$T319&gt;2,"Arquivada",IF(Config!$B$7-$T319&gt;0,"Histórico","Ativa")))</f>
        <v/>
      </c>
      <c r="AA319" s="14">
        <f>IF($A319="",0,IF(AND(OR($F319="Ponto de atenção",$F319="Incidente"),$L319="Sim"),1,0))</f>
        <v/>
      </c>
      <c r="AB319" s="14">
        <f>IF(OR($C319="",$C319&lt;&gt;'1a1'!$B$4,$T319&lt;&gt;Config!$B$7),"",COUNTIFS($C$5:$C319,'1a1'!$B$4,$T$5:$T319,Config!$B$7))</f>
        <v/>
      </c>
    </row>
    <row r="320">
      <c r="A320" s="18" t="n"/>
      <c r="B320" s="19" t="n"/>
      <c r="C320" s="14">
        <f>IFERROR(INDEX(Pessoas!$A$5:$A$64,MATCH($B320,Pessoas!$B$5:$B$64,0)),"")</f>
        <v/>
      </c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8" t="n"/>
      <c r="N320" s="19" t="n"/>
      <c r="O320" s="19" t="n"/>
      <c r="P320" s="19" t="n"/>
      <c r="Q320" s="20">
        <f>IF(OR($M320="",$P320=""),"",$M320+IF($P320="7 dias",7,IF($P320="14 dias",14,90)))</f>
        <v/>
      </c>
      <c r="R320" s="19" t="n"/>
      <c r="S320" s="19" t="n"/>
      <c r="T320" s="14">
        <f>IF($A320="","",YEAR($A320)*4+ROUNDUP(MONTH($A320)/3,0))</f>
        <v/>
      </c>
      <c r="U320" s="14">
        <f>IF($C320="","",$C320&amp;"|"&amp;$T320)</f>
        <v/>
      </c>
      <c r="V320" s="14">
        <f>IF($C320="","",$C320&amp;"|"&amp;$T320&amp;"|"&amp;$G320)</f>
        <v/>
      </c>
      <c r="W320" s="14">
        <f>IF($A320="","",IF(OR($B320="",$F320="",$G320="",$H320="",$I320=""),"Faltam campos básicos",IF(AND(OR($F320="Ponto de atenção",$F320="Incidente"),OR($K320="",$L320="",$O320="",$P320="")),"Faltam campos de sinalização","OK")))</f>
        <v/>
      </c>
      <c r="X320" s="14">
        <f>IF($A320="","",IF(AND(OR($F320="Ponto de atenção",$F320="Incidente"),$L320&lt;&gt;"Sim"),"Não",IF(AND($S320="",$W320&lt;&gt;"OK"),"Não","Sim")))</f>
        <v/>
      </c>
      <c r="Y320" s="14">
        <f>IF($C320="",0,IF(COUNTIFS($C$5:$C320,$C320,$D$5:$D320,$D320)=1,1,0))</f>
        <v/>
      </c>
      <c r="Z320" s="14">
        <f>IF($A320="","",IF(Config!$B$7-$T320&gt;2,"Arquivada",IF(Config!$B$7-$T320&gt;0,"Histórico","Ativa")))</f>
        <v/>
      </c>
      <c r="AA320" s="14">
        <f>IF($A320="",0,IF(AND(OR($F320="Ponto de atenção",$F320="Incidente"),$L320="Sim"),1,0))</f>
        <v/>
      </c>
      <c r="AB320" s="14">
        <f>IF(OR($C320="",$C320&lt;&gt;'1a1'!$B$4,$T320&lt;&gt;Config!$B$7),"",COUNTIFS($C$5:$C320,'1a1'!$B$4,$T$5:$T320,Config!$B$7))</f>
        <v/>
      </c>
    </row>
    <row r="321">
      <c r="A321" s="18" t="n"/>
      <c r="B321" s="19" t="n"/>
      <c r="C321" s="14">
        <f>IFERROR(INDEX(Pessoas!$A$5:$A$64,MATCH($B321,Pessoas!$B$5:$B$64,0)),"")</f>
        <v/>
      </c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8" t="n"/>
      <c r="N321" s="19" t="n"/>
      <c r="O321" s="19" t="n"/>
      <c r="P321" s="19" t="n"/>
      <c r="Q321" s="20">
        <f>IF(OR($M321="",$P321=""),"",$M321+IF($P321="7 dias",7,IF($P321="14 dias",14,90)))</f>
        <v/>
      </c>
      <c r="R321" s="19" t="n"/>
      <c r="S321" s="19" t="n"/>
      <c r="T321" s="14">
        <f>IF($A321="","",YEAR($A321)*4+ROUNDUP(MONTH($A321)/3,0))</f>
        <v/>
      </c>
      <c r="U321" s="14">
        <f>IF($C321="","",$C321&amp;"|"&amp;$T321)</f>
        <v/>
      </c>
      <c r="V321" s="14">
        <f>IF($C321="","",$C321&amp;"|"&amp;$T321&amp;"|"&amp;$G321)</f>
        <v/>
      </c>
      <c r="W321" s="14">
        <f>IF($A321="","",IF(OR($B321="",$F321="",$G321="",$H321="",$I321=""),"Faltam campos básicos",IF(AND(OR($F321="Ponto de atenção",$F321="Incidente"),OR($K321="",$L321="",$O321="",$P321="")),"Faltam campos de sinalização","OK")))</f>
        <v/>
      </c>
      <c r="X321" s="14">
        <f>IF($A321="","",IF(AND(OR($F321="Ponto de atenção",$F321="Incidente"),$L321&lt;&gt;"Sim"),"Não",IF(AND($S321="",$W321&lt;&gt;"OK"),"Não","Sim")))</f>
        <v/>
      </c>
      <c r="Y321" s="14">
        <f>IF($C321="",0,IF(COUNTIFS($C$5:$C321,$C321,$D$5:$D321,$D321)=1,1,0))</f>
        <v/>
      </c>
      <c r="Z321" s="14">
        <f>IF($A321="","",IF(Config!$B$7-$T321&gt;2,"Arquivada",IF(Config!$B$7-$T321&gt;0,"Histórico","Ativa")))</f>
        <v/>
      </c>
      <c r="AA321" s="14">
        <f>IF($A321="",0,IF(AND(OR($F321="Ponto de atenção",$F321="Incidente"),$L321="Sim"),1,0))</f>
        <v/>
      </c>
      <c r="AB321" s="14">
        <f>IF(OR($C321="",$C321&lt;&gt;'1a1'!$B$4,$T321&lt;&gt;Config!$B$7),"",COUNTIFS($C$5:$C321,'1a1'!$B$4,$T$5:$T321,Config!$B$7))</f>
        <v/>
      </c>
    </row>
    <row r="322">
      <c r="A322" s="18" t="n"/>
      <c r="B322" s="19" t="n"/>
      <c r="C322" s="14">
        <f>IFERROR(INDEX(Pessoas!$A$5:$A$64,MATCH($B322,Pessoas!$B$5:$B$64,0)),"")</f>
        <v/>
      </c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8" t="n"/>
      <c r="N322" s="19" t="n"/>
      <c r="O322" s="19" t="n"/>
      <c r="P322" s="19" t="n"/>
      <c r="Q322" s="20">
        <f>IF(OR($M322="",$P322=""),"",$M322+IF($P322="7 dias",7,IF($P322="14 dias",14,90)))</f>
        <v/>
      </c>
      <c r="R322" s="19" t="n"/>
      <c r="S322" s="19" t="n"/>
      <c r="T322" s="14">
        <f>IF($A322="","",YEAR($A322)*4+ROUNDUP(MONTH($A322)/3,0))</f>
        <v/>
      </c>
      <c r="U322" s="14">
        <f>IF($C322="","",$C322&amp;"|"&amp;$T322)</f>
        <v/>
      </c>
      <c r="V322" s="14">
        <f>IF($C322="","",$C322&amp;"|"&amp;$T322&amp;"|"&amp;$G322)</f>
        <v/>
      </c>
      <c r="W322" s="14">
        <f>IF($A322="","",IF(OR($B322="",$F322="",$G322="",$H322="",$I322=""),"Faltam campos básicos",IF(AND(OR($F322="Ponto de atenção",$F322="Incidente"),OR($K322="",$L322="",$O322="",$P322="")),"Faltam campos de sinalização","OK")))</f>
        <v/>
      </c>
      <c r="X322" s="14">
        <f>IF($A322="","",IF(AND(OR($F322="Ponto de atenção",$F322="Incidente"),$L322&lt;&gt;"Sim"),"Não",IF(AND($S322="",$W322&lt;&gt;"OK"),"Não","Sim")))</f>
        <v/>
      </c>
      <c r="Y322" s="14">
        <f>IF($C322="",0,IF(COUNTIFS($C$5:$C322,$C322,$D$5:$D322,$D322)=1,1,0))</f>
        <v/>
      </c>
      <c r="Z322" s="14">
        <f>IF($A322="","",IF(Config!$B$7-$T322&gt;2,"Arquivada",IF(Config!$B$7-$T322&gt;0,"Histórico","Ativa")))</f>
        <v/>
      </c>
      <c r="AA322" s="14">
        <f>IF($A322="",0,IF(AND(OR($F322="Ponto de atenção",$F322="Incidente"),$L322="Sim"),1,0))</f>
        <v/>
      </c>
      <c r="AB322" s="14">
        <f>IF(OR($C322="",$C322&lt;&gt;'1a1'!$B$4,$T322&lt;&gt;Config!$B$7),"",COUNTIFS($C$5:$C322,'1a1'!$B$4,$T$5:$T322,Config!$B$7))</f>
        <v/>
      </c>
    </row>
    <row r="323">
      <c r="A323" s="18" t="n"/>
      <c r="B323" s="19" t="n"/>
      <c r="C323" s="14">
        <f>IFERROR(INDEX(Pessoas!$A$5:$A$64,MATCH($B323,Pessoas!$B$5:$B$64,0)),"")</f>
        <v/>
      </c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8" t="n"/>
      <c r="N323" s="19" t="n"/>
      <c r="O323" s="19" t="n"/>
      <c r="P323" s="19" t="n"/>
      <c r="Q323" s="20">
        <f>IF(OR($M323="",$P323=""),"",$M323+IF($P323="7 dias",7,IF($P323="14 dias",14,90)))</f>
        <v/>
      </c>
      <c r="R323" s="19" t="n"/>
      <c r="S323" s="19" t="n"/>
      <c r="T323" s="14">
        <f>IF($A323="","",YEAR($A323)*4+ROUNDUP(MONTH($A323)/3,0))</f>
        <v/>
      </c>
      <c r="U323" s="14">
        <f>IF($C323="","",$C323&amp;"|"&amp;$T323)</f>
        <v/>
      </c>
      <c r="V323" s="14">
        <f>IF($C323="","",$C323&amp;"|"&amp;$T323&amp;"|"&amp;$G323)</f>
        <v/>
      </c>
      <c r="W323" s="14">
        <f>IF($A323="","",IF(OR($B323="",$F323="",$G323="",$H323="",$I323=""),"Faltam campos básicos",IF(AND(OR($F323="Ponto de atenção",$F323="Incidente"),OR($K323="",$L323="",$O323="",$P323="")),"Faltam campos de sinalização","OK")))</f>
        <v/>
      </c>
      <c r="X323" s="14">
        <f>IF($A323="","",IF(AND(OR($F323="Ponto de atenção",$F323="Incidente"),$L323&lt;&gt;"Sim"),"Não",IF(AND($S323="",$W323&lt;&gt;"OK"),"Não","Sim")))</f>
        <v/>
      </c>
      <c r="Y323" s="14">
        <f>IF($C323="",0,IF(COUNTIFS($C$5:$C323,$C323,$D$5:$D323,$D323)=1,1,0))</f>
        <v/>
      </c>
      <c r="Z323" s="14">
        <f>IF($A323="","",IF(Config!$B$7-$T323&gt;2,"Arquivada",IF(Config!$B$7-$T323&gt;0,"Histórico","Ativa")))</f>
        <v/>
      </c>
      <c r="AA323" s="14">
        <f>IF($A323="",0,IF(AND(OR($F323="Ponto de atenção",$F323="Incidente"),$L323="Sim"),1,0))</f>
        <v/>
      </c>
      <c r="AB323" s="14">
        <f>IF(OR($C323="",$C323&lt;&gt;'1a1'!$B$4,$T323&lt;&gt;Config!$B$7),"",COUNTIFS($C$5:$C323,'1a1'!$B$4,$T$5:$T323,Config!$B$7))</f>
        <v/>
      </c>
    </row>
    <row r="324">
      <c r="A324" s="18" t="n"/>
      <c r="B324" s="19" t="n"/>
      <c r="C324" s="14">
        <f>IFERROR(INDEX(Pessoas!$A$5:$A$64,MATCH($B324,Pessoas!$B$5:$B$64,0)),"")</f>
        <v/>
      </c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8" t="n"/>
      <c r="N324" s="19" t="n"/>
      <c r="O324" s="19" t="n"/>
      <c r="P324" s="19" t="n"/>
      <c r="Q324" s="20">
        <f>IF(OR($M324="",$P324=""),"",$M324+IF($P324="7 dias",7,IF($P324="14 dias",14,90)))</f>
        <v/>
      </c>
      <c r="R324" s="19" t="n"/>
      <c r="S324" s="19" t="n"/>
      <c r="T324" s="14">
        <f>IF($A324="","",YEAR($A324)*4+ROUNDUP(MONTH($A324)/3,0))</f>
        <v/>
      </c>
      <c r="U324" s="14">
        <f>IF($C324="","",$C324&amp;"|"&amp;$T324)</f>
        <v/>
      </c>
      <c r="V324" s="14">
        <f>IF($C324="","",$C324&amp;"|"&amp;$T324&amp;"|"&amp;$G324)</f>
        <v/>
      </c>
      <c r="W324" s="14">
        <f>IF($A324="","",IF(OR($B324="",$F324="",$G324="",$H324="",$I324=""),"Faltam campos básicos",IF(AND(OR($F324="Ponto de atenção",$F324="Incidente"),OR($K324="",$L324="",$O324="",$P324="")),"Faltam campos de sinalização","OK")))</f>
        <v/>
      </c>
      <c r="X324" s="14">
        <f>IF($A324="","",IF(AND(OR($F324="Ponto de atenção",$F324="Incidente"),$L324&lt;&gt;"Sim"),"Não",IF(AND($S324="",$W324&lt;&gt;"OK"),"Não","Sim")))</f>
        <v/>
      </c>
      <c r="Y324" s="14">
        <f>IF($C324="",0,IF(COUNTIFS($C$5:$C324,$C324,$D$5:$D324,$D324)=1,1,0))</f>
        <v/>
      </c>
      <c r="Z324" s="14">
        <f>IF($A324="","",IF(Config!$B$7-$T324&gt;2,"Arquivada",IF(Config!$B$7-$T324&gt;0,"Histórico","Ativa")))</f>
        <v/>
      </c>
      <c r="AA324" s="14">
        <f>IF($A324="",0,IF(AND(OR($F324="Ponto de atenção",$F324="Incidente"),$L324="Sim"),1,0))</f>
        <v/>
      </c>
      <c r="AB324" s="14">
        <f>IF(OR($C324="",$C324&lt;&gt;'1a1'!$B$4,$T324&lt;&gt;Config!$B$7),"",COUNTIFS($C$5:$C324,'1a1'!$B$4,$T$5:$T324,Config!$B$7))</f>
        <v/>
      </c>
    </row>
    <row r="325">
      <c r="A325" s="18" t="n"/>
      <c r="B325" s="19" t="n"/>
      <c r="C325" s="14">
        <f>IFERROR(INDEX(Pessoas!$A$5:$A$64,MATCH($B325,Pessoas!$B$5:$B$64,0)),"")</f>
        <v/>
      </c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8" t="n"/>
      <c r="N325" s="19" t="n"/>
      <c r="O325" s="19" t="n"/>
      <c r="P325" s="19" t="n"/>
      <c r="Q325" s="20">
        <f>IF(OR($M325="",$P325=""),"",$M325+IF($P325="7 dias",7,IF($P325="14 dias",14,90)))</f>
        <v/>
      </c>
      <c r="R325" s="19" t="n"/>
      <c r="S325" s="19" t="n"/>
      <c r="T325" s="14">
        <f>IF($A325="","",YEAR($A325)*4+ROUNDUP(MONTH($A325)/3,0))</f>
        <v/>
      </c>
      <c r="U325" s="14">
        <f>IF($C325="","",$C325&amp;"|"&amp;$T325)</f>
        <v/>
      </c>
      <c r="V325" s="14">
        <f>IF($C325="","",$C325&amp;"|"&amp;$T325&amp;"|"&amp;$G325)</f>
        <v/>
      </c>
      <c r="W325" s="14">
        <f>IF($A325="","",IF(OR($B325="",$F325="",$G325="",$H325="",$I325=""),"Faltam campos básicos",IF(AND(OR($F325="Ponto de atenção",$F325="Incidente"),OR($K325="",$L325="",$O325="",$P325="")),"Faltam campos de sinalização","OK")))</f>
        <v/>
      </c>
      <c r="X325" s="14">
        <f>IF($A325="","",IF(AND(OR($F325="Ponto de atenção",$F325="Incidente"),$L325&lt;&gt;"Sim"),"Não",IF(AND($S325="",$W325&lt;&gt;"OK"),"Não","Sim")))</f>
        <v/>
      </c>
      <c r="Y325" s="14">
        <f>IF($C325="",0,IF(COUNTIFS($C$5:$C325,$C325,$D$5:$D325,$D325)=1,1,0))</f>
        <v/>
      </c>
      <c r="Z325" s="14">
        <f>IF($A325="","",IF(Config!$B$7-$T325&gt;2,"Arquivada",IF(Config!$B$7-$T325&gt;0,"Histórico","Ativa")))</f>
        <v/>
      </c>
      <c r="AA325" s="14">
        <f>IF($A325="",0,IF(AND(OR($F325="Ponto de atenção",$F325="Incidente"),$L325="Sim"),1,0))</f>
        <v/>
      </c>
      <c r="AB325" s="14">
        <f>IF(OR($C325="",$C325&lt;&gt;'1a1'!$B$4,$T325&lt;&gt;Config!$B$7),"",COUNTIFS($C$5:$C325,'1a1'!$B$4,$T$5:$T325,Config!$B$7))</f>
        <v/>
      </c>
    </row>
    <row r="326">
      <c r="A326" s="18" t="n"/>
      <c r="B326" s="19" t="n"/>
      <c r="C326" s="14">
        <f>IFERROR(INDEX(Pessoas!$A$5:$A$64,MATCH($B326,Pessoas!$B$5:$B$64,0)),"")</f>
        <v/>
      </c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8" t="n"/>
      <c r="N326" s="19" t="n"/>
      <c r="O326" s="19" t="n"/>
      <c r="P326" s="19" t="n"/>
      <c r="Q326" s="20">
        <f>IF(OR($M326="",$P326=""),"",$M326+IF($P326="7 dias",7,IF($P326="14 dias",14,90)))</f>
        <v/>
      </c>
      <c r="R326" s="19" t="n"/>
      <c r="S326" s="19" t="n"/>
      <c r="T326" s="14">
        <f>IF($A326="","",YEAR($A326)*4+ROUNDUP(MONTH($A326)/3,0))</f>
        <v/>
      </c>
      <c r="U326" s="14">
        <f>IF($C326="","",$C326&amp;"|"&amp;$T326)</f>
        <v/>
      </c>
      <c r="V326" s="14">
        <f>IF($C326="","",$C326&amp;"|"&amp;$T326&amp;"|"&amp;$G326)</f>
        <v/>
      </c>
      <c r="W326" s="14">
        <f>IF($A326="","",IF(OR($B326="",$F326="",$G326="",$H326="",$I326=""),"Faltam campos básicos",IF(AND(OR($F326="Ponto de atenção",$F326="Incidente"),OR($K326="",$L326="",$O326="",$P326="")),"Faltam campos de sinalização","OK")))</f>
        <v/>
      </c>
      <c r="X326" s="14">
        <f>IF($A326="","",IF(AND(OR($F326="Ponto de atenção",$F326="Incidente"),$L326&lt;&gt;"Sim"),"Não",IF(AND($S326="",$W326&lt;&gt;"OK"),"Não","Sim")))</f>
        <v/>
      </c>
      <c r="Y326" s="14">
        <f>IF($C326="",0,IF(COUNTIFS($C$5:$C326,$C326,$D$5:$D326,$D326)=1,1,0))</f>
        <v/>
      </c>
      <c r="Z326" s="14">
        <f>IF($A326="","",IF(Config!$B$7-$T326&gt;2,"Arquivada",IF(Config!$B$7-$T326&gt;0,"Histórico","Ativa")))</f>
        <v/>
      </c>
      <c r="AA326" s="14">
        <f>IF($A326="",0,IF(AND(OR($F326="Ponto de atenção",$F326="Incidente"),$L326="Sim"),1,0))</f>
        <v/>
      </c>
      <c r="AB326" s="14">
        <f>IF(OR($C326="",$C326&lt;&gt;'1a1'!$B$4,$T326&lt;&gt;Config!$B$7),"",COUNTIFS($C$5:$C326,'1a1'!$B$4,$T$5:$T326,Config!$B$7))</f>
        <v/>
      </c>
    </row>
    <row r="327">
      <c r="A327" s="18" t="n"/>
      <c r="B327" s="19" t="n"/>
      <c r="C327" s="14">
        <f>IFERROR(INDEX(Pessoas!$A$5:$A$64,MATCH($B327,Pessoas!$B$5:$B$64,0)),"")</f>
        <v/>
      </c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8" t="n"/>
      <c r="N327" s="19" t="n"/>
      <c r="O327" s="19" t="n"/>
      <c r="P327" s="19" t="n"/>
      <c r="Q327" s="20">
        <f>IF(OR($M327="",$P327=""),"",$M327+IF($P327="7 dias",7,IF($P327="14 dias",14,90)))</f>
        <v/>
      </c>
      <c r="R327" s="19" t="n"/>
      <c r="S327" s="19" t="n"/>
      <c r="T327" s="14">
        <f>IF($A327="","",YEAR($A327)*4+ROUNDUP(MONTH($A327)/3,0))</f>
        <v/>
      </c>
      <c r="U327" s="14">
        <f>IF($C327="","",$C327&amp;"|"&amp;$T327)</f>
        <v/>
      </c>
      <c r="V327" s="14">
        <f>IF($C327="","",$C327&amp;"|"&amp;$T327&amp;"|"&amp;$G327)</f>
        <v/>
      </c>
      <c r="W327" s="14">
        <f>IF($A327="","",IF(OR($B327="",$F327="",$G327="",$H327="",$I327=""),"Faltam campos básicos",IF(AND(OR($F327="Ponto de atenção",$F327="Incidente"),OR($K327="",$L327="",$O327="",$P327="")),"Faltam campos de sinalização","OK")))</f>
        <v/>
      </c>
      <c r="X327" s="14">
        <f>IF($A327="","",IF(AND(OR($F327="Ponto de atenção",$F327="Incidente"),$L327&lt;&gt;"Sim"),"Não",IF(AND($S327="",$W327&lt;&gt;"OK"),"Não","Sim")))</f>
        <v/>
      </c>
      <c r="Y327" s="14">
        <f>IF($C327="",0,IF(COUNTIFS($C$5:$C327,$C327,$D$5:$D327,$D327)=1,1,0))</f>
        <v/>
      </c>
      <c r="Z327" s="14">
        <f>IF($A327="","",IF(Config!$B$7-$T327&gt;2,"Arquivada",IF(Config!$B$7-$T327&gt;0,"Histórico","Ativa")))</f>
        <v/>
      </c>
      <c r="AA327" s="14">
        <f>IF($A327="",0,IF(AND(OR($F327="Ponto de atenção",$F327="Incidente"),$L327="Sim"),1,0))</f>
        <v/>
      </c>
      <c r="AB327" s="14">
        <f>IF(OR($C327="",$C327&lt;&gt;'1a1'!$B$4,$T327&lt;&gt;Config!$B$7),"",COUNTIFS($C$5:$C327,'1a1'!$B$4,$T$5:$T327,Config!$B$7))</f>
        <v/>
      </c>
    </row>
    <row r="328">
      <c r="A328" s="18" t="n"/>
      <c r="B328" s="19" t="n"/>
      <c r="C328" s="14">
        <f>IFERROR(INDEX(Pessoas!$A$5:$A$64,MATCH($B328,Pessoas!$B$5:$B$64,0)),"")</f>
        <v/>
      </c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8" t="n"/>
      <c r="N328" s="19" t="n"/>
      <c r="O328" s="19" t="n"/>
      <c r="P328" s="19" t="n"/>
      <c r="Q328" s="20">
        <f>IF(OR($M328="",$P328=""),"",$M328+IF($P328="7 dias",7,IF($P328="14 dias",14,90)))</f>
        <v/>
      </c>
      <c r="R328" s="19" t="n"/>
      <c r="S328" s="19" t="n"/>
      <c r="T328" s="14">
        <f>IF($A328="","",YEAR($A328)*4+ROUNDUP(MONTH($A328)/3,0))</f>
        <v/>
      </c>
      <c r="U328" s="14">
        <f>IF($C328="","",$C328&amp;"|"&amp;$T328)</f>
        <v/>
      </c>
      <c r="V328" s="14">
        <f>IF($C328="","",$C328&amp;"|"&amp;$T328&amp;"|"&amp;$G328)</f>
        <v/>
      </c>
      <c r="W328" s="14">
        <f>IF($A328="","",IF(OR($B328="",$F328="",$G328="",$H328="",$I328=""),"Faltam campos básicos",IF(AND(OR($F328="Ponto de atenção",$F328="Incidente"),OR($K328="",$L328="",$O328="",$P328="")),"Faltam campos de sinalização","OK")))</f>
        <v/>
      </c>
      <c r="X328" s="14">
        <f>IF($A328="","",IF(AND(OR($F328="Ponto de atenção",$F328="Incidente"),$L328&lt;&gt;"Sim"),"Não",IF(AND($S328="",$W328&lt;&gt;"OK"),"Não","Sim")))</f>
        <v/>
      </c>
      <c r="Y328" s="14">
        <f>IF($C328="",0,IF(COUNTIFS($C$5:$C328,$C328,$D$5:$D328,$D328)=1,1,0))</f>
        <v/>
      </c>
      <c r="Z328" s="14">
        <f>IF($A328="","",IF(Config!$B$7-$T328&gt;2,"Arquivada",IF(Config!$B$7-$T328&gt;0,"Histórico","Ativa")))</f>
        <v/>
      </c>
      <c r="AA328" s="14">
        <f>IF($A328="",0,IF(AND(OR($F328="Ponto de atenção",$F328="Incidente"),$L328="Sim"),1,0))</f>
        <v/>
      </c>
      <c r="AB328" s="14">
        <f>IF(OR($C328="",$C328&lt;&gt;'1a1'!$B$4,$T328&lt;&gt;Config!$B$7),"",COUNTIFS($C$5:$C328,'1a1'!$B$4,$T$5:$T328,Config!$B$7))</f>
        <v/>
      </c>
    </row>
    <row r="329">
      <c r="A329" s="18" t="n"/>
      <c r="B329" s="19" t="n"/>
      <c r="C329" s="14">
        <f>IFERROR(INDEX(Pessoas!$A$5:$A$64,MATCH($B329,Pessoas!$B$5:$B$64,0)),"")</f>
        <v/>
      </c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8" t="n"/>
      <c r="N329" s="19" t="n"/>
      <c r="O329" s="19" t="n"/>
      <c r="P329" s="19" t="n"/>
      <c r="Q329" s="20">
        <f>IF(OR($M329="",$P329=""),"",$M329+IF($P329="7 dias",7,IF($P329="14 dias",14,90)))</f>
        <v/>
      </c>
      <c r="R329" s="19" t="n"/>
      <c r="S329" s="19" t="n"/>
      <c r="T329" s="14">
        <f>IF($A329="","",YEAR($A329)*4+ROUNDUP(MONTH($A329)/3,0))</f>
        <v/>
      </c>
      <c r="U329" s="14">
        <f>IF($C329="","",$C329&amp;"|"&amp;$T329)</f>
        <v/>
      </c>
      <c r="V329" s="14">
        <f>IF($C329="","",$C329&amp;"|"&amp;$T329&amp;"|"&amp;$G329)</f>
        <v/>
      </c>
      <c r="W329" s="14">
        <f>IF($A329="","",IF(OR($B329="",$F329="",$G329="",$H329="",$I329=""),"Faltam campos básicos",IF(AND(OR($F329="Ponto de atenção",$F329="Incidente"),OR($K329="",$L329="",$O329="",$P329="")),"Faltam campos de sinalização","OK")))</f>
        <v/>
      </c>
      <c r="X329" s="14">
        <f>IF($A329="","",IF(AND(OR($F329="Ponto de atenção",$F329="Incidente"),$L329&lt;&gt;"Sim"),"Não",IF(AND($S329="",$W329&lt;&gt;"OK"),"Não","Sim")))</f>
        <v/>
      </c>
      <c r="Y329" s="14">
        <f>IF($C329="",0,IF(COUNTIFS($C$5:$C329,$C329,$D$5:$D329,$D329)=1,1,0))</f>
        <v/>
      </c>
      <c r="Z329" s="14">
        <f>IF($A329="","",IF(Config!$B$7-$T329&gt;2,"Arquivada",IF(Config!$B$7-$T329&gt;0,"Histórico","Ativa")))</f>
        <v/>
      </c>
      <c r="AA329" s="14">
        <f>IF($A329="",0,IF(AND(OR($F329="Ponto de atenção",$F329="Incidente"),$L329="Sim"),1,0))</f>
        <v/>
      </c>
      <c r="AB329" s="14">
        <f>IF(OR($C329="",$C329&lt;&gt;'1a1'!$B$4,$T329&lt;&gt;Config!$B$7),"",COUNTIFS($C$5:$C329,'1a1'!$B$4,$T$5:$T329,Config!$B$7))</f>
        <v/>
      </c>
    </row>
    <row r="330">
      <c r="A330" s="18" t="n"/>
      <c r="B330" s="19" t="n"/>
      <c r="C330" s="14">
        <f>IFERROR(INDEX(Pessoas!$A$5:$A$64,MATCH($B330,Pessoas!$B$5:$B$64,0)),"")</f>
        <v/>
      </c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8" t="n"/>
      <c r="N330" s="19" t="n"/>
      <c r="O330" s="19" t="n"/>
      <c r="P330" s="19" t="n"/>
      <c r="Q330" s="20">
        <f>IF(OR($M330="",$P330=""),"",$M330+IF($P330="7 dias",7,IF($P330="14 dias",14,90)))</f>
        <v/>
      </c>
      <c r="R330" s="19" t="n"/>
      <c r="S330" s="19" t="n"/>
      <c r="T330" s="14">
        <f>IF($A330="","",YEAR($A330)*4+ROUNDUP(MONTH($A330)/3,0))</f>
        <v/>
      </c>
      <c r="U330" s="14">
        <f>IF($C330="","",$C330&amp;"|"&amp;$T330)</f>
        <v/>
      </c>
      <c r="V330" s="14">
        <f>IF($C330="","",$C330&amp;"|"&amp;$T330&amp;"|"&amp;$G330)</f>
        <v/>
      </c>
      <c r="W330" s="14">
        <f>IF($A330="","",IF(OR($B330="",$F330="",$G330="",$H330="",$I330=""),"Faltam campos básicos",IF(AND(OR($F330="Ponto de atenção",$F330="Incidente"),OR($K330="",$L330="",$O330="",$P330="")),"Faltam campos de sinalização","OK")))</f>
        <v/>
      </c>
      <c r="X330" s="14">
        <f>IF($A330="","",IF(AND(OR($F330="Ponto de atenção",$F330="Incidente"),$L330&lt;&gt;"Sim"),"Não",IF(AND($S330="",$W330&lt;&gt;"OK"),"Não","Sim")))</f>
        <v/>
      </c>
      <c r="Y330" s="14">
        <f>IF($C330="",0,IF(COUNTIFS($C$5:$C330,$C330,$D$5:$D330,$D330)=1,1,0))</f>
        <v/>
      </c>
      <c r="Z330" s="14">
        <f>IF($A330="","",IF(Config!$B$7-$T330&gt;2,"Arquivada",IF(Config!$B$7-$T330&gt;0,"Histórico","Ativa")))</f>
        <v/>
      </c>
      <c r="AA330" s="14">
        <f>IF($A330="",0,IF(AND(OR($F330="Ponto de atenção",$F330="Incidente"),$L330="Sim"),1,0))</f>
        <v/>
      </c>
      <c r="AB330" s="14">
        <f>IF(OR($C330="",$C330&lt;&gt;'1a1'!$B$4,$T330&lt;&gt;Config!$B$7),"",COUNTIFS($C$5:$C330,'1a1'!$B$4,$T$5:$T330,Config!$B$7))</f>
        <v/>
      </c>
    </row>
    <row r="331">
      <c r="A331" s="18" t="n"/>
      <c r="B331" s="19" t="n"/>
      <c r="C331" s="14">
        <f>IFERROR(INDEX(Pessoas!$A$5:$A$64,MATCH($B331,Pessoas!$B$5:$B$64,0)),"")</f>
        <v/>
      </c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8" t="n"/>
      <c r="N331" s="19" t="n"/>
      <c r="O331" s="19" t="n"/>
      <c r="P331" s="19" t="n"/>
      <c r="Q331" s="20">
        <f>IF(OR($M331="",$P331=""),"",$M331+IF($P331="7 dias",7,IF($P331="14 dias",14,90)))</f>
        <v/>
      </c>
      <c r="R331" s="19" t="n"/>
      <c r="S331" s="19" t="n"/>
      <c r="T331" s="14">
        <f>IF($A331="","",YEAR($A331)*4+ROUNDUP(MONTH($A331)/3,0))</f>
        <v/>
      </c>
      <c r="U331" s="14">
        <f>IF($C331="","",$C331&amp;"|"&amp;$T331)</f>
        <v/>
      </c>
      <c r="V331" s="14">
        <f>IF($C331="","",$C331&amp;"|"&amp;$T331&amp;"|"&amp;$G331)</f>
        <v/>
      </c>
      <c r="W331" s="14">
        <f>IF($A331="","",IF(OR($B331="",$F331="",$G331="",$H331="",$I331=""),"Faltam campos básicos",IF(AND(OR($F331="Ponto de atenção",$F331="Incidente"),OR($K331="",$L331="",$O331="",$P331="")),"Faltam campos de sinalização","OK")))</f>
        <v/>
      </c>
      <c r="X331" s="14">
        <f>IF($A331="","",IF(AND(OR($F331="Ponto de atenção",$F331="Incidente"),$L331&lt;&gt;"Sim"),"Não",IF(AND($S331="",$W331&lt;&gt;"OK"),"Não","Sim")))</f>
        <v/>
      </c>
      <c r="Y331" s="14">
        <f>IF($C331="",0,IF(COUNTIFS($C$5:$C331,$C331,$D$5:$D331,$D331)=1,1,0))</f>
        <v/>
      </c>
      <c r="Z331" s="14">
        <f>IF($A331="","",IF(Config!$B$7-$T331&gt;2,"Arquivada",IF(Config!$B$7-$T331&gt;0,"Histórico","Ativa")))</f>
        <v/>
      </c>
      <c r="AA331" s="14">
        <f>IF($A331="",0,IF(AND(OR($F331="Ponto de atenção",$F331="Incidente"),$L331="Sim"),1,0))</f>
        <v/>
      </c>
      <c r="AB331" s="14">
        <f>IF(OR($C331="",$C331&lt;&gt;'1a1'!$B$4,$T331&lt;&gt;Config!$B$7),"",COUNTIFS($C$5:$C331,'1a1'!$B$4,$T$5:$T331,Config!$B$7))</f>
        <v/>
      </c>
    </row>
    <row r="332">
      <c r="A332" s="18" t="n"/>
      <c r="B332" s="19" t="n"/>
      <c r="C332" s="14">
        <f>IFERROR(INDEX(Pessoas!$A$5:$A$64,MATCH($B332,Pessoas!$B$5:$B$64,0)),"")</f>
        <v/>
      </c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8" t="n"/>
      <c r="N332" s="19" t="n"/>
      <c r="O332" s="19" t="n"/>
      <c r="P332" s="19" t="n"/>
      <c r="Q332" s="20">
        <f>IF(OR($M332="",$P332=""),"",$M332+IF($P332="7 dias",7,IF($P332="14 dias",14,90)))</f>
        <v/>
      </c>
      <c r="R332" s="19" t="n"/>
      <c r="S332" s="19" t="n"/>
      <c r="T332" s="14">
        <f>IF($A332="","",YEAR($A332)*4+ROUNDUP(MONTH($A332)/3,0))</f>
        <v/>
      </c>
      <c r="U332" s="14">
        <f>IF($C332="","",$C332&amp;"|"&amp;$T332)</f>
        <v/>
      </c>
      <c r="V332" s="14">
        <f>IF($C332="","",$C332&amp;"|"&amp;$T332&amp;"|"&amp;$G332)</f>
        <v/>
      </c>
      <c r="W332" s="14">
        <f>IF($A332="","",IF(OR($B332="",$F332="",$G332="",$H332="",$I332=""),"Faltam campos básicos",IF(AND(OR($F332="Ponto de atenção",$F332="Incidente"),OR($K332="",$L332="",$O332="",$P332="")),"Faltam campos de sinalização","OK")))</f>
        <v/>
      </c>
      <c r="X332" s="14">
        <f>IF($A332="","",IF(AND(OR($F332="Ponto de atenção",$F332="Incidente"),$L332&lt;&gt;"Sim"),"Não",IF(AND($S332="",$W332&lt;&gt;"OK"),"Não","Sim")))</f>
        <v/>
      </c>
      <c r="Y332" s="14">
        <f>IF($C332="",0,IF(COUNTIFS($C$5:$C332,$C332,$D$5:$D332,$D332)=1,1,0))</f>
        <v/>
      </c>
      <c r="Z332" s="14">
        <f>IF($A332="","",IF(Config!$B$7-$T332&gt;2,"Arquivada",IF(Config!$B$7-$T332&gt;0,"Histórico","Ativa")))</f>
        <v/>
      </c>
      <c r="AA332" s="14">
        <f>IF($A332="",0,IF(AND(OR($F332="Ponto de atenção",$F332="Incidente"),$L332="Sim"),1,0))</f>
        <v/>
      </c>
      <c r="AB332" s="14">
        <f>IF(OR($C332="",$C332&lt;&gt;'1a1'!$B$4,$T332&lt;&gt;Config!$B$7),"",COUNTIFS($C$5:$C332,'1a1'!$B$4,$T$5:$T332,Config!$B$7))</f>
        <v/>
      </c>
    </row>
    <row r="333">
      <c r="A333" s="18" t="n"/>
      <c r="B333" s="19" t="n"/>
      <c r="C333" s="14">
        <f>IFERROR(INDEX(Pessoas!$A$5:$A$64,MATCH($B333,Pessoas!$B$5:$B$64,0)),"")</f>
        <v/>
      </c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8" t="n"/>
      <c r="N333" s="19" t="n"/>
      <c r="O333" s="19" t="n"/>
      <c r="P333" s="19" t="n"/>
      <c r="Q333" s="20">
        <f>IF(OR($M333="",$P333=""),"",$M333+IF($P333="7 dias",7,IF($P333="14 dias",14,90)))</f>
        <v/>
      </c>
      <c r="R333" s="19" t="n"/>
      <c r="S333" s="19" t="n"/>
      <c r="T333" s="14">
        <f>IF($A333="","",YEAR($A333)*4+ROUNDUP(MONTH($A333)/3,0))</f>
        <v/>
      </c>
      <c r="U333" s="14">
        <f>IF($C333="","",$C333&amp;"|"&amp;$T333)</f>
        <v/>
      </c>
      <c r="V333" s="14">
        <f>IF($C333="","",$C333&amp;"|"&amp;$T333&amp;"|"&amp;$G333)</f>
        <v/>
      </c>
      <c r="W333" s="14">
        <f>IF($A333="","",IF(OR($B333="",$F333="",$G333="",$H333="",$I333=""),"Faltam campos básicos",IF(AND(OR($F333="Ponto de atenção",$F333="Incidente"),OR($K333="",$L333="",$O333="",$P333="")),"Faltam campos de sinalização","OK")))</f>
        <v/>
      </c>
      <c r="X333" s="14">
        <f>IF($A333="","",IF(AND(OR($F333="Ponto de atenção",$F333="Incidente"),$L333&lt;&gt;"Sim"),"Não",IF(AND($S333="",$W333&lt;&gt;"OK"),"Não","Sim")))</f>
        <v/>
      </c>
      <c r="Y333" s="14">
        <f>IF($C333="",0,IF(COUNTIFS($C$5:$C333,$C333,$D$5:$D333,$D333)=1,1,0))</f>
        <v/>
      </c>
      <c r="Z333" s="14">
        <f>IF($A333="","",IF(Config!$B$7-$T333&gt;2,"Arquivada",IF(Config!$B$7-$T333&gt;0,"Histórico","Ativa")))</f>
        <v/>
      </c>
      <c r="AA333" s="14">
        <f>IF($A333="",0,IF(AND(OR($F333="Ponto de atenção",$F333="Incidente"),$L333="Sim"),1,0))</f>
        <v/>
      </c>
      <c r="AB333" s="14">
        <f>IF(OR($C333="",$C333&lt;&gt;'1a1'!$B$4,$T333&lt;&gt;Config!$B$7),"",COUNTIFS($C$5:$C333,'1a1'!$B$4,$T$5:$T333,Config!$B$7))</f>
        <v/>
      </c>
    </row>
    <row r="334">
      <c r="A334" s="18" t="n"/>
      <c r="B334" s="19" t="n"/>
      <c r="C334" s="14">
        <f>IFERROR(INDEX(Pessoas!$A$5:$A$64,MATCH($B334,Pessoas!$B$5:$B$64,0)),"")</f>
        <v/>
      </c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8" t="n"/>
      <c r="N334" s="19" t="n"/>
      <c r="O334" s="19" t="n"/>
      <c r="P334" s="19" t="n"/>
      <c r="Q334" s="20">
        <f>IF(OR($M334="",$P334=""),"",$M334+IF($P334="7 dias",7,IF($P334="14 dias",14,90)))</f>
        <v/>
      </c>
      <c r="R334" s="19" t="n"/>
      <c r="S334" s="19" t="n"/>
      <c r="T334" s="14">
        <f>IF($A334="","",YEAR($A334)*4+ROUNDUP(MONTH($A334)/3,0))</f>
        <v/>
      </c>
      <c r="U334" s="14">
        <f>IF($C334="","",$C334&amp;"|"&amp;$T334)</f>
        <v/>
      </c>
      <c r="V334" s="14">
        <f>IF($C334="","",$C334&amp;"|"&amp;$T334&amp;"|"&amp;$G334)</f>
        <v/>
      </c>
      <c r="W334" s="14">
        <f>IF($A334="","",IF(OR($B334="",$F334="",$G334="",$H334="",$I334=""),"Faltam campos básicos",IF(AND(OR($F334="Ponto de atenção",$F334="Incidente"),OR($K334="",$L334="",$O334="",$P334="")),"Faltam campos de sinalização","OK")))</f>
        <v/>
      </c>
      <c r="X334" s="14">
        <f>IF($A334="","",IF(AND(OR($F334="Ponto de atenção",$F334="Incidente"),$L334&lt;&gt;"Sim"),"Não",IF(AND($S334="",$W334&lt;&gt;"OK"),"Não","Sim")))</f>
        <v/>
      </c>
      <c r="Y334" s="14">
        <f>IF($C334="",0,IF(COUNTIFS($C$5:$C334,$C334,$D$5:$D334,$D334)=1,1,0))</f>
        <v/>
      </c>
      <c r="Z334" s="14">
        <f>IF($A334="","",IF(Config!$B$7-$T334&gt;2,"Arquivada",IF(Config!$B$7-$T334&gt;0,"Histórico","Ativa")))</f>
        <v/>
      </c>
      <c r="AA334" s="14">
        <f>IF($A334="",0,IF(AND(OR($F334="Ponto de atenção",$F334="Incidente"),$L334="Sim"),1,0))</f>
        <v/>
      </c>
      <c r="AB334" s="14">
        <f>IF(OR($C334="",$C334&lt;&gt;'1a1'!$B$4,$T334&lt;&gt;Config!$B$7),"",COUNTIFS($C$5:$C334,'1a1'!$B$4,$T$5:$T334,Config!$B$7))</f>
        <v/>
      </c>
    </row>
    <row r="335">
      <c r="A335" s="18" t="n"/>
      <c r="B335" s="19" t="n"/>
      <c r="C335" s="14">
        <f>IFERROR(INDEX(Pessoas!$A$5:$A$64,MATCH($B335,Pessoas!$B$5:$B$64,0)),"")</f>
        <v/>
      </c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8" t="n"/>
      <c r="N335" s="19" t="n"/>
      <c r="O335" s="19" t="n"/>
      <c r="P335" s="19" t="n"/>
      <c r="Q335" s="20">
        <f>IF(OR($M335="",$P335=""),"",$M335+IF($P335="7 dias",7,IF($P335="14 dias",14,90)))</f>
        <v/>
      </c>
      <c r="R335" s="19" t="n"/>
      <c r="S335" s="19" t="n"/>
      <c r="T335" s="14">
        <f>IF($A335="","",YEAR($A335)*4+ROUNDUP(MONTH($A335)/3,0))</f>
        <v/>
      </c>
      <c r="U335" s="14">
        <f>IF($C335="","",$C335&amp;"|"&amp;$T335)</f>
        <v/>
      </c>
      <c r="V335" s="14">
        <f>IF($C335="","",$C335&amp;"|"&amp;$T335&amp;"|"&amp;$G335)</f>
        <v/>
      </c>
      <c r="W335" s="14">
        <f>IF($A335="","",IF(OR($B335="",$F335="",$G335="",$H335="",$I335=""),"Faltam campos básicos",IF(AND(OR($F335="Ponto de atenção",$F335="Incidente"),OR($K335="",$L335="",$O335="",$P335="")),"Faltam campos de sinalização","OK")))</f>
        <v/>
      </c>
      <c r="X335" s="14">
        <f>IF($A335="","",IF(AND(OR($F335="Ponto de atenção",$F335="Incidente"),$L335&lt;&gt;"Sim"),"Não",IF(AND($S335="",$W335&lt;&gt;"OK"),"Não","Sim")))</f>
        <v/>
      </c>
      <c r="Y335" s="14">
        <f>IF($C335="",0,IF(COUNTIFS($C$5:$C335,$C335,$D$5:$D335,$D335)=1,1,0))</f>
        <v/>
      </c>
      <c r="Z335" s="14">
        <f>IF($A335="","",IF(Config!$B$7-$T335&gt;2,"Arquivada",IF(Config!$B$7-$T335&gt;0,"Histórico","Ativa")))</f>
        <v/>
      </c>
      <c r="AA335" s="14">
        <f>IF($A335="",0,IF(AND(OR($F335="Ponto de atenção",$F335="Incidente"),$L335="Sim"),1,0))</f>
        <v/>
      </c>
      <c r="AB335" s="14">
        <f>IF(OR($C335="",$C335&lt;&gt;'1a1'!$B$4,$T335&lt;&gt;Config!$B$7),"",COUNTIFS($C$5:$C335,'1a1'!$B$4,$T$5:$T335,Config!$B$7))</f>
        <v/>
      </c>
    </row>
    <row r="336">
      <c r="A336" s="18" t="n"/>
      <c r="B336" s="19" t="n"/>
      <c r="C336" s="14">
        <f>IFERROR(INDEX(Pessoas!$A$5:$A$64,MATCH($B336,Pessoas!$B$5:$B$64,0)),"")</f>
        <v/>
      </c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8" t="n"/>
      <c r="N336" s="19" t="n"/>
      <c r="O336" s="19" t="n"/>
      <c r="P336" s="19" t="n"/>
      <c r="Q336" s="20">
        <f>IF(OR($M336="",$P336=""),"",$M336+IF($P336="7 dias",7,IF($P336="14 dias",14,90)))</f>
        <v/>
      </c>
      <c r="R336" s="19" t="n"/>
      <c r="S336" s="19" t="n"/>
      <c r="T336" s="14">
        <f>IF($A336="","",YEAR($A336)*4+ROUNDUP(MONTH($A336)/3,0))</f>
        <v/>
      </c>
      <c r="U336" s="14">
        <f>IF($C336="","",$C336&amp;"|"&amp;$T336)</f>
        <v/>
      </c>
      <c r="V336" s="14">
        <f>IF($C336="","",$C336&amp;"|"&amp;$T336&amp;"|"&amp;$G336)</f>
        <v/>
      </c>
      <c r="W336" s="14">
        <f>IF($A336="","",IF(OR($B336="",$F336="",$G336="",$H336="",$I336=""),"Faltam campos básicos",IF(AND(OR($F336="Ponto de atenção",$F336="Incidente"),OR($K336="",$L336="",$O336="",$P336="")),"Faltam campos de sinalização","OK")))</f>
        <v/>
      </c>
      <c r="X336" s="14">
        <f>IF($A336="","",IF(AND(OR($F336="Ponto de atenção",$F336="Incidente"),$L336&lt;&gt;"Sim"),"Não",IF(AND($S336="",$W336&lt;&gt;"OK"),"Não","Sim")))</f>
        <v/>
      </c>
      <c r="Y336" s="14">
        <f>IF($C336="",0,IF(COUNTIFS($C$5:$C336,$C336,$D$5:$D336,$D336)=1,1,0))</f>
        <v/>
      </c>
      <c r="Z336" s="14">
        <f>IF($A336="","",IF(Config!$B$7-$T336&gt;2,"Arquivada",IF(Config!$B$7-$T336&gt;0,"Histórico","Ativa")))</f>
        <v/>
      </c>
      <c r="AA336" s="14">
        <f>IF($A336="",0,IF(AND(OR($F336="Ponto de atenção",$F336="Incidente"),$L336="Sim"),1,0))</f>
        <v/>
      </c>
      <c r="AB336" s="14">
        <f>IF(OR($C336="",$C336&lt;&gt;'1a1'!$B$4,$T336&lt;&gt;Config!$B$7),"",COUNTIFS($C$5:$C336,'1a1'!$B$4,$T$5:$T336,Config!$B$7))</f>
        <v/>
      </c>
    </row>
    <row r="337">
      <c r="A337" s="18" t="n"/>
      <c r="B337" s="19" t="n"/>
      <c r="C337" s="14">
        <f>IFERROR(INDEX(Pessoas!$A$5:$A$64,MATCH($B337,Pessoas!$B$5:$B$64,0)),"")</f>
        <v/>
      </c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8" t="n"/>
      <c r="N337" s="19" t="n"/>
      <c r="O337" s="19" t="n"/>
      <c r="P337" s="19" t="n"/>
      <c r="Q337" s="20">
        <f>IF(OR($M337="",$P337=""),"",$M337+IF($P337="7 dias",7,IF($P337="14 dias",14,90)))</f>
        <v/>
      </c>
      <c r="R337" s="19" t="n"/>
      <c r="S337" s="19" t="n"/>
      <c r="T337" s="14">
        <f>IF($A337="","",YEAR($A337)*4+ROUNDUP(MONTH($A337)/3,0))</f>
        <v/>
      </c>
      <c r="U337" s="14">
        <f>IF($C337="","",$C337&amp;"|"&amp;$T337)</f>
        <v/>
      </c>
      <c r="V337" s="14">
        <f>IF($C337="","",$C337&amp;"|"&amp;$T337&amp;"|"&amp;$G337)</f>
        <v/>
      </c>
      <c r="W337" s="14">
        <f>IF($A337="","",IF(OR($B337="",$F337="",$G337="",$H337="",$I337=""),"Faltam campos básicos",IF(AND(OR($F337="Ponto de atenção",$F337="Incidente"),OR($K337="",$L337="",$O337="",$P337="")),"Faltam campos de sinalização","OK")))</f>
        <v/>
      </c>
      <c r="X337" s="14">
        <f>IF($A337="","",IF(AND(OR($F337="Ponto de atenção",$F337="Incidente"),$L337&lt;&gt;"Sim"),"Não",IF(AND($S337="",$W337&lt;&gt;"OK"),"Não","Sim")))</f>
        <v/>
      </c>
      <c r="Y337" s="14">
        <f>IF($C337="",0,IF(COUNTIFS($C$5:$C337,$C337,$D$5:$D337,$D337)=1,1,0))</f>
        <v/>
      </c>
      <c r="Z337" s="14">
        <f>IF($A337="","",IF(Config!$B$7-$T337&gt;2,"Arquivada",IF(Config!$B$7-$T337&gt;0,"Histórico","Ativa")))</f>
        <v/>
      </c>
      <c r="AA337" s="14">
        <f>IF($A337="",0,IF(AND(OR($F337="Ponto de atenção",$F337="Incidente"),$L337="Sim"),1,0))</f>
        <v/>
      </c>
      <c r="AB337" s="14">
        <f>IF(OR($C337="",$C337&lt;&gt;'1a1'!$B$4,$T337&lt;&gt;Config!$B$7),"",COUNTIFS($C$5:$C337,'1a1'!$B$4,$T$5:$T337,Config!$B$7))</f>
        <v/>
      </c>
    </row>
    <row r="338">
      <c r="A338" s="18" t="n"/>
      <c r="B338" s="19" t="n"/>
      <c r="C338" s="14">
        <f>IFERROR(INDEX(Pessoas!$A$5:$A$64,MATCH($B338,Pessoas!$B$5:$B$64,0)),"")</f>
        <v/>
      </c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8" t="n"/>
      <c r="N338" s="19" t="n"/>
      <c r="O338" s="19" t="n"/>
      <c r="P338" s="19" t="n"/>
      <c r="Q338" s="20">
        <f>IF(OR($M338="",$P338=""),"",$M338+IF($P338="7 dias",7,IF($P338="14 dias",14,90)))</f>
        <v/>
      </c>
      <c r="R338" s="19" t="n"/>
      <c r="S338" s="19" t="n"/>
      <c r="T338" s="14">
        <f>IF($A338="","",YEAR($A338)*4+ROUNDUP(MONTH($A338)/3,0))</f>
        <v/>
      </c>
      <c r="U338" s="14">
        <f>IF($C338="","",$C338&amp;"|"&amp;$T338)</f>
        <v/>
      </c>
      <c r="V338" s="14">
        <f>IF($C338="","",$C338&amp;"|"&amp;$T338&amp;"|"&amp;$G338)</f>
        <v/>
      </c>
      <c r="W338" s="14">
        <f>IF($A338="","",IF(OR($B338="",$F338="",$G338="",$H338="",$I338=""),"Faltam campos básicos",IF(AND(OR($F338="Ponto de atenção",$F338="Incidente"),OR($K338="",$L338="",$O338="",$P338="")),"Faltam campos de sinalização","OK")))</f>
        <v/>
      </c>
      <c r="X338" s="14">
        <f>IF($A338="","",IF(AND(OR($F338="Ponto de atenção",$F338="Incidente"),$L338&lt;&gt;"Sim"),"Não",IF(AND($S338="",$W338&lt;&gt;"OK"),"Não","Sim")))</f>
        <v/>
      </c>
      <c r="Y338" s="14">
        <f>IF($C338="",0,IF(COUNTIFS($C$5:$C338,$C338,$D$5:$D338,$D338)=1,1,0))</f>
        <v/>
      </c>
      <c r="Z338" s="14">
        <f>IF($A338="","",IF(Config!$B$7-$T338&gt;2,"Arquivada",IF(Config!$B$7-$T338&gt;0,"Histórico","Ativa")))</f>
        <v/>
      </c>
      <c r="AA338" s="14">
        <f>IF($A338="",0,IF(AND(OR($F338="Ponto de atenção",$F338="Incidente"),$L338="Sim"),1,0))</f>
        <v/>
      </c>
      <c r="AB338" s="14">
        <f>IF(OR($C338="",$C338&lt;&gt;'1a1'!$B$4,$T338&lt;&gt;Config!$B$7),"",COUNTIFS($C$5:$C338,'1a1'!$B$4,$T$5:$T338,Config!$B$7))</f>
        <v/>
      </c>
    </row>
    <row r="339">
      <c r="A339" s="18" t="n"/>
      <c r="B339" s="19" t="n"/>
      <c r="C339" s="14">
        <f>IFERROR(INDEX(Pessoas!$A$5:$A$64,MATCH($B339,Pessoas!$B$5:$B$64,0)),"")</f>
        <v/>
      </c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8" t="n"/>
      <c r="N339" s="19" t="n"/>
      <c r="O339" s="19" t="n"/>
      <c r="P339" s="19" t="n"/>
      <c r="Q339" s="20">
        <f>IF(OR($M339="",$P339=""),"",$M339+IF($P339="7 dias",7,IF($P339="14 dias",14,90)))</f>
        <v/>
      </c>
      <c r="R339" s="19" t="n"/>
      <c r="S339" s="19" t="n"/>
      <c r="T339" s="14">
        <f>IF($A339="","",YEAR($A339)*4+ROUNDUP(MONTH($A339)/3,0))</f>
        <v/>
      </c>
      <c r="U339" s="14">
        <f>IF($C339="","",$C339&amp;"|"&amp;$T339)</f>
        <v/>
      </c>
      <c r="V339" s="14">
        <f>IF($C339="","",$C339&amp;"|"&amp;$T339&amp;"|"&amp;$G339)</f>
        <v/>
      </c>
      <c r="W339" s="14">
        <f>IF($A339="","",IF(OR($B339="",$F339="",$G339="",$H339="",$I339=""),"Faltam campos básicos",IF(AND(OR($F339="Ponto de atenção",$F339="Incidente"),OR($K339="",$L339="",$O339="",$P339="")),"Faltam campos de sinalização","OK")))</f>
        <v/>
      </c>
      <c r="X339" s="14">
        <f>IF($A339="","",IF(AND(OR($F339="Ponto de atenção",$F339="Incidente"),$L339&lt;&gt;"Sim"),"Não",IF(AND($S339="",$W339&lt;&gt;"OK"),"Não","Sim")))</f>
        <v/>
      </c>
      <c r="Y339" s="14">
        <f>IF($C339="",0,IF(COUNTIFS($C$5:$C339,$C339,$D$5:$D339,$D339)=1,1,0))</f>
        <v/>
      </c>
      <c r="Z339" s="14">
        <f>IF($A339="","",IF(Config!$B$7-$T339&gt;2,"Arquivada",IF(Config!$B$7-$T339&gt;0,"Histórico","Ativa")))</f>
        <v/>
      </c>
      <c r="AA339" s="14">
        <f>IF($A339="",0,IF(AND(OR($F339="Ponto de atenção",$F339="Incidente"),$L339="Sim"),1,0))</f>
        <v/>
      </c>
      <c r="AB339" s="14">
        <f>IF(OR($C339="",$C339&lt;&gt;'1a1'!$B$4,$T339&lt;&gt;Config!$B$7),"",COUNTIFS($C$5:$C339,'1a1'!$B$4,$T$5:$T339,Config!$B$7))</f>
        <v/>
      </c>
    </row>
    <row r="340">
      <c r="A340" s="18" t="n"/>
      <c r="B340" s="19" t="n"/>
      <c r="C340" s="14">
        <f>IFERROR(INDEX(Pessoas!$A$5:$A$64,MATCH($B340,Pessoas!$B$5:$B$64,0)),"")</f>
        <v/>
      </c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8" t="n"/>
      <c r="N340" s="19" t="n"/>
      <c r="O340" s="19" t="n"/>
      <c r="P340" s="19" t="n"/>
      <c r="Q340" s="20">
        <f>IF(OR($M340="",$P340=""),"",$M340+IF($P340="7 dias",7,IF($P340="14 dias",14,90)))</f>
        <v/>
      </c>
      <c r="R340" s="19" t="n"/>
      <c r="S340" s="19" t="n"/>
      <c r="T340" s="14">
        <f>IF($A340="","",YEAR($A340)*4+ROUNDUP(MONTH($A340)/3,0))</f>
        <v/>
      </c>
      <c r="U340" s="14">
        <f>IF($C340="","",$C340&amp;"|"&amp;$T340)</f>
        <v/>
      </c>
      <c r="V340" s="14">
        <f>IF($C340="","",$C340&amp;"|"&amp;$T340&amp;"|"&amp;$G340)</f>
        <v/>
      </c>
      <c r="W340" s="14">
        <f>IF($A340="","",IF(OR($B340="",$F340="",$G340="",$H340="",$I340=""),"Faltam campos básicos",IF(AND(OR($F340="Ponto de atenção",$F340="Incidente"),OR($K340="",$L340="",$O340="",$P340="")),"Faltam campos de sinalização","OK")))</f>
        <v/>
      </c>
      <c r="X340" s="14">
        <f>IF($A340="","",IF(AND(OR($F340="Ponto de atenção",$F340="Incidente"),$L340&lt;&gt;"Sim"),"Não",IF(AND($S340="",$W340&lt;&gt;"OK"),"Não","Sim")))</f>
        <v/>
      </c>
      <c r="Y340" s="14">
        <f>IF($C340="",0,IF(COUNTIFS($C$5:$C340,$C340,$D$5:$D340,$D340)=1,1,0))</f>
        <v/>
      </c>
      <c r="Z340" s="14">
        <f>IF($A340="","",IF(Config!$B$7-$T340&gt;2,"Arquivada",IF(Config!$B$7-$T340&gt;0,"Histórico","Ativa")))</f>
        <v/>
      </c>
      <c r="AA340" s="14">
        <f>IF($A340="",0,IF(AND(OR($F340="Ponto de atenção",$F340="Incidente"),$L340="Sim"),1,0))</f>
        <v/>
      </c>
      <c r="AB340" s="14">
        <f>IF(OR($C340="",$C340&lt;&gt;'1a1'!$B$4,$T340&lt;&gt;Config!$B$7),"",COUNTIFS($C$5:$C340,'1a1'!$B$4,$T$5:$T340,Config!$B$7))</f>
        <v/>
      </c>
    </row>
    <row r="341">
      <c r="A341" s="18" t="n"/>
      <c r="B341" s="19" t="n"/>
      <c r="C341" s="14">
        <f>IFERROR(INDEX(Pessoas!$A$5:$A$64,MATCH($B341,Pessoas!$B$5:$B$64,0)),"")</f>
        <v/>
      </c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8" t="n"/>
      <c r="N341" s="19" t="n"/>
      <c r="O341" s="19" t="n"/>
      <c r="P341" s="19" t="n"/>
      <c r="Q341" s="20">
        <f>IF(OR($M341="",$P341=""),"",$M341+IF($P341="7 dias",7,IF($P341="14 dias",14,90)))</f>
        <v/>
      </c>
      <c r="R341" s="19" t="n"/>
      <c r="S341" s="19" t="n"/>
      <c r="T341" s="14">
        <f>IF($A341="","",YEAR($A341)*4+ROUNDUP(MONTH($A341)/3,0))</f>
        <v/>
      </c>
      <c r="U341" s="14">
        <f>IF($C341="","",$C341&amp;"|"&amp;$T341)</f>
        <v/>
      </c>
      <c r="V341" s="14">
        <f>IF($C341="","",$C341&amp;"|"&amp;$T341&amp;"|"&amp;$G341)</f>
        <v/>
      </c>
      <c r="W341" s="14">
        <f>IF($A341="","",IF(OR($B341="",$F341="",$G341="",$H341="",$I341=""),"Faltam campos básicos",IF(AND(OR($F341="Ponto de atenção",$F341="Incidente"),OR($K341="",$L341="",$O341="",$P341="")),"Faltam campos de sinalização","OK")))</f>
        <v/>
      </c>
      <c r="X341" s="14">
        <f>IF($A341="","",IF(AND(OR($F341="Ponto de atenção",$F341="Incidente"),$L341&lt;&gt;"Sim"),"Não",IF(AND($S341="",$W341&lt;&gt;"OK"),"Não","Sim")))</f>
        <v/>
      </c>
      <c r="Y341" s="14">
        <f>IF($C341="",0,IF(COUNTIFS($C$5:$C341,$C341,$D$5:$D341,$D341)=1,1,0))</f>
        <v/>
      </c>
      <c r="Z341" s="14">
        <f>IF($A341="","",IF(Config!$B$7-$T341&gt;2,"Arquivada",IF(Config!$B$7-$T341&gt;0,"Histórico","Ativa")))</f>
        <v/>
      </c>
      <c r="AA341" s="14">
        <f>IF($A341="",0,IF(AND(OR($F341="Ponto de atenção",$F341="Incidente"),$L341="Sim"),1,0))</f>
        <v/>
      </c>
      <c r="AB341" s="14">
        <f>IF(OR($C341="",$C341&lt;&gt;'1a1'!$B$4,$T341&lt;&gt;Config!$B$7),"",COUNTIFS($C$5:$C341,'1a1'!$B$4,$T$5:$T341,Config!$B$7))</f>
        <v/>
      </c>
    </row>
    <row r="342">
      <c r="A342" s="18" t="n"/>
      <c r="B342" s="19" t="n"/>
      <c r="C342" s="14">
        <f>IFERROR(INDEX(Pessoas!$A$5:$A$64,MATCH($B342,Pessoas!$B$5:$B$64,0)),"")</f>
        <v/>
      </c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8" t="n"/>
      <c r="N342" s="19" t="n"/>
      <c r="O342" s="19" t="n"/>
      <c r="P342" s="19" t="n"/>
      <c r="Q342" s="20">
        <f>IF(OR($M342="",$P342=""),"",$M342+IF($P342="7 dias",7,IF($P342="14 dias",14,90)))</f>
        <v/>
      </c>
      <c r="R342" s="19" t="n"/>
      <c r="S342" s="19" t="n"/>
      <c r="T342" s="14">
        <f>IF($A342="","",YEAR($A342)*4+ROUNDUP(MONTH($A342)/3,0))</f>
        <v/>
      </c>
      <c r="U342" s="14">
        <f>IF($C342="","",$C342&amp;"|"&amp;$T342)</f>
        <v/>
      </c>
      <c r="V342" s="14">
        <f>IF($C342="","",$C342&amp;"|"&amp;$T342&amp;"|"&amp;$G342)</f>
        <v/>
      </c>
      <c r="W342" s="14">
        <f>IF($A342="","",IF(OR($B342="",$F342="",$G342="",$H342="",$I342=""),"Faltam campos básicos",IF(AND(OR($F342="Ponto de atenção",$F342="Incidente"),OR($K342="",$L342="",$O342="",$P342="")),"Faltam campos de sinalização","OK")))</f>
        <v/>
      </c>
      <c r="X342" s="14">
        <f>IF($A342="","",IF(AND(OR($F342="Ponto de atenção",$F342="Incidente"),$L342&lt;&gt;"Sim"),"Não",IF(AND($S342="",$W342&lt;&gt;"OK"),"Não","Sim")))</f>
        <v/>
      </c>
      <c r="Y342" s="14">
        <f>IF($C342="",0,IF(COUNTIFS($C$5:$C342,$C342,$D$5:$D342,$D342)=1,1,0))</f>
        <v/>
      </c>
      <c r="Z342" s="14">
        <f>IF($A342="","",IF(Config!$B$7-$T342&gt;2,"Arquivada",IF(Config!$B$7-$T342&gt;0,"Histórico","Ativa")))</f>
        <v/>
      </c>
      <c r="AA342" s="14">
        <f>IF($A342="",0,IF(AND(OR($F342="Ponto de atenção",$F342="Incidente"),$L342="Sim"),1,0))</f>
        <v/>
      </c>
      <c r="AB342" s="14">
        <f>IF(OR($C342="",$C342&lt;&gt;'1a1'!$B$4,$T342&lt;&gt;Config!$B$7),"",COUNTIFS($C$5:$C342,'1a1'!$B$4,$T$5:$T342,Config!$B$7))</f>
        <v/>
      </c>
    </row>
    <row r="343">
      <c r="A343" s="18" t="n"/>
      <c r="B343" s="19" t="n"/>
      <c r="C343" s="14">
        <f>IFERROR(INDEX(Pessoas!$A$5:$A$64,MATCH($B343,Pessoas!$B$5:$B$64,0)),"")</f>
        <v/>
      </c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8" t="n"/>
      <c r="N343" s="19" t="n"/>
      <c r="O343" s="19" t="n"/>
      <c r="P343" s="19" t="n"/>
      <c r="Q343" s="20">
        <f>IF(OR($M343="",$P343=""),"",$M343+IF($P343="7 dias",7,IF($P343="14 dias",14,90)))</f>
        <v/>
      </c>
      <c r="R343" s="19" t="n"/>
      <c r="S343" s="19" t="n"/>
      <c r="T343" s="14">
        <f>IF($A343="","",YEAR($A343)*4+ROUNDUP(MONTH($A343)/3,0))</f>
        <v/>
      </c>
      <c r="U343" s="14">
        <f>IF($C343="","",$C343&amp;"|"&amp;$T343)</f>
        <v/>
      </c>
      <c r="V343" s="14">
        <f>IF($C343="","",$C343&amp;"|"&amp;$T343&amp;"|"&amp;$G343)</f>
        <v/>
      </c>
      <c r="W343" s="14">
        <f>IF($A343="","",IF(OR($B343="",$F343="",$G343="",$H343="",$I343=""),"Faltam campos básicos",IF(AND(OR($F343="Ponto de atenção",$F343="Incidente"),OR($K343="",$L343="",$O343="",$P343="")),"Faltam campos de sinalização","OK")))</f>
        <v/>
      </c>
      <c r="X343" s="14">
        <f>IF($A343="","",IF(AND(OR($F343="Ponto de atenção",$F343="Incidente"),$L343&lt;&gt;"Sim"),"Não",IF(AND($S343="",$W343&lt;&gt;"OK"),"Não","Sim")))</f>
        <v/>
      </c>
      <c r="Y343" s="14">
        <f>IF($C343="",0,IF(COUNTIFS($C$5:$C343,$C343,$D$5:$D343,$D343)=1,1,0))</f>
        <v/>
      </c>
      <c r="Z343" s="14">
        <f>IF($A343="","",IF(Config!$B$7-$T343&gt;2,"Arquivada",IF(Config!$B$7-$T343&gt;0,"Histórico","Ativa")))</f>
        <v/>
      </c>
      <c r="AA343" s="14">
        <f>IF($A343="",0,IF(AND(OR($F343="Ponto de atenção",$F343="Incidente"),$L343="Sim"),1,0))</f>
        <v/>
      </c>
      <c r="AB343" s="14">
        <f>IF(OR($C343="",$C343&lt;&gt;'1a1'!$B$4,$T343&lt;&gt;Config!$B$7),"",COUNTIFS($C$5:$C343,'1a1'!$B$4,$T$5:$T343,Config!$B$7))</f>
        <v/>
      </c>
    </row>
    <row r="344">
      <c r="A344" s="18" t="n"/>
      <c r="B344" s="19" t="n"/>
      <c r="C344" s="14">
        <f>IFERROR(INDEX(Pessoas!$A$5:$A$64,MATCH($B344,Pessoas!$B$5:$B$64,0)),"")</f>
        <v/>
      </c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8" t="n"/>
      <c r="N344" s="19" t="n"/>
      <c r="O344" s="19" t="n"/>
      <c r="P344" s="19" t="n"/>
      <c r="Q344" s="20">
        <f>IF(OR($M344="",$P344=""),"",$M344+IF($P344="7 dias",7,IF($P344="14 dias",14,90)))</f>
        <v/>
      </c>
      <c r="R344" s="19" t="n"/>
      <c r="S344" s="19" t="n"/>
      <c r="T344" s="14">
        <f>IF($A344="","",YEAR($A344)*4+ROUNDUP(MONTH($A344)/3,0))</f>
        <v/>
      </c>
      <c r="U344" s="14">
        <f>IF($C344="","",$C344&amp;"|"&amp;$T344)</f>
        <v/>
      </c>
      <c r="V344" s="14">
        <f>IF($C344="","",$C344&amp;"|"&amp;$T344&amp;"|"&amp;$G344)</f>
        <v/>
      </c>
      <c r="W344" s="14">
        <f>IF($A344="","",IF(OR($B344="",$F344="",$G344="",$H344="",$I344=""),"Faltam campos básicos",IF(AND(OR($F344="Ponto de atenção",$F344="Incidente"),OR($K344="",$L344="",$O344="",$P344="")),"Faltam campos de sinalização","OK")))</f>
        <v/>
      </c>
      <c r="X344" s="14">
        <f>IF($A344="","",IF(AND(OR($F344="Ponto de atenção",$F344="Incidente"),$L344&lt;&gt;"Sim"),"Não",IF(AND($S344="",$W344&lt;&gt;"OK"),"Não","Sim")))</f>
        <v/>
      </c>
      <c r="Y344" s="14">
        <f>IF($C344="",0,IF(COUNTIFS($C$5:$C344,$C344,$D$5:$D344,$D344)=1,1,0))</f>
        <v/>
      </c>
      <c r="Z344" s="14">
        <f>IF($A344="","",IF(Config!$B$7-$T344&gt;2,"Arquivada",IF(Config!$B$7-$T344&gt;0,"Histórico","Ativa")))</f>
        <v/>
      </c>
      <c r="AA344" s="14">
        <f>IF($A344="",0,IF(AND(OR($F344="Ponto de atenção",$F344="Incidente"),$L344="Sim"),1,0))</f>
        <v/>
      </c>
      <c r="AB344" s="14">
        <f>IF(OR($C344="",$C344&lt;&gt;'1a1'!$B$4,$T344&lt;&gt;Config!$B$7),"",COUNTIFS($C$5:$C344,'1a1'!$B$4,$T$5:$T344,Config!$B$7))</f>
        <v/>
      </c>
    </row>
    <row r="345">
      <c r="A345" s="18" t="n"/>
      <c r="B345" s="19" t="n"/>
      <c r="C345" s="14">
        <f>IFERROR(INDEX(Pessoas!$A$5:$A$64,MATCH($B345,Pessoas!$B$5:$B$64,0)),"")</f>
        <v/>
      </c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8" t="n"/>
      <c r="N345" s="19" t="n"/>
      <c r="O345" s="19" t="n"/>
      <c r="P345" s="19" t="n"/>
      <c r="Q345" s="20">
        <f>IF(OR($M345="",$P345=""),"",$M345+IF($P345="7 dias",7,IF($P345="14 dias",14,90)))</f>
        <v/>
      </c>
      <c r="R345" s="19" t="n"/>
      <c r="S345" s="19" t="n"/>
      <c r="T345" s="14">
        <f>IF($A345="","",YEAR($A345)*4+ROUNDUP(MONTH($A345)/3,0))</f>
        <v/>
      </c>
      <c r="U345" s="14">
        <f>IF($C345="","",$C345&amp;"|"&amp;$T345)</f>
        <v/>
      </c>
      <c r="V345" s="14">
        <f>IF($C345="","",$C345&amp;"|"&amp;$T345&amp;"|"&amp;$G345)</f>
        <v/>
      </c>
      <c r="W345" s="14">
        <f>IF($A345="","",IF(OR($B345="",$F345="",$G345="",$H345="",$I345=""),"Faltam campos básicos",IF(AND(OR($F345="Ponto de atenção",$F345="Incidente"),OR($K345="",$L345="",$O345="",$P345="")),"Faltam campos de sinalização","OK")))</f>
        <v/>
      </c>
      <c r="X345" s="14">
        <f>IF($A345="","",IF(AND(OR($F345="Ponto de atenção",$F345="Incidente"),$L345&lt;&gt;"Sim"),"Não",IF(AND($S345="",$W345&lt;&gt;"OK"),"Não","Sim")))</f>
        <v/>
      </c>
      <c r="Y345" s="14">
        <f>IF($C345="",0,IF(COUNTIFS($C$5:$C345,$C345,$D$5:$D345,$D345)=1,1,0))</f>
        <v/>
      </c>
      <c r="Z345" s="14">
        <f>IF($A345="","",IF(Config!$B$7-$T345&gt;2,"Arquivada",IF(Config!$B$7-$T345&gt;0,"Histórico","Ativa")))</f>
        <v/>
      </c>
      <c r="AA345" s="14">
        <f>IF($A345="",0,IF(AND(OR($F345="Ponto de atenção",$F345="Incidente"),$L345="Sim"),1,0))</f>
        <v/>
      </c>
      <c r="AB345" s="14">
        <f>IF(OR($C345="",$C345&lt;&gt;'1a1'!$B$4,$T345&lt;&gt;Config!$B$7),"",COUNTIFS($C$5:$C345,'1a1'!$B$4,$T$5:$T345,Config!$B$7))</f>
        <v/>
      </c>
    </row>
    <row r="346">
      <c r="A346" s="18" t="n"/>
      <c r="B346" s="19" t="n"/>
      <c r="C346" s="14">
        <f>IFERROR(INDEX(Pessoas!$A$5:$A$64,MATCH($B346,Pessoas!$B$5:$B$64,0)),"")</f>
        <v/>
      </c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8" t="n"/>
      <c r="N346" s="19" t="n"/>
      <c r="O346" s="19" t="n"/>
      <c r="P346" s="19" t="n"/>
      <c r="Q346" s="20">
        <f>IF(OR($M346="",$P346=""),"",$M346+IF($P346="7 dias",7,IF($P346="14 dias",14,90)))</f>
        <v/>
      </c>
      <c r="R346" s="19" t="n"/>
      <c r="S346" s="19" t="n"/>
      <c r="T346" s="14">
        <f>IF($A346="","",YEAR($A346)*4+ROUNDUP(MONTH($A346)/3,0))</f>
        <v/>
      </c>
      <c r="U346" s="14">
        <f>IF($C346="","",$C346&amp;"|"&amp;$T346)</f>
        <v/>
      </c>
      <c r="V346" s="14">
        <f>IF($C346="","",$C346&amp;"|"&amp;$T346&amp;"|"&amp;$G346)</f>
        <v/>
      </c>
      <c r="W346" s="14">
        <f>IF($A346="","",IF(OR($B346="",$F346="",$G346="",$H346="",$I346=""),"Faltam campos básicos",IF(AND(OR($F346="Ponto de atenção",$F346="Incidente"),OR($K346="",$L346="",$O346="",$P346="")),"Faltam campos de sinalização","OK")))</f>
        <v/>
      </c>
      <c r="X346" s="14">
        <f>IF($A346="","",IF(AND(OR($F346="Ponto de atenção",$F346="Incidente"),$L346&lt;&gt;"Sim"),"Não",IF(AND($S346="",$W346&lt;&gt;"OK"),"Não","Sim")))</f>
        <v/>
      </c>
      <c r="Y346" s="14">
        <f>IF($C346="",0,IF(COUNTIFS($C$5:$C346,$C346,$D$5:$D346,$D346)=1,1,0))</f>
        <v/>
      </c>
      <c r="Z346" s="14">
        <f>IF($A346="","",IF(Config!$B$7-$T346&gt;2,"Arquivada",IF(Config!$B$7-$T346&gt;0,"Histórico","Ativa")))</f>
        <v/>
      </c>
      <c r="AA346" s="14">
        <f>IF($A346="",0,IF(AND(OR($F346="Ponto de atenção",$F346="Incidente"),$L346="Sim"),1,0))</f>
        <v/>
      </c>
      <c r="AB346" s="14">
        <f>IF(OR($C346="",$C346&lt;&gt;'1a1'!$B$4,$T346&lt;&gt;Config!$B$7),"",COUNTIFS($C$5:$C346,'1a1'!$B$4,$T$5:$T346,Config!$B$7))</f>
        <v/>
      </c>
    </row>
    <row r="347">
      <c r="A347" s="18" t="n"/>
      <c r="B347" s="19" t="n"/>
      <c r="C347" s="14">
        <f>IFERROR(INDEX(Pessoas!$A$5:$A$64,MATCH($B347,Pessoas!$B$5:$B$64,0)),"")</f>
        <v/>
      </c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8" t="n"/>
      <c r="N347" s="19" t="n"/>
      <c r="O347" s="19" t="n"/>
      <c r="P347" s="19" t="n"/>
      <c r="Q347" s="20">
        <f>IF(OR($M347="",$P347=""),"",$M347+IF($P347="7 dias",7,IF($P347="14 dias",14,90)))</f>
        <v/>
      </c>
      <c r="R347" s="19" t="n"/>
      <c r="S347" s="19" t="n"/>
      <c r="T347" s="14">
        <f>IF($A347="","",YEAR($A347)*4+ROUNDUP(MONTH($A347)/3,0))</f>
        <v/>
      </c>
      <c r="U347" s="14">
        <f>IF($C347="","",$C347&amp;"|"&amp;$T347)</f>
        <v/>
      </c>
      <c r="V347" s="14">
        <f>IF($C347="","",$C347&amp;"|"&amp;$T347&amp;"|"&amp;$G347)</f>
        <v/>
      </c>
      <c r="W347" s="14">
        <f>IF($A347="","",IF(OR($B347="",$F347="",$G347="",$H347="",$I347=""),"Faltam campos básicos",IF(AND(OR($F347="Ponto de atenção",$F347="Incidente"),OR($K347="",$L347="",$O347="",$P347="")),"Faltam campos de sinalização","OK")))</f>
        <v/>
      </c>
      <c r="X347" s="14">
        <f>IF($A347="","",IF(AND(OR($F347="Ponto de atenção",$F347="Incidente"),$L347&lt;&gt;"Sim"),"Não",IF(AND($S347="",$W347&lt;&gt;"OK"),"Não","Sim")))</f>
        <v/>
      </c>
      <c r="Y347" s="14">
        <f>IF($C347="",0,IF(COUNTIFS($C$5:$C347,$C347,$D$5:$D347,$D347)=1,1,0))</f>
        <v/>
      </c>
      <c r="Z347" s="14">
        <f>IF($A347="","",IF(Config!$B$7-$T347&gt;2,"Arquivada",IF(Config!$B$7-$T347&gt;0,"Histórico","Ativa")))</f>
        <v/>
      </c>
      <c r="AA347" s="14">
        <f>IF($A347="",0,IF(AND(OR($F347="Ponto de atenção",$F347="Incidente"),$L347="Sim"),1,0))</f>
        <v/>
      </c>
      <c r="AB347" s="14">
        <f>IF(OR($C347="",$C347&lt;&gt;'1a1'!$B$4,$T347&lt;&gt;Config!$B$7),"",COUNTIFS($C$5:$C347,'1a1'!$B$4,$T$5:$T347,Config!$B$7))</f>
        <v/>
      </c>
    </row>
    <row r="348">
      <c r="A348" s="18" t="n"/>
      <c r="B348" s="19" t="n"/>
      <c r="C348" s="14">
        <f>IFERROR(INDEX(Pessoas!$A$5:$A$64,MATCH($B348,Pessoas!$B$5:$B$64,0)),"")</f>
        <v/>
      </c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8" t="n"/>
      <c r="N348" s="19" t="n"/>
      <c r="O348" s="19" t="n"/>
      <c r="P348" s="19" t="n"/>
      <c r="Q348" s="20">
        <f>IF(OR($M348="",$P348=""),"",$M348+IF($P348="7 dias",7,IF($P348="14 dias",14,90)))</f>
        <v/>
      </c>
      <c r="R348" s="19" t="n"/>
      <c r="S348" s="19" t="n"/>
      <c r="T348" s="14">
        <f>IF($A348="","",YEAR($A348)*4+ROUNDUP(MONTH($A348)/3,0))</f>
        <v/>
      </c>
      <c r="U348" s="14">
        <f>IF($C348="","",$C348&amp;"|"&amp;$T348)</f>
        <v/>
      </c>
      <c r="V348" s="14">
        <f>IF($C348="","",$C348&amp;"|"&amp;$T348&amp;"|"&amp;$G348)</f>
        <v/>
      </c>
      <c r="W348" s="14">
        <f>IF($A348="","",IF(OR($B348="",$F348="",$G348="",$H348="",$I348=""),"Faltam campos básicos",IF(AND(OR($F348="Ponto de atenção",$F348="Incidente"),OR($K348="",$L348="",$O348="",$P348="")),"Faltam campos de sinalização","OK")))</f>
        <v/>
      </c>
      <c r="X348" s="14">
        <f>IF($A348="","",IF(AND(OR($F348="Ponto de atenção",$F348="Incidente"),$L348&lt;&gt;"Sim"),"Não",IF(AND($S348="",$W348&lt;&gt;"OK"),"Não","Sim")))</f>
        <v/>
      </c>
      <c r="Y348" s="14">
        <f>IF($C348="",0,IF(COUNTIFS($C$5:$C348,$C348,$D$5:$D348,$D348)=1,1,0))</f>
        <v/>
      </c>
      <c r="Z348" s="14">
        <f>IF($A348="","",IF(Config!$B$7-$T348&gt;2,"Arquivada",IF(Config!$B$7-$T348&gt;0,"Histórico","Ativa")))</f>
        <v/>
      </c>
      <c r="AA348" s="14">
        <f>IF($A348="",0,IF(AND(OR($F348="Ponto de atenção",$F348="Incidente"),$L348="Sim"),1,0))</f>
        <v/>
      </c>
      <c r="AB348" s="14">
        <f>IF(OR($C348="",$C348&lt;&gt;'1a1'!$B$4,$T348&lt;&gt;Config!$B$7),"",COUNTIFS($C$5:$C348,'1a1'!$B$4,$T$5:$T348,Config!$B$7))</f>
        <v/>
      </c>
    </row>
    <row r="349">
      <c r="A349" s="18" t="n"/>
      <c r="B349" s="19" t="n"/>
      <c r="C349" s="14">
        <f>IFERROR(INDEX(Pessoas!$A$5:$A$64,MATCH($B349,Pessoas!$B$5:$B$64,0)),"")</f>
        <v/>
      </c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8" t="n"/>
      <c r="N349" s="19" t="n"/>
      <c r="O349" s="19" t="n"/>
      <c r="P349" s="19" t="n"/>
      <c r="Q349" s="20">
        <f>IF(OR($M349="",$P349=""),"",$M349+IF($P349="7 dias",7,IF($P349="14 dias",14,90)))</f>
        <v/>
      </c>
      <c r="R349" s="19" t="n"/>
      <c r="S349" s="19" t="n"/>
      <c r="T349" s="14">
        <f>IF($A349="","",YEAR($A349)*4+ROUNDUP(MONTH($A349)/3,0))</f>
        <v/>
      </c>
      <c r="U349" s="14">
        <f>IF($C349="","",$C349&amp;"|"&amp;$T349)</f>
        <v/>
      </c>
      <c r="V349" s="14">
        <f>IF($C349="","",$C349&amp;"|"&amp;$T349&amp;"|"&amp;$G349)</f>
        <v/>
      </c>
      <c r="W349" s="14">
        <f>IF($A349="","",IF(OR($B349="",$F349="",$G349="",$H349="",$I349=""),"Faltam campos básicos",IF(AND(OR($F349="Ponto de atenção",$F349="Incidente"),OR($K349="",$L349="",$O349="",$P349="")),"Faltam campos de sinalização","OK")))</f>
        <v/>
      </c>
      <c r="X349" s="14">
        <f>IF($A349="","",IF(AND(OR($F349="Ponto de atenção",$F349="Incidente"),$L349&lt;&gt;"Sim"),"Não",IF(AND($S349="",$W349&lt;&gt;"OK"),"Não","Sim")))</f>
        <v/>
      </c>
      <c r="Y349" s="14">
        <f>IF($C349="",0,IF(COUNTIFS($C$5:$C349,$C349,$D$5:$D349,$D349)=1,1,0))</f>
        <v/>
      </c>
      <c r="Z349" s="14">
        <f>IF($A349="","",IF(Config!$B$7-$T349&gt;2,"Arquivada",IF(Config!$B$7-$T349&gt;0,"Histórico","Ativa")))</f>
        <v/>
      </c>
      <c r="AA349" s="14">
        <f>IF($A349="",0,IF(AND(OR($F349="Ponto de atenção",$F349="Incidente"),$L349="Sim"),1,0))</f>
        <v/>
      </c>
      <c r="AB349" s="14">
        <f>IF(OR($C349="",$C349&lt;&gt;'1a1'!$B$4,$T349&lt;&gt;Config!$B$7),"",COUNTIFS($C$5:$C349,'1a1'!$B$4,$T$5:$T349,Config!$B$7))</f>
        <v/>
      </c>
    </row>
    <row r="350">
      <c r="A350" s="18" t="n"/>
      <c r="B350" s="19" t="n"/>
      <c r="C350" s="14">
        <f>IFERROR(INDEX(Pessoas!$A$5:$A$64,MATCH($B350,Pessoas!$B$5:$B$64,0)),"")</f>
        <v/>
      </c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8" t="n"/>
      <c r="N350" s="19" t="n"/>
      <c r="O350" s="19" t="n"/>
      <c r="P350" s="19" t="n"/>
      <c r="Q350" s="20">
        <f>IF(OR($M350="",$P350=""),"",$M350+IF($P350="7 dias",7,IF($P350="14 dias",14,90)))</f>
        <v/>
      </c>
      <c r="R350" s="19" t="n"/>
      <c r="S350" s="19" t="n"/>
      <c r="T350" s="14">
        <f>IF($A350="","",YEAR($A350)*4+ROUNDUP(MONTH($A350)/3,0))</f>
        <v/>
      </c>
      <c r="U350" s="14">
        <f>IF($C350="","",$C350&amp;"|"&amp;$T350)</f>
        <v/>
      </c>
      <c r="V350" s="14">
        <f>IF($C350="","",$C350&amp;"|"&amp;$T350&amp;"|"&amp;$G350)</f>
        <v/>
      </c>
      <c r="W350" s="14">
        <f>IF($A350="","",IF(OR($B350="",$F350="",$G350="",$H350="",$I350=""),"Faltam campos básicos",IF(AND(OR($F350="Ponto de atenção",$F350="Incidente"),OR($K350="",$L350="",$O350="",$P350="")),"Faltam campos de sinalização","OK")))</f>
        <v/>
      </c>
      <c r="X350" s="14">
        <f>IF($A350="","",IF(AND(OR($F350="Ponto de atenção",$F350="Incidente"),$L350&lt;&gt;"Sim"),"Não",IF(AND($S350="",$W350&lt;&gt;"OK"),"Não","Sim")))</f>
        <v/>
      </c>
      <c r="Y350" s="14">
        <f>IF($C350="",0,IF(COUNTIFS($C$5:$C350,$C350,$D$5:$D350,$D350)=1,1,0))</f>
        <v/>
      </c>
      <c r="Z350" s="14">
        <f>IF($A350="","",IF(Config!$B$7-$T350&gt;2,"Arquivada",IF(Config!$B$7-$T350&gt;0,"Histórico","Ativa")))</f>
        <v/>
      </c>
      <c r="AA350" s="14">
        <f>IF($A350="",0,IF(AND(OR($F350="Ponto de atenção",$F350="Incidente"),$L350="Sim"),1,0))</f>
        <v/>
      </c>
      <c r="AB350" s="14">
        <f>IF(OR($C350="",$C350&lt;&gt;'1a1'!$B$4,$T350&lt;&gt;Config!$B$7),"",COUNTIFS($C$5:$C350,'1a1'!$B$4,$T$5:$T350,Config!$B$7))</f>
        <v/>
      </c>
    </row>
    <row r="351">
      <c r="A351" s="18" t="n"/>
      <c r="B351" s="19" t="n"/>
      <c r="C351" s="14">
        <f>IFERROR(INDEX(Pessoas!$A$5:$A$64,MATCH($B351,Pessoas!$B$5:$B$64,0)),"")</f>
        <v/>
      </c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8" t="n"/>
      <c r="N351" s="19" t="n"/>
      <c r="O351" s="19" t="n"/>
      <c r="P351" s="19" t="n"/>
      <c r="Q351" s="20">
        <f>IF(OR($M351="",$P351=""),"",$M351+IF($P351="7 dias",7,IF($P351="14 dias",14,90)))</f>
        <v/>
      </c>
      <c r="R351" s="19" t="n"/>
      <c r="S351" s="19" t="n"/>
      <c r="T351" s="14">
        <f>IF($A351="","",YEAR($A351)*4+ROUNDUP(MONTH($A351)/3,0))</f>
        <v/>
      </c>
      <c r="U351" s="14">
        <f>IF($C351="","",$C351&amp;"|"&amp;$T351)</f>
        <v/>
      </c>
      <c r="V351" s="14">
        <f>IF($C351="","",$C351&amp;"|"&amp;$T351&amp;"|"&amp;$G351)</f>
        <v/>
      </c>
      <c r="W351" s="14">
        <f>IF($A351="","",IF(OR($B351="",$F351="",$G351="",$H351="",$I351=""),"Faltam campos básicos",IF(AND(OR($F351="Ponto de atenção",$F351="Incidente"),OR($K351="",$L351="",$O351="",$P351="")),"Faltam campos de sinalização","OK")))</f>
        <v/>
      </c>
      <c r="X351" s="14">
        <f>IF($A351="","",IF(AND(OR($F351="Ponto de atenção",$F351="Incidente"),$L351&lt;&gt;"Sim"),"Não",IF(AND($S351="",$W351&lt;&gt;"OK"),"Não","Sim")))</f>
        <v/>
      </c>
      <c r="Y351" s="14">
        <f>IF($C351="",0,IF(COUNTIFS($C$5:$C351,$C351,$D$5:$D351,$D351)=1,1,0))</f>
        <v/>
      </c>
      <c r="Z351" s="14">
        <f>IF($A351="","",IF(Config!$B$7-$T351&gt;2,"Arquivada",IF(Config!$B$7-$T351&gt;0,"Histórico","Ativa")))</f>
        <v/>
      </c>
      <c r="AA351" s="14">
        <f>IF($A351="",0,IF(AND(OR($F351="Ponto de atenção",$F351="Incidente"),$L351="Sim"),1,0))</f>
        <v/>
      </c>
      <c r="AB351" s="14">
        <f>IF(OR($C351="",$C351&lt;&gt;'1a1'!$B$4,$T351&lt;&gt;Config!$B$7),"",COUNTIFS($C$5:$C351,'1a1'!$B$4,$T$5:$T351,Config!$B$7))</f>
        <v/>
      </c>
    </row>
    <row r="352">
      <c r="A352" s="18" t="n"/>
      <c r="B352" s="19" t="n"/>
      <c r="C352" s="14">
        <f>IFERROR(INDEX(Pessoas!$A$5:$A$64,MATCH($B352,Pessoas!$B$5:$B$64,0)),"")</f>
        <v/>
      </c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8" t="n"/>
      <c r="N352" s="19" t="n"/>
      <c r="O352" s="19" t="n"/>
      <c r="P352" s="19" t="n"/>
      <c r="Q352" s="20">
        <f>IF(OR($M352="",$P352=""),"",$M352+IF($P352="7 dias",7,IF($P352="14 dias",14,90)))</f>
        <v/>
      </c>
      <c r="R352" s="19" t="n"/>
      <c r="S352" s="19" t="n"/>
      <c r="T352" s="14">
        <f>IF($A352="","",YEAR($A352)*4+ROUNDUP(MONTH($A352)/3,0))</f>
        <v/>
      </c>
      <c r="U352" s="14">
        <f>IF($C352="","",$C352&amp;"|"&amp;$T352)</f>
        <v/>
      </c>
      <c r="V352" s="14">
        <f>IF($C352="","",$C352&amp;"|"&amp;$T352&amp;"|"&amp;$G352)</f>
        <v/>
      </c>
      <c r="W352" s="14">
        <f>IF($A352="","",IF(OR($B352="",$F352="",$G352="",$H352="",$I352=""),"Faltam campos básicos",IF(AND(OR($F352="Ponto de atenção",$F352="Incidente"),OR($K352="",$L352="",$O352="",$P352="")),"Faltam campos de sinalização","OK")))</f>
        <v/>
      </c>
      <c r="X352" s="14">
        <f>IF($A352="","",IF(AND(OR($F352="Ponto de atenção",$F352="Incidente"),$L352&lt;&gt;"Sim"),"Não",IF(AND($S352="",$W352&lt;&gt;"OK"),"Não","Sim")))</f>
        <v/>
      </c>
      <c r="Y352" s="14">
        <f>IF($C352="",0,IF(COUNTIFS($C$5:$C352,$C352,$D$5:$D352,$D352)=1,1,0))</f>
        <v/>
      </c>
      <c r="Z352" s="14">
        <f>IF($A352="","",IF(Config!$B$7-$T352&gt;2,"Arquivada",IF(Config!$B$7-$T352&gt;0,"Histórico","Ativa")))</f>
        <v/>
      </c>
      <c r="AA352" s="14">
        <f>IF($A352="",0,IF(AND(OR($F352="Ponto de atenção",$F352="Incidente"),$L352="Sim"),1,0))</f>
        <v/>
      </c>
      <c r="AB352" s="14">
        <f>IF(OR($C352="",$C352&lt;&gt;'1a1'!$B$4,$T352&lt;&gt;Config!$B$7),"",COUNTIFS($C$5:$C352,'1a1'!$B$4,$T$5:$T352,Config!$B$7))</f>
        <v/>
      </c>
    </row>
    <row r="353">
      <c r="A353" s="18" t="n"/>
      <c r="B353" s="19" t="n"/>
      <c r="C353" s="14">
        <f>IFERROR(INDEX(Pessoas!$A$5:$A$64,MATCH($B353,Pessoas!$B$5:$B$64,0)),"")</f>
        <v/>
      </c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8" t="n"/>
      <c r="N353" s="19" t="n"/>
      <c r="O353" s="19" t="n"/>
      <c r="P353" s="19" t="n"/>
      <c r="Q353" s="20">
        <f>IF(OR($M353="",$P353=""),"",$M353+IF($P353="7 dias",7,IF($P353="14 dias",14,90)))</f>
        <v/>
      </c>
      <c r="R353" s="19" t="n"/>
      <c r="S353" s="19" t="n"/>
      <c r="T353" s="14">
        <f>IF($A353="","",YEAR($A353)*4+ROUNDUP(MONTH($A353)/3,0))</f>
        <v/>
      </c>
      <c r="U353" s="14">
        <f>IF($C353="","",$C353&amp;"|"&amp;$T353)</f>
        <v/>
      </c>
      <c r="V353" s="14">
        <f>IF($C353="","",$C353&amp;"|"&amp;$T353&amp;"|"&amp;$G353)</f>
        <v/>
      </c>
      <c r="W353" s="14">
        <f>IF($A353="","",IF(OR($B353="",$F353="",$G353="",$H353="",$I353=""),"Faltam campos básicos",IF(AND(OR($F353="Ponto de atenção",$F353="Incidente"),OR($K353="",$L353="",$O353="",$P353="")),"Faltam campos de sinalização","OK")))</f>
        <v/>
      </c>
      <c r="X353" s="14">
        <f>IF($A353="","",IF(AND(OR($F353="Ponto de atenção",$F353="Incidente"),$L353&lt;&gt;"Sim"),"Não",IF(AND($S353="",$W353&lt;&gt;"OK"),"Não","Sim")))</f>
        <v/>
      </c>
      <c r="Y353" s="14">
        <f>IF($C353="",0,IF(COUNTIFS($C$5:$C353,$C353,$D$5:$D353,$D353)=1,1,0))</f>
        <v/>
      </c>
      <c r="Z353" s="14">
        <f>IF($A353="","",IF(Config!$B$7-$T353&gt;2,"Arquivada",IF(Config!$B$7-$T353&gt;0,"Histórico","Ativa")))</f>
        <v/>
      </c>
      <c r="AA353" s="14">
        <f>IF($A353="",0,IF(AND(OR($F353="Ponto de atenção",$F353="Incidente"),$L353="Sim"),1,0))</f>
        <v/>
      </c>
      <c r="AB353" s="14">
        <f>IF(OR($C353="",$C353&lt;&gt;'1a1'!$B$4,$T353&lt;&gt;Config!$B$7),"",COUNTIFS($C$5:$C353,'1a1'!$B$4,$T$5:$T353,Config!$B$7))</f>
        <v/>
      </c>
    </row>
    <row r="354">
      <c r="A354" s="18" t="n"/>
      <c r="B354" s="19" t="n"/>
      <c r="C354" s="14">
        <f>IFERROR(INDEX(Pessoas!$A$5:$A$64,MATCH($B354,Pessoas!$B$5:$B$64,0)),"")</f>
        <v/>
      </c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8" t="n"/>
      <c r="N354" s="19" t="n"/>
      <c r="O354" s="19" t="n"/>
      <c r="P354" s="19" t="n"/>
      <c r="Q354" s="20">
        <f>IF(OR($M354="",$P354=""),"",$M354+IF($P354="7 dias",7,IF($P354="14 dias",14,90)))</f>
        <v/>
      </c>
      <c r="R354" s="19" t="n"/>
      <c r="S354" s="19" t="n"/>
      <c r="T354" s="14">
        <f>IF($A354="","",YEAR($A354)*4+ROUNDUP(MONTH($A354)/3,0))</f>
        <v/>
      </c>
      <c r="U354" s="14">
        <f>IF($C354="","",$C354&amp;"|"&amp;$T354)</f>
        <v/>
      </c>
      <c r="V354" s="14">
        <f>IF($C354="","",$C354&amp;"|"&amp;$T354&amp;"|"&amp;$G354)</f>
        <v/>
      </c>
      <c r="W354" s="14">
        <f>IF($A354="","",IF(OR($B354="",$F354="",$G354="",$H354="",$I354=""),"Faltam campos básicos",IF(AND(OR($F354="Ponto de atenção",$F354="Incidente"),OR($K354="",$L354="",$O354="",$P354="")),"Faltam campos de sinalização","OK")))</f>
        <v/>
      </c>
      <c r="X354" s="14">
        <f>IF($A354="","",IF(AND(OR($F354="Ponto de atenção",$F354="Incidente"),$L354&lt;&gt;"Sim"),"Não",IF(AND($S354="",$W354&lt;&gt;"OK"),"Não","Sim")))</f>
        <v/>
      </c>
      <c r="Y354" s="14">
        <f>IF($C354="",0,IF(COUNTIFS($C$5:$C354,$C354,$D$5:$D354,$D354)=1,1,0))</f>
        <v/>
      </c>
      <c r="Z354" s="14">
        <f>IF($A354="","",IF(Config!$B$7-$T354&gt;2,"Arquivada",IF(Config!$B$7-$T354&gt;0,"Histórico","Ativa")))</f>
        <v/>
      </c>
      <c r="AA354" s="14">
        <f>IF($A354="",0,IF(AND(OR($F354="Ponto de atenção",$F354="Incidente"),$L354="Sim"),1,0))</f>
        <v/>
      </c>
      <c r="AB354" s="14">
        <f>IF(OR($C354="",$C354&lt;&gt;'1a1'!$B$4,$T354&lt;&gt;Config!$B$7),"",COUNTIFS($C$5:$C354,'1a1'!$B$4,$T$5:$T354,Config!$B$7))</f>
        <v/>
      </c>
    </row>
    <row r="355">
      <c r="A355" s="18" t="n"/>
      <c r="B355" s="19" t="n"/>
      <c r="C355" s="14">
        <f>IFERROR(INDEX(Pessoas!$A$5:$A$64,MATCH($B355,Pessoas!$B$5:$B$64,0)),"")</f>
        <v/>
      </c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8" t="n"/>
      <c r="N355" s="19" t="n"/>
      <c r="O355" s="19" t="n"/>
      <c r="P355" s="19" t="n"/>
      <c r="Q355" s="20">
        <f>IF(OR($M355="",$P355=""),"",$M355+IF($P355="7 dias",7,IF($P355="14 dias",14,90)))</f>
        <v/>
      </c>
      <c r="R355" s="19" t="n"/>
      <c r="S355" s="19" t="n"/>
      <c r="T355" s="14">
        <f>IF($A355="","",YEAR($A355)*4+ROUNDUP(MONTH($A355)/3,0))</f>
        <v/>
      </c>
      <c r="U355" s="14">
        <f>IF($C355="","",$C355&amp;"|"&amp;$T355)</f>
        <v/>
      </c>
      <c r="V355" s="14">
        <f>IF($C355="","",$C355&amp;"|"&amp;$T355&amp;"|"&amp;$G355)</f>
        <v/>
      </c>
      <c r="W355" s="14">
        <f>IF($A355="","",IF(OR($B355="",$F355="",$G355="",$H355="",$I355=""),"Faltam campos básicos",IF(AND(OR($F355="Ponto de atenção",$F355="Incidente"),OR($K355="",$L355="",$O355="",$P355="")),"Faltam campos de sinalização","OK")))</f>
        <v/>
      </c>
      <c r="X355" s="14">
        <f>IF($A355="","",IF(AND(OR($F355="Ponto de atenção",$F355="Incidente"),$L355&lt;&gt;"Sim"),"Não",IF(AND($S355="",$W355&lt;&gt;"OK"),"Não","Sim")))</f>
        <v/>
      </c>
      <c r="Y355" s="14">
        <f>IF($C355="",0,IF(COUNTIFS($C$5:$C355,$C355,$D$5:$D355,$D355)=1,1,0))</f>
        <v/>
      </c>
      <c r="Z355" s="14">
        <f>IF($A355="","",IF(Config!$B$7-$T355&gt;2,"Arquivada",IF(Config!$B$7-$T355&gt;0,"Histórico","Ativa")))</f>
        <v/>
      </c>
      <c r="AA355" s="14">
        <f>IF($A355="",0,IF(AND(OR($F355="Ponto de atenção",$F355="Incidente"),$L355="Sim"),1,0))</f>
        <v/>
      </c>
      <c r="AB355" s="14">
        <f>IF(OR($C355="",$C355&lt;&gt;'1a1'!$B$4,$T355&lt;&gt;Config!$B$7),"",COUNTIFS($C$5:$C355,'1a1'!$B$4,$T$5:$T355,Config!$B$7))</f>
        <v/>
      </c>
    </row>
    <row r="356">
      <c r="A356" s="18" t="n"/>
      <c r="B356" s="19" t="n"/>
      <c r="C356" s="14">
        <f>IFERROR(INDEX(Pessoas!$A$5:$A$64,MATCH($B356,Pessoas!$B$5:$B$64,0)),"")</f>
        <v/>
      </c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8" t="n"/>
      <c r="N356" s="19" t="n"/>
      <c r="O356" s="19" t="n"/>
      <c r="P356" s="19" t="n"/>
      <c r="Q356" s="20">
        <f>IF(OR($M356="",$P356=""),"",$M356+IF($P356="7 dias",7,IF($P356="14 dias",14,90)))</f>
        <v/>
      </c>
      <c r="R356" s="19" t="n"/>
      <c r="S356" s="19" t="n"/>
      <c r="T356" s="14">
        <f>IF($A356="","",YEAR($A356)*4+ROUNDUP(MONTH($A356)/3,0))</f>
        <v/>
      </c>
      <c r="U356" s="14">
        <f>IF($C356="","",$C356&amp;"|"&amp;$T356)</f>
        <v/>
      </c>
      <c r="V356" s="14">
        <f>IF($C356="","",$C356&amp;"|"&amp;$T356&amp;"|"&amp;$G356)</f>
        <v/>
      </c>
      <c r="W356" s="14">
        <f>IF($A356="","",IF(OR($B356="",$F356="",$G356="",$H356="",$I356=""),"Faltam campos básicos",IF(AND(OR($F356="Ponto de atenção",$F356="Incidente"),OR($K356="",$L356="",$O356="",$P356="")),"Faltam campos de sinalização","OK")))</f>
        <v/>
      </c>
      <c r="X356" s="14">
        <f>IF($A356="","",IF(AND(OR($F356="Ponto de atenção",$F356="Incidente"),$L356&lt;&gt;"Sim"),"Não",IF(AND($S356="",$W356&lt;&gt;"OK"),"Não","Sim")))</f>
        <v/>
      </c>
      <c r="Y356" s="14">
        <f>IF($C356="",0,IF(COUNTIFS($C$5:$C356,$C356,$D$5:$D356,$D356)=1,1,0))</f>
        <v/>
      </c>
      <c r="Z356" s="14">
        <f>IF($A356="","",IF(Config!$B$7-$T356&gt;2,"Arquivada",IF(Config!$B$7-$T356&gt;0,"Histórico","Ativa")))</f>
        <v/>
      </c>
      <c r="AA356" s="14">
        <f>IF($A356="",0,IF(AND(OR($F356="Ponto de atenção",$F356="Incidente"),$L356="Sim"),1,0))</f>
        <v/>
      </c>
      <c r="AB356" s="14">
        <f>IF(OR($C356="",$C356&lt;&gt;'1a1'!$B$4,$T356&lt;&gt;Config!$B$7),"",COUNTIFS($C$5:$C356,'1a1'!$B$4,$T$5:$T356,Config!$B$7))</f>
        <v/>
      </c>
    </row>
    <row r="357">
      <c r="A357" s="18" t="n"/>
      <c r="B357" s="19" t="n"/>
      <c r="C357" s="14">
        <f>IFERROR(INDEX(Pessoas!$A$5:$A$64,MATCH($B357,Pessoas!$B$5:$B$64,0)),"")</f>
        <v/>
      </c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8" t="n"/>
      <c r="N357" s="19" t="n"/>
      <c r="O357" s="19" t="n"/>
      <c r="P357" s="19" t="n"/>
      <c r="Q357" s="20">
        <f>IF(OR($M357="",$P357=""),"",$M357+IF($P357="7 dias",7,IF($P357="14 dias",14,90)))</f>
        <v/>
      </c>
      <c r="R357" s="19" t="n"/>
      <c r="S357" s="19" t="n"/>
      <c r="T357" s="14">
        <f>IF($A357="","",YEAR($A357)*4+ROUNDUP(MONTH($A357)/3,0))</f>
        <v/>
      </c>
      <c r="U357" s="14">
        <f>IF($C357="","",$C357&amp;"|"&amp;$T357)</f>
        <v/>
      </c>
      <c r="V357" s="14">
        <f>IF($C357="","",$C357&amp;"|"&amp;$T357&amp;"|"&amp;$G357)</f>
        <v/>
      </c>
      <c r="W357" s="14">
        <f>IF($A357="","",IF(OR($B357="",$F357="",$G357="",$H357="",$I357=""),"Faltam campos básicos",IF(AND(OR($F357="Ponto de atenção",$F357="Incidente"),OR($K357="",$L357="",$O357="",$P357="")),"Faltam campos de sinalização","OK")))</f>
        <v/>
      </c>
      <c r="X357" s="14">
        <f>IF($A357="","",IF(AND(OR($F357="Ponto de atenção",$F357="Incidente"),$L357&lt;&gt;"Sim"),"Não",IF(AND($S357="",$W357&lt;&gt;"OK"),"Não","Sim")))</f>
        <v/>
      </c>
      <c r="Y357" s="14">
        <f>IF($C357="",0,IF(COUNTIFS($C$5:$C357,$C357,$D$5:$D357,$D357)=1,1,0))</f>
        <v/>
      </c>
      <c r="Z357" s="14">
        <f>IF($A357="","",IF(Config!$B$7-$T357&gt;2,"Arquivada",IF(Config!$B$7-$T357&gt;0,"Histórico","Ativa")))</f>
        <v/>
      </c>
      <c r="AA357" s="14">
        <f>IF($A357="",0,IF(AND(OR($F357="Ponto de atenção",$F357="Incidente"),$L357="Sim"),1,0))</f>
        <v/>
      </c>
      <c r="AB357" s="14">
        <f>IF(OR($C357="",$C357&lt;&gt;'1a1'!$B$4,$T357&lt;&gt;Config!$B$7),"",COUNTIFS($C$5:$C357,'1a1'!$B$4,$T$5:$T357,Config!$B$7))</f>
        <v/>
      </c>
    </row>
    <row r="358">
      <c r="A358" s="18" t="n"/>
      <c r="B358" s="19" t="n"/>
      <c r="C358" s="14">
        <f>IFERROR(INDEX(Pessoas!$A$5:$A$64,MATCH($B358,Pessoas!$B$5:$B$64,0)),"")</f>
        <v/>
      </c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8" t="n"/>
      <c r="N358" s="19" t="n"/>
      <c r="O358" s="19" t="n"/>
      <c r="P358" s="19" t="n"/>
      <c r="Q358" s="20">
        <f>IF(OR($M358="",$P358=""),"",$M358+IF($P358="7 dias",7,IF($P358="14 dias",14,90)))</f>
        <v/>
      </c>
      <c r="R358" s="19" t="n"/>
      <c r="S358" s="19" t="n"/>
      <c r="T358" s="14">
        <f>IF($A358="","",YEAR($A358)*4+ROUNDUP(MONTH($A358)/3,0))</f>
        <v/>
      </c>
      <c r="U358" s="14">
        <f>IF($C358="","",$C358&amp;"|"&amp;$T358)</f>
        <v/>
      </c>
      <c r="V358" s="14">
        <f>IF($C358="","",$C358&amp;"|"&amp;$T358&amp;"|"&amp;$G358)</f>
        <v/>
      </c>
      <c r="W358" s="14">
        <f>IF($A358="","",IF(OR($B358="",$F358="",$G358="",$H358="",$I358=""),"Faltam campos básicos",IF(AND(OR($F358="Ponto de atenção",$F358="Incidente"),OR($K358="",$L358="",$O358="",$P358="")),"Faltam campos de sinalização","OK")))</f>
        <v/>
      </c>
      <c r="X358" s="14">
        <f>IF($A358="","",IF(AND(OR($F358="Ponto de atenção",$F358="Incidente"),$L358&lt;&gt;"Sim"),"Não",IF(AND($S358="",$W358&lt;&gt;"OK"),"Não","Sim")))</f>
        <v/>
      </c>
      <c r="Y358" s="14">
        <f>IF($C358="",0,IF(COUNTIFS($C$5:$C358,$C358,$D$5:$D358,$D358)=1,1,0))</f>
        <v/>
      </c>
      <c r="Z358" s="14">
        <f>IF($A358="","",IF(Config!$B$7-$T358&gt;2,"Arquivada",IF(Config!$B$7-$T358&gt;0,"Histórico","Ativa")))</f>
        <v/>
      </c>
      <c r="AA358" s="14">
        <f>IF($A358="",0,IF(AND(OR($F358="Ponto de atenção",$F358="Incidente"),$L358="Sim"),1,0))</f>
        <v/>
      </c>
      <c r="AB358" s="14">
        <f>IF(OR($C358="",$C358&lt;&gt;'1a1'!$B$4,$T358&lt;&gt;Config!$B$7),"",COUNTIFS($C$5:$C358,'1a1'!$B$4,$T$5:$T358,Config!$B$7))</f>
        <v/>
      </c>
    </row>
    <row r="359">
      <c r="A359" s="18" t="n"/>
      <c r="B359" s="19" t="n"/>
      <c r="C359" s="14">
        <f>IFERROR(INDEX(Pessoas!$A$5:$A$64,MATCH($B359,Pessoas!$B$5:$B$64,0)),"")</f>
        <v/>
      </c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8" t="n"/>
      <c r="N359" s="19" t="n"/>
      <c r="O359" s="19" t="n"/>
      <c r="P359" s="19" t="n"/>
      <c r="Q359" s="20">
        <f>IF(OR($M359="",$P359=""),"",$M359+IF($P359="7 dias",7,IF($P359="14 dias",14,90)))</f>
        <v/>
      </c>
      <c r="R359" s="19" t="n"/>
      <c r="S359" s="19" t="n"/>
      <c r="T359" s="14">
        <f>IF($A359="","",YEAR($A359)*4+ROUNDUP(MONTH($A359)/3,0))</f>
        <v/>
      </c>
      <c r="U359" s="14">
        <f>IF($C359="","",$C359&amp;"|"&amp;$T359)</f>
        <v/>
      </c>
      <c r="V359" s="14">
        <f>IF($C359="","",$C359&amp;"|"&amp;$T359&amp;"|"&amp;$G359)</f>
        <v/>
      </c>
      <c r="W359" s="14">
        <f>IF($A359="","",IF(OR($B359="",$F359="",$G359="",$H359="",$I359=""),"Faltam campos básicos",IF(AND(OR($F359="Ponto de atenção",$F359="Incidente"),OR($K359="",$L359="",$O359="",$P359="")),"Faltam campos de sinalização","OK")))</f>
        <v/>
      </c>
      <c r="X359" s="14">
        <f>IF($A359="","",IF(AND(OR($F359="Ponto de atenção",$F359="Incidente"),$L359&lt;&gt;"Sim"),"Não",IF(AND($S359="",$W359&lt;&gt;"OK"),"Não","Sim")))</f>
        <v/>
      </c>
      <c r="Y359" s="14">
        <f>IF($C359="",0,IF(COUNTIFS($C$5:$C359,$C359,$D$5:$D359,$D359)=1,1,0))</f>
        <v/>
      </c>
      <c r="Z359" s="14">
        <f>IF($A359="","",IF(Config!$B$7-$T359&gt;2,"Arquivada",IF(Config!$B$7-$T359&gt;0,"Histórico","Ativa")))</f>
        <v/>
      </c>
      <c r="AA359" s="14">
        <f>IF($A359="",0,IF(AND(OR($F359="Ponto de atenção",$F359="Incidente"),$L359="Sim"),1,0))</f>
        <v/>
      </c>
      <c r="AB359" s="14">
        <f>IF(OR($C359="",$C359&lt;&gt;'1a1'!$B$4,$T359&lt;&gt;Config!$B$7),"",COUNTIFS($C$5:$C359,'1a1'!$B$4,$T$5:$T359,Config!$B$7))</f>
        <v/>
      </c>
    </row>
    <row r="360">
      <c r="A360" s="18" t="n"/>
      <c r="B360" s="19" t="n"/>
      <c r="C360" s="14">
        <f>IFERROR(INDEX(Pessoas!$A$5:$A$64,MATCH($B360,Pessoas!$B$5:$B$64,0)),"")</f>
        <v/>
      </c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8" t="n"/>
      <c r="N360" s="19" t="n"/>
      <c r="O360" s="19" t="n"/>
      <c r="P360" s="19" t="n"/>
      <c r="Q360" s="20">
        <f>IF(OR($M360="",$P360=""),"",$M360+IF($P360="7 dias",7,IF($P360="14 dias",14,90)))</f>
        <v/>
      </c>
      <c r="R360" s="19" t="n"/>
      <c r="S360" s="19" t="n"/>
      <c r="T360" s="14">
        <f>IF($A360="","",YEAR($A360)*4+ROUNDUP(MONTH($A360)/3,0))</f>
        <v/>
      </c>
      <c r="U360" s="14">
        <f>IF($C360="","",$C360&amp;"|"&amp;$T360)</f>
        <v/>
      </c>
      <c r="V360" s="14">
        <f>IF($C360="","",$C360&amp;"|"&amp;$T360&amp;"|"&amp;$G360)</f>
        <v/>
      </c>
      <c r="W360" s="14">
        <f>IF($A360="","",IF(OR($B360="",$F360="",$G360="",$H360="",$I360=""),"Faltam campos básicos",IF(AND(OR($F360="Ponto de atenção",$F360="Incidente"),OR($K360="",$L360="",$O360="",$P360="")),"Faltam campos de sinalização","OK")))</f>
        <v/>
      </c>
      <c r="X360" s="14">
        <f>IF($A360="","",IF(AND(OR($F360="Ponto de atenção",$F360="Incidente"),$L360&lt;&gt;"Sim"),"Não",IF(AND($S360="",$W360&lt;&gt;"OK"),"Não","Sim")))</f>
        <v/>
      </c>
      <c r="Y360" s="14">
        <f>IF($C360="",0,IF(COUNTIFS($C$5:$C360,$C360,$D$5:$D360,$D360)=1,1,0))</f>
        <v/>
      </c>
      <c r="Z360" s="14">
        <f>IF($A360="","",IF(Config!$B$7-$T360&gt;2,"Arquivada",IF(Config!$B$7-$T360&gt;0,"Histórico","Ativa")))</f>
        <v/>
      </c>
      <c r="AA360" s="14">
        <f>IF($A360="",0,IF(AND(OR($F360="Ponto de atenção",$F360="Incidente"),$L360="Sim"),1,0))</f>
        <v/>
      </c>
      <c r="AB360" s="14">
        <f>IF(OR($C360="",$C360&lt;&gt;'1a1'!$B$4,$T360&lt;&gt;Config!$B$7),"",COUNTIFS($C$5:$C360,'1a1'!$B$4,$T$5:$T360,Config!$B$7))</f>
        <v/>
      </c>
    </row>
    <row r="361">
      <c r="A361" s="18" t="n"/>
      <c r="B361" s="19" t="n"/>
      <c r="C361" s="14">
        <f>IFERROR(INDEX(Pessoas!$A$5:$A$64,MATCH($B361,Pessoas!$B$5:$B$64,0)),"")</f>
        <v/>
      </c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8" t="n"/>
      <c r="N361" s="19" t="n"/>
      <c r="O361" s="19" t="n"/>
      <c r="P361" s="19" t="n"/>
      <c r="Q361" s="20">
        <f>IF(OR($M361="",$P361=""),"",$M361+IF($P361="7 dias",7,IF($P361="14 dias",14,90)))</f>
        <v/>
      </c>
      <c r="R361" s="19" t="n"/>
      <c r="S361" s="19" t="n"/>
      <c r="T361" s="14">
        <f>IF($A361="","",YEAR($A361)*4+ROUNDUP(MONTH($A361)/3,0))</f>
        <v/>
      </c>
      <c r="U361" s="14">
        <f>IF($C361="","",$C361&amp;"|"&amp;$T361)</f>
        <v/>
      </c>
      <c r="V361" s="14">
        <f>IF($C361="","",$C361&amp;"|"&amp;$T361&amp;"|"&amp;$G361)</f>
        <v/>
      </c>
      <c r="W361" s="14">
        <f>IF($A361="","",IF(OR($B361="",$F361="",$G361="",$H361="",$I361=""),"Faltam campos básicos",IF(AND(OR($F361="Ponto de atenção",$F361="Incidente"),OR($K361="",$L361="",$O361="",$P361="")),"Faltam campos de sinalização","OK")))</f>
        <v/>
      </c>
      <c r="X361" s="14">
        <f>IF($A361="","",IF(AND(OR($F361="Ponto de atenção",$F361="Incidente"),$L361&lt;&gt;"Sim"),"Não",IF(AND($S361="",$W361&lt;&gt;"OK"),"Não","Sim")))</f>
        <v/>
      </c>
      <c r="Y361" s="14">
        <f>IF($C361="",0,IF(COUNTIFS($C$5:$C361,$C361,$D$5:$D361,$D361)=1,1,0))</f>
        <v/>
      </c>
      <c r="Z361" s="14">
        <f>IF($A361="","",IF(Config!$B$7-$T361&gt;2,"Arquivada",IF(Config!$B$7-$T361&gt;0,"Histórico","Ativa")))</f>
        <v/>
      </c>
      <c r="AA361" s="14">
        <f>IF($A361="",0,IF(AND(OR($F361="Ponto de atenção",$F361="Incidente"),$L361="Sim"),1,0))</f>
        <v/>
      </c>
      <c r="AB361" s="14">
        <f>IF(OR($C361="",$C361&lt;&gt;'1a1'!$B$4,$T361&lt;&gt;Config!$B$7),"",COUNTIFS($C$5:$C361,'1a1'!$B$4,$T$5:$T361,Config!$B$7))</f>
        <v/>
      </c>
    </row>
    <row r="362">
      <c r="A362" s="18" t="n"/>
      <c r="B362" s="19" t="n"/>
      <c r="C362" s="14">
        <f>IFERROR(INDEX(Pessoas!$A$5:$A$64,MATCH($B362,Pessoas!$B$5:$B$64,0)),"")</f>
        <v/>
      </c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8" t="n"/>
      <c r="N362" s="19" t="n"/>
      <c r="O362" s="19" t="n"/>
      <c r="P362" s="19" t="n"/>
      <c r="Q362" s="20">
        <f>IF(OR($M362="",$P362=""),"",$M362+IF($P362="7 dias",7,IF($P362="14 dias",14,90)))</f>
        <v/>
      </c>
      <c r="R362" s="19" t="n"/>
      <c r="S362" s="19" t="n"/>
      <c r="T362" s="14">
        <f>IF($A362="","",YEAR($A362)*4+ROUNDUP(MONTH($A362)/3,0))</f>
        <v/>
      </c>
      <c r="U362" s="14">
        <f>IF($C362="","",$C362&amp;"|"&amp;$T362)</f>
        <v/>
      </c>
      <c r="V362" s="14">
        <f>IF($C362="","",$C362&amp;"|"&amp;$T362&amp;"|"&amp;$G362)</f>
        <v/>
      </c>
      <c r="W362" s="14">
        <f>IF($A362="","",IF(OR($B362="",$F362="",$G362="",$H362="",$I362=""),"Faltam campos básicos",IF(AND(OR($F362="Ponto de atenção",$F362="Incidente"),OR($K362="",$L362="",$O362="",$P362="")),"Faltam campos de sinalização","OK")))</f>
        <v/>
      </c>
      <c r="X362" s="14">
        <f>IF($A362="","",IF(AND(OR($F362="Ponto de atenção",$F362="Incidente"),$L362&lt;&gt;"Sim"),"Não",IF(AND($S362="",$W362&lt;&gt;"OK"),"Não","Sim")))</f>
        <v/>
      </c>
      <c r="Y362" s="14">
        <f>IF($C362="",0,IF(COUNTIFS($C$5:$C362,$C362,$D$5:$D362,$D362)=1,1,0))</f>
        <v/>
      </c>
      <c r="Z362" s="14">
        <f>IF($A362="","",IF(Config!$B$7-$T362&gt;2,"Arquivada",IF(Config!$B$7-$T362&gt;0,"Histórico","Ativa")))</f>
        <v/>
      </c>
      <c r="AA362" s="14">
        <f>IF($A362="",0,IF(AND(OR($F362="Ponto de atenção",$F362="Incidente"),$L362="Sim"),1,0))</f>
        <v/>
      </c>
      <c r="AB362" s="14">
        <f>IF(OR($C362="",$C362&lt;&gt;'1a1'!$B$4,$T362&lt;&gt;Config!$B$7),"",COUNTIFS($C$5:$C362,'1a1'!$B$4,$T$5:$T362,Config!$B$7))</f>
        <v/>
      </c>
    </row>
    <row r="363">
      <c r="A363" s="18" t="n"/>
      <c r="B363" s="19" t="n"/>
      <c r="C363" s="14">
        <f>IFERROR(INDEX(Pessoas!$A$5:$A$64,MATCH($B363,Pessoas!$B$5:$B$64,0)),"")</f>
        <v/>
      </c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8" t="n"/>
      <c r="N363" s="19" t="n"/>
      <c r="O363" s="19" t="n"/>
      <c r="P363" s="19" t="n"/>
      <c r="Q363" s="20">
        <f>IF(OR($M363="",$P363=""),"",$M363+IF($P363="7 dias",7,IF($P363="14 dias",14,90)))</f>
        <v/>
      </c>
      <c r="R363" s="19" t="n"/>
      <c r="S363" s="19" t="n"/>
      <c r="T363" s="14">
        <f>IF($A363="","",YEAR($A363)*4+ROUNDUP(MONTH($A363)/3,0))</f>
        <v/>
      </c>
      <c r="U363" s="14">
        <f>IF($C363="","",$C363&amp;"|"&amp;$T363)</f>
        <v/>
      </c>
      <c r="V363" s="14">
        <f>IF($C363="","",$C363&amp;"|"&amp;$T363&amp;"|"&amp;$G363)</f>
        <v/>
      </c>
      <c r="W363" s="14">
        <f>IF($A363="","",IF(OR($B363="",$F363="",$G363="",$H363="",$I363=""),"Faltam campos básicos",IF(AND(OR($F363="Ponto de atenção",$F363="Incidente"),OR($K363="",$L363="",$O363="",$P363="")),"Faltam campos de sinalização","OK")))</f>
        <v/>
      </c>
      <c r="X363" s="14">
        <f>IF($A363="","",IF(AND(OR($F363="Ponto de atenção",$F363="Incidente"),$L363&lt;&gt;"Sim"),"Não",IF(AND($S363="",$W363&lt;&gt;"OK"),"Não","Sim")))</f>
        <v/>
      </c>
      <c r="Y363" s="14">
        <f>IF($C363="",0,IF(COUNTIFS($C$5:$C363,$C363,$D$5:$D363,$D363)=1,1,0))</f>
        <v/>
      </c>
      <c r="Z363" s="14">
        <f>IF($A363="","",IF(Config!$B$7-$T363&gt;2,"Arquivada",IF(Config!$B$7-$T363&gt;0,"Histórico","Ativa")))</f>
        <v/>
      </c>
      <c r="AA363" s="14">
        <f>IF($A363="",0,IF(AND(OR($F363="Ponto de atenção",$F363="Incidente"),$L363="Sim"),1,0))</f>
        <v/>
      </c>
      <c r="AB363" s="14">
        <f>IF(OR($C363="",$C363&lt;&gt;'1a1'!$B$4,$T363&lt;&gt;Config!$B$7),"",COUNTIFS($C$5:$C363,'1a1'!$B$4,$T$5:$T363,Config!$B$7))</f>
        <v/>
      </c>
    </row>
    <row r="364">
      <c r="A364" s="18" t="n"/>
      <c r="B364" s="19" t="n"/>
      <c r="C364" s="14">
        <f>IFERROR(INDEX(Pessoas!$A$5:$A$64,MATCH($B364,Pessoas!$B$5:$B$64,0)),"")</f>
        <v/>
      </c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8" t="n"/>
      <c r="N364" s="19" t="n"/>
      <c r="O364" s="19" t="n"/>
      <c r="P364" s="19" t="n"/>
      <c r="Q364" s="20">
        <f>IF(OR($M364="",$P364=""),"",$M364+IF($P364="7 dias",7,IF($P364="14 dias",14,90)))</f>
        <v/>
      </c>
      <c r="R364" s="19" t="n"/>
      <c r="S364" s="19" t="n"/>
      <c r="T364" s="14">
        <f>IF($A364="","",YEAR($A364)*4+ROUNDUP(MONTH($A364)/3,0))</f>
        <v/>
      </c>
      <c r="U364" s="14">
        <f>IF($C364="","",$C364&amp;"|"&amp;$T364)</f>
        <v/>
      </c>
      <c r="V364" s="14">
        <f>IF($C364="","",$C364&amp;"|"&amp;$T364&amp;"|"&amp;$G364)</f>
        <v/>
      </c>
      <c r="W364" s="14">
        <f>IF($A364="","",IF(OR($B364="",$F364="",$G364="",$H364="",$I364=""),"Faltam campos básicos",IF(AND(OR($F364="Ponto de atenção",$F364="Incidente"),OR($K364="",$L364="",$O364="",$P364="")),"Faltam campos de sinalização","OK")))</f>
        <v/>
      </c>
      <c r="X364" s="14">
        <f>IF($A364="","",IF(AND(OR($F364="Ponto de atenção",$F364="Incidente"),$L364&lt;&gt;"Sim"),"Não",IF(AND($S364="",$W364&lt;&gt;"OK"),"Não","Sim")))</f>
        <v/>
      </c>
      <c r="Y364" s="14">
        <f>IF($C364="",0,IF(COUNTIFS($C$5:$C364,$C364,$D$5:$D364,$D364)=1,1,0))</f>
        <v/>
      </c>
      <c r="Z364" s="14">
        <f>IF($A364="","",IF(Config!$B$7-$T364&gt;2,"Arquivada",IF(Config!$B$7-$T364&gt;0,"Histórico","Ativa")))</f>
        <v/>
      </c>
      <c r="AA364" s="14">
        <f>IF($A364="",0,IF(AND(OR($F364="Ponto de atenção",$F364="Incidente"),$L364="Sim"),1,0))</f>
        <v/>
      </c>
      <c r="AB364" s="14">
        <f>IF(OR($C364="",$C364&lt;&gt;'1a1'!$B$4,$T364&lt;&gt;Config!$B$7),"",COUNTIFS($C$5:$C364,'1a1'!$B$4,$T$5:$T364,Config!$B$7))</f>
        <v/>
      </c>
    </row>
    <row r="365">
      <c r="A365" s="18" t="n"/>
      <c r="B365" s="19" t="n"/>
      <c r="C365" s="14">
        <f>IFERROR(INDEX(Pessoas!$A$5:$A$64,MATCH($B365,Pessoas!$B$5:$B$64,0)),"")</f>
        <v/>
      </c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8" t="n"/>
      <c r="N365" s="19" t="n"/>
      <c r="O365" s="19" t="n"/>
      <c r="P365" s="19" t="n"/>
      <c r="Q365" s="20">
        <f>IF(OR($M365="",$P365=""),"",$M365+IF($P365="7 dias",7,IF($P365="14 dias",14,90)))</f>
        <v/>
      </c>
      <c r="R365" s="19" t="n"/>
      <c r="S365" s="19" t="n"/>
      <c r="T365" s="14">
        <f>IF($A365="","",YEAR($A365)*4+ROUNDUP(MONTH($A365)/3,0))</f>
        <v/>
      </c>
      <c r="U365" s="14">
        <f>IF($C365="","",$C365&amp;"|"&amp;$T365)</f>
        <v/>
      </c>
      <c r="V365" s="14">
        <f>IF($C365="","",$C365&amp;"|"&amp;$T365&amp;"|"&amp;$G365)</f>
        <v/>
      </c>
      <c r="W365" s="14">
        <f>IF($A365="","",IF(OR($B365="",$F365="",$G365="",$H365="",$I365=""),"Faltam campos básicos",IF(AND(OR($F365="Ponto de atenção",$F365="Incidente"),OR($K365="",$L365="",$O365="",$P365="")),"Faltam campos de sinalização","OK")))</f>
        <v/>
      </c>
      <c r="X365" s="14">
        <f>IF($A365="","",IF(AND(OR($F365="Ponto de atenção",$F365="Incidente"),$L365&lt;&gt;"Sim"),"Não",IF(AND($S365="",$W365&lt;&gt;"OK"),"Não","Sim")))</f>
        <v/>
      </c>
      <c r="Y365" s="14">
        <f>IF($C365="",0,IF(COUNTIFS($C$5:$C365,$C365,$D$5:$D365,$D365)=1,1,0))</f>
        <v/>
      </c>
      <c r="Z365" s="14">
        <f>IF($A365="","",IF(Config!$B$7-$T365&gt;2,"Arquivada",IF(Config!$B$7-$T365&gt;0,"Histórico","Ativa")))</f>
        <v/>
      </c>
      <c r="AA365" s="14">
        <f>IF($A365="",0,IF(AND(OR($F365="Ponto de atenção",$F365="Incidente"),$L365="Sim"),1,0))</f>
        <v/>
      </c>
      <c r="AB365" s="14">
        <f>IF(OR($C365="",$C365&lt;&gt;'1a1'!$B$4,$T365&lt;&gt;Config!$B$7),"",COUNTIFS($C$5:$C365,'1a1'!$B$4,$T$5:$T365,Config!$B$7))</f>
        <v/>
      </c>
    </row>
    <row r="366">
      <c r="A366" s="18" t="n"/>
      <c r="B366" s="19" t="n"/>
      <c r="C366" s="14">
        <f>IFERROR(INDEX(Pessoas!$A$5:$A$64,MATCH($B366,Pessoas!$B$5:$B$64,0)),"")</f>
        <v/>
      </c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8" t="n"/>
      <c r="N366" s="19" t="n"/>
      <c r="O366" s="19" t="n"/>
      <c r="P366" s="19" t="n"/>
      <c r="Q366" s="20">
        <f>IF(OR($M366="",$P366=""),"",$M366+IF($P366="7 dias",7,IF($P366="14 dias",14,90)))</f>
        <v/>
      </c>
      <c r="R366" s="19" t="n"/>
      <c r="S366" s="19" t="n"/>
      <c r="T366" s="14">
        <f>IF($A366="","",YEAR($A366)*4+ROUNDUP(MONTH($A366)/3,0))</f>
        <v/>
      </c>
      <c r="U366" s="14">
        <f>IF($C366="","",$C366&amp;"|"&amp;$T366)</f>
        <v/>
      </c>
      <c r="V366" s="14">
        <f>IF($C366="","",$C366&amp;"|"&amp;$T366&amp;"|"&amp;$G366)</f>
        <v/>
      </c>
      <c r="W366" s="14">
        <f>IF($A366="","",IF(OR($B366="",$F366="",$G366="",$H366="",$I366=""),"Faltam campos básicos",IF(AND(OR($F366="Ponto de atenção",$F366="Incidente"),OR($K366="",$L366="",$O366="",$P366="")),"Faltam campos de sinalização","OK")))</f>
        <v/>
      </c>
      <c r="X366" s="14">
        <f>IF($A366="","",IF(AND(OR($F366="Ponto de atenção",$F366="Incidente"),$L366&lt;&gt;"Sim"),"Não",IF(AND($S366="",$W366&lt;&gt;"OK"),"Não","Sim")))</f>
        <v/>
      </c>
      <c r="Y366" s="14">
        <f>IF($C366="",0,IF(COUNTIFS($C$5:$C366,$C366,$D$5:$D366,$D366)=1,1,0))</f>
        <v/>
      </c>
      <c r="Z366" s="14">
        <f>IF($A366="","",IF(Config!$B$7-$T366&gt;2,"Arquivada",IF(Config!$B$7-$T366&gt;0,"Histórico","Ativa")))</f>
        <v/>
      </c>
      <c r="AA366" s="14">
        <f>IF($A366="",0,IF(AND(OR($F366="Ponto de atenção",$F366="Incidente"),$L366="Sim"),1,0))</f>
        <v/>
      </c>
      <c r="AB366" s="14">
        <f>IF(OR($C366="",$C366&lt;&gt;'1a1'!$B$4,$T366&lt;&gt;Config!$B$7),"",COUNTIFS($C$5:$C366,'1a1'!$B$4,$T$5:$T366,Config!$B$7))</f>
        <v/>
      </c>
    </row>
    <row r="367">
      <c r="A367" s="18" t="n"/>
      <c r="B367" s="19" t="n"/>
      <c r="C367" s="14">
        <f>IFERROR(INDEX(Pessoas!$A$5:$A$64,MATCH($B367,Pessoas!$B$5:$B$64,0)),"")</f>
        <v/>
      </c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8" t="n"/>
      <c r="N367" s="19" t="n"/>
      <c r="O367" s="19" t="n"/>
      <c r="P367" s="19" t="n"/>
      <c r="Q367" s="20">
        <f>IF(OR($M367="",$P367=""),"",$M367+IF($P367="7 dias",7,IF($P367="14 dias",14,90)))</f>
        <v/>
      </c>
      <c r="R367" s="19" t="n"/>
      <c r="S367" s="19" t="n"/>
      <c r="T367" s="14">
        <f>IF($A367="","",YEAR($A367)*4+ROUNDUP(MONTH($A367)/3,0))</f>
        <v/>
      </c>
      <c r="U367" s="14">
        <f>IF($C367="","",$C367&amp;"|"&amp;$T367)</f>
        <v/>
      </c>
      <c r="V367" s="14">
        <f>IF($C367="","",$C367&amp;"|"&amp;$T367&amp;"|"&amp;$G367)</f>
        <v/>
      </c>
      <c r="W367" s="14">
        <f>IF($A367="","",IF(OR($B367="",$F367="",$G367="",$H367="",$I367=""),"Faltam campos básicos",IF(AND(OR($F367="Ponto de atenção",$F367="Incidente"),OR($K367="",$L367="",$O367="",$P367="")),"Faltam campos de sinalização","OK")))</f>
        <v/>
      </c>
      <c r="X367" s="14">
        <f>IF($A367="","",IF(AND(OR($F367="Ponto de atenção",$F367="Incidente"),$L367&lt;&gt;"Sim"),"Não",IF(AND($S367="",$W367&lt;&gt;"OK"),"Não","Sim")))</f>
        <v/>
      </c>
      <c r="Y367" s="14">
        <f>IF($C367="",0,IF(COUNTIFS($C$5:$C367,$C367,$D$5:$D367,$D367)=1,1,0))</f>
        <v/>
      </c>
      <c r="Z367" s="14">
        <f>IF($A367="","",IF(Config!$B$7-$T367&gt;2,"Arquivada",IF(Config!$B$7-$T367&gt;0,"Histórico","Ativa")))</f>
        <v/>
      </c>
      <c r="AA367" s="14">
        <f>IF($A367="",0,IF(AND(OR($F367="Ponto de atenção",$F367="Incidente"),$L367="Sim"),1,0))</f>
        <v/>
      </c>
      <c r="AB367" s="14">
        <f>IF(OR($C367="",$C367&lt;&gt;'1a1'!$B$4,$T367&lt;&gt;Config!$B$7),"",COUNTIFS($C$5:$C367,'1a1'!$B$4,$T$5:$T367,Config!$B$7))</f>
        <v/>
      </c>
    </row>
    <row r="368">
      <c r="A368" s="18" t="n"/>
      <c r="B368" s="19" t="n"/>
      <c r="C368" s="14">
        <f>IFERROR(INDEX(Pessoas!$A$5:$A$64,MATCH($B368,Pessoas!$B$5:$B$64,0)),"")</f>
        <v/>
      </c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8" t="n"/>
      <c r="N368" s="19" t="n"/>
      <c r="O368" s="19" t="n"/>
      <c r="P368" s="19" t="n"/>
      <c r="Q368" s="20">
        <f>IF(OR($M368="",$P368=""),"",$M368+IF($P368="7 dias",7,IF($P368="14 dias",14,90)))</f>
        <v/>
      </c>
      <c r="R368" s="19" t="n"/>
      <c r="S368" s="19" t="n"/>
      <c r="T368" s="14">
        <f>IF($A368="","",YEAR($A368)*4+ROUNDUP(MONTH($A368)/3,0))</f>
        <v/>
      </c>
      <c r="U368" s="14">
        <f>IF($C368="","",$C368&amp;"|"&amp;$T368)</f>
        <v/>
      </c>
      <c r="V368" s="14">
        <f>IF($C368="","",$C368&amp;"|"&amp;$T368&amp;"|"&amp;$G368)</f>
        <v/>
      </c>
      <c r="W368" s="14">
        <f>IF($A368="","",IF(OR($B368="",$F368="",$G368="",$H368="",$I368=""),"Faltam campos básicos",IF(AND(OR($F368="Ponto de atenção",$F368="Incidente"),OR($K368="",$L368="",$O368="",$P368="")),"Faltam campos de sinalização","OK")))</f>
        <v/>
      </c>
      <c r="X368" s="14">
        <f>IF($A368="","",IF(AND(OR($F368="Ponto de atenção",$F368="Incidente"),$L368&lt;&gt;"Sim"),"Não",IF(AND($S368="",$W368&lt;&gt;"OK"),"Não","Sim")))</f>
        <v/>
      </c>
      <c r="Y368" s="14">
        <f>IF($C368="",0,IF(COUNTIFS($C$5:$C368,$C368,$D$5:$D368,$D368)=1,1,0))</f>
        <v/>
      </c>
      <c r="Z368" s="14">
        <f>IF($A368="","",IF(Config!$B$7-$T368&gt;2,"Arquivada",IF(Config!$B$7-$T368&gt;0,"Histórico","Ativa")))</f>
        <v/>
      </c>
      <c r="AA368" s="14">
        <f>IF($A368="",0,IF(AND(OR($F368="Ponto de atenção",$F368="Incidente"),$L368="Sim"),1,0))</f>
        <v/>
      </c>
      <c r="AB368" s="14">
        <f>IF(OR($C368="",$C368&lt;&gt;'1a1'!$B$4,$T368&lt;&gt;Config!$B$7),"",COUNTIFS($C$5:$C368,'1a1'!$B$4,$T$5:$T368,Config!$B$7))</f>
        <v/>
      </c>
    </row>
    <row r="369">
      <c r="A369" s="18" t="n"/>
      <c r="B369" s="19" t="n"/>
      <c r="C369" s="14">
        <f>IFERROR(INDEX(Pessoas!$A$5:$A$64,MATCH($B369,Pessoas!$B$5:$B$64,0)),"")</f>
        <v/>
      </c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8" t="n"/>
      <c r="N369" s="19" t="n"/>
      <c r="O369" s="19" t="n"/>
      <c r="P369" s="19" t="n"/>
      <c r="Q369" s="20">
        <f>IF(OR($M369="",$P369=""),"",$M369+IF($P369="7 dias",7,IF($P369="14 dias",14,90)))</f>
        <v/>
      </c>
      <c r="R369" s="19" t="n"/>
      <c r="S369" s="19" t="n"/>
      <c r="T369" s="14">
        <f>IF($A369="","",YEAR($A369)*4+ROUNDUP(MONTH($A369)/3,0))</f>
        <v/>
      </c>
      <c r="U369" s="14">
        <f>IF($C369="","",$C369&amp;"|"&amp;$T369)</f>
        <v/>
      </c>
      <c r="V369" s="14">
        <f>IF($C369="","",$C369&amp;"|"&amp;$T369&amp;"|"&amp;$G369)</f>
        <v/>
      </c>
      <c r="W369" s="14">
        <f>IF($A369="","",IF(OR($B369="",$F369="",$G369="",$H369="",$I369=""),"Faltam campos básicos",IF(AND(OR($F369="Ponto de atenção",$F369="Incidente"),OR($K369="",$L369="",$O369="",$P369="")),"Faltam campos de sinalização","OK")))</f>
        <v/>
      </c>
      <c r="X369" s="14">
        <f>IF($A369="","",IF(AND(OR($F369="Ponto de atenção",$F369="Incidente"),$L369&lt;&gt;"Sim"),"Não",IF(AND($S369="",$W369&lt;&gt;"OK"),"Não","Sim")))</f>
        <v/>
      </c>
      <c r="Y369" s="14">
        <f>IF($C369="",0,IF(COUNTIFS($C$5:$C369,$C369,$D$5:$D369,$D369)=1,1,0))</f>
        <v/>
      </c>
      <c r="Z369" s="14">
        <f>IF($A369="","",IF(Config!$B$7-$T369&gt;2,"Arquivada",IF(Config!$B$7-$T369&gt;0,"Histórico","Ativa")))</f>
        <v/>
      </c>
      <c r="AA369" s="14">
        <f>IF($A369="",0,IF(AND(OR($F369="Ponto de atenção",$F369="Incidente"),$L369="Sim"),1,0))</f>
        <v/>
      </c>
      <c r="AB369" s="14">
        <f>IF(OR($C369="",$C369&lt;&gt;'1a1'!$B$4,$T369&lt;&gt;Config!$B$7),"",COUNTIFS($C$5:$C369,'1a1'!$B$4,$T$5:$T369,Config!$B$7))</f>
        <v/>
      </c>
    </row>
    <row r="370">
      <c r="A370" s="18" t="n"/>
      <c r="B370" s="19" t="n"/>
      <c r="C370" s="14">
        <f>IFERROR(INDEX(Pessoas!$A$5:$A$64,MATCH($B370,Pessoas!$B$5:$B$64,0)),"")</f>
        <v/>
      </c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8" t="n"/>
      <c r="N370" s="19" t="n"/>
      <c r="O370" s="19" t="n"/>
      <c r="P370" s="19" t="n"/>
      <c r="Q370" s="20">
        <f>IF(OR($M370="",$P370=""),"",$M370+IF($P370="7 dias",7,IF($P370="14 dias",14,90)))</f>
        <v/>
      </c>
      <c r="R370" s="19" t="n"/>
      <c r="S370" s="19" t="n"/>
      <c r="T370" s="14">
        <f>IF($A370="","",YEAR($A370)*4+ROUNDUP(MONTH($A370)/3,0))</f>
        <v/>
      </c>
      <c r="U370" s="14">
        <f>IF($C370="","",$C370&amp;"|"&amp;$T370)</f>
        <v/>
      </c>
      <c r="V370" s="14">
        <f>IF($C370="","",$C370&amp;"|"&amp;$T370&amp;"|"&amp;$G370)</f>
        <v/>
      </c>
      <c r="W370" s="14">
        <f>IF($A370="","",IF(OR($B370="",$F370="",$G370="",$H370="",$I370=""),"Faltam campos básicos",IF(AND(OR($F370="Ponto de atenção",$F370="Incidente"),OR($K370="",$L370="",$O370="",$P370="")),"Faltam campos de sinalização","OK")))</f>
        <v/>
      </c>
      <c r="X370" s="14">
        <f>IF($A370="","",IF(AND(OR($F370="Ponto de atenção",$F370="Incidente"),$L370&lt;&gt;"Sim"),"Não",IF(AND($S370="",$W370&lt;&gt;"OK"),"Não","Sim")))</f>
        <v/>
      </c>
      <c r="Y370" s="14">
        <f>IF($C370="",0,IF(COUNTIFS($C$5:$C370,$C370,$D$5:$D370,$D370)=1,1,0))</f>
        <v/>
      </c>
      <c r="Z370" s="14">
        <f>IF($A370="","",IF(Config!$B$7-$T370&gt;2,"Arquivada",IF(Config!$B$7-$T370&gt;0,"Histórico","Ativa")))</f>
        <v/>
      </c>
      <c r="AA370" s="14">
        <f>IF($A370="",0,IF(AND(OR($F370="Ponto de atenção",$F370="Incidente"),$L370="Sim"),1,0))</f>
        <v/>
      </c>
      <c r="AB370" s="14">
        <f>IF(OR($C370="",$C370&lt;&gt;'1a1'!$B$4,$T370&lt;&gt;Config!$B$7),"",COUNTIFS($C$5:$C370,'1a1'!$B$4,$T$5:$T370,Config!$B$7))</f>
        <v/>
      </c>
    </row>
    <row r="371">
      <c r="A371" s="18" t="n"/>
      <c r="B371" s="19" t="n"/>
      <c r="C371" s="14">
        <f>IFERROR(INDEX(Pessoas!$A$5:$A$64,MATCH($B371,Pessoas!$B$5:$B$64,0)),"")</f>
        <v/>
      </c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8" t="n"/>
      <c r="N371" s="19" t="n"/>
      <c r="O371" s="19" t="n"/>
      <c r="P371" s="19" t="n"/>
      <c r="Q371" s="20">
        <f>IF(OR($M371="",$P371=""),"",$M371+IF($P371="7 dias",7,IF($P371="14 dias",14,90)))</f>
        <v/>
      </c>
      <c r="R371" s="19" t="n"/>
      <c r="S371" s="19" t="n"/>
      <c r="T371" s="14">
        <f>IF($A371="","",YEAR($A371)*4+ROUNDUP(MONTH($A371)/3,0))</f>
        <v/>
      </c>
      <c r="U371" s="14">
        <f>IF($C371="","",$C371&amp;"|"&amp;$T371)</f>
        <v/>
      </c>
      <c r="V371" s="14">
        <f>IF($C371="","",$C371&amp;"|"&amp;$T371&amp;"|"&amp;$G371)</f>
        <v/>
      </c>
      <c r="W371" s="14">
        <f>IF($A371="","",IF(OR($B371="",$F371="",$G371="",$H371="",$I371=""),"Faltam campos básicos",IF(AND(OR($F371="Ponto de atenção",$F371="Incidente"),OR($K371="",$L371="",$O371="",$P371="")),"Faltam campos de sinalização","OK")))</f>
        <v/>
      </c>
      <c r="X371" s="14">
        <f>IF($A371="","",IF(AND(OR($F371="Ponto de atenção",$F371="Incidente"),$L371&lt;&gt;"Sim"),"Não",IF(AND($S371="",$W371&lt;&gt;"OK"),"Não","Sim")))</f>
        <v/>
      </c>
      <c r="Y371" s="14">
        <f>IF($C371="",0,IF(COUNTIFS($C$5:$C371,$C371,$D$5:$D371,$D371)=1,1,0))</f>
        <v/>
      </c>
      <c r="Z371" s="14">
        <f>IF($A371="","",IF(Config!$B$7-$T371&gt;2,"Arquivada",IF(Config!$B$7-$T371&gt;0,"Histórico","Ativa")))</f>
        <v/>
      </c>
      <c r="AA371" s="14">
        <f>IF($A371="",0,IF(AND(OR($F371="Ponto de atenção",$F371="Incidente"),$L371="Sim"),1,0))</f>
        <v/>
      </c>
      <c r="AB371" s="14">
        <f>IF(OR($C371="",$C371&lt;&gt;'1a1'!$B$4,$T371&lt;&gt;Config!$B$7),"",COUNTIFS($C$5:$C371,'1a1'!$B$4,$T$5:$T371,Config!$B$7))</f>
        <v/>
      </c>
    </row>
    <row r="372">
      <c r="A372" s="18" t="n"/>
      <c r="B372" s="19" t="n"/>
      <c r="C372" s="14">
        <f>IFERROR(INDEX(Pessoas!$A$5:$A$64,MATCH($B372,Pessoas!$B$5:$B$64,0)),"")</f>
        <v/>
      </c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8" t="n"/>
      <c r="N372" s="19" t="n"/>
      <c r="O372" s="19" t="n"/>
      <c r="P372" s="19" t="n"/>
      <c r="Q372" s="20">
        <f>IF(OR($M372="",$P372=""),"",$M372+IF($P372="7 dias",7,IF($P372="14 dias",14,90)))</f>
        <v/>
      </c>
      <c r="R372" s="19" t="n"/>
      <c r="S372" s="19" t="n"/>
      <c r="T372" s="14">
        <f>IF($A372="","",YEAR($A372)*4+ROUNDUP(MONTH($A372)/3,0))</f>
        <v/>
      </c>
      <c r="U372" s="14">
        <f>IF($C372="","",$C372&amp;"|"&amp;$T372)</f>
        <v/>
      </c>
      <c r="V372" s="14">
        <f>IF($C372="","",$C372&amp;"|"&amp;$T372&amp;"|"&amp;$G372)</f>
        <v/>
      </c>
      <c r="W372" s="14">
        <f>IF($A372="","",IF(OR($B372="",$F372="",$G372="",$H372="",$I372=""),"Faltam campos básicos",IF(AND(OR($F372="Ponto de atenção",$F372="Incidente"),OR($K372="",$L372="",$O372="",$P372="")),"Faltam campos de sinalização","OK")))</f>
        <v/>
      </c>
      <c r="X372" s="14">
        <f>IF($A372="","",IF(AND(OR($F372="Ponto de atenção",$F372="Incidente"),$L372&lt;&gt;"Sim"),"Não",IF(AND($S372="",$W372&lt;&gt;"OK"),"Não","Sim")))</f>
        <v/>
      </c>
      <c r="Y372" s="14">
        <f>IF($C372="",0,IF(COUNTIFS($C$5:$C372,$C372,$D$5:$D372,$D372)=1,1,0))</f>
        <v/>
      </c>
      <c r="Z372" s="14">
        <f>IF($A372="","",IF(Config!$B$7-$T372&gt;2,"Arquivada",IF(Config!$B$7-$T372&gt;0,"Histórico","Ativa")))</f>
        <v/>
      </c>
      <c r="AA372" s="14">
        <f>IF($A372="",0,IF(AND(OR($F372="Ponto de atenção",$F372="Incidente"),$L372="Sim"),1,0))</f>
        <v/>
      </c>
      <c r="AB372" s="14">
        <f>IF(OR($C372="",$C372&lt;&gt;'1a1'!$B$4,$T372&lt;&gt;Config!$B$7),"",COUNTIFS($C$5:$C372,'1a1'!$B$4,$T$5:$T372,Config!$B$7))</f>
        <v/>
      </c>
    </row>
    <row r="373">
      <c r="A373" s="18" t="n"/>
      <c r="B373" s="19" t="n"/>
      <c r="C373" s="14">
        <f>IFERROR(INDEX(Pessoas!$A$5:$A$64,MATCH($B373,Pessoas!$B$5:$B$64,0)),"")</f>
        <v/>
      </c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8" t="n"/>
      <c r="N373" s="19" t="n"/>
      <c r="O373" s="19" t="n"/>
      <c r="P373" s="19" t="n"/>
      <c r="Q373" s="20">
        <f>IF(OR($M373="",$P373=""),"",$M373+IF($P373="7 dias",7,IF($P373="14 dias",14,90)))</f>
        <v/>
      </c>
      <c r="R373" s="19" t="n"/>
      <c r="S373" s="19" t="n"/>
      <c r="T373" s="14">
        <f>IF($A373="","",YEAR($A373)*4+ROUNDUP(MONTH($A373)/3,0))</f>
        <v/>
      </c>
      <c r="U373" s="14">
        <f>IF($C373="","",$C373&amp;"|"&amp;$T373)</f>
        <v/>
      </c>
      <c r="V373" s="14">
        <f>IF($C373="","",$C373&amp;"|"&amp;$T373&amp;"|"&amp;$G373)</f>
        <v/>
      </c>
      <c r="W373" s="14">
        <f>IF($A373="","",IF(OR($B373="",$F373="",$G373="",$H373="",$I373=""),"Faltam campos básicos",IF(AND(OR($F373="Ponto de atenção",$F373="Incidente"),OR($K373="",$L373="",$O373="",$P373="")),"Faltam campos de sinalização","OK")))</f>
        <v/>
      </c>
      <c r="X373" s="14">
        <f>IF($A373="","",IF(AND(OR($F373="Ponto de atenção",$F373="Incidente"),$L373&lt;&gt;"Sim"),"Não",IF(AND($S373="",$W373&lt;&gt;"OK"),"Não","Sim")))</f>
        <v/>
      </c>
      <c r="Y373" s="14">
        <f>IF($C373="",0,IF(COUNTIFS($C$5:$C373,$C373,$D$5:$D373,$D373)=1,1,0))</f>
        <v/>
      </c>
      <c r="Z373" s="14">
        <f>IF($A373="","",IF(Config!$B$7-$T373&gt;2,"Arquivada",IF(Config!$B$7-$T373&gt;0,"Histórico","Ativa")))</f>
        <v/>
      </c>
      <c r="AA373" s="14">
        <f>IF($A373="",0,IF(AND(OR($F373="Ponto de atenção",$F373="Incidente"),$L373="Sim"),1,0))</f>
        <v/>
      </c>
      <c r="AB373" s="14">
        <f>IF(OR($C373="",$C373&lt;&gt;'1a1'!$B$4,$T373&lt;&gt;Config!$B$7),"",COUNTIFS($C$5:$C373,'1a1'!$B$4,$T$5:$T373,Config!$B$7))</f>
        <v/>
      </c>
    </row>
    <row r="374">
      <c r="A374" s="18" t="n"/>
      <c r="B374" s="19" t="n"/>
      <c r="C374" s="14">
        <f>IFERROR(INDEX(Pessoas!$A$5:$A$64,MATCH($B374,Pessoas!$B$5:$B$64,0)),"")</f>
        <v/>
      </c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8" t="n"/>
      <c r="N374" s="19" t="n"/>
      <c r="O374" s="19" t="n"/>
      <c r="P374" s="19" t="n"/>
      <c r="Q374" s="20">
        <f>IF(OR($M374="",$P374=""),"",$M374+IF($P374="7 dias",7,IF($P374="14 dias",14,90)))</f>
        <v/>
      </c>
      <c r="R374" s="19" t="n"/>
      <c r="S374" s="19" t="n"/>
      <c r="T374" s="14">
        <f>IF($A374="","",YEAR($A374)*4+ROUNDUP(MONTH($A374)/3,0))</f>
        <v/>
      </c>
      <c r="U374" s="14">
        <f>IF($C374="","",$C374&amp;"|"&amp;$T374)</f>
        <v/>
      </c>
      <c r="V374" s="14">
        <f>IF($C374="","",$C374&amp;"|"&amp;$T374&amp;"|"&amp;$G374)</f>
        <v/>
      </c>
      <c r="W374" s="14">
        <f>IF($A374="","",IF(OR($B374="",$F374="",$G374="",$H374="",$I374=""),"Faltam campos básicos",IF(AND(OR($F374="Ponto de atenção",$F374="Incidente"),OR($K374="",$L374="",$O374="",$P374="")),"Faltam campos de sinalização","OK")))</f>
        <v/>
      </c>
      <c r="X374" s="14">
        <f>IF($A374="","",IF(AND(OR($F374="Ponto de atenção",$F374="Incidente"),$L374&lt;&gt;"Sim"),"Não",IF(AND($S374="",$W374&lt;&gt;"OK"),"Não","Sim")))</f>
        <v/>
      </c>
      <c r="Y374" s="14">
        <f>IF($C374="",0,IF(COUNTIFS($C$5:$C374,$C374,$D$5:$D374,$D374)=1,1,0))</f>
        <v/>
      </c>
      <c r="Z374" s="14">
        <f>IF($A374="","",IF(Config!$B$7-$T374&gt;2,"Arquivada",IF(Config!$B$7-$T374&gt;0,"Histórico","Ativa")))</f>
        <v/>
      </c>
      <c r="AA374" s="14">
        <f>IF($A374="",0,IF(AND(OR($F374="Ponto de atenção",$F374="Incidente"),$L374="Sim"),1,0))</f>
        <v/>
      </c>
      <c r="AB374" s="14">
        <f>IF(OR($C374="",$C374&lt;&gt;'1a1'!$B$4,$T374&lt;&gt;Config!$B$7),"",COUNTIFS($C$5:$C374,'1a1'!$B$4,$T$5:$T374,Config!$B$7))</f>
        <v/>
      </c>
    </row>
    <row r="375">
      <c r="A375" s="18" t="n"/>
      <c r="B375" s="19" t="n"/>
      <c r="C375" s="14">
        <f>IFERROR(INDEX(Pessoas!$A$5:$A$64,MATCH($B375,Pessoas!$B$5:$B$64,0)),"")</f>
        <v/>
      </c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8" t="n"/>
      <c r="N375" s="19" t="n"/>
      <c r="O375" s="19" t="n"/>
      <c r="P375" s="19" t="n"/>
      <c r="Q375" s="20">
        <f>IF(OR($M375="",$P375=""),"",$M375+IF($P375="7 dias",7,IF($P375="14 dias",14,90)))</f>
        <v/>
      </c>
      <c r="R375" s="19" t="n"/>
      <c r="S375" s="19" t="n"/>
      <c r="T375" s="14">
        <f>IF($A375="","",YEAR($A375)*4+ROUNDUP(MONTH($A375)/3,0))</f>
        <v/>
      </c>
      <c r="U375" s="14">
        <f>IF($C375="","",$C375&amp;"|"&amp;$T375)</f>
        <v/>
      </c>
      <c r="V375" s="14">
        <f>IF($C375="","",$C375&amp;"|"&amp;$T375&amp;"|"&amp;$G375)</f>
        <v/>
      </c>
      <c r="W375" s="14">
        <f>IF($A375="","",IF(OR($B375="",$F375="",$G375="",$H375="",$I375=""),"Faltam campos básicos",IF(AND(OR($F375="Ponto de atenção",$F375="Incidente"),OR($K375="",$L375="",$O375="",$P375="")),"Faltam campos de sinalização","OK")))</f>
        <v/>
      </c>
      <c r="X375" s="14">
        <f>IF($A375="","",IF(AND(OR($F375="Ponto de atenção",$F375="Incidente"),$L375&lt;&gt;"Sim"),"Não",IF(AND($S375="",$W375&lt;&gt;"OK"),"Não","Sim")))</f>
        <v/>
      </c>
      <c r="Y375" s="14">
        <f>IF($C375="",0,IF(COUNTIFS($C$5:$C375,$C375,$D$5:$D375,$D375)=1,1,0))</f>
        <v/>
      </c>
      <c r="Z375" s="14">
        <f>IF($A375="","",IF(Config!$B$7-$T375&gt;2,"Arquivada",IF(Config!$B$7-$T375&gt;0,"Histórico","Ativa")))</f>
        <v/>
      </c>
      <c r="AA375" s="14">
        <f>IF($A375="",0,IF(AND(OR($F375="Ponto de atenção",$F375="Incidente"),$L375="Sim"),1,0))</f>
        <v/>
      </c>
      <c r="AB375" s="14">
        <f>IF(OR($C375="",$C375&lt;&gt;'1a1'!$B$4,$T375&lt;&gt;Config!$B$7),"",COUNTIFS($C$5:$C375,'1a1'!$B$4,$T$5:$T375,Config!$B$7))</f>
        <v/>
      </c>
    </row>
    <row r="376">
      <c r="A376" s="18" t="n"/>
      <c r="B376" s="19" t="n"/>
      <c r="C376" s="14">
        <f>IFERROR(INDEX(Pessoas!$A$5:$A$64,MATCH($B376,Pessoas!$B$5:$B$64,0)),"")</f>
        <v/>
      </c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8" t="n"/>
      <c r="N376" s="19" t="n"/>
      <c r="O376" s="19" t="n"/>
      <c r="P376" s="19" t="n"/>
      <c r="Q376" s="20">
        <f>IF(OR($M376="",$P376=""),"",$M376+IF($P376="7 dias",7,IF($P376="14 dias",14,90)))</f>
        <v/>
      </c>
      <c r="R376" s="19" t="n"/>
      <c r="S376" s="19" t="n"/>
      <c r="T376" s="14">
        <f>IF($A376="","",YEAR($A376)*4+ROUNDUP(MONTH($A376)/3,0))</f>
        <v/>
      </c>
      <c r="U376" s="14">
        <f>IF($C376="","",$C376&amp;"|"&amp;$T376)</f>
        <v/>
      </c>
      <c r="V376" s="14">
        <f>IF($C376="","",$C376&amp;"|"&amp;$T376&amp;"|"&amp;$G376)</f>
        <v/>
      </c>
      <c r="W376" s="14">
        <f>IF($A376="","",IF(OR($B376="",$F376="",$G376="",$H376="",$I376=""),"Faltam campos básicos",IF(AND(OR($F376="Ponto de atenção",$F376="Incidente"),OR($K376="",$L376="",$O376="",$P376="")),"Faltam campos de sinalização","OK")))</f>
        <v/>
      </c>
      <c r="X376" s="14">
        <f>IF($A376="","",IF(AND(OR($F376="Ponto de atenção",$F376="Incidente"),$L376&lt;&gt;"Sim"),"Não",IF(AND($S376="",$W376&lt;&gt;"OK"),"Não","Sim")))</f>
        <v/>
      </c>
      <c r="Y376" s="14">
        <f>IF($C376="",0,IF(COUNTIFS($C$5:$C376,$C376,$D$5:$D376,$D376)=1,1,0))</f>
        <v/>
      </c>
      <c r="Z376" s="14">
        <f>IF($A376="","",IF(Config!$B$7-$T376&gt;2,"Arquivada",IF(Config!$B$7-$T376&gt;0,"Histórico","Ativa")))</f>
        <v/>
      </c>
      <c r="AA376" s="14">
        <f>IF($A376="",0,IF(AND(OR($F376="Ponto de atenção",$F376="Incidente"),$L376="Sim"),1,0))</f>
        <v/>
      </c>
      <c r="AB376" s="14">
        <f>IF(OR($C376="",$C376&lt;&gt;'1a1'!$B$4,$T376&lt;&gt;Config!$B$7),"",COUNTIFS($C$5:$C376,'1a1'!$B$4,$T$5:$T376,Config!$B$7))</f>
        <v/>
      </c>
    </row>
    <row r="377">
      <c r="A377" s="18" t="n"/>
      <c r="B377" s="19" t="n"/>
      <c r="C377" s="14">
        <f>IFERROR(INDEX(Pessoas!$A$5:$A$64,MATCH($B377,Pessoas!$B$5:$B$64,0)),"")</f>
        <v/>
      </c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8" t="n"/>
      <c r="N377" s="19" t="n"/>
      <c r="O377" s="19" t="n"/>
      <c r="P377" s="19" t="n"/>
      <c r="Q377" s="20">
        <f>IF(OR($M377="",$P377=""),"",$M377+IF($P377="7 dias",7,IF($P377="14 dias",14,90)))</f>
        <v/>
      </c>
      <c r="R377" s="19" t="n"/>
      <c r="S377" s="19" t="n"/>
      <c r="T377" s="14">
        <f>IF($A377="","",YEAR($A377)*4+ROUNDUP(MONTH($A377)/3,0))</f>
        <v/>
      </c>
      <c r="U377" s="14">
        <f>IF($C377="","",$C377&amp;"|"&amp;$T377)</f>
        <v/>
      </c>
      <c r="V377" s="14">
        <f>IF($C377="","",$C377&amp;"|"&amp;$T377&amp;"|"&amp;$G377)</f>
        <v/>
      </c>
      <c r="W377" s="14">
        <f>IF($A377="","",IF(OR($B377="",$F377="",$G377="",$H377="",$I377=""),"Faltam campos básicos",IF(AND(OR($F377="Ponto de atenção",$F377="Incidente"),OR($K377="",$L377="",$O377="",$P377="")),"Faltam campos de sinalização","OK")))</f>
        <v/>
      </c>
      <c r="X377" s="14">
        <f>IF($A377="","",IF(AND(OR($F377="Ponto de atenção",$F377="Incidente"),$L377&lt;&gt;"Sim"),"Não",IF(AND($S377="",$W377&lt;&gt;"OK"),"Não","Sim")))</f>
        <v/>
      </c>
      <c r="Y377" s="14">
        <f>IF($C377="",0,IF(COUNTIFS($C$5:$C377,$C377,$D$5:$D377,$D377)=1,1,0))</f>
        <v/>
      </c>
      <c r="Z377" s="14">
        <f>IF($A377="","",IF(Config!$B$7-$T377&gt;2,"Arquivada",IF(Config!$B$7-$T377&gt;0,"Histórico","Ativa")))</f>
        <v/>
      </c>
      <c r="AA377" s="14">
        <f>IF($A377="",0,IF(AND(OR($F377="Ponto de atenção",$F377="Incidente"),$L377="Sim"),1,0))</f>
        <v/>
      </c>
      <c r="AB377" s="14">
        <f>IF(OR($C377="",$C377&lt;&gt;'1a1'!$B$4,$T377&lt;&gt;Config!$B$7),"",COUNTIFS($C$5:$C377,'1a1'!$B$4,$T$5:$T377,Config!$B$7))</f>
        <v/>
      </c>
    </row>
    <row r="378">
      <c r="A378" s="18" t="n"/>
      <c r="B378" s="19" t="n"/>
      <c r="C378" s="14">
        <f>IFERROR(INDEX(Pessoas!$A$5:$A$64,MATCH($B378,Pessoas!$B$5:$B$64,0)),"")</f>
        <v/>
      </c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8" t="n"/>
      <c r="N378" s="19" t="n"/>
      <c r="O378" s="19" t="n"/>
      <c r="P378" s="19" t="n"/>
      <c r="Q378" s="20">
        <f>IF(OR($M378="",$P378=""),"",$M378+IF($P378="7 dias",7,IF($P378="14 dias",14,90)))</f>
        <v/>
      </c>
      <c r="R378" s="19" t="n"/>
      <c r="S378" s="19" t="n"/>
      <c r="T378" s="14">
        <f>IF($A378="","",YEAR($A378)*4+ROUNDUP(MONTH($A378)/3,0))</f>
        <v/>
      </c>
      <c r="U378" s="14">
        <f>IF($C378="","",$C378&amp;"|"&amp;$T378)</f>
        <v/>
      </c>
      <c r="V378" s="14">
        <f>IF($C378="","",$C378&amp;"|"&amp;$T378&amp;"|"&amp;$G378)</f>
        <v/>
      </c>
      <c r="W378" s="14">
        <f>IF($A378="","",IF(OR($B378="",$F378="",$G378="",$H378="",$I378=""),"Faltam campos básicos",IF(AND(OR($F378="Ponto de atenção",$F378="Incidente"),OR($K378="",$L378="",$O378="",$P378="")),"Faltam campos de sinalização","OK")))</f>
        <v/>
      </c>
      <c r="X378" s="14">
        <f>IF($A378="","",IF(AND(OR($F378="Ponto de atenção",$F378="Incidente"),$L378&lt;&gt;"Sim"),"Não",IF(AND($S378="",$W378&lt;&gt;"OK"),"Não","Sim")))</f>
        <v/>
      </c>
      <c r="Y378" s="14">
        <f>IF($C378="",0,IF(COUNTIFS($C$5:$C378,$C378,$D$5:$D378,$D378)=1,1,0))</f>
        <v/>
      </c>
      <c r="Z378" s="14">
        <f>IF($A378="","",IF(Config!$B$7-$T378&gt;2,"Arquivada",IF(Config!$B$7-$T378&gt;0,"Histórico","Ativa")))</f>
        <v/>
      </c>
      <c r="AA378" s="14">
        <f>IF($A378="",0,IF(AND(OR($F378="Ponto de atenção",$F378="Incidente"),$L378="Sim"),1,0))</f>
        <v/>
      </c>
      <c r="AB378" s="14">
        <f>IF(OR($C378="",$C378&lt;&gt;'1a1'!$B$4,$T378&lt;&gt;Config!$B$7),"",COUNTIFS($C$5:$C378,'1a1'!$B$4,$T$5:$T378,Config!$B$7))</f>
        <v/>
      </c>
    </row>
    <row r="379">
      <c r="A379" s="18" t="n"/>
      <c r="B379" s="19" t="n"/>
      <c r="C379" s="14">
        <f>IFERROR(INDEX(Pessoas!$A$5:$A$64,MATCH($B379,Pessoas!$B$5:$B$64,0)),"")</f>
        <v/>
      </c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8" t="n"/>
      <c r="N379" s="19" t="n"/>
      <c r="O379" s="19" t="n"/>
      <c r="P379" s="19" t="n"/>
      <c r="Q379" s="20">
        <f>IF(OR($M379="",$P379=""),"",$M379+IF($P379="7 dias",7,IF($P379="14 dias",14,90)))</f>
        <v/>
      </c>
      <c r="R379" s="19" t="n"/>
      <c r="S379" s="19" t="n"/>
      <c r="T379" s="14">
        <f>IF($A379="","",YEAR($A379)*4+ROUNDUP(MONTH($A379)/3,0))</f>
        <v/>
      </c>
      <c r="U379" s="14">
        <f>IF($C379="","",$C379&amp;"|"&amp;$T379)</f>
        <v/>
      </c>
      <c r="V379" s="14">
        <f>IF($C379="","",$C379&amp;"|"&amp;$T379&amp;"|"&amp;$G379)</f>
        <v/>
      </c>
      <c r="W379" s="14">
        <f>IF($A379="","",IF(OR($B379="",$F379="",$G379="",$H379="",$I379=""),"Faltam campos básicos",IF(AND(OR($F379="Ponto de atenção",$F379="Incidente"),OR($K379="",$L379="",$O379="",$P379="")),"Faltam campos de sinalização","OK")))</f>
        <v/>
      </c>
      <c r="X379" s="14">
        <f>IF($A379="","",IF(AND(OR($F379="Ponto de atenção",$F379="Incidente"),$L379&lt;&gt;"Sim"),"Não",IF(AND($S379="",$W379&lt;&gt;"OK"),"Não","Sim")))</f>
        <v/>
      </c>
      <c r="Y379" s="14">
        <f>IF($C379="",0,IF(COUNTIFS($C$5:$C379,$C379,$D$5:$D379,$D379)=1,1,0))</f>
        <v/>
      </c>
      <c r="Z379" s="14">
        <f>IF($A379="","",IF(Config!$B$7-$T379&gt;2,"Arquivada",IF(Config!$B$7-$T379&gt;0,"Histórico","Ativa")))</f>
        <v/>
      </c>
      <c r="AA379" s="14">
        <f>IF($A379="",0,IF(AND(OR($F379="Ponto de atenção",$F379="Incidente"),$L379="Sim"),1,0))</f>
        <v/>
      </c>
      <c r="AB379" s="14">
        <f>IF(OR($C379="",$C379&lt;&gt;'1a1'!$B$4,$T379&lt;&gt;Config!$B$7),"",COUNTIFS($C$5:$C379,'1a1'!$B$4,$T$5:$T379,Config!$B$7))</f>
        <v/>
      </c>
    </row>
    <row r="380">
      <c r="A380" s="18" t="n"/>
      <c r="B380" s="19" t="n"/>
      <c r="C380" s="14">
        <f>IFERROR(INDEX(Pessoas!$A$5:$A$64,MATCH($B380,Pessoas!$B$5:$B$64,0)),"")</f>
        <v/>
      </c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8" t="n"/>
      <c r="N380" s="19" t="n"/>
      <c r="O380" s="19" t="n"/>
      <c r="P380" s="19" t="n"/>
      <c r="Q380" s="20">
        <f>IF(OR($M380="",$P380=""),"",$M380+IF($P380="7 dias",7,IF($P380="14 dias",14,90)))</f>
        <v/>
      </c>
      <c r="R380" s="19" t="n"/>
      <c r="S380" s="19" t="n"/>
      <c r="T380" s="14">
        <f>IF($A380="","",YEAR($A380)*4+ROUNDUP(MONTH($A380)/3,0))</f>
        <v/>
      </c>
      <c r="U380" s="14">
        <f>IF($C380="","",$C380&amp;"|"&amp;$T380)</f>
        <v/>
      </c>
      <c r="V380" s="14">
        <f>IF($C380="","",$C380&amp;"|"&amp;$T380&amp;"|"&amp;$G380)</f>
        <v/>
      </c>
      <c r="W380" s="14">
        <f>IF($A380="","",IF(OR($B380="",$F380="",$G380="",$H380="",$I380=""),"Faltam campos básicos",IF(AND(OR($F380="Ponto de atenção",$F380="Incidente"),OR($K380="",$L380="",$O380="",$P380="")),"Faltam campos de sinalização","OK")))</f>
        <v/>
      </c>
      <c r="X380" s="14">
        <f>IF($A380="","",IF(AND(OR($F380="Ponto de atenção",$F380="Incidente"),$L380&lt;&gt;"Sim"),"Não",IF(AND($S380="",$W380&lt;&gt;"OK"),"Não","Sim")))</f>
        <v/>
      </c>
      <c r="Y380" s="14">
        <f>IF($C380="",0,IF(COUNTIFS($C$5:$C380,$C380,$D$5:$D380,$D380)=1,1,0))</f>
        <v/>
      </c>
      <c r="Z380" s="14">
        <f>IF($A380="","",IF(Config!$B$7-$T380&gt;2,"Arquivada",IF(Config!$B$7-$T380&gt;0,"Histórico","Ativa")))</f>
        <v/>
      </c>
      <c r="AA380" s="14">
        <f>IF($A380="",0,IF(AND(OR($F380="Ponto de atenção",$F380="Incidente"),$L380="Sim"),1,0))</f>
        <v/>
      </c>
      <c r="AB380" s="14">
        <f>IF(OR($C380="",$C380&lt;&gt;'1a1'!$B$4,$T380&lt;&gt;Config!$B$7),"",COUNTIFS($C$5:$C380,'1a1'!$B$4,$T$5:$T380,Config!$B$7))</f>
        <v/>
      </c>
    </row>
    <row r="381">
      <c r="A381" s="18" t="n"/>
      <c r="B381" s="19" t="n"/>
      <c r="C381" s="14">
        <f>IFERROR(INDEX(Pessoas!$A$5:$A$64,MATCH($B381,Pessoas!$B$5:$B$64,0)),"")</f>
        <v/>
      </c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8" t="n"/>
      <c r="N381" s="19" t="n"/>
      <c r="O381" s="19" t="n"/>
      <c r="P381" s="19" t="n"/>
      <c r="Q381" s="20">
        <f>IF(OR($M381="",$P381=""),"",$M381+IF($P381="7 dias",7,IF($P381="14 dias",14,90)))</f>
        <v/>
      </c>
      <c r="R381" s="19" t="n"/>
      <c r="S381" s="19" t="n"/>
      <c r="T381" s="14">
        <f>IF($A381="","",YEAR($A381)*4+ROUNDUP(MONTH($A381)/3,0))</f>
        <v/>
      </c>
      <c r="U381" s="14">
        <f>IF($C381="","",$C381&amp;"|"&amp;$T381)</f>
        <v/>
      </c>
      <c r="V381" s="14">
        <f>IF($C381="","",$C381&amp;"|"&amp;$T381&amp;"|"&amp;$G381)</f>
        <v/>
      </c>
      <c r="W381" s="14">
        <f>IF($A381="","",IF(OR($B381="",$F381="",$G381="",$H381="",$I381=""),"Faltam campos básicos",IF(AND(OR($F381="Ponto de atenção",$F381="Incidente"),OR($K381="",$L381="",$O381="",$P381="")),"Faltam campos de sinalização","OK")))</f>
        <v/>
      </c>
      <c r="X381" s="14">
        <f>IF($A381="","",IF(AND(OR($F381="Ponto de atenção",$F381="Incidente"),$L381&lt;&gt;"Sim"),"Não",IF(AND($S381="",$W381&lt;&gt;"OK"),"Não","Sim")))</f>
        <v/>
      </c>
      <c r="Y381" s="14">
        <f>IF($C381="",0,IF(COUNTIFS($C$5:$C381,$C381,$D$5:$D381,$D381)=1,1,0))</f>
        <v/>
      </c>
      <c r="Z381" s="14">
        <f>IF($A381="","",IF(Config!$B$7-$T381&gt;2,"Arquivada",IF(Config!$B$7-$T381&gt;0,"Histórico","Ativa")))</f>
        <v/>
      </c>
      <c r="AA381" s="14">
        <f>IF($A381="",0,IF(AND(OR($F381="Ponto de atenção",$F381="Incidente"),$L381="Sim"),1,0))</f>
        <v/>
      </c>
      <c r="AB381" s="14">
        <f>IF(OR($C381="",$C381&lt;&gt;'1a1'!$B$4,$T381&lt;&gt;Config!$B$7),"",COUNTIFS($C$5:$C381,'1a1'!$B$4,$T$5:$T381,Config!$B$7))</f>
        <v/>
      </c>
    </row>
    <row r="382">
      <c r="A382" s="18" t="n"/>
      <c r="B382" s="19" t="n"/>
      <c r="C382" s="14">
        <f>IFERROR(INDEX(Pessoas!$A$5:$A$64,MATCH($B382,Pessoas!$B$5:$B$64,0)),"")</f>
        <v/>
      </c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8" t="n"/>
      <c r="N382" s="19" t="n"/>
      <c r="O382" s="19" t="n"/>
      <c r="P382" s="19" t="n"/>
      <c r="Q382" s="20">
        <f>IF(OR($M382="",$P382=""),"",$M382+IF($P382="7 dias",7,IF($P382="14 dias",14,90)))</f>
        <v/>
      </c>
      <c r="R382" s="19" t="n"/>
      <c r="S382" s="19" t="n"/>
      <c r="T382" s="14">
        <f>IF($A382="","",YEAR($A382)*4+ROUNDUP(MONTH($A382)/3,0))</f>
        <v/>
      </c>
      <c r="U382" s="14">
        <f>IF($C382="","",$C382&amp;"|"&amp;$T382)</f>
        <v/>
      </c>
      <c r="V382" s="14">
        <f>IF($C382="","",$C382&amp;"|"&amp;$T382&amp;"|"&amp;$G382)</f>
        <v/>
      </c>
      <c r="W382" s="14">
        <f>IF($A382="","",IF(OR($B382="",$F382="",$G382="",$H382="",$I382=""),"Faltam campos básicos",IF(AND(OR($F382="Ponto de atenção",$F382="Incidente"),OR($K382="",$L382="",$O382="",$P382="")),"Faltam campos de sinalização","OK")))</f>
        <v/>
      </c>
      <c r="X382" s="14">
        <f>IF($A382="","",IF(AND(OR($F382="Ponto de atenção",$F382="Incidente"),$L382&lt;&gt;"Sim"),"Não",IF(AND($S382="",$W382&lt;&gt;"OK"),"Não","Sim")))</f>
        <v/>
      </c>
      <c r="Y382" s="14">
        <f>IF($C382="",0,IF(COUNTIFS($C$5:$C382,$C382,$D$5:$D382,$D382)=1,1,0))</f>
        <v/>
      </c>
      <c r="Z382" s="14">
        <f>IF($A382="","",IF(Config!$B$7-$T382&gt;2,"Arquivada",IF(Config!$B$7-$T382&gt;0,"Histórico","Ativa")))</f>
        <v/>
      </c>
      <c r="AA382" s="14">
        <f>IF($A382="",0,IF(AND(OR($F382="Ponto de atenção",$F382="Incidente"),$L382="Sim"),1,0))</f>
        <v/>
      </c>
      <c r="AB382" s="14">
        <f>IF(OR($C382="",$C382&lt;&gt;'1a1'!$B$4,$T382&lt;&gt;Config!$B$7),"",COUNTIFS($C$5:$C382,'1a1'!$B$4,$T$5:$T382,Config!$B$7))</f>
        <v/>
      </c>
    </row>
    <row r="383">
      <c r="A383" s="18" t="n"/>
      <c r="B383" s="19" t="n"/>
      <c r="C383" s="14">
        <f>IFERROR(INDEX(Pessoas!$A$5:$A$64,MATCH($B383,Pessoas!$B$5:$B$64,0)),"")</f>
        <v/>
      </c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8" t="n"/>
      <c r="N383" s="19" t="n"/>
      <c r="O383" s="19" t="n"/>
      <c r="P383" s="19" t="n"/>
      <c r="Q383" s="20">
        <f>IF(OR($M383="",$P383=""),"",$M383+IF($P383="7 dias",7,IF($P383="14 dias",14,90)))</f>
        <v/>
      </c>
      <c r="R383" s="19" t="n"/>
      <c r="S383" s="19" t="n"/>
      <c r="T383" s="14">
        <f>IF($A383="","",YEAR($A383)*4+ROUNDUP(MONTH($A383)/3,0))</f>
        <v/>
      </c>
      <c r="U383" s="14">
        <f>IF($C383="","",$C383&amp;"|"&amp;$T383)</f>
        <v/>
      </c>
      <c r="V383" s="14">
        <f>IF($C383="","",$C383&amp;"|"&amp;$T383&amp;"|"&amp;$G383)</f>
        <v/>
      </c>
      <c r="W383" s="14">
        <f>IF($A383="","",IF(OR($B383="",$F383="",$G383="",$H383="",$I383=""),"Faltam campos básicos",IF(AND(OR($F383="Ponto de atenção",$F383="Incidente"),OR($K383="",$L383="",$O383="",$P383="")),"Faltam campos de sinalização","OK")))</f>
        <v/>
      </c>
      <c r="X383" s="14">
        <f>IF($A383="","",IF(AND(OR($F383="Ponto de atenção",$F383="Incidente"),$L383&lt;&gt;"Sim"),"Não",IF(AND($S383="",$W383&lt;&gt;"OK"),"Não","Sim")))</f>
        <v/>
      </c>
      <c r="Y383" s="14">
        <f>IF($C383="",0,IF(COUNTIFS($C$5:$C383,$C383,$D$5:$D383,$D383)=1,1,0))</f>
        <v/>
      </c>
      <c r="Z383" s="14">
        <f>IF($A383="","",IF(Config!$B$7-$T383&gt;2,"Arquivada",IF(Config!$B$7-$T383&gt;0,"Histórico","Ativa")))</f>
        <v/>
      </c>
      <c r="AA383" s="14">
        <f>IF($A383="",0,IF(AND(OR($F383="Ponto de atenção",$F383="Incidente"),$L383="Sim"),1,0))</f>
        <v/>
      </c>
      <c r="AB383" s="14">
        <f>IF(OR($C383="",$C383&lt;&gt;'1a1'!$B$4,$T383&lt;&gt;Config!$B$7),"",COUNTIFS($C$5:$C383,'1a1'!$B$4,$T$5:$T383,Config!$B$7))</f>
        <v/>
      </c>
    </row>
    <row r="384">
      <c r="A384" s="18" t="n"/>
      <c r="B384" s="19" t="n"/>
      <c r="C384" s="14">
        <f>IFERROR(INDEX(Pessoas!$A$5:$A$64,MATCH($B384,Pessoas!$B$5:$B$64,0)),"")</f>
        <v/>
      </c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8" t="n"/>
      <c r="N384" s="19" t="n"/>
      <c r="O384" s="19" t="n"/>
      <c r="P384" s="19" t="n"/>
      <c r="Q384" s="20">
        <f>IF(OR($M384="",$P384=""),"",$M384+IF($P384="7 dias",7,IF($P384="14 dias",14,90)))</f>
        <v/>
      </c>
      <c r="R384" s="19" t="n"/>
      <c r="S384" s="19" t="n"/>
      <c r="T384" s="14">
        <f>IF($A384="","",YEAR($A384)*4+ROUNDUP(MONTH($A384)/3,0))</f>
        <v/>
      </c>
      <c r="U384" s="14">
        <f>IF($C384="","",$C384&amp;"|"&amp;$T384)</f>
        <v/>
      </c>
      <c r="V384" s="14">
        <f>IF($C384="","",$C384&amp;"|"&amp;$T384&amp;"|"&amp;$G384)</f>
        <v/>
      </c>
      <c r="W384" s="14">
        <f>IF($A384="","",IF(OR($B384="",$F384="",$G384="",$H384="",$I384=""),"Faltam campos básicos",IF(AND(OR($F384="Ponto de atenção",$F384="Incidente"),OR($K384="",$L384="",$O384="",$P384="")),"Faltam campos de sinalização","OK")))</f>
        <v/>
      </c>
      <c r="X384" s="14">
        <f>IF($A384="","",IF(AND(OR($F384="Ponto de atenção",$F384="Incidente"),$L384&lt;&gt;"Sim"),"Não",IF(AND($S384="",$W384&lt;&gt;"OK"),"Não","Sim")))</f>
        <v/>
      </c>
      <c r="Y384" s="14">
        <f>IF($C384="",0,IF(COUNTIFS($C$5:$C384,$C384,$D$5:$D384,$D384)=1,1,0))</f>
        <v/>
      </c>
      <c r="Z384" s="14">
        <f>IF($A384="","",IF(Config!$B$7-$T384&gt;2,"Arquivada",IF(Config!$B$7-$T384&gt;0,"Histórico","Ativa")))</f>
        <v/>
      </c>
      <c r="AA384" s="14">
        <f>IF($A384="",0,IF(AND(OR($F384="Ponto de atenção",$F384="Incidente"),$L384="Sim"),1,0))</f>
        <v/>
      </c>
      <c r="AB384" s="14">
        <f>IF(OR($C384="",$C384&lt;&gt;'1a1'!$B$4,$T384&lt;&gt;Config!$B$7),"",COUNTIFS($C$5:$C384,'1a1'!$B$4,$T$5:$T384,Config!$B$7))</f>
        <v/>
      </c>
    </row>
    <row r="385">
      <c r="A385" s="18" t="n"/>
      <c r="B385" s="19" t="n"/>
      <c r="C385" s="14">
        <f>IFERROR(INDEX(Pessoas!$A$5:$A$64,MATCH($B385,Pessoas!$B$5:$B$64,0)),"")</f>
        <v/>
      </c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8" t="n"/>
      <c r="N385" s="19" t="n"/>
      <c r="O385" s="19" t="n"/>
      <c r="P385" s="19" t="n"/>
      <c r="Q385" s="20">
        <f>IF(OR($M385="",$P385=""),"",$M385+IF($P385="7 dias",7,IF($P385="14 dias",14,90)))</f>
        <v/>
      </c>
      <c r="R385" s="19" t="n"/>
      <c r="S385" s="19" t="n"/>
      <c r="T385" s="14">
        <f>IF($A385="","",YEAR($A385)*4+ROUNDUP(MONTH($A385)/3,0))</f>
        <v/>
      </c>
      <c r="U385" s="14">
        <f>IF($C385="","",$C385&amp;"|"&amp;$T385)</f>
        <v/>
      </c>
      <c r="V385" s="14">
        <f>IF($C385="","",$C385&amp;"|"&amp;$T385&amp;"|"&amp;$G385)</f>
        <v/>
      </c>
      <c r="W385" s="14">
        <f>IF($A385="","",IF(OR($B385="",$F385="",$G385="",$H385="",$I385=""),"Faltam campos básicos",IF(AND(OR($F385="Ponto de atenção",$F385="Incidente"),OR($K385="",$L385="",$O385="",$P385="")),"Faltam campos de sinalização","OK")))</f>
        <v/>
      </c>
      <c r="X385" s="14">
        <f>IF($A385="","",IF(AND(OR($F385="Ponto de atenção",$F385="Incidente"),$L385&lt;&gt;"Sim"),"Não",IF(AND($S385="",$W385&lt;&gt;"OK"),"Não","Sim")))</f>
        <v/>
      </c>
      <c r="Y385" s="14">
        <f>IF($C385="",0,IF(COUNTIFS($C$5:$C385,$C385,$D$5:$D385,$D385)=1,1,0))</f>
        <v/>
      </c>
      <c r="Z385" s="14">
        <f>IF($A385="","",IF(Config!$B$7-$T385&gt;2,"Arquivada",IF(Config!$B$7-$T385&gt;0,"Histórico","Ativa")))</f>
        <v/>
      </c>
      <c r="AA385" s="14">
        <f>IF($A385="",0,IF(AND(OR($F385="Ponto de atenção",$F385="Incidente"),$L385="Sim"),1,0))</f>
        <v/>
      </c>
      <c r="AB385" s="14">
        <f>IF(OR($C385="",$C385&lt;&gt;'1a1'!$B$4,$T385&lt;&gt;Config!$B$7),"",COUNTIFS($C$5:$C385,'1a1'!$B$4,$T$5:$T385,Config!$B$7))</f>
        <v/>
      </c>
    </row>
    <row r="386">
      <c r="A386" s="18" t="n"/>
      <c r="B386" s="19" t="n"/>
      <c r="C386" s="14">
        <f>IFERROR(INDEX(Pessoas!$A$5:$A$64,MATCH($B386,Pessoas!$B$5:$B$64,0)),"")</f>
        <v/>
      </c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8" t="n"/>
      <c r="N386" s="19" t="n"/>
      <c r="O386" s="19" t="n"/>
      <c r="P386" s="19" t="n"/>
      <c r="Q386" s="20">
        <f>IF(OR($M386="",$P386=""),"",$M386+IF($P386="7 dias",7,IF($P386="14 dias",14,90)))</f>
        <v/>
      </c>
      <c r="R386" s="19" t="n"/>
      <c r="S386" s="19" t="n"/>
      <c r="T386" s="14">
        <f>IF($A386="","",YEAR($A386)*4+ROUNDUP(MONTH($A386)/3,0))</f>
        <v/>
      </c>
      <c r="U386" s="14">
        <f>IF($C386="","",$C386&amp;"|"&amp;$T386)</f>
        <v/>
      </c>
      <c r="V386" s="14">
        <f>IF($C386="","",$C386&amp;"|"&amp;$T386&amp;"|"&amp;$G386)</f>
        <v/>
      </c>
      <c r="W386" s="14">
        <f>IF($A386="","",IF(OR($B386="",$F386="",$G386="",$H386="",$I386=""),"Faltam campos básicos",IF(AND(OR($F386="Ponto de atenção",$F386="Incidente"),OR($K386="",$L386="",$O386="",$P386="")),"Faltam campos de sinalização","OK")))</f>
        <v/>
      </c>
      <c r="X386" s="14">
        <f>IF($A386="","",IF(AND(OR($F386="Ponto de atenção",$F386="Incidente"),$L386&lt;&gt;"Sim"),"Não",IF(AND($S386="",$W386&lt;&gt;"OK"),"Não","Sim")))</f>
        <v/>
      </c>
      <c r="Y386" s="14">
        <f>IF($C386="",0,IF(COUNTIFS($C$5:$C386,$C386,$D$5:$D386,$D386)=1,1,0))</f>
        <v/>
      </c>
      <c r="Z386" s="14">
        <f>IF($A386="","",IF(Config!$B$7-$T386&gt;2,"Arquivada",IF(Config!$B$7-$T386&gt;0,"Histórico","Ativa")))</f>
        <v/>
      </c>
      <c r="AA386" s="14">
        <f>IF($A386="",0,IF(AND(OR($F386="Ponto de atenção",$F386="Incidente"),$L386="Sim"),1,0))</f>
        <v/>
      </c>
      <c r="AB386" s="14">
        <f>IF(OR($C386="",$C386&lt;&gt;'1a1'!$B$4,$T386&lt;&gt;Config!$B$7),"",COUNTIFS($C$5:$C386,'1a1'!$B$4,$T$5:$T386,Config!$B$7))</f>
        <v/>
      </c>
    </row>
    <row r="387">
      <c r="A387" s="18" t="n"/>
      <c r="B387" s="19" t="n"/>
      <c r="C387" s="14">
        <f>IFERROR(INDEX(Pessoas!$A$5:$A$64,MATCH($B387,Pessoas!$B$5:$B$64,0)),"")</f>
        <v/>
      </c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8" t="n"/>
      <c r="N387" s="19" t="n"/>
      <c r="O387" s="19" t="n"/>
      <c r="P387" s="19" t="n"/>
      <c r="Q387" s="20">
        <f>IF(OR($M387="",$P387=""),"",$M387+IF($P387="7 dias",7,IF($P387="14 dias",14,90)))</f>
        <v/>
      </c>
      <c r="R387" s="19" t="n"/>
      <c r="S387" s="19" t="n"/>
      <c r="T387" s="14">
        <f>IF($A387="","",YEAR($A387)*4+ROUNDUP(MONTH($A387)/3,0))</f>
        <v/>
      </c>
      <c r="U387" s="14">
        <f>IF($C387="","",$C387&amp;"|"&amp;$T387)</f>
        <v/>
      </c>
      <c r="V387" s="14">
        <f>IF($C387="","",$C387&amp;"|"&amp;$T387&amp;"|"&amp;$G387)</f>
        <v/>
      </c>
      <c r="W387" s="14">
        <f>IF($A387="","",IF(OR($B387="",$F387="",$G387="",$H387="",$I387=""),"Faltam campos básicos",IF(AND(OR($F387="Ponto de atenção",$F387="Incidente"),OR($K387="",$L387="",$O387="",$P387="")),"Faltam campos de sinalização","OK")))</f>
        <v/>
      </c>
      <c r="X387" s="14">
        <f>IF($A387="","",IF(AND(OR($F387="Ponto de atenção",$F387="Incidente"),$L387&lt;&gt;"Sim"),"Não",IF(AND($S387="",$W387&lt;&gt;"OK"),"Não","Sim")))</f>
        <v/>
      </c>
      <c r="Y387" s="14">
        <f>IF($C387="",0,IF(COUNTIFS($C$5:$C387,$C387,$D$5:$D387,$D387)=1,1,0))</f>
        <v/>
      </c>
      <c r="Z387" s="14">
        <f>IF($A387="","",IF(Config!$B$7-$T387&gt;2,"Arquivada",IF(Config!$B$7-$T387&gt;0,"Histórico","Ativa")))</f>
        <v/>
      </c>
      <c r="AA387" s="14">
        <f>IF($A387="",0,IF(AND(OR($F387="Ponto de atenção",$F387="Incidente"),$L387="Sim"),1,0))</f>
        <v/>
      </c>
      <c r="AB387" s="14">
        <f>IF(OR($C387="",$C387&lt;&gt;'1a1'!$B$4,$T387&lt;&gt;Config!$B$7),"",COUNTIFS($C$5:$C387,'1a1'!$B$4,$T$5:$T387,Config!$B$7))</f>
        <v/>
      </c>
    </row>
    <row r="388">
      <c r="A388" s="18" t="n"/>
      <c r="B388" s="19" t="n"/>
      <c r="C388" s="14">
        <f>IFERROR(INDEX(Pessoas!$A$5:$A$64,MATCH($B388,Pessoas!$B$5:$B$64,0)),"")</f>
        <v/>
      </c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8" t="n"/>
      <c r="N388" s="19" t="n"/>
      <c r="O388" s="19" t="n"/>
      <c r="P388" s="19" t="n"/>
      <c r="Q388" s="20">
        <f>IF(OR($M388="",$P388=""),"",$M388+IF($P388="7 dias",7,IF($P388="14 dias",14,90)))</f>
        <v/>
      </c>
      <c r="R388" s="19" t="n"/>
      <c r="S388" s="19" t="n"/>
      <c r="T388" s="14">
        <f>IF($A388="","",YEAR($A388)*4+ROUNDUP(MONTH($A388)/3,0))</f>
        <v/>
      </c>
      <c r="U388" s="14">
        <f>IF($C388="","",$C388&amp;"|"&amp;$T388)</f>
        <v/>
      </c>
      <c r="V388" s="14">
        <f>IF($C388="","",$C388&amp;"|"&amp;$T388&amp;"|"&amp;$G388)</f>
        <v/>
      </c>
      <c r="W388" s="14">
        <f>IF($A388="","",IF(OR($B388="",$F388="",$G388="",$H388="",$I388=""),"Faltam campos básicos",IF(AND(OR($F388="Ponto de atenção",$F388="Incidente"),OR($K388="",$L388="",$O388="",$P388="")),"Faltam campos de sinalização","OK")))</f>
        <v/>
      </c>
      <c r="X388" s="14">
        <f>IF($A388="","",IF(AND(OR($F388="Ponto de atenção",$F388="Incidente"),$L388&lt;&gt;"Sim"),"Não",IF(AND($S388="",$W388&lt;&gt;"OK"),"Não","Sim")))</f>
        <v/>
      </c>
      <c r="Y388" s="14">
        <f>IF($C388="",0,IF(COUNTIFS($C$5:$C388,$C388,$D$5:$D388,$D388)=1,1,0))</f>
        <v/>
      </c>
      <c r="Z388" s="14">
        <f>IF($A388="","",IF(Config!$B$7-$T388&gt;2,"Arquivada",IF(Config!$B$7-$T388&gt;0,"Histórico","Ativa")))</f>
        <v/>
      </c>
      <c r="AA388" s="14">
        <f>IF($A388="",0,IF(AND(OR($F388="Ponto de atenção",$F388="Incidente"),$L388="Sim"),1,0))</f>
        <v/>
      </c>
      <c r="AB388" s="14">
        <f>IF(OR($C388="",$C388&lt;&gt;'1a1'!$B$4,$T388&lt;&gt;Config!$B$7),"",COUNTIFS($C$5:$C388,'1a1'!$B$4,$T$5:$T388,Config!$B$7))</f>
        <v/>
      </c>
    </row>
    <row r="389">
      <c r="A389" s="18" t="n"/>
      <c r="B389" s="19" t="n"/>
      <c r="C389" s="14">
        <f>IFERROR(INDEX(Pessoas!$A$5:$A$64,MATCH($B389,Pessoas!$B$5:$B$64,0)),"")</f>
        <v/>
      </c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8" t="n"/>
      <c r="N389" s="19" t="n"/>
      <c r="O389" s="19" t="n"/>
      <c r="P389" s="19" t="n"/>
      <c r="Q389" s="20">
        <f>IF(OR($M389="",$P389=""),"",$M389+IF($P389="7 dias",7,IF($P389="14 dias",14,90)))</f>
        <v/>
      </c>
      <c r="R389" s="19" t="n"/>
      <c r="S389" s="19" t="n"/>
      <c r="T389" s="14">
        <f>IF($A389="","",YEAR($A389)*4+ROUNDUP(MONTH($A389)/3,0))</f>
        <v/>
      </c>
      <c r="U389" s="14">
        <f>IF($C389="","",$C389&amp;"|"&amp;$T389)</f>
        <v/>
      </c>
      <c r="V389" s="14">
        <f>IF($C389="","",$C389&amp;"|"&amp;$T389&amp;"|"&amp;$G389)</f>
        <v/>
      </c>
      <c r="W389" s="14">
        <f>IF($A389="","",IF(OR($B389="",$F389="",$G389="",$H389="",$I389=""),"Faltam campos básicos",IF(AND(OR($F389="Ponto de atenção",$F389="Incidente"),OR($K389="",$L389="",$O389="",$P389="")),"Faltam campos de sinalização","OK")))</f>
        <v/>
      </c>
      <c r="X389" s="14">
        <f>IF($A389="","",IF(AND(OR($F389="Ponto de atenção",$F389="Incidente"),$L389&lt;&gt;"Sim"),"Não",IF(AND($S389="",$W389&lt;&gt;"OK"),"Não","Sim")))</f>
        <v/>
      </c>
      <c r="Y389" s="14">
        <f>IF($C389="",0,IF(COUNTIFS($C$5:$C389,$C389,$D$5:$D389,$D389)=1,1,0))</f>
        <v/>
      </c>
      <c r="Z389" s="14">
        <f>IF($A389="","",IF(Config!$B$7-$T389&gt;2,"Arquivada",IF(Config!$B$7-$T389&gt;0,"Histórico","Ativa")))</f>
        <v/>
      </c>
      <c r="AA389" s="14">
        <f>IF($A389="",0,IF(AND(OR($F389="Ponto de atenção",$F389="Incidente"),$L389="Sim"),1,0))</f>
        <v/>
      </c>
      <c r="AB389" s="14">
        <f>IF(OR($C389="",$C389&lt;&gt;'1a1'!$B$4,$T389&lt;&gt;Config!$B$7),"",COUNTIFS($C$5:$C389,'1a1'!$B$4,$T$5:$T389,Config!$B$7))</f>
        <v/>
      </c>
    </row>
    <row r="390">
      <c r="A390" s="18" t="n"/>
      <c r="B390" s="19" t="n"/>
      <c r="C390" s="14">
        <f>IFERROR(INDEX(Pessoas!$A$5:$A$64,MATCH($B390,Pessoas!$B$5:$B$64,0)),"")</f>
        <v/>
      </c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8" t="n"/>
      <c r="N390" s="19" t="n"/>
      <c r="O390" s="19" t="n"/>
      <c r="P390" s="19" t="n"/>
      <c r="Q390" s="20">
        <f>IF(OR($M390="",$P390=""),"",$M390+IF($P390="7 dias",7,IF($P390="14 dias",14,90)))</f>
        <v/>
      </c>
      <c r="R390" s="19" t="n"/>
      <c r="S390" s="19" t="n"/>
      <c r="T390" s="14">
        <f>IF($A390="","",YEAR($A390)*4+ROUNDUP(MONTH($A390)/3,0))</f>
        <v/>
      </c>
      <c r="U390" s="14">
        <f>IF($C390="","",$C390&amp;"|"&amp;$T390)</f>
        <v/>
      </c>
      <c r="V390" s="14">
        <f>IF($C390="","",$C390&amp;"|"&amp;$T390&amp;"|"&amp;$G390)</f>
        <v/>
      </c>
      <c r="W390" s="14">
        <f>IF($A390="","",IF(OR($B390="",$F390="",$G390="",$H390="",$I390=""),"Faltam campos básicos",IF(AND(OR($F390="Ponto de atenção",$F390="Incidente"),OR($K390="",$L390="",$O390="",$P390="")),"Faltam campos de sinalização","OK")))</f>
        <v/>
      </c>
      <c r="X390" s="14">
        <f>IF($A390="","",IF(AND(OR($F390="Ponto de atenção",$F390="Incidente"),$L390&lt;&gt;"Sim"),"Não",IF(AND($S390="",$W390&lt;&gt;"OK"),"Não","Sim")))</f>
        <v/>
      </c>
      <c r="Y390" s="14">
        <f>IF($C390="",0,IF(COUNTIFS($C$5:$C390,$C390,$D$5:$D390,$D390)=1,1,0))</f>
        <v/>
      </c>
      <c r="Z390" s="14">
        <f>IF($A390="","",IF(Config!$B$7-$T390&gt;2,"Arquivada",IF(Config!$B$7-$T390&gt;0,"Histórico","Ativa")))</f>
        <v/>
      </c>
      <c r="AA390" s="14">
        <f>IF($A390="",0,IF(AND(OR($F390="Ponto de atenção",$F390="Incidente"),$L390="Sim"),1,0))</f>
        <v/>
      </c>
      <c r="AB390" s="14">
        <f>IF(OR($C390="",$C390&lt;&gt;'1a1'!$B$4,$T390&lt;&gt;Config!$B$7),"",COUNTIFS($C$5:$C390,'1a1'!$B$4,$T$5:$T390,Config!$B$7))</f>
        <v/>
      </c>
    </row>
    <row r="391">
      <c r="A391" s="18" t="n"/>
      <c r="B391" s="19" t="n"/>
      <c r="C391" s="14">
        <f>IFERROR(INDEX(Pessoas!$A$5:$A$64,MATCH($B391,Pessoas!$B$5:$B$64,0)),"")</f>
        <v/>
      </c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8" t="n"/>
      <c r="N391" s="19" t="n"/>
      <c r="O391" s="19" t="n"/>
      <c r="P391" s="19" t="n"/>
      <c r="Q391" s="20">
        <f>IF(OR($M391="",$P391=""),"",$M391+IF($P391="7 dias",7,IF($P391="14 dias",14,90)))</f>
        <v/>
      </c>
      <c r="R391" s="19" t="n"/>
      <c r="S391" s="19" t="n"/>
      <c r="T391" s="14">
        <f>IF($A391="","",YEAR($A391)*4+ROUNDUP(MONTH($A391)/3,0))</f>
        <v/>
      </c>
      <c r="U391" s="14">
        <f>IF($C391="","",$C391&amp;"|"&amp;$T391)</f>
        <v/>
      </c>
      <c r="V391" s="14">
        <f>IF($C391="","",$C391&amp;"|"&amp;$T391&amp;"|"&amp;$G391)</f>
        <v/>
      </c>
      <c r="W391" s="14">
        <f>IF($A391="","",IF(OR($B391="",$F391="",$G391="",$H391="",$I391=""),"Faltam campos básicos",IF(AND(OR($F391="Ponto de atenção",$F391="Incidente"),OR($K391="",$L391="",$O391="",$P391="")),"Faltam campos de sinalização","OK")))</f>
        <v/>
      </c>
      <c r="X391" s="14">
        <f>IF($A391="","",IF(AND(OR($F391="Ponto de atenção",$F391="Incidente"),$L391&lt;&gt;"Sim"),"Não",IF(AND($S391="",$W391&lt;&gt;"OK"),"Não","Sim")))</f>
        <v/>
      </c>
      <c r="Y391" s="14">
        <f>IF($C391="",0,IF(COUNTIFS($C$5:$C391,$C391,$D$5:$D391,$D391)=1,1,0))</f>
        <v/>
      </c>
      <c r="Z391" s="14">
        <f>IF($A391="","",IF(Config!$B$7-$T391&gt;2,"Arquivada",IF(Config!$B$7-$T391&gt;0,"Histórico","Ativa")))</f>
        <v/>
      </c>
      <c r="AA391" s="14">
        <f>IF($A391="",0,IF(AND(OR($F391="Ponto de atenção",$F391="Incidente"),$L391="Sim"),1,0))</f>
        <v/>
      </c>
      <c r="AB391" s="14">
        <f>IF(OR($C391="",$C391&lt;&gt;'1a1'!$B$4,$T391&lt;&gt;Config!$B$7),"",COUNTIFS($C$5:$C391,'1a1'!$B$4,$T$5:$T391,Config!$B$7))</f>
        <v/>
      </c>
    </row>
    <row r="392">
      <c r="A392" s="18" t="n"/>
      <c r="B392" s="19" t="n"/>
      <c r="C392" s="14">
        <f>IFERROR(INDEX(Pessoas!$A$5:$A$64,MATCH($B392,Pessoas!$B$5:$B$64,0)),"")</f>
        <v/>
      </c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8" t="n"/>
      <c r="N392" s="19" t="n"/>
      <c r="O392" s="19" t="n"/>
      <c r="P392" s="19" t="n"/>
      <c r="Q392" s="20">
        <f>IF(OR($M392="",$P392=""),"",$M392+IF($P392="7 dias",7,IF($P392="14 dias",14,90)))</f>
        <v/>
      </c>
      <c r="R392" s="19" t="n"/>
      <c r="S392" s="19" t="n"/>
      <c r="T392" s="14">
        <f>IF($A392="","",YEAR($A392)*4+ROUNDUP(MONTH($A392)/3,0))</f>
        <v/>
      </c>
      <c r="U392" s="14">
        <f>IF($C392="","",$C392&amp;"|"&amp;$T392)</f>
        <v/>
      </c>
      <c r="V392" s="14">
        <f>IF($C392="","",$C392&amp;"|"&amp;$T392&amp;"|"&amp;$G392)</f>
        <v/>
      </c>
      <c r="W392" s="14">
        <f>IF($A392="","",IF(OR($B392="",$F392="",$G392="",$H392="",$I392=""),"Faltam campos básicos",IF(AND(OR($F392="Ponto de atenção",$F392="Incidente"),OR($K392="",$L392="",$O392="",$P392="")),"Faltam campos de sinalização","OK")))</f>
        <v/>
      </c>
      <c r="X392" s="14">
        <f>IF($A392="","",IF(AND(OR($F392="Ponto de atenção",$F392="Incidente"),$L392&lt;&gt;"Sim"),"Não",IF(AND($S392="",$W392&lt;&gt;"OK"),"Não","Sim")))</f>
        <v/>
      </c>
      <c r="Y392" s="14">
        <f>IF($C392="",0,IF(COUNTIFS($C$5:$C392,$C392,$D$5:$D392,$D392)=1,1,0))</f>
        <v/>
      </c>
      <c r="Z392" s="14">
        <f>IF($A392="","",IF(Config!$B$7-$T392&gt;2,"Arquivada",IF(Config!$B$7-$T392&gt;0,"Histórico","Ativa")))</f>
        <v/>
      </c>
      <c r="AA392" s="14">
        <f>IF($A392="",0,IF(AND(OR($F392="Ponto de atenção",$F392="Incidente"),$L392="Sim"),1,0))</f>
        <v/>
      </c>
      <c r="AB392" s="14">
        <f>IF(OR($C392="",$C392&lt;&gt;'1a1'!$B$4,$T392&lt;&gt;Config!$B$7),"",COUNTIFS($C$5:$C392,'1a1'!$B$4,$T$5:$T392,Config!$B$7))</f>
        <v/>
      </c>
    </row>
    <row r="393">
      <c r="A393" s="18" t="n"/>
      <c r="B393" s="19" t="n"/>
      <c r="C393" s="14">
        <f>IFERROR(INDEX(Pessoas!$A$5:$A$64,MATCH($B393,Pessoas!$B$5:$B$64,0)),"")</f>
        <v/>
      </c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8" t="n"/>
      <c r="N393" s="19" t="n"/>
      <c r="O393" s="19" t="n"/>
      <c r="P393" s="19" t="n"/>
      <c r="Q393" s="20">
        <f>IF(OR($M393="",$P393=""),"",$M393+IF($P393="7 dias",7,IF($P393="14 dias",14,90)))</f>
        <v/>
      </c>
      <c r="R393" s="19" t="n"/>
      <c r="S393" s="19" t="n"/>
      <c r="T393" s="14">
        <f>IF($A393="","",YEAR($A393)*4+ROUNDUP(MONTH($A393)/3,0))</f>
        <v/>
      </c>
      <c r="U393" s="14">
        <f>IF($C393="","",$C393&amp;"|"&amp;$T393)</f>
        <v/>
      </c>
      <c r="V393" s="14">
        <f>IF($C393="","",$C393&amp;"|"&amp;$T393&amp;"|"&amp;$G393)</f>
        <v/>
      </c>
      <c r="W393" s="14">
        <f>IF($A393="","",IF(OR($B393="",$F393="",$G393="",$H393="",$I393=""),"Faltam campos básicos",IF(AND(OR($F393="Ponto de atenção",$F393="Incidente"),OR($K393="",$L393="",$O393="",$P393="")),"Faltam campos de sinalização","OK")))</f>
        <v/>
      </c>
      <c r="X393" s="14">
        <f>IF($A393="","",IF(AND(OR($F393="Ponto de atenção",$F393="Incidente"),$L393&lt;&gt;"Sim"),"Não",IF(AND($S393="",$W393&lt;&gt;"OK"),"Não","Sim")))</f>
        <v/>
      </c>
      <c r="Y393" s="14">
        <f>IF($C393="",0,IF(COUNTIFS($C$5:$C393,$C393,$D$5:$D393,$D393)=1,1,0))</f>
        <v/>
      </c>
      <c r="Z393" s="14">
        <f>IF($A393="","",IF(Config!$B$7-$T393&gt;2,"Arquivada",IF(Config!$B$7-$T393&gt;0,"Histórico","Ativa")))</f>
        <v/>
      </c>
      <c r="AA393" s="14">
        <f>IF($A393="",0,IF(AND(OR($F393="Ponto de atenção",$F393="Incidente"),$L393="Sim"),1,0))</f>
        <v/>
      </c>
      <c r="AB393" s="14">
        <f>IF(OR($C393="",$C393&lt;&gt;'1a1'!$B$4,$T393&lt;&gt;Config!$B$7),"",COUNTIFS($C$5:$C393,'1a1'!$B$4,$T$5:$T393,Config!$B$7))</f>
        <v/>
      </c>
    </row>
    <row r="394">
      <c r="A394" s="18" t="n"/>
      <c r="B394" s="19" t="n"/>
      <c r="C394" s="14">
        <f>IFERROR(INDEX(Pessoas!$A$5:$A$64,MATCH($B394,Pessoas!$B$5:$B$64,0)),"")</f>
        <v/>
      </c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8" t="n"/>
      <c r="N394" s="19" t="n"/>
      <c r="O394" s="19" t="n"/>
      <c r="P394" s="19" t="n"/>
      <c r="Q394" s="20">
        <f>IF(OR($M394="",$P394=""),"",$M394+IF($P394="7 dias",7,IF($P394="14 dias",14,90)))</f>
        <v/>
      </c>
      <c r="R394" s="19" t="n"/>
      <c r="S394" s="19" t="n"/>
      <c r="T394" s="14">
        <f>IF($A394="","",YEAR($A394)*4+ROUNDUP(MONTH($A394)/3,0))</f>
        <v/>
      </c>
      <c r="U394" s="14">
        <f>IF($C394="","",$C394&amp;"|"&amp;$T394)</f>
        <v/>
      </c>
      <c r="V394" s="14">
        <f>IF($C394="","",$C394&amp;"|"&amp;$T394&amp;"|"&amp;$G394)</f>
        <v/>
      </c>
      <c r="W394" s="14">
        <f>IF($A394="","",IF(OR($B394="",$F394="",$G394="",$H394="",$I394=""),"Faltam campos básicos",IF(AND(OR($F394="Ponto de atenção",$F394="Incidente"),OR($K394="",$L394="",$O394="",$P394="")),"Faltam campos de sinalização","OK")))</f>
        <v/>
      </c>
      <c r="X394" s="14">
        <f>IF($A394="","",IF(AND(OR($F394="Ponto de atenção",$F394="Incidente"),$L394&lt;&gt;"Sim"),"Não",IF(AND($S394="",$W394&lt;&gt;"OK"),"Não","Sim")))</f>
        <v/>
      </c>
      <c r="Y394" s="14">
        <f>IF($C394="",0,IF(COUNTIFS($C$5:$C394,$C394,$D$5:$D394,$D394)=1,1,0))</f>
        <v/>
      </c>
      <c r="Z394" s="14">
        <f>IF($A394="","",IF(Config!$B$7-$T394&gt;2,"Arquivada",IF(Config!$B$7-$T394&gt;0,"Histórico","Ativa")))</f>
        <v/>
      </c>
      <c r="AA394" s="14">
        <f>IF($A394="",0,IF(AND(OR($F394="Ponto de atenção",$F394="Incidente"),$L394="Sim"),1,0))</f>
        <v/>
      </c>
      <c r="AB394" s="14">
        <f>IF(OR($C394="",$C394&lt;&gt;'1a1'!$B$4,$T394&lt;&gt;Config!$B$7),"",COUNTIFS($C$5:$C394,'1a1'!$B$4,$T$5:$T394,Config!$B$7))</f>
        <v/>
      </c>
    </row>
    <row r="395">
      <c r="A395" s="18" t="n"/>
      <c r="B395" s="19" t="n"/>
      <c r="C395" s="14">
        <f>IFERROR(INDEX(Pessoas!$A$5:$A$64,MATCH($B395,Pessoas!$B$5:$B$64,0)),"")</f>
        <v/>
      </c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8" t="n"/>
      <c r="N395" s="19" t="n"/>
      <c r="O395" s="19" t="n"/>
      <c r="P395" s="19" t="n"/>
      <c r="Q395" s="20">
        <f>IF(OR($M395="",$P395=""),"",$M395+IF($P395="7 dias",7,IF($P395="14 dias",14,90)))</f>
        <v/>
      </c>
      <c r="R395" s="19" t="n"/>
      <c r="S395" s="19" t="n"/>
      <c r="T395" s="14">
        <f>IF($A395="","",YEAR($A395)*4+ROUNDUP(MONTH($A395)/3,0))</f>
        <v/>
      </c>
      <c r="U395" s="14">
        <f>IF($C395="","",$C395&amp;"|"&amp;$T395)</f>
        <v/>
      </c>
      <c r="V395" s="14">
        <f>IF($C395="","",$C395&amp;"|"&amp;$T395&amp;"|"&amp;$G395)</f>
        <v/>
      </c>
      <c r="W395" s="14">
        <f>IF($A395="","",IF(OR($B395="",$F395="",$G395="",$H395="",$I395=""),"Faltam campos básicos",IF(AND(OR($F395="Ponto de atenção",$F395="Incidente"),OR($K395="",$L395="",$O395="",$P395="")),"Faltam campos de sinalização","OK")))</f>
        <v/>
      </c>
      <c r="X395" s="14">
        <f>IF($A395="","",IF(AND(OR($F395="Ponto de atenção",$F395="Incidente"),$L395&lt;&gt;"Sim"),"Não",IF(AND($S395="",$W395&lt;&gt;"OK"),"Não","Sim")))</f>
        <v/>
      </c>
      <c r="Y395" s="14">
        <f>IF($C395="",0,IF(COUNTIFS($C$5:$C395,$C395,$D$5:$D395,$D395)=1,1,0))</f>
        <v/>
      </c>
      <c r="Z395" s="14">
        <f>IF($A395="","",IF(Config!$B$7-$T395&gt;2,"Arquivada",IF(Config!$B$7-$T395&gt;0,"Histórico","Ativa")))</f>
        <v/>
      </c>
      <c r="AA395" s="14">
        <f>IF($A395="",0,IF(AND(OR($F395="Ponto de atenção",$F395="Incidente"),$L395="Sim"),1,0))</f>
        <v/>
      </c>
      <c r="AB395" s="14">
        <f>IF(OR($C395="",$C395&lt;&gt;'1a1'!$B$4,$T395&lt;&gt;Config!$B$7),"",COUNTIFS($C$5:$C395,'1a1'!$B$4,$T$5:$T395,Config!$B$7))</f>
        <v/>
      </c>
    </row>
    <row r="396">
      <c r="A396" s="18" t="n"/>
      <c r="B396" s="19" t="n"/>
      <c r="C396" s="14">
        <f>IFERROR(INDEX(Pessoas!$A$5:$A$64,MATCH($B396,Pessoas!$B$5:$B$64,0)),"")</f>
        <v/>
      </c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8" t="n"/>
      <c r="N396" s="19" t="n"/>
      <c r="O396" s="19" t="n"/>
      <c r="P396" s="19" t="n"/>
      <c r="Q396" s="20">
        <f>IF(OR($M396="",$P396=""),"",$M396+IF($P396="7 dias",7,IF($P396="14 dias",14,90)))</f>
        <v/>
      </c>
      <c r="R396" s="19" t="n"/>
      <c r="S396" s="19" t="n"/>
      <c r="T396" s="14">
        <f>IF($A396="","",YEAR($A396)*4+ROUNDUP(MONTH($A396)/3,0))</f>
        <v/>
      </c>
      <c r="U396" s="14">
        <f>IF($C396="","",$C396&amp;"|"&amp;$T396)</f>
        <v/>
      </c>
      <c r="V396" s="14">
        <f>IF($C396="","",$C396&amp;"|"&amp;$T396&amp;"|"&amp;$G396)</f>
        <v/>
      </c>
      <c r="W396" s="14">
        <f>IF($A396="","",IF(OR($B396="",$F396="",$G396="",$H396="",$I396=""),"Faltam campos básicos",IF(AND(OR($F396="Ponto de atenção",$F396="Incidente"),OR($K396="",$L396="",$O396="",$P396="")),"Faltam campos de sinalização","OK")))</f>
        <v/>
      </c>
      <c r="X396" s="14">
        <f>IF($A396="","",IF(AND(OR($F396="Ponto de atenção",$F396="Incidente"),$L396&lt;&gt;"Sim"),"Não",IF(AND($S396="",$W396&lt;&gt;"OK"),"Não","Sim")))</f>
        <v/>
      </c>
      <c r="Y396" s="14">
        <f>IF($C396="",0,IF(COUNTIFS($C$5:$C396,$C396,$D$5:$D396,$D396)=1,1,0))</f>
        <v/>
      </c>
      <c r="Z396" s="14">
        <f>IF($A396="","",IF(Config!$B$7-$T396&gt;2,"Arquivada",IF(Config!$B$7-$T396&gt;0,"Histórico","Ativa")))</f>
        <v/>
      </c>
      <c r="AA396" s="14">
        <f>IF($A396="",0,IF(AND(OR($F396="Ponto de atenção",$F396="Incidente"),$L396="Sim"),1,0))</f>
        <v/>
      </c>
      <c r="AB396" s="14">
        <f>IF(OR($C396="",$C396&lt;&gt;'1a1'!$B$4,$T396&lt;&gt;Config!$B$7),"",COUNTIFS($C$5:$C396,'1a1'!$B$4,$T$5:$T396,Config!$B$7))</f>
        <v/>
      </c>
    </row>
    <row r="397">
      <c r="A397" s="18" t="n"/>
      <c r="B397" s="19" t="n"/>
      <c r="C397" s="14">
        <f>IFERROR(INDEX(Pessoas!$A$5:$A$64,MATCH($B397,Pessoas!$B$5:$B$64,0)),"")</f>
        <v/>
      </c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8" t="n"/>
      <c r="N397" s="19" t="n"/>
      <c r="O397" s="19" t="n"/>
      <c r="P397" s="19" t="n"/>
      <c r="Q397" s="20">
        <f>IF(OR($M397="",$P397=""),"",$M397+IF($P397="7 dias",7,IF($P397="14 dias",14,90)))</f>
        <v/>
      </c>
      <c r="R397" s="19" t="n"/>
      <c r="S397" s="19" t="n"/>
      <c r="T397" s="14">
        <f>IF($A397="","",YEAR($A397)*4+ROUNDUP(MONTH($A397)/3,0))</f>
        <v/>
      </c>
      <c r="U397" s="14">
        <f>IF($C397="","",$C397&amp;"|"&amp;$T397)</f>
        <v/>
      </c>
      <c r="V397" s="14">
        <f>IF($C397="","",$C397&amp;"|"&amp;$T397&amp;"|"&amp;$G397)</f>
        <v/>
      </c>
      <c r="W397" s="14">
        <f>IF($A397="","",IF(OR($B397="",$F397="",$G397="",$H397="",$I397=""),"Faltam campos básicos",IF(AND(OR($F397="Ponto de atenção",$F397="Incidente"),OR($K397="",$L397="",$O397="",$P397="")),"Faltam campos de sinalização","OK")))</f>
        <v/>
      </c>
      <c r="X397" s="14">
        <f>IF($A397="","",IF(AND(OR($F397="Ponto de atenção",$F397="Incidente"),$L397&lt;&gt;"Sim"),"Não",IF(AND($S397="",$W397&lt;&gt;"OK"),"Não","Sim")))</f>
        <v/>
      </c>
      <c r="Y397" s="14">
        <f>IF($C397="",0,IF(COUNTIFS($C$5:$C397,$C397,$D$5:$D397,$D397)=1,1,0))</f>
        <v/>
      </c>
      <c r="Z397" s="14">
        <f>IF($A397="","",IF(Config!$B$7-$T397&gt;2,"Arquivada",IF(Config!$B$7-$T397&gt;0,"Histórico","Ativa")))</f>
        <v/>
      </c>
      <c r="AA397" s="14">
        <f>IF($A397="",0,IF(AND(OR($F397="Ponto de atenção",$F397="Incidente"),$L397="Sim"),1,0))</f>
        <v/>
      </c>
      <c r="AB397" s="14">
        <f>IF(OR($C397="",$C397&lt;&gt;'1a1'!$B$4,$T397&lt;&gt;Config!$B$7),"",COUNTIFS($C$5:$C397,'1a1'!$B$4,$T$5:$T397,Config!$B$7))</f>
        <v/>
      </c>
    </row>
    <row r="398">
      <c r="A398" s="18" t="n"/>
      <c r="B398" s="19" t="n"/>
      <c r="C398" s="14">
        <f>IFERROR(INDEX(Pessoas!$A$5:$A$64,MATCH($B398,Pessoas!$B$5:$B$64,0)),"")</f>
        <v/>
      </c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8" t="n"/>
      <c r="N398" s="19" t="n"/>
      <c r="O398" s="19" t="n"/>
      <c r="P398" s="19" t="n"/>
      <c r="Q398" s="20">
        <f>IF(OR($M398="",$P398=""),"",$M398+IF($P398="7 dias",7,IF($P398="14 dias",14,90)))</f>
        <v/>
      </c>
      <c r="R398" s="19" t="n"/>
      <c r="S398" s="19" t="n"/>
      <c r="T398" s="14">
        <f>IF($A398="","",YEAR($A398)*4+ROUNDUP(MONTH($A398)/3,0))</f>
        <v/>
      </c>
      <c r="U398" s="14">
        <f>IF($C398="","",$C398&amp;"|"&amp;$T398)</f>
        <v/>
      </c>
      <c r="V398" s="14">
        <f>IF($C398="","",$C398&amp;"|"&amp;$T398&amp;"|"&amp;$G398)</f>
        <v/>
      </c>
      <c r="W398" s="14">
        <f>IF($A398="","",IF(OR($B398="",$F398="",$G398="",$H398="",$I398=""),"Faltam campos básicos",IF(AND(OR($F398="Ponto de atenção",$F398="Incidente"),OR($K398="",$L398="",$O398="",$P398="")),"Faltam campos de sinalização","OK")))</f>
        <v/>
      </c>
      <c r="X398" s="14">
        <f>IF($A398="","",IF(AND(OR($F398="Ponto de atenção",$F398="Incidente"),$L398&lt;&gt;"Sim"),"Não",IF(AND($S398="",$W398&lt;&gt;"OK"),"Não","Sim")))</f>
        <v/>
      </c>
      <c r="Y398" s="14">
        <f>IF($C398="",0,IF(COUNTIFS($C$5:$C398,$C398,$D$5:$D398,$D398)=1,1,0))</f>
        <v/>
      </c>
      <c r="Z398" s="14">
        <f>IF($A398="","",IF(Config!$B$7-$T398&gt;2,"Arquivada",IF(Config!$B$7-$T398&gt;0,"Histórico","Ativa")))</f>
        <v/>
      </c>
      <c r="AA398" s="14">
        <f>IF($A398="",0,IF(AND(OR($F398="Ponto de atenção",$F398="Incidente"),$L398="Sim"),1,0))</f>
        <v/>
      </c>
      <c r="AB398" s="14">
        <f>IF(OR($C398="",$C398&lt;&gt;'1a1'!$B$4,$T398&lt;&gt;Config!$B$7),"",COUNTIFS($C$5:$C398,'1a1'!$B$4,$T$5:$T398,Config!$B$7))</f>
        <v/>
      </c>
    </row>
    <row r="399">
      <c r="A399" s="18" t="n"/>
      <c r="B399" s="19" t="n"/>
      <c r="C399" s="14">
        <f>IFERROR(INDEX(Pessoas!$A$5:$A$64,MATCH($B399,Pessoas!$B$5:$B$64,0)),"")</f>
        <v/>
      </c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8" t="n"/>
      <c r="N399" s="19" t="n"/>
      <c r="O399" s="19" t="n"/>
      <c r="P399" s="19" t="n"/>
      <c r="Q399" s="20">
        <f>IF(OR($M399="",$P399=""),"",$M399+IF($P399="7 dias",7,IF($P399="14 dias",14,90)))</f>
        <v/>
      </c>
      <c r="R399" s="19" t="n"/>
      <c r="S399" s="19" t="n"/>
      <c r="T399" s="14">
        <f>IF($A399="","",YEAR($A399)*4+ROUNDUP(MONTH($A399)/3,0))</f>
        <v/>
      </c>
      <c r="U399" s="14">
        <f>IF($C399="","",$C399&amp;"|"&amp;$T399)</f>
        <v/>
      </c>
      <c r="V399" s="14">
        <f>IF($C399="","",$C399&amp;"|"&amp;$T399&amp;"|"&amp;$G399)</f>
        <v/>
      </c>
      <c r="W399" s="14">
        <f>IF($A399="","",IF(OR($B399="",$F399="",$G399="",$H399="",$I399=""),"Faltam campos básicos",IF(AND(OR($F399="Ponto de atenção",$F399="Incidente"),OR($K399="",$L399="",$O399="",$P399="")),"Faltam campos de sinalização","OK")))</f>
        <v/>
      </c>
      <c r="X399" s="14">
        <f>IF($A399="","",IF(AND(OR($F399="Ponto de atenção",$F399="Incidente"),$L399&lt;&gt;"Sim"),"Não",IF(AND($S399="",$W399&lt;&gt;"OK"),"Não","Sim")))</f>
        <v/>
      </c>
      <c r="Y399" s="14">
        <f>IF($C399="",0,IF(COUNTIFS($C$5:$C399,$C399,$D$5:$D399,$D399)=1,1,0))</f>
        <v/>
      </c>
      <c r="Z399" s="14">
        <f>IF($A399="","",IF(Config!$B$7-$T399&gt;2,"Arquivada",IF(Config!$B$7-$T399&gt;0,"Histórico","Ativa")))</f>
        <v/>
      </c>
      <c r="AA399" s="14">
        <f>IF($A399="",0,IF(AND(OR($F399="Ponto de atenção",$F399="Incidente"),$L399="Sim"),1,0))</f>
        <v/>
      </c>
      <c r="AB399" s="14">
        <f>IF(OR($C399="",$C399&lt;&gt;'1a1'!$B$4,$T399&lt;&gt;Config!$B$7),"",COUNTIFS($C$5:$C399,'1a1'!$B$4,$T$5:$T399,Config!$B$7))</f>
        <v/>
      </c>
    </row>
    <row r="400">
      <c r="A400" s="18" t="n"/>
      <c r="B400" s="19" t="n"/>
      <c r="C400" s="14">
        <f>IFERROR(INDEX(Pessoas!$A$5:$A$64,MATCH($B400,Pessoas!$B$5:$B$64,0)),"")</f>
        <v/>
      </c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8" t="n"/>
      <c r="N400" s="19" t="n"/>
      <c r="O400" s="19" t="n"/>
      <c r="P400" s="19" t="n"/>
      <c r="Q400" s="20">
        <f>IF(OR($M400="",$P400=""),"",$M400+IF($P400="7 dias",7,IF($P400="14 dias",14,90)))</f>
        <v/>
      </c>
      <c r="R400" s="19" t="n"/>
      <c r="S400" s="19" t="n"/>
      <c r="T400" s="14">
        <f>IF($A400="","",YEAR($A400)*4+ROUNDUP(MONTH($A400)/3,0))</f>
        <v/>
      </c>
      <c r="U400" s="14">
        <f>IF($C400="","",$C400&amp;"|"&amp;$T400)</f>
        <v/>
      </c>
      <c r="V400" s="14">
        <f>IF($C400="","",$C400&amp;"|"&amp;$T400&amp;"|"&amp;$G400)</f>
        <v/>
      </c>
      <c r="W400" s="14">
        <f>IF($A400="","",IF(OR($B400="",$F400="",$G400="",$H400="",$I400=""),"Faltam campos básicos",IF(AND(OR($F400="Ponto de atenção",$F400="Incidente"),OR($K400="",$L400="",$O400="",$P400="")),"Faltam campos de sinalização","OK")))</f>
        <v/>
      </c>
      <c r="X400" s="14">
        <f>IF($A400="","",IF(AND(OR($F400="Ponto de atenção",$F400="Incidente"),$L400&lt;&gt;"Sim"),"Não",IF(AND($S400="",$W400&lt;&gt;"OK"),"Não","Sim")))</f>
        <v/>
      </c>
      <c r="Y400" s="14">
        <f>IF($C400="",0,IF(COUNTIFS($C$5:$C400,$C400,$D$5:$D400,$D400)=1,1,0))</f>
        <v/>
      </c>
      <c r="Z400" s="14">
        <f>IF($A400="","",IF(Config!$B$7-$T400&gt;2,"Arquivada",IF(Config!$B$7-$T400&gt;0,"Histórico","Ativa")))</f>
        <v/>
      </c>
      <c r="AA400" s="14">
        <f>IF($A400="",0,IF(AND(OR($F400="Ponto de atenção",$F400="Incidente"),$L400="Sim"),1,0))</f>
        <v/>
      </c>
      <c r="AB400" s="14">
        <f>IF(OR($C400="",$C400&lt;&gt;'1a1'!$B$4,$T400&lt;&gt;Config!$B$7),"",COUNTIFS($C$5:$C400,'1a1'!$B$4,$T$5:$T400,Config!$B$7))</f>
        <v/>
      </c>
    </row>
    <row r="401">
      <c r="A401" s="18" t="n"/>
      <c r="B401" s="19" t="n"/>
      <c r="C401" s="14">
        <f>IFERROR(INDEX(Pessoas!$A$5:$A$64,MATCH($B401,Pessoas!$B$5:$B$64,0)),"")</f>
        <v/>
      </c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8" t="n"/>
      <c r="N401" s="19" t="n"/>
      <c r="O401" s="19" t="n"/>
      <c r="P401" s="19" t="n"/>
      <c r="Q401" s="20">
        <f>IF(OR($M401="",$P401=""),"",$M401+IF($P401="7 dias",7,IF($P401="14 dias",14,90)))</f>
        <v/>
      </c>
      <c r="R401" s="19" t="n"/>
      <c r="S401" s="19" t="n"/>
      <c r="T401" s="14">
        <f>IF($A401="","",YEAR($A401)*4+ROUNDUP(MONTH($A401)/3,0))</f>
        <v/>
      </c>
      <c r="U401" s="14">
        <f>IF($C401="","",$C401&amp;"|"&amp;$T401)</f>
        <v/>
      </c>
      <c r="V401" s="14">
        <f>IF($C401="","",$C401&amp;"|"&amp;$T401&amp;"|"&amp;$G401)</f>
        <v/>
      </c>
      <c r="W401" s="14">
        <f>IF($A401="","",IF(OR($B401="",$F401="",$G401="",$H401="",$I401=""),"Faltam campos básicos",IF(AND(OR($F401="Ponto de atenção",$F401="Incidente"),OR($K401="",$L401="",$O401="",$P401="")),"Faltam campos de sinalização","OK")))</f>
        <v/>
      </c>
      <c r="X401" s="14">
        <f>IF($A401="","",IF(AND(OR($F401="Ponto de atenção",$F401="Incidente"),$L401&lt;&gt;"Sim"),"Não",IF(AND($S401="",$W401&lt;&gt;"OK"),"Não","Sim")))</f>
        <v/>
      </c>
      <c r="Y401" s="14">
        <f>IF($C401="",0,IF(COUNTIFS($C$5:$C401,$C401,$D$5:$D401,$D401)=1,1,0))</f>
        <v/>
      </c>
      <c r="Z401" s="14">
        <f>IF($A401="","",IF(Config!$B$7-$T401&gt;2,"Arquivada",IF(Config!$B$7-$T401&gt;0,"Histórico","Ativa")))</f>
        <v/>
      </c>
      <c r="AA401" s="14">
        <f>IF($A401="",0,IF(AND(OR($F401="Ponto de atenção",$F401="Incidente"),$L401="Sim"),1,0))</f>
        <v/>
      </c>
      <c r="AB401" s="14">
        <f>IF(OR($C401="",$C401&lt;&gt;'1a1'!$B$4,$T401&lt;&gt;Config!$B$7),"",COUNTIFS($C$5:$C401,'1a1'!$B$4,$T$5:$T401,Config!$B$7))</f>
        <v/>
      </c>
    </row>
    <row r="402">
      <c r="A402" s="18" t="n"/>
      <c r="B402" s="19" t="n"/>
      <c r="C402" s="14">
        <f>IFERROR(INDEX(Pessoas!$A$5:$A$64,MATCH($B402,Pessoas!$B$5:$B$64,0)),"")</f>
        <v/>
      </c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8" t="n"/>
      <c r="N402" s="19" t="n"/>
      <c r="O402" s="19" t="n"/>
      <c r="P402" s="19" t="n"/>
      <c r="Q402" s="20">
        <f>IF(OR($M402="",$P402=""),"",$M402+IF($P402="7 dias",7,IF($P402="14 dias",14,90)))</f>
        <v/>
      </c>
      <c r="R402" s="19" t="n"/>
      <c r="S402" s="19" t="n"/>
      <c r="T402" s="14">
        <f>IF($A402="","",YEAR($A402)*4+ROUNDUP(MONTH($A402)/3,0))</f>
        <v/>
      </c>
      <c r="U402" s="14">
        <f>IF($C402="","",$C402&amp;"|"&amp;$T402)</f>
        <v/>
      </c>
      <c r="V402" s="14">
        <f>IF($C402="","",$C402&amp;"|"&amp;$T402&amp;"|"&amp;$G402)</f>
        <v/>
      </c>
      <c r="W402" s="14">
        <f>IF($A402="","",IF(OR($B402="",$F402="",$G402="",$H402="",$I402=""),"Faltam campos básicos",IF(AND(OR($F402="Ponto de atenção",$F402="Incidente"),OR($K402="",$L402="",$O402="",$P402="")),"Faltam campos de sinalização","OK")))</f>
        <v/>
      </c>
      <c r="X402" s="14">
        <f>IF($A402="","",IF(AND(OR($F402="Ponto de atenção",$F402="Incidente"),$L402&lt;&gt;"Sim"),"Não",IF(AND($S402="",$W402&lt;&gt;"OK"),"Não","Sim")))</f>
        <v/>
      </c>
      <c r="Y402" s="14">
        <f>IF($C402="",0,IF(COUNTIFS($C$5:$C402,$C402,$D$5:$D402,$D402)=1,1,0))</f>
        <v/>
      </c>
      <c r="Z402" s="14">
        <f>IF($A402="","",IF(Config!$B$7-$T402&gt;2,"Arquivada",IF(Config!$B$7-$T402&gt;0,"Histórico","Ativa")))</f>
        <v/>
      </c>
      <c r="AA402" s="14">
        <f>IF($A402="",0,IF(AND(OR($F402="Ponto de atenção",$F402="Incidente"),$L402="Sim"),1,0))</f>
        <v/>
      </c>
      <c r="AB402" s="14">
        <f>IF(OR($C402="",$C402&lt;&gt;'1a1'!$B$4,$T402&lt;&gt;Config!$B$7),"",COUNTIFS($C$5:$C402,'1a1'!$B$4,$T$5:$T402,Config!$B$7))</f>
        <v/>
      </c>
    </row>
    <row r="403">
      <c r="A403" s="18" t="n"/>
      <c r="B403" s="19" t="n"/>
      <c r="C403" s="14">
        <f>IFERROR(INDEX(Pessoas!$A$5:$A$64,MATCH($B403,Pessoas!$B$5:$B$64,0)),"")</f>
        <v/>
      </c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8" t="n"/>
      <c r="N403" s="19" t="n"/>
      <c r="O403" s="19" t="n"/>
      <c r="P403" s="19" t="n"/>
      <c r="Q403" s="20">
        <f>IF(OR($M403="",$P403=""),"",$M403+IF($P403="7 dias",7,IF($P403="14 dias",14,90)))</f>
        <v/>
      </c>
      <c r="R403" s="19" t="n"/>
      <c r="S403" s="19" t="n"/>
      <c r="T403" s="14">
        <f>IF($A403="","",YEAR($A403)*4+ROUNDUP(MONTH($A403)/3,0))</f>
        <v/>
      </c>
      <c r="U403" s="14">
        <f>IF($C403="","",$C403&amp;"|"&amp;$T403)</f>
        <v/>
      </c>
      <c r="V403" s="14">
        <f>IF($C403="","",$C403&amp;"|"&amp;$T403&amp;"|"&amp;$G403)</f>
        <v/>
      </c>
      <c r="W403" s="14">
        <f>IF($A403="","",IF(OR($B403="",$F403="",$G403="",$H403="",$I403=""),"Faltam campos básicos",IF(AND(OR($F403="Ponto de atenção",$F403="Incidente"),OR($K403="",$L403="",$O403="",$P403="")),"Faltam campos de sinalização","OK")))</f>
        <v/>
      </c>
      <c r="X403" s="14">
        <f>IF($A403="","",IF(AND(OR($F403="Ponto de atenção",$F403="Incidente"),$L403&lt;&gt;"Sim"),"Não",IF(AND($S403="",$W403&lt;&gt;"OK"),"Não","Sim")))</f>
        <v/>
      </c>
      <c r="Y403" s="14">
        <f>IF($C403="",0,IF(COUNTIFS($C$5:$C403,$C403,$D$5:$D403,$D403)=1,1,0))</f>
        <v/>
      </c>
      <c r="Z403" s="14">
        <f>IF($A403="","",IF(Config!$B$7-$T403&gt;2,"Arquivada",IF(Config!$B$7-$T403&gt;0,"Histórico","Ativa")))</f>
        <v/>
      </c>
      <c r="AA403" s="14">
        <f>IF($A403="",0,IF(AND(OR($F403="Ponto de atenção",$F403="Incidente"),$L403="Sim"),1,0))</f>
        <v/>
      </c>
      <c r="AB403" s="14">
        <f>IF(OR($C403="",$C403&lt;&gt;'1a1'!$B$4,$T403&lt;&gt;Config!$B$7),"",COUNTIFS($C$5:$C403,'1a1'!$B$4,$T$5:$T403,Config!$B$7))</f>
        <v/>
      </c>
    </row>
    <row r="404">
      <c r="A404" s="18" t="n"/>
      <c r="B404" s="19" t="n"/>
      <c r="C404" s="14">
        <f>IFERROR(INDEX(Pessoas!$A$5:$A$64,MATCH($B404,Pessoas!$B$5:$B$64,0)),"")</f>
        <v/>
      </c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8" t="n"/>
      <c r="N404" s="19" t="n"/>
      <c r="O404" s="19" t="n"/>
      <c r="P404" s="19" t="n"/>
      <c r="Q404" s="20">
        <f>IF(OR($M404="",$P404=""),"",$M404+IF($P404="7 dias",7,IF($P404="14 dias",14,90)))</f>
        <v/>
      </c>
      <c r="R404" s="19" t="n"/>
      <c r="S404" s="19" t="n"/>
      <c r="T404" s="14">
        <f>IF($A404="","",YEAR($A404)*4+ROUNDUP(MONTH($A404)/3,0))</f>
        <v/>
      </c>
      <c r="U404" s="14">
        <f>IF($C404="","",$C404&amp;"|"&amp;$T404)</f>
        <v/>
      </c>
      <c r="V404" s="14">
        <f>IF($C404="","",$C404&amp;"|"&amp;$T404&amp;"|"&amp;$G404)</f>
        <v/>
      </c>
      <c r="W404" s="14">
        <f>IF($A404="","",IF(OR($B404="",$F404="",$G404="",$H404="",$I404=""),"Faltam campos básicos",IF(AND(OR($F404="Ponto de atenção",$F404="Incidente"),OR($K404="",$L404="",$O404="",$P404="")),"Faltam campos de sinalização","OK")))</f>
        <v/>
      </c>
      <c r="X404" s="14">
        <f>IF($A404="","",IF(AND(OR($F404="Ponto de atenção",$F404="Incidente"),$L404&lt;&gt;"Sim"),"Não",IF(AND($S404="",$W404&lt;&gt;"OK"),"Não","Sim")))</f>
        <v/>
      </c>
      <c r="Y404" s="14">
        <f>IF($C404="",0,IF(COUNTIFS($C$5:$C404,$C404,$D$5:$D404,$D404)=1,1,0))</f>
        <v/>
      </c>
      <c r="Z404" s="14">
        <f>IF($A404="","",IF(Config!$B$7-$T404&gt;2,"Arquivada",IF(Config!$B$7-$T404&gt;0,"Histórico","Ativa")))</f>
        <v/>
      </c>
      <c r="AA404" s="14">
        <f>IF($A404="",0,IF(AND(OR($F404="Ponto de atenção",$F404="Incidente"),$L404="Sim"),1,0))</f>
        <v/>
      </c>
      <c r="AB404" s="14">
        <f>IF(OR($C404="",$C404&lt;&gt;'1a1'!$B$4,$T404&lt;&gt;Config!$B$7),"",COUNTIFS($C$5:$C404,'1a1'!$B$4,$T$5:$T404,Config!$B$7))</f>
        <v/>
      </c>
    </row>
    <row r="405">
      <c r="A405" s="18" t="n"/>
      <c r="B405" s="19" t="n"/>
      <c r="C405" s="14">
        <f>IFERROR(INDEX(Pessoas!$A$5:$A$64,MATCH($B405,Pessoas!$B$5:$B$64,0)),"")</f>
        <v/>
      </c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8" t="n"/>
      <c r="N405" s="19" t="n"/>
      <c r="O405" s="19" t="n"/>
      <c r="P405" s="19" t="n"/>
      <c r="Q405" s="20">
        <f>IF(OR($M405="",$P405=""),"",$M405+IF($P405="7 dias",7,IF($P405="14 dias",14,90)))</f>
        <v/>
      </c>
      <c r="R405" s="19" t="n"/>
      <c r="S405" s="19" t="n"/>
      <c r="T405" s="14">
        <f>IF($A405="","",YEAR($A405)*4+ROUNDUP(MONTH($A405)/3,0))</f>
        <v/>
      </c>
      <c r="U405" s="14">
        <f>IF($C405="","",$C405&amp;"|"&amp;$T405)</f>
        <v/>
      </c>
      <c r="V405" s="14">
        <f>IF($C405="","",$C405&amp;"|"&amp;$T405&amp;"|"&amp;$G405)</f>
        <v/>
      </c>
      <c r="W405" s="14">
        <f>IF($A405="","",IF(OR($B405="",$F405="",$G405="",$H405="",$I405=""),"Faltam campos básicos",IF(AND(OR($F405="Ponto de atenção",$F405="Incidente"),OR($K405="",$L405="",$O405="",$P405="")),"Faltam campos de sinalização","OK")))</f>
        <v/>
      </c>
      <c r="X405" s="14">
        <f>IF($A405="","",IF(AND(OR($F405="Ponto de atenção",$F405="Incidente"),$L405&lt;&gt;"Sim"),"Não",IF(AND($S405="",$W405&lt;&gt;"OK"),"Não","Sim")))</f>
        <v/>
      </c>
      <c r="Y405" s="14">
        <f>IF($C405="",0,IF(COUNTIFS($C$5:$C405,$C405,$D$5:$D405,$D405)=1,1,0))</f>
        <v/>
      </c>
      <c r="Z405" s="14">
        <f>IF($A405="","",IF(Config!$B$7-$T405&gt;2,"Arquivada",IF(Config!$B$7-$T405&gt;0,"Histórico","Ativa")))</f>
        <v/>
      </c>
      <c r="AA405" s="14">
        <f>IF($A405="",0,IF(AND(OR($F405="Ponto de atenção",$F405="Incidente"),$L405="Sim"),1,0))</f>
        <v/>
      </c>
      <c r="AB405" s="14">
        <f>IF(OR($C405="",$C405&lt;&gt;'1a1'!$B$4,$T405&lt;&gt;Config!$B$7),"",COUNTIFS($C$5:$C405,'1a1'!$B$4,$T$5:$T405,Config!$B$7))</f>
        <v/>
      </c>
    </row>
    <row r="406">
      <c r="A406" s="18" t="n"/>
      <c r="B406" s="19" t="n"/>
      <c r="C406" s="14">
        <f>IFERROR(INDEX(Pessoas!$A$5:$A$64,MATCH($B406,Pessoas!$B$5:$B$64,0)),"")</f>
        <v/>
      </c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8" t="n"/>
      <c r="N406" s="19" t="n"/>
      <c r="O406" s="19" t="n"/>
      <c r="P406" s="19" t="n"/>
      <c r="Q406" s="20">
        <f>IF(OR($M406="",$P406=""),"",$M406+IF($P406="7 dias",7,IF($P406="14 dias",14,90)))</f>
        <v/>
      </c>
      <c r="R406" s="19" t="n"/>
      <c r="S406" s="19" t="n"/>
      <c r="T406" s="14">
        <f>IF($A406="","",YEAR($A406)*4+ROUNDUP(MONTH($A406)/3,0))</f>
        <v/>
      </c>
      <c r="U406" s="14">
        <f>IF($C406="","",$C406&amp;"|"&amp;$T406)</f>
        <v/>
      </c>
      <c r="V406" s="14">
        <f>IF($C406="","",$C406&amp;"|"&amp;$T406&amp;"|"&amp;$G406)</f>
        <v/>
      </c>
      <c r="W406" s="14">
        <f>IF($A406="","",IF(OR($B406="",$F406="",$G406="",$H406="",$I406=""),"Faltam campos básicos",IF(AND(OR($F406="Ponto de atenção",$F406="Incidente"),OR($K406="",$L406="",$O406="",$P406="")),"Faltam campos de sinalização","OK")))</f>
        <v/>
      </c>
      <c r="X406" s="14">
        <f>IF($A406="","",IF(AND(OR($F406="Ponto de atenção",$F406="Incidente"),$L406&lt;&gt;"Sim"),"Não",IF(AND($S406="",$W406&lt;&gt;"OK"),"Não","Sim")))</f>
        <v/>
      </c>
      <c r="Y406" s="14">
        <f>IF($C406="",0,IF(COUNTIFS($C$5:$C406,$C406,$D$5:$D406,$D406)=1,1,0))</f>
        <v/>
      </c>
      <c r="Z406" s="14">
        <f>IF($A406="","",IF(Config!$B$7-$T406&gt;2,"Arquivada",IF(Config!$B$7-$T406&gt;0,"Histórico","Ativa")))</f>
        <v/>
      </c>
      <c r="AA406" s="14">
        <f>IF($A406="",0,IF(AND(OR($F406="Ponto de atenção",$F406="Incidente"),$L406="Sim"),1,0))</f>
        <v/>
      </c>
      <c r="AB406" s="14">
        <f>IF(OR($C406="",$C406&lt;&gt;'1a1'!$B$4,$T406&lt;&gt;Config!$B$7),"",COUNTIFS($C$5:$C406,'1a1'!$B$4,$T$5:$T406,Config!$B$7))</f>
        <v/>
      </c>
    </row>
    <row r="407">
      <c r="A407" s="18" t="n"/>
      <c r="B407" s="19" t="n"/>
      <c r="C407" s="14">
        <f>IFERROR(INDEX(Pessoas!$A$5:$A$64,MATCH($B407,Pessoas!$B$5:$B$64,0)),"")</f>
        <v/>
      </c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8" t="n"/>
      <c r="N407" s="19" t="n"/>
      <c r="O407" s="19" t="n"/>
      <c r="P407" s="19" t="n"/>
      <c r="Q407" s="20">
        <f>IF(OR($M407="",$P407=""),"",$M407+IF($P407="7 dias",7,IF($P407="14 dias",14,90)))</f>
        <v/>
      </c>
      <c r="R407" s="19" t="n"/>
      <c r="S407" s="19" t="n"/>
      <c r="T407" s="14">
        <f>IF($A407="","",YEAR($A407)*4+ROUNDUP(MONTH($A407)/3,0))</f>
        <v/>
      </c>
      <c r="U407" s="14">
        <f>IF($C407="","",$C407&amp;"|"&amp;$T407)</f>
        <v/>
      </c>
      <c r="V407" s="14">
        <f>IF($C407="","",$C407&amp;"|"&amp;$T407&amp;"|"&amp;$G407)</f>
        <v/>
      </c>
      <c r="W407" s="14">
        <f>IF($A407="","",IF(OR($B407="",$F407="",$G407="",$H407="",$I407=""),"Faltam campos básicos",IF(AND(OR($F407="Ponto de atenção",$F407="Incidente"),OR($K407="",$L407="",$O407="",$P407="")),"Faltam campos de sinalização","OK")))</f>
        <v/>
      </c>
      <c r="X407" s="14">
        <f>IF($A407="","",IF(AND(OR($F407="Ponto de atenção",$F407="Incidente"),$L407&lt;&gt;"Sim"),"Não",IF(AND($S407="",$W407&lt;&gt;"OK"),"Não","Sim")))</f>
        <v/>
      </c>
      <c r="Y407" s="14">
        <f>IF($C407="",0,IF(COUNTIFS($C$5:$C407,$C407,$D$5:$D407,$D407)=1,1,0))</f>
        <v/>
      </c>
      <c r="Z407" s="14">
        <f>IF($A407="","",IF(Config!$B$7-$T407&gt;2,"Arquivada",IF(Config!$B$7-$T407&gt;0,"Histórico","Ativa")))</f>
        <v/>
      </c>
      <c r="AA407" s="14">
        <f>IF($A407="",0,IF(AND(OR($F407="Ponto de atenção",$F407="Incidente"),$L407="Sim"),1,0))</f>
        <v/>
      </c>
      <c r="AB407" s="14">
        <f>IF(OR($C407="",$C407&lt;&gt;'1a1'!$B$4,$T407&lt;&gt;Config!$B$7),"",COUNTIFS($C$5:$C407,'1a1'!$B$4,$T$5:$T407,Config!$B$7))</f>
        <v/>
      </c>
    </row>
    <row r="408">
      <c r="A408" s="18" t="n"/>
      <c r="B408" s="19" t="n"/>
      <c r="C408" s="14">
        <f>IFERROR(INDEX(Pessoas!$A$5:$A$64,MATCH($B408,Pessoas!$B$5:$B$64,0)),"")</f>
        <v/>
      </c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8" t="n"/>
      <c r="N408" s="19" t="n"/>
      <c r="O408" s="19" t="n"/>
      <c r="P408" s="19" t="n"/>
      <c r="Q408" s="20">
        <f>IF(OR($M408="",$P408=""),"",$M408+IF($P408="7 dias",7,IF($P408="14 dias",14,90)))</f>
        <v/>
      </c>
      <c r="R408" s="19" t="n"/>
      <c r="S408" s="19" t="n"/>
      <c r="T408" s="14">
        <f>IF($A408="","",YEAR($A408)*4+ROUNDUP(MONTH($A408)/3,0))</f>
        <v/>
      </c>
      <c r="U408" s="14">
        <f>IF($C408="","",$C408&amp;"|"&amp;$T408)</f>
        <v/>
      </c>
      <c r="V408" s="14">
        <f>IF($C408="","",$C408&amp;"|"&amp;$T408&amp;"|"&amp;$G408)</f>
        <v/>
      </c>
      <c r="W408" s="14">
        <f>IF($A408="","",IF(OR($B408="",$F408="",$G408="",$H408="",$I408=""),"Faltam campos básicos",IF(AND(OR($F408="Ponto de atenção",$F408="Incidente"),OR($K408="",$L408="",$O408="",$P408="")),"Faltam campos de sinalização","OK")))</f>
        <v/>
      </c>
      <c r="X408" s="14">
        <f>IF($A408="","",IF(AND(OR($F408="Ponto de atenção",$F408="Incidente"),$L408&lt;&gt;"Sim"),"Não",IF(AND($S408="",$W408&lt;&gt;"OK"),"Não","Sim")))</f>
        <v/>
      </c>
      <c r="Y408" s="14">
        <f>IF($C408="",0,IF(COUNTIFS($C$5:$C408,$C408,$D$5:$D408,$D408)=1,1,0))</f>
        <v/>
      </c>
      <c r="Z408" s="14">
        <f>IF($A408="","",IF(Config!$B$7-$T408&gt;2,"Arquivada",IF(Config!$B$7-$T408&gt;0,"Histórico","Ativa")))</f>
        <v/>
      </c>
      <c r="AA408" s="14">
        <f>IF($A408="",0,IF(AND(OR($F408="Ponto de atenção",$F408="Incidente"),$L408="Sim"),1,0))</f>
        <v/>
      </c>
      <c r="AB408" s="14">
        <f>IF(OR($C408="",$C408&lt;&gt;'1a1'!$B$4,$T408&lt;&gt;Config!$B$7),"",COUNTIFS($C$5:$C408,'1a1'!$B$4,$T$5:$T408,Config!$B$7))</f>
        <v/>
      </c>
    </row>
    <row r="409">
      <c r="A409" s="18" t="n"/>
      <c r="B409" s="19" t="n"/>
      <c r="C409" s="14">
        <f>IFERROR(INDEX(Pessoas!$A$5:$A$64,MATCH($B409,Pessoas!$B$5:$B$64,0)),"")</f>
        <v/>
      </c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8" t="n"/>
      <c r="N409" s="19" t="n"/>
      <c r="O409" s="19" t="n"/>
      <c r="P409" s="19" t="n"/>
      <c r="Q409" s="20">
        <f>IF(OR($M409="",$P409=""),"",$M409+IF($P409="7 dias",7,IF($P409="14 dias",14,90)))</f>
        <v/>
      </c>
      <c r="R409" s="19" t="n"/>
      <c r="S409" s="19" t="n"/>
      <c r="T409" s="14">
        <f>IF($A409="","",YEAR($A409)*4+ROUNDUP(MONTH($A409)/3,0))</f>
        <v/>
      </c>
      <c r="U409" s="14">
        <f>IF($C409="","",$C409&amp;"|"&amp;$T409)</f>
        <v/>
      </c>
      <c r="V409" s="14">
        <f>IF($C409="","",$C409&amp;"|"&amp;$T409&amp;"|"&amp;$G409)</f>
        <v/>
      </c>
      <c r="W409" s="14">
        <f>IF($A409="","",IF(OR($B409="",$F409="",$G409="",$H409="",$I409=""),"Faltam campos básicos",IF(AND(OR($F409="Ponto de atenção",$F409="Incidente"),OR($K409="",$L409="",$O409="",$P409="")),"Faltam campos de sinalização","OK")))</f>
        <v/>
      </c>
      <c r="X409" s="14">
        <f>IF($A409="","",IF(AND(OR($F409="Ponto de atenção",$F409="Incidente"),$L409&lt;&gt;"Sim"),"Não",IF(AND($S409="",$W409&lt;&gt;"OK"),"Não","Sim")))</f>
        <v/>
      </c>
      <c r="Y409" s="14">
        <f>IF($C409="",0,IF(COUNTIFS($C$5:$C409,$C409,$D$5:$D409,$D409)=1,1,0))</f>
        <v/>
      </c>
      <c r="Z409" s="14">
        <f>IF($A409="","",IF(Config!$B$7-$T409&gt;2,"Arquivada",IF(Config!$B$7-$T409&gt;0,"Histórico","Ativa")))</f>
        <v/>
      </c>
      <c r="AA409" s="14">
        <f>IF($A409="",0,IF(AND(OR($F409="Ponto de atenção",$F409="Incidente"),$L409="Sim"),1,0))</f>
        <v/>
      </c>
      <c r="AB409" s="14">
        <f>IF(OR($C409="",$C409&lt;&gt;'1a1'!$B$4,$T409&lt;&gt;Config!$B$7),"",COUNTIFS($C$5:$C409,'1a1'!$B$4,$T$5:$T409,Config!$B$7))</f>
        <v/>
      </c>
    </row>
    <row r="410">
      <c r="A410" s="18" t="n"/>
      <c r="B410" s="19" t="n"/>
      <c r="C410" s="14">
        <f>IFERROR(INDEX(Pessoas!$A$5:$A$64,MATCH($B410,Pessoas!$B$5:$B$64,0)),"")</f>
        <v/>
      </c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8" t="n"/>
      <c r="N410" s="19" t="n"/>
      <c r="O410" s="19" t="n"/>
      <c r="P410" s="19" t="n"/>
      <c r="Q410" s="20">
        <f>IF(OR($M410="",$P410=""),"",$M410+IF($P410="7 dias",7,IF($P410="14 dias",14,90)))</f>
        <v/>
      </c>
      <c r="R410" s="19" t="n"/>
      <c r="S410" s="19" t="n"/>
      <c r="T410" s="14">
        <f>IF($A410="","",YEAR($A410)*4+ROUNDUP(MONTH($A410)/3,0))</f>
        <v/>
      </c>
      <c r="U410" s="14">
        <f>IF($C410="","",$C410&amp;"|"&amp;$T410)</f>
        <v/>
      </c>
      <c r="V410" s="14">
        <f>IF($C410="","",$C410&amp;"|"&amp;$T410&amp;"|"&amp;$G410)</f>
        <v/>
      </c>
      <c r="W410" s="14">
        <f>IF($A410="","",IF(OR($B410="",$F410="",$G410="",$H410="",$I410=""),"Faltam campos básicos",IF(AND(OR($F410="Ponto de atenção",$F410="Incidente"),OR($K410="",$L410="",$O410="",$P410="")),"Faltam campos de sinalização","OK")))</f>
        <v/>
      </c>
      <c r="X410" s="14">
        <f>IF($A410="","",IF(AND(OR($F410="Ponto de atenção",$F410="Incidente"),$L410&lt;&gt;"Sim"),"Não",IF(AND($S410="",$W410&lt;&gt;"OK"),"Não","Sim")))</f>
        <v/>
      </c>
      <c r="Y410" s="14">
        <f>IF($C410="",0,IF(COUNTIFS($C$5:$C410,$C410,$D$5:$D410,$D410)=1,1,0))</f>
        <v/>
      </c>
      <c r="Z410" s="14">
        <f>IF($A410="","",IF(Config!$B$7-$T410&gt;2,"Arquivada",IF(Config!$B$7-$T410&gt;0,"Histórico","Ativa")))</f>
        <v/>
      </c>
      <c r="AA410" s="14">
        <f>IF($A410="",0,IF(AND(OR($F410="Ponto de atenção",$F410="Incidente"),$L410="Sim"),1,0))</f>
        <v/>
      </c>
      <c r="AB410" s="14">
        <f>IF(OR($C410="",$C410&lt;&gt;'1a1'!$B$4,$T410&lt;&gt;Config!$B$7),"",COUNTIFS($C$5:$C410,'1a1'!$B$4,$T$5:$T410,Config!$B$7))</f>
        <v/>
      </c>
    </row>
    <row r="411">
      <c r="A411" s="18" t="n"/>
      <c r="B411" s="19" t="n"/>
      <c r="C411" s="14">
        <f>IFERROR(INDEX(Pessoas!$A$5:$A$64,MATCH($B411,Pessoas!$B$5:$B$64,0)),"")</f>
        <v/>
      </c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8" t="n"/>
      <c r="N411" s="19" t="n"/>
      <c r="O411" s="19" t="n"/>
      <c r="P411" s="19" t="n"/>
      <c r="Q411" s="20">
        <f>IF(OR($M411="",$P411=""),"",$M411+IF($P411="7 dias",7,IF($P411="14 dias",14,90)))</f>
        <v/>
      </c>
      <c r="R411" s="19" t="n"/>
      <c r="S411" s="19" t="n"/>
      <c r="T411" s="14">
        <f>IF($A411="","",YEAR($A411)*4+ROUNDUP(MONTH($A411)/3,0))</f>
        <v/>
      </c>
      <c r="U411" s="14">
        <f>IF($C411="","",$C411&amp;"|"&amp;$T411)</f>
        <v/>
      </c>
      <c r="V411" s="14">
        <f>IF($C411="","",$C411&amp;"|"&amp;$T411&amp;"|"&amp;$G411)</f>
        <v/>
      </c>
      <c r="W411" s="14">
        <f>IF($A411="","",IF(OR($B411="",$F411="",$G411="",$H411="",$I411=""),"Faltam campos básicos",IF(AND(OR($F411="Ponto de atenção",$F411="Incidente"),OR($K411="",$L411="",$O411="",$P411="")),"Faltam campos de sinalização","OK")))</f>
        <v/>
      </c>
      <c r="X411" s="14">
        <f>IF($A411="","",IF(AND(OR($F411="Ponto de atenção",$F411="Incidente"),$L411&lt;&gt;"Sim"),"Não",IF(AND($S411="",$W411&lt;&gt;"OK"),"Não","Sim")))</f>
        <v/>
      </c>
      <c r="Y411" s="14">
        <f>IF($C411="",0,IF(COUNTIFS($C$5:$C411,$C411,$D$5:$D411,$D411)=1,1,0))</f>
        <v/>
      </c>
      <c r="Z411" s="14">
        <f>IF($A411="","",IF(Config!$B$7-$T411&gt;2,"Arquivada",IF(Config!$B$7-$T411&gt;0,"Histórico","Ativa")))</f>
        <v/>
      </c>
      <c r="AA411" s="14">
        <f>IF($A411="",0,IF(AND(OR($F411="Ponto de atenção",$F411="Incidente"),$L411="Sim"),1,0))</f>
        <v/>
      </c>
      <c r="AB411" s="14">
        <f>IF(OR($C411="",$C411&lt;&gt;'1a1'!$B$4,$T411&lt;&gt;Config!$B$7),"",COUNTIFS($C$5:$C411,'1a1'!$B$4,$T$5:$T411,Config!$B$7))</f>
        <v/>
      </c>
    </row>
    <row r="412">
      <c r="A412" s="18" t="n"/>
      <c r="B412" s="19" t="n"/>
      <c r="C412" s="14">
        <f>IFERROR(INDEX(Pessoas!$A$5:$A$64,MATCH($B412,Pessoas!$B$5:$B$64,0)),"")</f>
        <v/>
      </c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8" t="n"/>
      <c r="N412" s="19" t="n"/>
      <c r="O412" s="19" t="n"/>
      <c r="P412" s="19" t="n"/>
      <c r="Q412" s="20">
        <f>IF(OR($M412="",$P412=""),"",$M412+IF($P412="7 dias",7,IF($P412="14 dias",14,90)))</f>
        <v/>
      </c>
      <c r="R412" s="19" t="n"/>
      <c r="S412" s="19" t="n"/>
      <c r="T412" s="14">
        <f>IF($A412="","",YEAR($A412)*4+ROUNDUP(MONTH($A412)/3,0))</f>
        <v/>
      </c>
      <c r="U412" s="14">
        <f>IF($C412="","",$C412&amp;"|"&amp;$T412)</f>
        <v/>
      </c>
      <c r="V412" s="14">
        <f>IF($C412="","",$C412&amp;"|"&amp;$T412&amp;"|"&amp;$G412)</f>
        <v/>
      </c>
      <c r="W412" s="14">
        <f>IF($A412="","",IF(OR($B412="",$F412="",$G412="",$H412="",$I412=""),"Faltam campos básicos",IF(AND(OR($F412="Ponto de atenção",$F412="Incidente"),OR($K412="",$L412="",$O412="",$P412="")),"Faltam campos de sinalização","OK")))</f>
        <v/>
      </c>
      <c r="X412" s="14">
        <f>IF($A412="","",IF(AND(OR($F412="Ponto de atenção",$F412="Incidente"),$L412&lt;&gt;"Sim"),"Não",IF(AND($S412="",$W412&lt;&gt;"OK"),"Não","Sim")))</f>
        <v/>
      </c>
      <c r="Y412" s="14">
        <f>IF($C412="",0,IF(COUNTIFS($C$5:$C412,$C412,$D$5:$D412,$D412)=1,1,0))</f>
        <v/>
      </c>
      <c r="Z412" s="14">
        <f>IF($A412="","",IF(Config!$B$7-$T412&gt;2,"Arquivada",IF(Config!$B$7-$T412&gt;0,"Histórico","Ativa")))</f>
        <v/>
      </c>
      <c r="AA412" s="14">
        <f>IF($A412="",0,IF(AND(OR($F412="Ponto de atenção",$F412="Incidente"),$L412="Sim"),1,0))</f>
        <v/>
      </c>
      <c r="AB412" s="14">
        <f>IF(OR($C412="",$C412&lt;&gt;'1a1'!$B$4,$T412&lt;&gt;Config!$B$7),"",COUNTIFS($C$5:$C412,'1a1'!$B$4,$T$5:$T412,Config!$B$7))</f>
        <v/>
      </c>
    </row>
    <row r="413">
      <c r="A413" s="18" t="n"/>
      <c r="B413" s="19" t="n"/>
      <c r="C413" s="14">
        <f>IFERROR(INDEX(Pessoas!$A$5:$A$64,MATCH($B413,Pessoas!$B$5:$B$64,0)),"")</f>
        <v/>
      </c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8" t="n"/>
      <c r="N413" s="19" t="n"/>
      <c r="O413" s="19" t="n"/>
      <c r="P413" s="19" t="n"/>
      <c r="Q413" s="20">
        <f>IF(OR($M413="",$P413=""),"",$M413+IF($P413="7 dias",7,IF($P413="14 dias",14,90)))</f>
        <v/>
      </c>
      <c r="R413" s="19" t="n"/>
      <c r="S413" s="19" t="n"/>
      <c r="T413" s="14">
        <f>IF($A413="","",YEAR($A413)*4+ROUNDUP(MONTH($A413)/3,0))</f>
        <v/>
      </c>
      <c r="U413" s="14">
        <f>IF($C413="","",$C413&amp;"|"&amp;$T413)</f>
        <v/>
      </c>
      <c r="V413" s="14">
        <f>IF($C413="","",$C413&amp;"|"&amp;$T413&amp;"|"&amp;$G413)</f>
        <v/>
      </c>
      <c r="W413" s="14">
        <f>IF($A413="","",IF(OR($B413="",$F413="",$G413="",$H413="",$I413=""),"Faltam campos básicos",IF(AND(OR($F413="Ponto de atenção",$F413="Incidente"),OR($K413="",$L413="",$O413="",$P413="")),"Faltam campos de sinalização","OK")))</f>
        <v/>
      </c>
      <c r="X413" s="14">
        <f>IF($A413="","",IF(AND(OR($F413="Ponto de atenção",$F413="Incidente"),$L413&lt;&gt;"Sim"),"Não",IF(AND($S413="",$W413&lt;&gt;"OK"),"Não","Sim")))</f>
        <v/>
      </c>
      <c r="Y413" s="14">
        <f>IF($C413="",0,IF(COUNTIFS($C$5:$C413,$C413,$D$5:$D413,$D413)=1,1,0))</f>
        <v/>
      </c>
      <c r="Z413" s="14">
        <f>IF($A413="","",IF(Config!$B$7-$T413&gt;2,"Arquivada",IF(Config!$B$7-$T413&gt;0,"Histórico","Ativa")))</f>
        <v/>
      </c>
      <c r="AA413" s="14">
        <f>IF($A413="",0,IF(AND(OR($F413="Ponto de atenção",$F413="Incidente"),$L413="Sim"),1,0))</f>
        <v/>
      </c>
      <c r="AB413" s="14">
        <f>IF(OR($C413="",$C413&lt;&gt;'1a1'!$B$4,$T413&lt;&gt;Config!$B$7),"",COUNTIFS($C$5:$C413,'1a1'!$B$4,$T$5:$T413,Config!$B$7))</f>
        <v/>
      </c>
    </row>
    <row r="414">
      <c r="A414" s="18" t="n"/>
      <c r="B414" s="19" t="n"/>
      <c r="C414" s="14">
        <f>IFERROR(INDEX(Pessoas!$A$5:$A$64,MATCH($B414,Pessoas!$B$5:$B$64,0)),"")</f>
        <v/>
      </c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8" t="n"/>
      <c r="N414" s="19" t="n"/>
      <c r="O414" s="19" t="n"/>
      <c r="P414" s="19" t="n"/>
      <c r="Q414" s="20">
        <f>IF(OR($M414="",$P414=""),"",$M414+IF($P414="7 dias",7,IF($P414="14 dias",14,90)))</f>
        <v/>
      </c>
      <c r="R414" s="19" t="n"/>
      <c r="S414" s="19" t="n"/>
      <c r="T414" s="14">
        <f>IF($A414="","",YEAR($A414)*4+ROUNDUP(MONTH($A414)/3,0))</f>
        <v/>
      </c>
      <c r="U414" s="14">
        <f>IF($C414="","",$C414&amp;"|"&amp;$T414)</f>
        <v/>
      </c>
      <c r="V414" s="14">
        <f>IF($C414="","",$C414&amp;"|"&amp;$T414&amp;"|"&amp;$G414)</f>
        <v/>
      </c>
      <c r="W414" s="14">
        <f>IF($A414="","",IF(OR($B414="",$F414="",$G414="",$H414="",$I414=""),"Faltam campos básicos",IF(AND(OR($F414="Ponto de atenção",$F414="Incidente"),OR($K414="",$L414="",$O414="",$P414="")),"Faltam campos de sinalização","OK")))</f>
        <v/>
      </c>
      <c r="X414" s="14">
        <f>IF($A414="","",IF(AND(OR($F414="Ponto de atenção",$F414="Incidente"),$L414&lt;&gt;"Sim"),"Não",IF(AND($S414="",$W414&lt;&gt;"OK"),"Não","Sim")))</f>
        <v/>
      </c>
      <c r="Y414" s="14">
        <f>IF($C414="",0,IF(COUNTIFS($C$5:$C414,$C414,$D$5:$D414,$D414)=1,1,0))</f>
        <v/>
      </c>
      <c r="Z414" s="14">
        <f>IF($A414="","",IF(Config!$B$7-$T414&gt;2,"Arquivada",IF(Config!$B$7-$T414&gt;0,"Histórico","Ativa")))</f>
        <v/>
      </c>
      <c r="AA414" s="14">
        <f>IF($A414="",0,IF(AND(OR($F414="Ponto de atenção",$F414="Incidente"),$L414="Sim"),1,0))</f>
        <v/>
      </c>
      <c r="AB414" s="14">
        <f>IF(OR($C414="",$C414&lt;&gt;'1a1'!$B$4,$T414&lt;&gt;Config!$B$7),"",COUNTIFS($C$5:$C414,'1a1'!$B$4,$T$5:$T414,Config!$B$7))</f>
        <v/>
      </c>
    </row>
    <row r="415">
      <c r="A415" s="18" t="n"/>
      <c r="B415" s="19" t="n"/>
      <c r="C415" s="14">
        <f>IFERROR(INDEX(Pessoas!$A$5:$A$64,MATCH($B415,Pessoas!$B$5:$B$64,0)),"")</f>
        <v/>
      </c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8" t="n"/>
      <c r="N415" s="19" t="n"/>
      <c r="O415" s="19" t="n"/>
      <c r="P415" s="19" t="n"/>
      <c r="Q415" s="20">
        <f>IF(OR($M415="",$P415=""),"",$M415+IF($P415="7 dias",7,IF($P415="14 dias",14,90)))</f>
        <v/>
      </c>
      <c r="R415" s="19" t="n"/>
      <c r="S415" s="19" t="n"/>
      <c r="T415" s="14">
        <f>IF($A415="","",YEAR($A415)*4+ROUNDUP(MONTH($A415)/3,0))</f>
        <v/>
      </c>
      <c r="U415" s="14">
        <f>IF($C415="","",$C415&amp;"|"&amp;$T415)</f>
        <v/>
      </c>
      <c r="V415" s="14">
        <f>IF($C415="","",$C415&amp;"|"&amp;$T415&amp;"|"&amp;$G415)</f>
        <v/>
      </c>
      <c r="W415" s="14">
        <f>IF($A415="","",IF(OR($B415="",$F415="",$G415="",$H415="",$I415=""),"Faltam campos básicos",IF(AND(OR($F415="Ponto de atenção",$F415="Incidente"),OR($K415="",$L415="",$O415="",$P415="")),"Faltam campos de sinalização","OK")))</f>
        <v/>
      </c>
      <c r="X415" s="14">
        <f>IF($A415="","",IF(AND(OR($F415="Ponto de atenção",$F415="Incidente"),$L415&lt;&gt;"Sim"),"Não",IF(AND($S415="",$W415&lt;&gt;"OK"),"Não","Sim")))</f>
        <v/>
      </c>
      <c r="Y415" s="14">
        <f>IF($C415="",0,IF(COUNTIFS($C$5:$C415,$C415,$D$5:$D415,$D415)=1,1,0))</f>
        <v/>
      </c>
      <c r="Z415" s="14">
        <f>IF($A415="","",IF(Config!$B$7-$T415&gt;2,"Arquivada",IF(Config!$B$7-$T415&gt;0,"Histórico","Ativa")))</f>
        <v/>
      </c>
      <c r="AA415" s="14">
        <f>IF($A415="",0,IF(AND(OR($F415="Ponto de atenção",$F415="Incidente"),$L415="Sim"),1,0))</f>
        <v/>
      </c>
      <c r="AB415" s="14">
        <f>IF(OR($C415="",$C415&lt;&gt;'1a1'!$B$4,$T415&lt;&gt;Config!$B$7),"",COUNTIFS($C$5:$C415,'1a1'!$B$4,$T$5:$T415,Config!$B$7))</f>
        <v/>
      </c>
    </row>
    <row r="416">
      <c r="A416" s="18" t="n"/>
      <c r="B416" s="19" t="n"/>
      <c r="C416" s="14">
        <f>IFERROR(INDEX(Pessoas!$A$5:$A$64,MATCH($B416,Pessoas!$B$5:$B$64,0)),"")</f>
        <v/>
      </c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8" t="n"/>
      <c r="N416" s="19" t="n"/>
      <c r="O416" s="19" t="n"/>
      <c r="P416" s="19" t="n"/>
      <c r="Q416" s="20">
        <f>IF(OR($M416="",$P416=""),"",$M416+IF($P416="7 dias",7,IF($P416="14 dias",14,90)))</f>
        <v/>
      </c>
      <c r="R416" s="19" t="n"/>
      <c r="S416" s="19" t="n"/>
      <c r="T416" s="14">
        <f>IF($A416="","",YEAR($A416)*4+ROUNDUP(MONTH($A416)/3,0))</f>
        <v/>
      </c>
      <c r="U416" s="14">
        <f>IF($C416="","",$C416&amp;"|"&amp;$T416)</f>
        <v/>
      </c>
      <c r="V416" s="14">
        <f>IF($C416="","",$C416&amp;"|"&amp;$T416&amp;"|"&amp;$G416)</f>
        <v/>
      </c>
      <c r="W416" s="14">
        <f>IF($A416="","",IF(OR($B416="",$F416="",$G416="",$H416="",$I416=""),"Faltam campos básicos",IF(AND(OR($F416="Ponto de atenção",$F416="Incidente"),OR($K416="",$L416="",$O416="",$P416="")),"Faltam campos de sinalização","OK")))</f>
        <v/>
      </c>
      <c r="X416" s="14">
        <f>IF($A416="","",IF(AND(OR($F416="Ponto de atenção",$F416="Incidente"),$L416&lt;&gt;"Sim"),"Não",IF(AND($S416="",$W416&lt;&gt;"OK"),"Não","Sim")))</f>
        <v/>
      </c>
      <c r="Y416" s="14">
        <f>IF($C416="",0,IF(COUNTIFS($C$5:$C416,$C416,$D$5:$D416,$D416)=1,1,0))</f>
        <v/>
      </c>
      <c r="Z416" s="14">
        <f>IF($A416="","",IF(Config!$B$7-$T416&gt;2,"Arquivada",IF(Config!$B$7-$T416&gt;0,"Histórico","Ativa")))</f>
        <v/>
      </c>
      <c r="AA416" s="14">
        <f>IF($A416="",0,IF(AND(OR($F416="Ponto de atenção",$F416="Incidente"),$L416="Sim"),1,0))</f>
        <v/>
      </c>
      <c r="AB416" s="14">
        <f>IF(OR($C416="",$C416&lt;&gt;'1a1'!$B$4,$T416&lt;&gt;Config!$B$7),"",COUNTIFS($C$5:$C416,'1a1'!$B$4,$T$5:$T416,Config!$B$7))</f>
        <v/>
      </c>
    </row>
    <row r="417">
      <c r="A417" s="18" t="n"/>
      <c r="B417" s="19" t="n"/>
      <c r="C417" s="14">
        <f>IFERROR(INDEX(Pessoas!$A$5:$A$64,MATCH($B417,Pessoas!$B$5:$B$64,0)),"")</f>
        <v/>
      </c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8" t="n"/>
      <c r="N417" s="19" t="n"/>
      <c r="O417" s="19" t="n"/>
      <c r="P417" s="19" t="n"/>
      <c r="Q417" s="20">
        <f>IF(OR($M417="",$P417=""),"",$M417+IF($P417="7 dias",7,IF($P417="14 dias",14,90)))</f>
        <v/>
      </c>
      <c r="R417" s="19" t="n"/>
      <c r="S417" s="19" t="n"/>
      <c r="T417" s="14">
        <f>IF($A417="","",YEAR($A417)*4+ROUNDUP(MONTH($A417)/3,0))</f>
        <v/>
      </c>
      <c r="U417" s="14">
        <f>IF($C417="","",$C417&amp;"|"&amp;$T417)</f>
        <v/>
      </c>
      <c r="V417" s="14">
        <f>IF($C417="","",$C417&amp;"|"&amp;$T417&amp;"|"&amp;$G417)</f>
        <v/>
      </c>
      <c r="W417" s="14">
        <f>IF($A417="","",IF(OR($B417="",$F417="",$G417="",$H417="",$I417=""),"Faltam campos básicos",IF(AND(OR($F417="Ponto de atenção",$F417="Incidente"),OR($K417="",$L417="",$O417="",$P417="")),"Faltam campos de sinalização","OK")))</f>
        <v/>
      </c>
      <c r="X417" s="14">
        <f>IF($A417="","",IF(AND(OR($F417="Ponto de atenção",$F417="Incidente"),$L417&lt;&gt;"Sim"),"Não",IF(AND($S417="",$W417&lt;&gt;"OK"),"Não","Sim")))</f>
        <v/>
      </c>
      <c r="Y417" s="14">
        <f>IF($C417="",0,IF(COUNTIFS($C$5:$C417,$C417,$D$5:$D417,$D417)=1,1,0))</f>
        <v/>
      </c>
      <c r="Z417" s="14">
        <f>IF($A417="","",IF(Config!$B$7-$T417&gt;2,"Arquivada",IF(Config!$B$7-$T417&gt;0,"Histórico","Ativa")))</f>
        <v/>
      </c>
      <c r="AA417" s="14">
        <f>IF($A417="",0,IF(AND(OR($F417="Ponto de atenção",$F417="Incidente"),$L417="Sim"),1,0))</f>
        <v/>
      </c>
      <c r="AB417" s="14">
        <f>IF(OR($C417="",$C417&lt;&gt;'1a1'!$B$4,$T417&lt;&gt;Config!$B$7),"",COUNTIFS($C$5:$C417,'1a1'!$B$4,$T$5:$T417,Config!$B$7))</f>
        <v/>
      </c>
    </row>
    <row r="418">
      <c r="A418" s="18" t="n"/>
      <c r="B418" s="19" t="n"/>
      <c r="C418" s="14">
        <f>IFERROR(INDEX(Pessoas!$A$5:$A$64,MATCH($B418,Pessoas!$B$5:$B$64,0)),"")</f>
        <v/>
      </c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8" t="n"/>
      <c r="N418" s="19" t="n"/>
      <c r="O418" s="19" t="n"/>
      <c r="P418" s="19" t="n"/>
      <c r="Q418" s="20">
        <f>IF(OR($M418="",$P418=""),"",$M418+IF($P418="7 dias",7,IF($P418="14 dias",14,90)))</f>
        <v/>
      </c>
      <c r="R418" s="19" t="n"/>
      <c r="S418" s="19" t="n"/>
      <c r="T418" s="14">
        <f>IF($A418="","",YEAR($A418)*4+ROUNDUP(MONTH($A418)/3,0))</f>
        <v/>
      </c>
      <c r="U418" s="14">
        <f>IF($C418="","",$C418&amp;"|"&amp;$T418)</f>
        <v/>
      </c>
      <c r="V418" s="14">
        <f>IF($C418="","",$C418&amp;"|"&amp;$T418&amp;"|"&amp;$G418)</f>
        <v/>
      </c>
      <c r="W418" s="14">
        <f>IF($A418="","",IF(OR($B418="",$F418="",$G418="",$H418="",$I418=""),"Faltam campos básicos",IF(AND(OR($F418="Ponto de atenção",$F418="Incidente"),OR($K418="",$L418="",$O418="",$P418="")),"Faltam campos de sinalização","OK")))</f>
        <v/>
      </c>
      <c r="X418" s="14">
        <f>IF($A418="","",IF(AND(OR($F418="Ponto de atenção",$F418="Incidente"),$L418&lt;&gt;"Sim"),"Não",IF(AND($S418="",$W418&lt;&gt;"OK"),"Não","Sim")))</f>
        <v/>
      </c>
      <c r="Y418" s="14">
        <f>IF($C418="",0,IF(COUNTIFS($C$5:$C418,$C418,$D$5:$D418,$D418)=1,1,0))</f>
        <v/>
      </c>
      <c r="Z418" s="14">
        <f>IF($A418="","",IF(Config!$B$7-$T418&gt;2,"Arquivada",IF(Config!$B$7-$T418&gt;0,"Histórico","Ativa")))</f>
        <v/>
      </c>
      <c r="AA418" s="14">
        <f>IF($A418="",0,IF(AND(OR($F418="Ponto de atenção",$F418="Incidente"),$L418="Sim"),1,0))</f>
        <v/>
      </c>
      <c r="AB418" s="14">
        <f>IF(OR($C418="",$C418&lt;&gt;'1a1'!$B$4,$T418&lt;&gt;Config!$B$7),"",COUNTIFS($C$5:$C418,'1a1'!$B$4,$T$5:$T418,Config!$B$7))</f>
        <v/>
      </c>
    </row>
    <row r="419">
      <c r="A419" s="18" t="n"/>
      <c r="B419" s="19" t="n"/>
      <c r="C419" s="14">
        <f>IFERROR(INDEX(Pessoas!$A$5:$A$64,MATCH($B419,Pessoas!$B$5:$B$64,0)),"")</f>
        <v/>
      </c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8" t="n"/>
      <c r="N419" s="19" t="n"/>
      <c r="O419" s="19" t="n"/>
      <c r="P419" s="19" t="n"/>
      <c r="Q419" s="20">
        <f>IF(OR($M419="",$P419=""),"",$M419+IF($P419="7 dias",7,IF($P419="14 dias",14,90)))</f>
        <v/>
      </c>
      <c r="R419" s="19" t="n"/>
      <c r="S419" s="19" t="n"/>
      <c r="T419" s="14">
        <f>IF($A419="","",YEAR($A419)*4+ROUNDUP(MONTH($A419)/3,0))</f>
        <v/>
      </c>
      <c r="U419" s="14">
        <f>IF($C419="","",$C419&amp;"|"&amp;$T419)</f>
        <v/>
      </c>
      <c r="V419" s="14">
        <f>IF($C419="","",$C419&amp;"|"&amp;$T419&amp;"|"&amp;$G419)</f>
        <v/>
      </c>
      <c r="W419" s="14">
        <f>IF($A419="","",IF(OR($B419="",$F419="",$G419="",$H419="",$I419=""),"Faltam campos básicos",IF(AND(OR($F419="Ponto de atenção",$F419="Incidente"),OR($K419="",$L419="",$O419="",$P419="")),"Faltam campos de sinalização","OK")))</f>
        <v/>
      </c>
      <c r="X419" s="14">
        <f>IF($A419="","",IF(AND(OR($F419="Ponto de atenção",$F419="Incidente"),$L419&lt;&gt;"Sim"),"Não",IF(AND($S419="",$W419&lt;&gt;"OK"),"Não","Sim")))</f>
        <v/>
      </c>
      <c r="Y419" s="14">
        <f>IF($C419="",0,IF(COUNTIFS($C$5:$C419,$C419,$D$5:$D419,$D419)=1,1,0))</f>
        <v/>
      </c>
      <c r="Z419" s="14">
        <f>IF($A419="","",IF(Config!$B$7-$T419&gt;2,"Arquivada",IF(Config!$B$7-$T419&gt;0,"Histórico","Ativa")))</f>
        <v/>
      </c>
      <c r="AA419" s="14">
        <f>IF($A419="",0,IF(AND(OR($F419="Ponto de atenção",$F419="Incidente"),$L419="Sim"),1,0))</f>
        <v/>
      </c>
      <c r="AB419" s="14">
        <f>IF(OR($C419="",$C419&lt;&gt;'1a1'!$B$4,$T419&lt;&gt;Config!$B$7),"",COUNTIFS($C$5:$C419,'1a1'!$B$4,$T$5:$T419,Config!$B$7))</f>
        <v/>
      </c>
    </row>
    <row r="420">
      <c r="A420" s="18" t="n"/>
      <c r="B420" s="19" t="n"/>
      <c r="C420" s="14">
        <f>IFERROR(INDEX(Pessoas!$A$5:$A$64,MATCH($B420,Pessoas!$B$5:$B$64,0)),"")</f>
        <v/>
      </c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8" t="n"/>
      <c r="N420" s="19" t="n"/>
      <c r="O420" s="19" t="n"/>
      <c r="P420" s="19" t="n"/>
      <c r="Q420" s="20">
        <f>IF(OR($M420="",$P420=""),"",$M420+IF($P420="7 dias",7,IF($P420="14 dias",14,90)))</f>
        <v/>
      </c>
      <c r="R420" s="19" t="n"/>
      <c r="S420" s="19" t="n"/>
      <c r="T420" s="14">
        <f>IF($A420="","",YEAR($A420)*4+ROUNDUP(MONTH($A420)/3,0))</f>
        <v/>
      </c>
      <c r="U420" s="14">
        <f>IF($C420="","",$C420&amp;"|"&amp;$T420)</f>
        <v/>
      </c>
      <c r="V420" s="14">
        <f>IF($C420="","",$C420&amp;"|"&amp;$T420&amp;"|"&amp;$G420)</f>
        <v/>
      </c>
      <c r="W420" s="14">
        <f>IF($A420="","",IF(OR($B420="",$F420="",$G420="",$H420="",$I420=""),"Faltam campos básicos",IF(AND(OR($F420="Ponto de atenção",$F420="Incidente"),OR($K420="",$L420="",$O420="",$P420="")),"Faltam campos de sinalização","OK")))</f>
        <v/>
      </c>
      <c r="X420" s="14">
        <f>IF($A420="","",IF(AND(OR($F420="Ponto de atenção",$F420="Incidente"),$L420&lt;&gt;"Sim"),"Não",IF(AND($S420="",$W420&lt;&gt;"OK"),"Não","Sim")))</f>
        <v/>
      </c>
      <c r="Y420" s="14">
        <f>IF($C420="",0,IF(COUNTIFS($C$5:$C420,$C420,$D$5:$D420,$D420)=1,1,0))</f>
        <v/>
      </c>
      <c r="Z420" s="14">
        <f>IF($A420="","",IF(Config!$B$7-$T420&gt;2,"Arquivada",IF(Config!$B$7-$T420&gt;0,"Histórico","Ativa")))</f>
        <v/>
      </c>
      <c r="AA420" s="14">
        <f>IF($A420="",0,IF(AND(OR($F420="Ponto de atenção",$F420="Incidente"),$L420="Sim"),1,0))</f>
        <v/>
      </c>
      <c r="AB420" s="14">
        <f>IF(OR($C420="",$C420&lt;&gt;'1a1'!$B$4,$T420&lt;&gt;Config!$B$7),"",COUNTIFS($C$5:$C420,'1a1'!$B$4,$T$5:$T420,Config!$B$7))</f>
        <v/>
      </c>
    </row>
    <row r="421">
      <c r="A421" s="18" t="n"/>
      <c r="B421" s="19" t="n"/>
      <c r="C421" s="14">
        <f>IFERROR(INDEX(Pessoas!$A$5:$A$64,MATCH($B421,Pessoas!$B$5:$B$64,0)),"")</f>
        <v/>
      </c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8" t="n"/>
      <c r="N421" s="19" t="n"/>
      <c r="O421" s="19" t="n"/>
      <c r="P421" s="19" t="n"/>
      <c r="Q421" s="20">
        <f>IF(OR($M421="",$P421=""),"",$M421+IF($P421="7 dias",7,IF($P421="14 dias",14,90)))</f>
        <v/>
      </c>
      <c r="R421" s="19" t="n"/>
      <c r="S421" s="19" t="n"/>
      <c r="T421" s="14">
        <f>IF($A421="","",YEAR($A421)*4+ROUNDUP(MONTH($A421)/3,0))</f>
        <v/>
      </c>
      <c r="U421" s="14">
        <f>IF($C421="","",$C421&amp;"|"&amp;$T421)</f>
        <v/>
      </c>
      <c r="V421" s="14">
        <f>IF($C421="","",$C421&amp;"|"&amp;$T421&amp;"|"&amp;$G421)</f>
        <v/>
      </c>
      <c r="W421" s="14">
        <f>IF($A421="","",IF(OR($B421="",$F421="",$G421="",$H421="",$I421=""),"Faltam campos básicos",IF(AND(OR($F421="Ponto de atenção",$F421="Incidente"),OR($K421="",$L421="",$O421="",$P421="")),"Faltam campos de sinalização","OK")))</f>
        <v/>
      </c>
      <c r="X421" s="14">
        <f>IF($A421="","",IF(AND(OR($F421="Ponto de atenção",$F421="Incidente"),$L421&lt;&gt;"Sim"),"Não",IF(AND($S421="",$W421&lt;&gt;"OK"),"Não","Sim")))</f>
        <v/>
      </c>
      <c r="Y421" s="14">
        <f>IF($C421="",0,IF(COUNTIFS($C$5:$C421,$C421,$D$5:$D421,$D421)=1,1,0))</f>
        <v/>
      </c>
      <c r="Z421" s="14">
        <f>IF($A421="","",IF(Config!$B$7-$T421&gt;2,"Arquivada",IF(Config!$B$7-$T421&gt;0,"Histórico","Ativa")))</f>
        <v/>
      </c>
      <c r="AA421" s="14">
        <f>IF($A421="",0,IF(AND(OR($F421="Ponto de atenção",$F421="Incidente"),$L421="Sim"),1,0))</f>
        <v/>
      </c>
      <c r="AB421" s="14">
        <f>IF(OR($C421="",$C421&lt;&gt;'1a1'!$B$4,$T421&lt;&gt;Config!$B$7),"",COUNTIFS($C$5:$C421,'1a1'!$B$4,$T$5:$T421,Config!$B$7))</f>
        <v/>
      </c>
    </row>
    <row r="422">
      <c r="A422" s="18" t="n"/>
      <c r="B422" s="19" t="n"/>
      <c r="C422" s="14">
        <f>IFERROR(INDEX(Pessoas!$A$5:$A$64,MATCH($B422,Pessoas!$B$5:$B$64,0)),"")</f>
        <v/>
      </c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8" t="n"/>
      <c r="N422" s="19" t="n"/>
      <c r="O422" s="19" t="n"/>
      <c r="P422" s="19" t="n"/>
      <c r="Q422" s="20">
        <f>IF(OR($M422="",$P422=""),"",$M422+IF($P422="7 dias",7,IF($P422="14 dias",14,90)))</f>
        <v/>
      </c>
      <c r="R422" s="19" t="n"/>
      <c r="S422" s="19" t="n"/>
      <c r="T422" s="14">
        <f>IF($A422="","",YEAR($A422)*4+ROUNDUP(MONTH($A422)/3,0))</f>
        <v/>
      </c>
      <c r="U422" s="14">
        <f>IF($C422="","",$C422&amp;"|"&amp;$T422)</f>
        <v/>
      </c>
      <c r="V422" s="14">
        <f>IF($C422="","",$C422&amp;"|"&amp;$T422&amp;"|"&amp;$G422)</f>
        <v/>
      </c>
      <c r="W422" s="14">
        <f>IF($A422="","",IF(OR($B422="",$F422="",$G422="",$H422="",$I422=""),"Faltam campos básicos",IF(AND(OR($F422="Ponto de atenção",$F422="Incidente"),OR($K422="",$L422="",$O422="",$P422="")),"Faltam campos de sinalização","OK")))</f>
        <v/>
      </c>
      <c r="X422" s="14">
        <f>IF($A422="","",IF(AND(OR($F422="Ponto de atenção",$F422="Incidente"),$L422&lt;&gt;"Sim"),"Não",IF(AND($S422="",$W422&lt;&gt;"OK"),"Não","Sim")))</f>
        <v/>
      </c>
      <c r="Y422" s="14">
        <f>IF($C422="",0,IF(COUNTIFS($C$5:$C422,$C422,$D$5:$D422,$D422)=1,1,0))</f>
        <v/>
      </c>
      <c r="Z422" s="14">
        <f>IF($A422="","",IF(Config!$B$7-$T422&gt;2,"Arquivada",IF(Config!$B$7-$T422&gt;0,"Histórico","Ativa")))</f>
        <v/>
      </c>
      <c r="AA422" s="14">
        <f>IF($A422="",0,IF(AND(OR($F422="Ponto de atenção",$F422="Incidente"),$L422="Sim"),1,0))</f>
        <v/>
      </c>
      <c r="AB422" s="14">
        <f>IF(OR($C422="",$C422&lt;&gt;'1a1'!$B$4,$T422&lt;&gt;Config!$B$7),"",COUNTIFS($C$5:$C422,'1a1'!$B$4,$T$5:$T422,Config!$B$7))</f>
        <v/>
      </c>
    </row>
    <row r="423">
      <c r="A423" s="18" t="n"/>
      <c r="B423" s="19" t="n"/>
      <c r="C423" s="14">
        <f>IFERROR(INDEX(Pessoas!$A$5:$A$64,MATCH($B423,Pessoas!$B$5:$B$64,0)),"")</f>
        <v/>
      </c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8" t="n"/>
      <c r="N423" s="19" t="n"/>
      <c r="O423" s="19" t="n"/>
      <c r="P423" s="19" t="n"/>
      <c r="Q423" s="20">
        <f>IF(OR($M423="",$P423=""),"",$M423+IF($P423="7 dias",7,IF($P423="14 dias",14,90)))</f>
        <v/>
      </c>
      <c r="R423" s="19" t="n"/>
      <c r="S423" s="19" t="n"/>
      <c r="T423" s="14">
        <f>IF($A423="","",YEAR($A423)*4+ROUNDUP(MONTH($A423)/3,0))</f>
        <v/>
      </c>
      <c r="U423" s="14">
        <f>IF($C423="","",$C423&amp;"|"&amp;$T423)</f>
        <v/>
      </c>
      <c r="V423" s="14">
        <f>IF($C423="","",$C423&amp;"|"&amp;$T423&amp;"|"&amp;$G423)</f>
        <v/>
      </c>
      <c r="W423" s="14">
        <f>IF($A423="","",IF(OR($B423="",$F423="",$G423="",$H423="",$I423=""),"Faltam campos básicos",IF(AND(OR($F423="Ponto de atenção",$F423="Incidente"),OR($K423="",$L423="",$O423="",$P423="")),"Faltam campos de sinalização","OK")))</f>
        <v/>
      </c>
      <c r="X423" s="14">
        <f>IF($A423="","",IF(AND(OR($F423="Ponto de atenção",$F423="Incidente"),$L423&lt;&gt;"Sim"),"Não",IF(AND($S423="",$W423&lt;&gt;"OK"),"Não","Sim")))</f>
        <v/>
      </c>
      <c r="Y423" s="14">
        <f>IF($C423="",0,IF(COUNTIFS($C$5:$C423,$C423,$D$5:$D423,$D423)=1,1,0))</f>
        <v/>
      </c>
      <c r="Z423" s="14">
        <f>IF($A423="","",IF(Config!$B$7-$T423&gt;2,"Arquivada",IF(Config!$B$7-$T423&gt;0,"Histórico","Ativa")))</f>
        <v/>
      </c>
      <c r="AA423" s="14">
        <f>IF($A423="",0,IF(AND(OR($F423="Ponto de atenção",$F423="Incidente"),$L423="Sim"),1,0))</f>
        <v/>
      </c>
      <c r="AB423" s="14">
        <f>IF(OR($C423="",$C423&lt;&gt;'1a1'!$B$4,$T423&lt;&gt;Config!$B$7),"",COUNTIFS($C$5:$C423,'1a1'!$B$4,$T$5:$T423,Config!$B$7))</f>
        <v/>
      </c>
    </row>
    <row r="424">
      <c r="A424" s="18" t="n"/>
      <c r="B424" s="19" t="n"/>
      <c r="C424" s="14">
        <f>IFERROR(INDEX(Pessoas!$A$5:$A$64,MATCH($B424,Pessoas!$B$5:$B$64,0)),"")</f>
        <v/>
      </c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8" t="n"/>
      <c r="N424" s="19" t="n"/>
      <c r="O424" s="19" t="n"/>
      <c r="P424" s="19" t="n"/>
      <c r="Q424" s="20">
        <f>IF(OR($M424="",$P424=""),"",$M424+IF($P424="7 dias",7,IF($P424="14 dias",14,90)))</f>
        <v/>
      </c>
      <c r="R424" s="19" t="n"/>
      <c r="S424" s="19" t="n"/>
      <c r="T424" s="14">
        <f>IF($A424="","",YEAR($A424)*4+ROUNDUP(MONTH($A424)/3,0))</f>
        <v/>
      </c>
      <c r="U424" s="14">
        <f>IF($C424="","",$C424&amp;"|"&amp;$T424)</f>
        <v/>
      </c>
      <c r="V424" s="14">
        <f>IF($C424="","",$C424&amp;"|"&amp;$T424&amp;"|"&amp;$G424)</f>
        <v/>
      </c>
      <c r="W424" s="14">
        <f>IF($A424="","",IF(OR($B424="",$F424="",$G424="",$H424="",$I424=""),"Faltam campos básicos",IF(AND(OR($F424="Ponto de atenção",$F424="Incidente"),OR($K424="",$L424="",$O424="",$P424="")),"Faltam campos de sinalização","OK")))</f>
        <v/>
      </c>
      <c r="X424" s="14">
        <f>IF($A424="","",IF(AND(OR($F424="Ponto de atenção",$F424="Incidente"),$L424&lt;&gt;"Sim"),"Não",IF(AND($S424="",$W424&lt;&gt;"OK"),"Não","Sim")))</f>
        <v/>
      </c>
      <c r="Y424" s="14">
        <f>IF($C424="",0,IF(COUNTIFS($C$5:$C424,$C424,$D$5:$D424,$D424)=1,1,0))</f>
        <v/>
      </c>
      <c r="Z424" s="14">
        <f>IF($A424="","",IF(Config!$B$7-$T424&gt;2,"Arquivada",IF(Config!$B$7-$T424&gt;0,"Histórico","Ativa")))</f>
        <v/>
      </c>
      <c r="AA424" s="14">
        <f>IF($A424="",0,IF(AND(OR($F424="Ponto de atenção",$F424="Incidente"),$L424="Sim"),1,0))</f>
        <v/>
      </c>
      <c r="AB424" s="14">
        <f>IF(OR($C424="",$C424&lt;&gt;'1a1'!$B$4,$T424&lt;&gt;Config!$B$7),"",COUNTIFS($C$5:$C424,'1a1'!$B$4,$T$5:$T424,Config!$B$7))</f>
        <v/>
      </c>
    </row>
    <row r="425">
      <c r="A425" s="18" t="n"/>
      <c r="B425" s="19" t="n"/>
      <c r="C425" s="14">
        <f>IFERROR(INDEX(Pessoas!$A$5:$A$64,MATCH($B425,Pessoas!$B$5:$B$64,0)),"")</f>
        <v/>
      </c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8" t="n"/>
      <c r="N425" s="19" t="n"/>
      <c r="O425" s="19" t="n"/>
      <c r="P425" s="19" t="n"/>
      <c r="Q425" s="20">
        <f>IF(OR($M425="",$P425=""),"",$M425+IF($P425="7 dias",7,IF($P425="14 dias",14,90)))</f>
        <v/>
      </c>
      <c r="R425" s="19" t="n"/>
      <c r="S425" s="19" t="n"/>
      <c r="T425" s="14">
        <f>IF($A425="","",YEAR($A425)*4+ROUNDUP(MONTH($A425)/3,0))</f>
        <v/>
      </c>
      <c r="U425" s="14">
        <f>IF($C425="","",$C425&amp;"|"&amp;$T425)</f>
        <v/>
      </c>
      <c r="V425" s="14">
        <f>IF($C425="","",$C425&amp;"|"&amp;$T425&amp;"|"&amp;$G425)</f>
        <v/>
      </c>
      <c r="W425" s="14">
        <f>IF($A425="","",IF(OR($B425="",$F425="",$G425="",$H425="",$I425=""),"Faltam campos básicos",IF(AND(OR($F425="Ponto de atenção",$F425="Incidente"),OR($K425="",$L425="",$O425="",$P425="")),"Faltam campos de sinalização","OK")))</f>
        <v/>
      </c>
      <c r="X425" s="14">
        <f>IF($A425="","",IF(AND(OR($F425="Ponto de atenção",$F425="Incidente"),$L425&lt;&gt;"Sim"),"Não",IF(AND($S425="",$W425&lt;&gt;"OK"),"Não","Sim")))</f>
        <v/>
      </c>
      <c r="Y425" s="14">
        <f>IF($C425="",0,IF(COUNTIFS($C$5:$C425,$C425,$D$5:$D425,$D425)=1,1,0))</f>
        <v/>
      </c>
      <c r="Z425" s="14">
        <f>IF($A425="","",IF(Config!$B$7-$T425&gt;2,"Arquivada",IF(Config!$B$7-$T425&gt;0,"Histórico","Ativa")))</f>
        <v/>
      </c>
      <c r="AA425" s="14">
        <f>IF($A425="",0,IF(AND(OR($F425="Ponto de atenção",$F425="Incidente"),$L425="Sim"),1,0))</f>
        <v/>
      </c>
      <c r="AB425" s="14">
        <f>IF(OR($C425="",$C425&lt;&gt;'1a1'!$B$4,$T425&lt;&gt;Config!$B$7),"",COUNTIFS($C$5:$C425,'1a1'!$B$4,$T$5:$T425,Config!$B$7))</f>
        <v/>
      </c>
    </row>
    <row r="426">
      <c r="A426" s="18" t="n"/>
      <c r="B426" s="19" t="n"/>
      <c r="C426" s="14">
        <f>IFERROR(INDEX(Pessoas!$A$5:$A$64,MATCH($B426,Pessoas!$B$5:$B$64,0)),"")</f>
        <v/>
      </c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8" t="n"/>
      <c r="N426" s="19" t="n"/>
      <c r="O426" s="19" t="n"/>
      <c r="P426" s="19" t="n"/>
      <c r="Q426" s="20">
        <f>IF(OR($M426="",$P426=""),"",$M426+IF($P426="7 dias",7,IF($P426="14 dias",14,90)))</f>
        <v/>
      </c>
      <c r="R426" s="19" t="n"/>
      <c r="S426" s="19" t="n"/>
      <c r="T426" s="14">
        <f>IF($A426="","",YEAR($A426)*4+ROUNDUP(MONTH($A426)/3,0))</f>
        <v/>
      </c>
      <c r="U426" s="14">
        <f>IF($C426="","",$C426&amp;"|"&amp;$T426)</f>
        <v/>
      </c>
      <c r="V426" s="14">
        <f>IF($C426="","",$C426&amp;"|"&amp;$T426&amp;"|"&amp;$G426)</f>
        <v/>
      </c>
      <c r="W426" s="14">
        <f>IF($A426="","",IF(OR($B426="",$F426="",$G426="",$H426="",$I426=""),"Faltam campos básicos",IF(AND(OR($F426="Ponto de atenção",$F426="Incidente"),OR($K426="",$L426="",$O426="",$P426="")),"Faltam campos de sinalização","OK")))</f>
        <v/>
      </c>
      <c r="X426" s="14">
        <f>IF($A426="","",IF(AND(OR($F426="Ponto de atenção",$F426="Incidente"),$L426&lt;&gt;"Sim"),"Não",IF(AND($S426="",$W426&lt;&gt;"OK"),"Não","Sim")))</f>
        <v/>
      </c>
      <c r="Y426" s="14">
        <f>IF($C426="",0,IF(COUNTIFS($C$5:$C426,$C426,$D$5:$D426,$D426)=1,1,0))</f>
        <v/>
      </c>
      <c r="Z426" s="14">
        <f>IF($A426="","",IF(Config!$B$7-$T426&gt;2,"Arquivada",IF(Config!$B$7-$T426&gt;0,"Histórico","Ativa")))</f>
        <v/>
      </c>
      <c r="AA426" s="14">
        <f>IF($A426="",0,IF(AND(OR($F426="Ponto de atenção",$F426="Incidente"),$L426="Sim"),1,0))</f>
        <v/>
      </c>
      <c r="AB426" s="14">
        <f>IF(OR($C426="",$C426&lt;&gt;'1a1'!$B$4,$T426&lt;&gt;Config!$B$7),"",COUNTIFS($C$5:$C426,'1a1'!$B$4,$T$5:$T426,Config!$B$7))</f>
        <v/>
      </c>
    </row>
    <row r="427">
      <c r="A427" s="18" t="n"/>
      <c r="B427" s="19" t="n"/>
      <c r="C427" s="14">
        <f>IFERROR(INDEX(Pessoas!$A$5:$A$64,MATCH($B427,Pessoas!$B$5:$B$64,0)),"")</f>
        <v/>
      </c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8" t="n"/>
      <c r="N427" s="19" t="n"/>
      <c r="O427" s="19" t="n"/>
      <c r="P427" s="19" t="n"/>
      <c r="Q427" s="20">
        <f>IF(OR($M427="",$P427=""),"",$M427+IF($P427="7 dias",7,IF($P427="14 dias",14,90)))</f>
        <v/>
      </c>
      <c r="R427" s="19" t="n"/>
      <c r="S427" s="19" t="n"/>
      <c r="T427" s="14">
        <f>IF($A427="","",YEAR($A427)*4+ROUNDUP(MONTH($A427)/3,0))</f>
        <v/>
      </c>
      <c r="U427" s="14">
        <f>IF($C427="","",$C427&amp;"|"&amp;$T427)</f>
        <v/>
      </c>
      <c r="V427" s="14">
        <f>IF($C427="","",$C427&amp;"|"&amp;$T427&amp;"|"&amp;$G427)</f>
        <v/>
      </c>
      <c r="W427" s="14">
        <f>IF($A427="","",IF(OR($B427="",$F427="",$G427="",$H427="",$I427=""),"Faltam campos básicos",IF(AND(OR($F427="Ponto de atenção",$F427="Incidente"),OR($K427="",$L427="",$O427="",$P427="")),"Faltam campos de sinalização","OK")))</f>
        <v/>
      </c>
      <c r="X427" s="14">
        <f>IF($A427="","",IF(AND(OR($F427="Ponto de atenção",$F427="Incidente"),$L427&lt;&gt;"Sim"),"Não",IF(AND($S427="",$W427&lt;&gt;"OK"),"Não","Sim")))</f>
        <v/>
      </c>
      <c r="Y427" s="14">
        <f>IF($C427="",0,IF(COUNTIFS($C$5:$C427,$C427,$D$5:$D427,$D427)=1,1,0))</f>
        <v/>
      </c>
      <c r="Z427" s="14">
        <f>IF($A427="","",IF(Config!$B$7-$T427&gt;2,"Arquivada",IF(Config!$B$7-$T427&gt;0,"Histórico","Ativa")))</f>
        <v/>
      </c>
      <c r="AA427" s="14">
        <f>IF($A427="",0,IF(AND(OR($F427="Ponto de atenção",$F427="Incidente"),$L427="Sim"),1,0))</f>
        <v/>
      </c>
      <c r="AB427" s="14">
        <f>IF(OR($C427="",$C427&lt;&gt;'1a1'!$B$4,$T427&lt;&gt;Config!$B$7),"",COUNTIFS($C$5:$C427,'1a1'!$B$4,$T$5:$T427,Config!$B$7))</f>
        <v/>
      </c>
    </row>
    <row r="428">
      <c r="A428" s="18" t="n"/>
      <c r="B428" s="19" t="n"/>
      <c r="C428" s="14">
        <f>IFERROR(INDEX(Pessoas!$A$5:$A$64,MATCH($B428,Pessoas!$B$5:$B$64,0)),"")</f>
        <v/>
      </c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8" t="n"/>
      <c r="N428" s="19" t="n"/>
      <c r="O428" s="19" t="n"/>
      <c r="P428" s="19" t="n"/>
      <c r="Q428" s="20">
        <f>IF(OR($M428="",$P428=""),"",$M428+IF($P428="7 dias",7,IF($P428="14 dias",14,90)))</f>
        <v/>
      </c>
      <c r="R428" s="19" t="n"/>
      <c r="S428" s="19" t="n"/>
      <c r="T428" s="14">
        <f>IF($A428="","",YEAR($A428)*4+ROUNDUP(MONTH($A428)/3,0))</f>
        <v/>
      </c>
      <c r="U428" s="14">
        <f>IF($C428="","",$C428&amp;"|"&amp;$T428)</f>
        <v/>
      </c>
      <c r="V428" s="14">
        <f>IF($C428="","",$C428&amp;"|"&amp;$T428&amp;"|"&amp;$G428)</f>
        <v/>
      </c>
      <c r="W428" s="14">
        <f>IF($A428="","",IF(OR($B428="",$F428="",$G428="",$H428="",$I428=""),"Faltam campos básicos",IF(AND(OR($F428="Ponto de atenção",$F428="Incidente"),OR($K428="",$L428="",$O428="",$P428="")),"Faltam campos de sinalização","OK")))</f>
        <v/>
      </c>
      <c r="X428" s="14">
        <f>IF($A428="","",IF(AND(OR($F428="Ponto de atenção",$F428="Incidente"),$L428&lt;&gt;"Sim"),"Não",IF(AND($S428="",$W428&lt;&gt;"OK"),"Não","Sim")))</f>
        <v/>
      </c>
      <c r="Y428" s="14">
        <f>IF($C428="",0,IF(COUNTIFS($C$5:$C428,$C428,$D$5:$D428,$D428)=1,1,0))</f>
        <v/>
      </c>
      <c r="Z428" s="14">
        <f>IF($A428="","",IF(Config!$B$7-$T428&gt;2,"Arquivada",IF(Config!$B$7-$T428&gt;0,"Histórico","Ativa")))</f>
        <v/>
      </c>
      <c r="AA428" s="14">
        <f>IF($A428="",0,IF(AND(OR($F428="Ponto de atenção",$F428="Incidente"),$L428="Sim"),1,0))</f>
        <v/>
      </c>
      <c r="AB428" s="14">
        <f>IF(OR($C428="",$C428&lt;&gt;'1a1'!$B$4,$T428&lt;&gt;Config!$B$7),"",COUNTIFS($C$5:$C428,'1a1'!$B$4,$T$5:$T428,Config!$B$7))</f>
        <v/>
      </c>
    </row>
    <row r="429">
      <c r="A429" s="18" t="n"/>
      <c r="B429" s="19" t="n"/>
      <c r="C429" s="14">
        <f>IFERROR(INDEX(Pessoas!$A$5:$A$64,MATCH($B429,Pessoas!$B$5:$B$64,0)),"")</f>
        <v/>
      </c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8" t="n"/>
      <c r="N429" s="19" t="n"/>
      <c r="O429" s="19" t="n"/>
      <c r="P429" s="19" t="n"/>
      <c r="Q429" s="20">
        <f>IF(OR($M429="",$P429=""),"",$M429+IF($P429="7 dias",7,IF($P429="14 dias",14,90)))</f>
        <v/>
      </c>
      <c r="R429" s="19" t="n"/>
      <c r="S429" s="19" t="n"/>
      <c r="T429" s="14">
        <f>IF($A429="","",YEAR($A429)*4+ROUNDUP(MONTH($A429)/3,0))</f>
        <v/>
      </c>
      <c r="U429" s="14">
        <f>IF($C429="","",$C429&amp;"|"&amp;$T429)</f>
        <v/>
      </c>
      <c r="V429" s="14">
        <f>IF($C429="","",$C429&amp;"|"&amp;$T429&amp;"|"&amp;$G429)</f>
        <v/>
      </c>
      <c r="W429" s="14">
        <f>IF($A429="","",IF(OR($B429="",$F429="",$G429="",$H429="",$I429=""),"Faltam campos básicos",IF(AND(OR($F429="Ponto de atenção",$F429="Incidente"),OR($K429="",$L429="",$O429="",$P429="")),"Faltam campos de sinalização","OK")))</f>
        <v/>
      </c>
      <c r="X429" s="14">
        <f>IF($A429="","",IF(AND(OR($F429="Ponto de atenção",$F429="Incidente"),$L429&lt;&gt;"Sim"),"Não",IF(AND($S429="",$W429&lt;&gt;"OK"),"Não","Sim")))</f>
        <v/>
      </c>
      <c r="Y429" s="14">
        <f>IF($C429="",0,IF(COUNTIFS($C$5:$C429,$C429,$D$5:$D429,$D429)=1,1,0))</f>
        <v/>
      </c>
      <c r="Z429" s="14">
        <f>IF($A429="","",IF(Config!$B$7-$T429&gt;2,"Arquivada",IF(Config!$B$7-$T429&gt;0,"Histórico","Ativa")))</f>
        <v/>
      </c>
      <c r="AA429" s="14">
        <f>IF($A429="",0,IF(AND(OR($F429="Ponto de atenção",$F429="Incidente"),$L429="Sim"),1,0))</f>
        <v/>
      </c>
      <c r="AB429" s="14">
        <f>IF(OR($C429="",$C429&lt;&gt;'1a1'!$B$4,$T429&lt;&gt;Config!$B$7),"",COUNTIFS($C$5:$C429,'1a1'!$B$4,$T$5:$T429,Config!$B$7))</f>
        <v/>
      </c>
    </row>
    <row r="430">
      <c r="A430" s="18" t="n"/>
      <c r="B430" s="19" t="n"/>
      <c r="C430" s="14">
        <f>IFERROR(INDEX(Pessoas!$A$5:$A$64,MATCH($B430,Pessoas!$B$5:$B$64,0)),"")</f>
        <v/>
      </c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8" t="n"/>
      <c r="N430" s="19" t="n"/>
      <c r="O430" s="19" t="n"/>
      <c r="P430" s="19" t="n"/>
      <c r="Q430" s="20">
        <f>IF(OR($M430="",$P430=""),"",$M430+IF($P430="7 dias",7,IF($P430="14 dias",14,90)))</f>
        <v/>
      </c>
      <c r="R430" s="19" t="n"/>
      <c r="S430" s="19" t="n"/>
      <c r="T430" s="14">
        <f>IF($A430="","",YEAR($A430)*4+ROUNDUP(MONTH($A430)/3,0))</f>
        <v/>
      </c>
      <c r="U430" s="14">
        <f>IF($C430="","",$C430&amp;"|"&amp;$T430)</f>
        <v/>
      </c>
      <c r="V430" s="14">
        <f>IF($C430="","",$C430&amp;"|"&amp;$T430&amp;"|"&amp;$G430)</f>
        <v/>
      </c>
      <c r="W430" s="14">
        <f>IF($A430="","",IF(OR($B430="",$F430="",$G430="",$H430="",$I430=""),"Faltam campos básicos",IF(AND(OR($F430="Ponto de atenção",$F430="Incidente"),OR($K430="",$L430="",$O430="",$P430="")),"Faltam campos de sinalização","OK")))</f>
        <v/>
      </c>
      <c r="X430" s="14">
        <f>IF($A430="","",IF(AND(OR($F430="Ponto de atenção",$F430="Incidente"),$L430&lt;&gt;"Sim"),"Não",IF(AND($S430="",$W430&lt;&gt;"OK"),"Não","Sim")))</f>
        <v/>
      </c>
      <c r="Y430" s="14">
        <f>IF($C430="",0,IF(COUNTIFS($C$5:$C430,$C430,$D$5:$D430,$D430)=1,1,0))</f>
        <v/>
      </c>
      <c r="Z430" s="14">
        <f>IF($A430="","",IF(Config!$B$7-$T430&gt;2,"Arquivada",IF(Config!$B$7-$T430&gt;0,"Histórico","Ativa")))</f>
        <v/>
      </c>
      <c r="AA430" s="14">
        <f>IF($A430="",0,IF(AND(OR($F430="Ponto de atenção",$F430="Incidente"),$L430="Sim"),1,0))</f>
        <v/>
      </c>
      <c r="AB430" s="14">
        <f>IF(OR($C430="",$C430&lt;&gt;'1a1'!$B$4,$T430&lt;&gt;Config!$B$7),"",COUNTIFS($C$5:$C430,'1a1'!$B$4,$T$5:$T430,Config!$B$7))</f>
        <v/>
      </c>
    </row>
    <row r="431">
      <c r="A431" s="18" t="n"/>
      <c r="B431" s="19" t="n"/>
      <c r="C431" s="14">
        <f>IFERROR(INDEX(Pessoas!$A$5:$A$64,MATCH($B431,Pessoas!$B$5:$B$64,0)),"")</f>
        <v/>
      </c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8" t="n"/>
      <c r="N431" s="19" t="n"/>
      <c r="O431" s="19" t="n"/>
      <c r="P431" s="19" t="n"/>
      <c r="Q431" s="20">
        <f>IF(OR($M431="",$P431=""),"",$M431+IF($P431="7 dias",7,IF($P431="14 dias",14,90)))</f>
        <v/>
      </c>
      <c r="R431" s="19" t="n"/>
      <c r="S431" s="19" t="n"/>
      <c r="T431" s="14">
        <f>IF($A431="","",YEAR($A431)*4+ROUNDUP(MONTH($A431)/3,0))</f>
        <v/>
      </c>
      <c r="U431" s="14">
        <f>IF($C431="","",$C431&amp;"|"&amp;$T431)</f>
        <v/>
      </c>
      <c r="V431" s="14">
        <f>IF($C431="","",$C431&amp;"|"&amp;$T431&amp;"|"&amp;$G431)</f>
        <v/>
      </c>
      <c r="W431" s="14">
        <f>IF($A431="","",IF(OR($B431="",$F431="",$G431="",$H431="",$I431=""),"Faltam campos básicos",IF(AND(OR($F431="Ponto de atenção",$F431="Incidente"),OR($K431="",$L431="",$O431="",$P431="")),"Faltam campos de sinalização","OK")))</f>
        <v/>
      </c>
      <c r="X431" s="14">
        <f>IF($A431="","",IF(AND(OR($F431="Ponto de atenção",$F431="Incidente"),$L431&lt;&gt;"Sim"),"Não",IF(AND($S431="",$W431&lt;&gt;"OK"),"Não","Sim")))</f>
        <v/>
      </c>
      <c r="Y431" s="14">
        <f>IF($C431="",0,IF(COUNTIFS($C$5:$C431,$C431,$D$5:$D431,$D431)=1,1,0))</f>
        <v/>
      </c>
      <c r="Z431" s="14">
        <f>IF($A431="","",IF(Config!$B$7-$T431&gt;2,"Arquivada",IF(Config!$B$7-$T431&gt;0,"Histórico","Ativa")))</f>
        <v/>
      </c>
      <c r="AA431" s="14">
        <f>IF($A431="",0,IF(AND(OR($F431="Ponto de atenção",$F431="Incidente"),$L431="Sim"),1,0))</f>
        <v/>
      </c>
      <c r="AB431" s="14">
        <f>IF(OR($C431="",$C431&lt;&gt;'1a1'!$B$4,$T431&lt;&gt;Config!$B$7),"",COUNTIFS($C$5:$C431,'1a1'!$B$4,$T$5:$T431,Config!$B$7))</f>
        <v/>
      </c>
    </row>
    <row r="432">
      <c r="A432" s="18" t="n"/>
      <c r="B432" s="19" t="n"/>
      <c r="C432" s="14">
        <f>IFERROR(INDEX(Pessoas!$A$5:$A$64,MATCH($B432,Pessoas!$B$5:$B$64,0)),"")</f>
        <v/>
      </c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8" t="n"/>
      <c r="N432" s="19" t="n"/>
      <c r="O432" s="19" t="n"/>
      <c r="P432" s="19" t="n"/>
      <c r="Q432" s="20">
        <f>IF(OR($M432="",$P432=""),"",$M432+IF($P432="7 dias",7,IF($P432="14 dias",14,90)))</f>
        <v/>
      </c>
      <c r="R432" s="19" t="n"/>
      <c r="S432" s="19" t="n"/>
      <c r="T432" s="14">
        <f>IF($A432="","",YEAR($A432)*4+ROUNDUP(MONTH($A432)/3,0))</f>
        <v/>
      </c>
      <c r="U432" s="14">
        <f>IF($C432="","",$C432&amp;"|"&amp;$T432)</f>
        <v/>
      </c>
      <c r="V432" s="14">
        <f>IF($C432="","",$C432&amp;"|"&amp;$T432&amp;"|"&amp;$G432)</f>
        <v/>
      </c>
      <c r="W432" s="14">
        <f>IF($A432="","",IF(OR($B432="",$F432="",$G432="",$H432="",$I432=""),"Faltam campos básicos",IF(AND(OR($F432="Ponto de atenção",$F432="Incidente"),OR($K432="",$L432="",$O432="",$P432="")),"Faltam campos de sinalização","OK")))</f>
        <v/>
      </c>
      <c r="X432" s="14">
        <f>IF($A432="","",IF(AND(OR($F432="Ponto de atenção",$F432="Incidente"),$L432&lt;&gt;"Sim"),"Não",IF(AND($S432="",$W432&lt;&gt;"OK"),"Não","Sim")))</f>
        <v/>
      </c>
      <c r="Y432" s="14">
        <f>IF($C432="",0,IF(COUNTIFS($C$5:$C432,$C432,$D$5:$D432,$D432)=1,1,0))</f>
        <v/>
      </c>
      <c r="Z432" s="14">
        <f>IF($A432="","",IF(Config!$B$7-$T432&gt;2,"Arquivada",IF(Config!$B$7-$T432&gt;0,"Histórico","Ativa")))</f>
        <v/>
      </c>
      <c r="AA432" s="14">
        <f>IF($A432="",0,IF(AND(OR($F432="Ponto de atenção",$F432="Incidente"),$L432="Sim"),1,0))</f>
        <v/>
      </c>
      <c r="AB432" s="14">
        <f>IF(OR($C432="",$C432&lt;&gt;'1a1'!$B$4,$T432&lt;&gt;Config!$B$7),"",COUNTIFS($C$5:$C432,'1a1'!$B$4,$T$5:$T432,Config!$B$7))</f>
        <v/>
      </c>
    </row>
    <row r="433">
      <c r="A433" s="18" t="n"/>
      <c r="B433" s="19" t="n"/>
      <c r="C433" s="14">
        <f>IFERROR(INDEX(Pessoas!$A$5:$A$64,MATCH($B433,Pessoas!$B$5:$B$64,0)),"")</f>
        <v/>
      </c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8" t="n"/>
      <c r="N433" s="19" t="n"/>
      <c r="O433" s="19" t="n"/>
      <c r="P433" s="19" t="n"/>
      <c r="Q433" s="20">
        <f>IF(OR($M433="",$P433=""),"",$M433+IF($P433="7 dias",7,IF($P433="14 dias",14,90)))</f>
        <v/>
      </c>
      <c r="R433" s="19" t="n"/>
      <c r="S433" s="19" t="n"/>
      <c r="T433" s="14">
        <f>IF($A433="","",YEAR($A433)*4+ROUNDUP(MONTH($A433)/3,0))</f>
        <v/>
      </c>
      <c r="U433" s="14">
        <f>IF($C433="","",$C433&amp;"|"&amp;$T433)</f>
        <v/>
      </c>
      <c r="V433" s="14">
        <f>IF($C433="","",$C433&amp;"|"&amp;$T433&amp;"|"&amp;$G433)</f>
        <v/>
      </c>
      <c r="W433" s="14">
        <f>IF($A433="","",IF(OR($B433="",$F433="",$G433="",$H433="",$I433=""),"Faltam campos básicos",IF(AND(OR($F433="Ponto de atenção",$F433="Incidente"),OR($K433="",$L433="",$O433="",$P433="")),"Faltam campos de sinalização","OK")))</f>
        <v/>
      </c>
      <c r="X433" s="14">
        <f>IF($A433="","",IF(AND(OR($F433="Ponto de atenção",$F433="Incidente"),$L433&lt;&gt;"Sim"),"Não",IF(AND($S433="",$W433&lt;&gt;"OK"),"Não","Sim")))</f>
        <v/>
      </c>
      <c r="Y433" s="14">
        <f>IF($C433="",0,IF(COUNTIFS($C$5:$C433,$C433,$D$5:$D433,$D433)=1,1,0))</f>
        <v/>
      </c>
      <c r="Z433" s="14">
        <f>IF($A433="","",IF(Config!$B$7-$T433&gt;2,"Arquivada",IF(Config!$B$7-$T433&gt;0,"Histórico","Ativa")))</f>
        <v/>
      </c>
      <c r="AA433" s="14">
        <f>IF($A433="",0,IF(AND(OR($F433="Ponto de atenção",$F433="Incidente"),$L433="Sim"),1,0))</f>
        <v/>
      </c>
      <c r="AB433" s="14">
        <f>IF(OR($C433="",$C433&lt;&gt;'1a1'!$B$4,$T433&lt;&gt;Config!$B$7),"",COUNTIFS($C$5:$C433,'1a1'!$B$4,$T$5:$T433,Config!$B$7))</f>
        <v/>
      </c>
    </row>
    <row r="434">
      <c r="A434" s="18" t="n"/>
      <c r="B434" s="19" t="n"/>
      <c r="C434" s="14">
        <f>IFERROR(INDEX(Pessoas!$A$5:$A$64,MATCH($B434,Pessoas!$B$5:$B$64,0)),"")</f>
        <v/>
      </c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8" t="n"/>
      <c r="N434" s="19" t="n"/>
      <c r="O434" s="19" t="n"/>
      <c r="P434" s="19" t="n"/>
      <c r="Q434" s="20">
        <f>IF(OR($M434="",$P434=""),"",$M434+IF($P434="7 dias",7,IF($P434="14 dias",14,90)))</f>
        <v/>
      </c>
      <c r="R434" s="19" t="n"/>
      <c r="S434" s="19" t="n"/>
      <c r="T434" s="14">
        <f>IF($A434="","",YEAR($A434)*4+ROUNDUP(MONTH($A434)/3,0))</f>
        <v/>
      </c>
      <c r="U434" s="14">
        <f>IF($C434="","",$C434&amp;"|"&amp;$T434)</f>
        <v/>
      </c>
      <c r="V434" s="14">
        <f>IF($C434="","",$C434&amp;"|"&amp;$T434&amp;"|"&amp;$G434)</f>
        <v/>
      </c>
      <c r="W434" s="14">
        <f>IF($A434="","",IF(OR($B434="",$F434="",$G434="",$H434="",$I434=""),"Faltam campos básicos",IF(AND(OR($F434="Ponto de atenção",$F434="Incidente"),OR($K434="",$L434="",$O434="",$P434="")),"Faltam campos de sinalização","OK")))</f>
        <v/>
      </c>
      <c r="X434" s="14">
        <f>IF($A434="","",IF(AND(OR($F434="Ponto de atenção",$F434="Incidente"),$L434&lt;&gt;"Sim"),"Não",IF(AND($S434="",$W434&lt;&gt;"OK"),"Não","Sim")))</f>
        <v/>
      </c>
      <c r="Y434" s="14">
        <f>IF($C434="",0,IF(COUNTIFS($C$5:$C434,$C434,$D$5:$D434,$D434)=1,1,0))</f>
        <v/>
      </c>
      <c r="Z434" s="14">
        <f>IF($A434="","",IF(Config!$B$7-$T434&gt;2,"Arquivada",IF(Config!$B$7-$T434&gt;0,"Histórico","Ativa")))</f>
        <v/>
      </c>
      <c r="AA434" s="14">
        <f>IF($A434="",0,IF(AND(OR($F434="Ponto de atenção",$F434="Incidente"),$L434="Sim"),1,0))</f>
        <v/>
      </c>
      <c r="AB434" s="14">
        <f>IF(OR($C434="",$C434&lt;&gt;'1a1'!$B$4,$T434&lt;&gt;Config!$B$7),"",COUNTIFS($C$5:$C434,'1a1'!$B$4,$T$5:$T434,Config!$B$7))</f>
        <v/>
      </c>
    </row>
    <row r="435">
      <c r="A435" s="18" t="n"/>
      <c r="B435" s="19" t="n"/>
      <c r="C435" s="14">
        <f>IFERROR(INDEX(Pessoas!$A$5:$A$64,MATCH($B435,Pessoas!$B$5:$B$64,0)),"")</f>
        <v/>
      </c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8" t="n"/>
      <c r="N435" s="19" t="n"/>
      <c r="O435" s="19" t="n"/>
      <c r="P435" s="19" t="n"/>
      <c r="Q435" s="20">
        <f>IF(OR($M435="",$P435=""),"",$M435+IF($P435="7 dias",7,IF($P435="14 dias",14,90)))</f>
        <v/>
      </c>
      <c r="R435" s="19" t="n"/>
      <c r="S435" s="19" t="n"/>
      <c r="T435" s="14">
        <f>IF($A435="","",YEAR($A435)*4+ROUNDUP(MONTH($A435)/3,0))</f>
        <v/>
      </c>
      <c r="U435" s="14">
        <f>IF($C435="","",$C435&amp;"|"&amp;$T435)</f>
        <v/>
      </c>
      <c r="V435" s="14">
        <f>IF($C435="","",$C435&amp;"|"&amp;$T435&amp;"|"&amp;$G435)</f>
        <v/>
      </c>
      <c r="W435" s="14">
        <f>IF($A435="","",IF(OR($B435="",$F435="",$G435="",$H435="",$I435=""),"Faltam campos básicos",IF(AND(OR($F435="Ponto de atenção",$F435="Incidente"),OR($K435="",$L435="",$O435="",$P435="")),"Faltam campos de sinalização","OK")))</f>
        <v/>
      </c>
      <c r="X435" s="14">
        <f>IF($A435="","",IF(AND(OR($F435="Ponto de atenção",$F435="Incidente"),$L435&lt;&gt;"Sim"),"Não",IF(AND($S435="",$W435&lt;&gt;"OK"),"Não","Sim")))</f>
        <v/>
      </c>
      <c r="Y435" s="14">
        <f>IF($C435="",0,IF(COUNTIFS($C$5:$C435,$C435,$D$5:$D435,$D435)=1,1,0))</f>
        <v/>
      </c>
      <c r="Z435" s="14">
        <f>IF($A435="","",IF(Config!$B$7-$T435&gt;2,"Arquivada",IF(Config!$B$7-$T435&gt;0,"Histórico","Ativa")))</f>
        <v/>
      </c>
      <c r="AA435" s="14">
        <f>IF($A435="",0,IF(AND(OR($F435="Ponto de atenção",$F435="Incidente"),$L435="Sim"),1,0))</f>
        <v/>
      </c>
      <c r="AB435" s="14">
        <f>IF(OR($C435="",$C435&lt;&gt;'1a1'!$B$4,$T435&lt;&gt;Config!$B$7),"",COUNTIFS($C$5:$C435,'1a1'!$B$4,$T$5:$T435,Config!$B$7))</f>
        <v/>
      </c>
    </row>
    <row r="436">
      <c r="A436" s="18" t="n"/>
      <c r="B436" s="19" t="n"/>
      <c r="C436" s="14">
        <f>IFERROR(INDEX(Pessoas!$A$5:$A$64,MATCH($B436,Pessoas!$B$5:$B$64,0)),"")</f>
        <v/>
      </c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8" t="n"/>
      <c r="N436" s="19" t="n"/>
      <c r="O436" s="19" t="n"/>
      <c r="P436" s="19" t="n"/>
      <c r="Q436" s="20">
        <f>IF(OR($M436="",$P436=""),"",$M436+IF($P436="7 dias",7,IF($P436="14 dias",14,90)))</f>
        <v/>
      </c>
      <c r="R436" s="19" t="n"/>
      <c r="S436" s="19" t="n"/>
      <c r="T436" s="14">
        <f>IF($A436="","",YEAR($A436)*4+ROUNDUP(MONTH($A436)/3,0))</f>
        <v/>
      </c>
      <c r="U436" s="14">
        <f>IF($C436="","",$C436&amp;"|"&amp;$T436)</f>
        <v/>
      </c>
      <c r="V436" s="14">
        <f>IF($C436="","",$C436&amp;"|"&amp;$T436&amp;"|"&amp;$G436)</f>
        <v/>
      </c>
      <c r="W436" s="14">
        <f>IF($A436="","",IF(OR($B436="",$F436="",$G436="",$H436="",$I436=""),"Faltam campos básicos",IF(AND(OR($F436="Ponto de atenção",$F436="Incidente"),OR($K436="",$L436="",$O436="",$P436="")),"Faltam campos de sinalização","OK")))</f>
        <v/>
      </c>
      <c r="X436" s="14">
        <f>IF($A436="","",IF(AND(OR($F436="Ponto de atenção",$F436="Incidente"),$L436&lt;&gt;"Sim"),"Não",IF(AND($S436="",$W436&lt;&gt;"OK"),"Não","Sim")))</f>
        <v/>
      </c>
      <c r="Y436" s="14">
        <f>IF($C436="",0,IF(COUNTIFS($C$5:$C436,$C436,$D$5:$D436,$D436)=1,1,0))</f>
        <v/>
      </c>
      <c r="Z436" s="14">
        <f>IF($A436="","",IF(Config!$B$7-$T436&gt;2,"Arquivada",IF(Config!$B$7-$T436&gt;0,"Histórico","Ativa")))</f>
        <v/>
      </c>
      <c r="AA436" s="14">
        <f>IF($A436="",0,IF(AND(OR($F436="Ponto de atenção",$F436="Incidente"),$L436="Sim"),1,0))</f>
        <v/>
      </c>
      <c r="AB436" s="14">
        <f>IF(OR($C436="",$C436&lt;&gt;'1a1'!$B$4,$T436&lt;&gt;Config!$B$7),"",COUNTIFS($C$5:$C436,'1a1'!$B$4,$T$5:$T436,Config!$B$7))</f>
        <v/>
      </c>
    </row>
    <row r="437">
      <c r="A437" s="18" t="n"/>
      <c r="B437" s="19" t="n"/>
      <c r="C437" s="14">
        <f>IFERROR(INDEX(Pessoas!$A$5:$A$64,MATCH($B437,Pessoas!$B$5:$B$64,0)),"")</f>
        <v/>
      </c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8" t="n"/>
      <c r="N437" s="19" t="n"/>
      <c r="O437" s="19" t="n"/>
      <c r="P437" s="19" t="n"/>
      <c r="Q437" s="20">
        <f>IF(OR($M437="",$P437=""),"",$M437+IF($P437="7 dias",7,IF($P437="14 dias",14,90)))</f>
        <v/>
      </c>
      <c r="R437" s="19" t="n"/>
      <c r="S437" s="19" t="n"/>
      <c r="T437" s="14">
        <f>IF($A437="","",YEAR($A437)*4+ROUNDUP(MONTH($A437)/3,0))</f>
        <v/>
      </c>
      <c r="U437" s="14">
        <f>IF($C437="","",$C437&amp;"|"&amp;$T437)</f>
        <v/>
      </c>
      <c r="V437" s="14">
        <f>IF($C437="","",$C437&amp;"|"&amp;$T437&amp;"|"&amp;$G437)</f>
        <v/>
      </c>
      <c r="W437" s="14">
        <f>IF($A437="","",IF(OR($B437="",$F437="",$G437="",$H437="",$I437=""),"Faltam campos básicos",IF(AND(OR($F437="Ponto de atenção",$F437="Incidente"),OR($K437="",$L437="",$O437="",$P437="")),"Faltam campos de sinalização","OK")))</f>
        <v/>
      </c>
      <c r="X437" s="14">
        <f>IF($A437="","",IF(AND(OR($F437="Ponto de atenção",$F437="Incidente"),$L437&lt;&gt;"Sim"),"Não",IF(AND($S437="",$W437&lt;&gt;"OK"),"Não","Sim")))</f>
        <v/>
      </c>
      <c r="Y437" s="14">
        <f>IF($C437="",0,IF(COUNTIFS($C$5:$C437,$C437,$D$5:$D437,$D437)=1,1,0))</f>
        <v/>
      </c>
      <c r="Z437" s="14">
        <f>IF($A437="","",IF(Config!$B$7-$T437&gt;2,"Arquivada",IF(Config!$B$7-$T437&gt;0,"Histórico","Ativa")))</f>
        <v/>
      </c>
      <c r="AA437" s="14">
        <f>IF($A437="",0,IF(AND(OR($F437="Ponto de atenção",$F437="Incidente"),$L437="Sim"),1,0))</f>
        <v/>
      </c>
      <c r="AB437" s="14">
        <f>IF(OR($C437="",$C437&lt;&gt;'1a1'!$B$4,$T437&lt;&gt;Config!$B$7),"",COUNTIFS($C$5:$C437,'1a1'!$B$4,$T$5:$T437,Config!$B$7))</f>
        <v/>
      </c>
    </row>
    <row r="438">
      <c r="A438" s="18" t="n"/>
      <c r="B438" s="19" t="n"/>
      <c r="C438" s="14">
        <f>IFERROR(INDEX(Pessoas!$A$5:$A$64,MATCH($B438,Pessoas!$B$5:$B$64,0)),"")</f>
        <v/>
      </c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8" t="n"/>
      <c r="N438" s="19" t="n"/>
      <c r="O438" s="19" t="n"/>
      <c r="P438" s="19" t="n"/>
      <c r="Q438" s="20">
        <f>IF(OR($M438="",$P438=""),"",$M438+IF($P438="7 dias",7,IF($P438="14 dias",14,90)))</f>
        <v/>
      </c>
      <c r="R438" s="19" t="n"/>
      <c r="S438" s="19" t="n"/>
      <c r="T438" s="14">
        <f>IF($A438="","",YEAR($A438)*4+ROUNDUP(MONTH($A438)/3,0))</f>
        <v/>
      </c>
      <c r="U438" s="14">
        <f>IF($C438="","",$C438&amp;"|"&amp;$T438)</f>
        <v/>
      </c>
      <c r="V438" s="14">
        <f>IF($C438="","",$C438&amp;"|"&amp;$T438&amp;"|"&amp;$G438)</f>
        <v/>
      </c>
      <c r="W438" s="14">
        <f>IF($A438="","",IF(OR($B438="",$F438="",$G438="",$H438="",$I438=""),"Faltam campos básicos",IF(AND(OR($F438="Ponto de atenção",$F438="Incidente"),OR($K438="",$L438="",$O438="",$P438="")),"Faltam campos de sinalização","OK")))</f>
        <v/>
      </c>
      <c r="X438" s="14">
        <f>IF($A438="","",IF(AND(OR($F438="Ponto de atenção",$F438="Incidente"),$L438&lt;&gt;"Sim"),"Não",IF(AND($S438="",$W438&lt;&gt;"OK"),"Não","Sim")))</f>
        <v/>
      </c>
      <c r="Y438" s="14">
        <f>IF($C438="",0,IF(COUNTIFS($C$5:$C438,$C438,$D$5:$D438,$D438)=1,1,0))</f>
        <v/>
      </c>
      <c r="Z438" s="14">
        <f>IF($A438="","",IF(Config!$B$7-$T438&gt;2,"Arquivada",IF(Config!$B$7-$T438&gt;0,"Histórico","Ativa")))</f>
        <v/>
      </c>
      <c r="AA438" s="14">
        <f>IF($A438="",0,IF(AND(OR($F438="Ponto de atenção",$F438="Incidente"),$L438="Sim"),1,0))</f>
        <v/>
      </c>
      <c r="AB438" s="14">
        <f>IF(OR($C438="",$C438&lt;&gt;'1a1'!$B$4,$T438&lt;&gt;Config!$B$7),"",COUNTIFS($C$5:$C438,'1a1'!$B$4,$T$5:$T438,Config!$B$7))</f>
        <v/>
      </c>
    </row>
    <row r="439">
      <c r="A439" s="18" t="n"/>
      <c r="B439" s="19" t="n"/>
      <c r="C439" s="14">
        <f>IFERROR(INDEX(Pessoas!$A$5:$A$64,MATCH($B439,Pessoas!$B$5:$B$64,0)),"")</f>
        <v/>
      </c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8" t="n"/>
      <c r="N439" s="19" t="n"/>
      <c r="O439" s="19" t="n"/>
      <c r="P439" s="19" t="n"/>
      <c r="Q439" s="20">
        <f>IF(OR($M439="",$P439=""),"",$M439+IF($P439="7 dias",7,IF($P439="14 dias",14,90)))</f>
        <v/>
      </c>
      <c r="R439" s="19" t="n"/>
      <c r="S439" s="19" t="n"/>
      <c r="T439" s="14">
        <f>IF($A439="","",YEAR($A439)*4+ROUNDUP(MONTH($A439)/3,0))</f>
        <v/>
      </c>
      <c r="U439" s="14">
        <f>IF($C439="","",$C439&amp;"|"&amp;$T439)</f>
        <v/>
      </c>
      <c r="V439" s="14">
        <f>IF($C439="","",$C439&amp;"|"&amp;$T439&amp;"|"&amp;$G439)</f>
        <v/>
      </c>
      <c r="W439" s="14">
        <f>IF($A439="","",IF(OR($B439="",$F439="",$G439="",$H439="",$I439=""),"Faltam campos básicos",IF(AND(OR($F439="Ponto de atenção",$F439="Incidente"),OR($K439="",$L439="",$O439="",$P439="")),"Faltam campos de sinalização","OK")))</f>
        <v/>
      </c>
      <c r="X439" s="14">
        <f>IF($A439="","",IF(AND(OR($F439="Ponto de atenção",$F439="Incidente"),$L439&lt;&gt;"Sim"),"Não",IF(AND($S439="",$W439&lt;&gt;"OK"),"Não","Sim")))</f>
        <v/>
      </c>
      <c r="Y439" s="14">
        <f>IF($C439="",0,IF(COUNTIFS($C$5:$C439,$C439,$D$5:$D439,$D439)=1,1,0))</f>
        <v/>
      </c>
      <c r="Z439" s="14">
        <f>IF($A439="","",IF(Config!$B$7-$T439&gt;2,"Arquivada",IF(Config!$B$7-$T439&gt;0,"Histórico","Ativa")))</f>
        <v/>
      </c>
      <c r="AA439" s="14">
        <f>IF($A439="",0,IF(AND(OR($F439="Ponto de atenção",$F439="Incidente"),$L439="Sim"),1,0))</f>
        <v/>
      </c>
      <c r="AB439" s="14">
        <f>IF(OR($C439="",$C439&lt;&gt;'1a1'!$B$4,$T439&lt;&gt;Config!$B$7),"",COUNTIFS($C$5:$C439,'1a1'!$B$4,$T$5:$T439,Config!$B$7))</f>
        <v/>
      </c>
    </row>
    <row r="440">
      <c r="A440" s="18" t="n"/>
      <c r="B440" s="19" t="n"/>
      <c r="C440" s="14">
        <f>IFERROR(INDEX(Pessoas!$A$5:$A$64,MATCH($B440,Pessoas!$B$5:$B$64,0)),"")</f>
        <v/>
      </c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8" t="n"/>
      <c r="N440" s="19" t="n"/>
      <c r="O440" s="19" t="n"/>
      <c r="P440" s="19" t="n"/>
      <c r="Q440" s="20">
        <f>IF(OR($M440="",$P440=""),"",$M440+IF($P440="7 dias",7,IF($P440="14 dias",14,90)))</f>
        <v/>
      </c>
      <c r="R440" s="19" t="n"/>
      <c r="S440" s="19" t="n"/>
      <c r="T440" s="14">
        <f>IF($A440="","",YEAR($A440)*4+ROUNDUP(MONTH($A440)/3,0))</f>
        <v/>
      </c>
      <c r="U440" s="14">
        <f>IF($C440="","",$C440&amp;"|"&amp;$T440)</f>
        <v/>
      </c>
      <c r="V440" s="14">
        <f>IF($C440="","",$C440&amp;"|"&amp;$T440&amp;"|"&amp;$G440)</f>
        <v/>
      </c>
      <c r="W440" s="14">
        <f>IF($A440="","",IF(OR($B440="",$F440="",$G440="",$H440="",$I440=""),"Faltam campos básicos",IF(AND(OR($F440="Ponto de atenção",$F440="Incidente"),OR($K440="",$L440="",$O440="",$P440="")),"Faltam campos de sinalização","OK")))</f>
        <v/>
      </c>
      <c r="X440" s="14">
        <f>IF($A440="","",IF(AND(OR($F440="Ponto de atenção",$F440="Incidente"),$L440&lt;&gt;"Sim"),"Não",IF(AND($S440="",$W440&lt;&gt;"OK"),"Não","Sim")))</f>
        <v/>
      </c>
      <c r="Y440" s="14">
        <f>IF($C440="",0,IF(COUNTIFS($C$5:$C440,$C440,$D$5:$D440,$D440)=1,1,0))</f>
        <v/>
      </c>
      <c r="Z440" s="14">
        <f>IF($A440="","",IF(Config!$B$7-$T440&gt;2,"Arquivada",IF(Config!$B$7-$T440&gt;0,"Histórico","Ativa")))</f>
        <v/>
      </c>
      <c r="AA440" s="14">
        <f>IF($A440="",0,IF(AND(OR($F440="Ponto de atenção",$F440="Incidente"),$L440="Sim"),1,0))</f>
        <v/>
      </c>
      <c r="AB440" s="14">
        <f>IF(OR($C440="",$C440&lt;&gt;'1a1'!$B$4,$T440&lt;&gt;Config!$B$7),"",COUNTIFS($C$5:$C440,'1a1'!$B$4,$T$5:$T440,Config!$B$7))</f>
        <v/>
      </c>
    </row>
    <row r="441">
      <c r="A441" s="18" t="n"/>
      <c r="B441" s="19" t="n"/>
      <c r="C441" s="14">
        <f>IFERROR(INDEX(Pessoas!$A$5:$A$64,MATCH($B441,Pessoas!$B$5:$B$64,0)),"")</f>
        <v/>
      </c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8" t="n"/>
      <c r="N441" s="19" t="n"/>
      <c r="O441" s="19" t="n"/>
      <c r="P441" s="19" t="n"/>
      <c r="Q441" s="20">
        <f>IF(OR($M441="",$P441=""),"",$M441+IF($P441="7 dias",7,IF($P441="14 dias",14,90)))</f>
        <v/>
      </c>
      <c r="R441" s="19" t="n"/>
      <c r="S441" s="19" t="n"/>
      <c r="T441" s="14">
        <f>IF($A441="","",YEAR($A441)*4+ROUNDUP(MONTH($A441)/3,0))</f>
        <v/>
      </c>
      <c r="U441" s="14">
        <f>IF($C441="","",$C441&amp;"|"&amp;$T441)</f>
        <v/>
      </c>
      <c r="V441" s="14">
        <f>IF($C441="","",$C441&amp;"|"&amp;$T441&amp;"|"&amp;$G441)</f>
        <v/>
      </c>
      <c r="W441" s="14">
        <f>IF($A441="","",IF(OR($B441="",$F441="",$G441="",$H441="",$I441=""),"Faltam campos básicos",IF(AND(OR($F441="Ponto de atenção",$F441="Incidente"),OR($K441="",$L441="",$O441="",$P441="")),"Faltam campos de sinalização","OK")))</f>
        <v/>
      </c>
      <c r="X441" s="14">
        <f>IF($A441="","",IF(AND(OR($F441="Ponto de atenção",$F441="Incidente"),$L441&lt;&gt;"Sim"),"Não",IF(AND($S441="",$W441&lt;&gt;"OK"),"Não","Sim")))</f>
        <v/>
      </c>
      <c r="Y441" s="14">
        <f>IF($C441="",0,IF(COUNTIFS($C$5:$C441,$C441,$D$5:$D441,$D441)=1,1,0))</f>
        <v/>
      </c>
      <c r="Z441" s="14">
        <f>IF($A441="","",IF(Config!$B$7-$T441&gt;2,"Arquivada",IF(Config!$B$7-$T441&gt;0,"Histórico","Ativa")))</f>
        <v/>
      </c>
      <c r="AA441" s="14">
        <f>IF($A441="",0,IF(AND(OR($F441="Ponto de atenção",$F441="Incidente"),$L441="Sim"),1,0))</f>
        <v/>
      </c>
      <c r="AB441" s="14">
        <f>IF(OR($C441="",$C441&lt;&gt;'1a1'!$B$4,$T441&lt;&gt;Config!$B$7),"",COUNTIFS($C$5:$C441,'1a1'!$B$4,$T$5:$T441,Config!$B$7))</f>
        <v/>
      </c>
    </row>
    <row r="442">
      <c r="A442" s="18" t="n"/>
      <c r="B442" s="19" t="n"/>
      <c r="C442" s="14">
        <f>IFERROR(INDEX(Pessoas!$A$5:$A$64,MATCH($B442,Pessoas!$B$5:$B$64,0)),"")</f>
        <v/>
      </c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8" t="n"/>
      <c r="N442" s="19" t="n"/>
      <c r="O442" s="19" t="n"/>
      <c r="P442" s="19" t="n"/>
      <c r="Q442" s="20">
        <f>IF(OR($M442="",$P442=""),"",$M442+IF($P442="7 dias",7,IF($P442="14 dias",14,90)))</f>
        <v/>
      </c>
      <c r="R442" s="19" t="n"/>
      <c r="S442" s="19" t="n"/>
      <c r="T442" s="14">
        <f>IF($A442="","",YEAR($A442)*4+ROUNDUP(MONTH($A442)/3,0))</f>
        <v/>
      </c>
      <c r="U442" s="14">
        <f>IF($C442="","",$C442&amp;"|"&amp;$T442)</f>
        <v/>
      </c>
      <c r="V442" s="14">
        <f>IF($C442="","",$C442&amp;"|"&amp;$T442&amp;"|"&amp;$G442)</f>
        <v/>
      </c>
      <c r="W442" s="14">
        <f>IF($A442="","",IF(OR($B442="",$F442="",$G442="",$H442="",$I442=""),"Faltam campos básicos",IF(AND(OR($F442="Ponto de atenção",$F442="Incidente"),OR($K442="",$L442="",$O442="",$P442="")),"Faltam campos de sinalização","OK")))</f>
        <v/>
      </c>
      <c r="X442" s="14">
        <f>IF($A442="","",IF(AND(OR($F442="Ponto de atenção",$F442="Incidente"),$L442&lt;&gt;"Sim"),"Não",IF(AND($S442="",$W442&lt;&gt;"OK"),"Não","Sim")))</f>
        <v/>
      </c>
      <c r="Y442" s="14">
        <f>IF($C442="",0,IF(COUNTIFS($C$5:$C442,$C442,$D$5:$D442,$D442)=1,1,0))</f>
        <v/>
      </c>
      <c r="Z442" s="14">
        <f>IF($A442="","",IF(Config!$B$7-$T442&gt;2,"Arquivada",IF(Config!$B$7-$T442&gt;0,"Histórico","Ativa")))</f>
        <v/>
      </c>
      <c r="AA442" s="14">
        <f>IF($A442="",0,IF(AND(OR($F442="Ponto de atenção",$F442="Incidente"),$L442="Sim"),1,0))</f>
        <v/>
      </c>
      <c r="AB442" s="14">
        <f>IF(OR($C442="",$C442&lt;&gt;'1a1'!$B$4,$T442&lt;&gt;Config!$B$7),"",COUNTIFS($C$5:$C442,'1a1'!$B$4,$T$5:$T442,Config!$B$7))</f>
        <v/>
      </c>
    </row>
    <row r="443">
      <c r="A443" s="18" t="n"/>
      <c r="B443" s="19" t="n"/>
      <c r="C443" s="14">
        <f>IFERROR(INDEX(Pessoas!$A$5:$A$64,MATCH($B443,Pessoas!$B$5:$B$64,0)),"")</f>
        <v/>
      </c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8" t="n"/>
      <c r="N443" s="19" t="n"/>
      <c r="O443" s="19" t="n"/>
      <c r="P443" s="19" t="n"/>
      <c r="Q443" s="20">
        <f>IF(OR($M443="",$P443=""),"",$M443+IF($P443="7 dias",7,IF($P443="14 dias",14,90)))</f>
        <v/>
      </c>
      <c r="R443" s="19" t="n"/>
      <c r="S443" s="19" t="n"/>
      <c r="T443" s="14">
        <f>IF($A443="","",YEAR($A443)*4+ROUNDUP(MONTH($A443)/3,0))</f>
        <v/>
      </c>
      <c r="U443" s="14">
        <f>IF($C443="","",$C443&amp;"|"&amp;$T443)</f>
        <v/>
      </c>
      <c r="V443" s="14">
        <f>IF($C443="","",$C443&amp;"|"&amp;$T443&amp;"|"&amp;$G443)</f>
        <v/>
      </c>
      <c r="W443" s="14">
        <f>IF($A443="","",IF(OR($B443="",$F443="",$G443="",$H443="",$I443=""),"Faltam campos básicos",IF(AND(OR($F443="Ponto de atenção",$F443="Incidente"),OR($K443="",$L443="",$O443="",$P443="")),"Faltam campos de sinalização","OK")))</f>
        <v/>
      </c>
      <c r="X443" s="14">
        <f>IF($A443="","",IF(AND(OR($F443="Ponto de atenção",$F443="Incidente"),$L443&lt;&gt;"Sim"),"Não",IF(AND($S443="",$W443&lt;&gt;"OK"),"Não","Sim")))</f>
        <v/>
      </c>
      <c r="Y443" s="14">
        <f>IF($C443="",0,IF(COUNTIFS($C$5:$C443,$C443,$D$5:$D443,$D443)=1,1,0))</f>
        <v/>
      </c>
      <c r="Z443" s="14">
        <f>IF($A443="","",IF(Config!$B$7-$T443&gt;2,"Arquivada",IF(Config!$B$7-$T443&gt;0,"Histórico","Ativa")))</f>
        <v/>
      </c>
      <c r="AA443" s="14">
        <f>IF($A443="",0,IF(AND(OR($F443="Ponto de atenção",$F443="Incidente"),$L443="Sim"),1,0))</f>
        <v/>
      </c>
      <c r="AB443" s="14">
        <f>IF(OR($C443="",$C443&lt;&gt;'1a1'!$B$4,$T443&lt;&gt;Config!$B$7),"",COUNTIFS($C$5:$C443,'1a1'!$B$4,$T$5:$T443,Config!$B$7))</f>
        <v/>
      </c>
    </row>
    <row r="444">
      <c r="A444" s="18" t="n"/>
      <c r="B444" s="19" t="n"/>
      <c r="C444" s="14">
        <f>IFERROR(INDEX(Pessoas!$A$5:$A$64,MATCH($B444,Pessoas!$B$5:$B$64,0)),"")</f>
        <v/>
      </c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8" t="n"/>
      <c r="N444" s="19" t="n"/>
      <c r="O444" s="19" t="n"/>
      <c r="P444" s="19" t="n"/>
      <c r="Q444" s="20">
        <f>IF(OR($M444="",$P444=""),"",$M444+IF($P444="7 dias",7,IF($P444="14 dias",14,90)))</f>
        <v/>
      </c>
      <c r="R444" s="19" t="n"/>
      <c r="S444" s="19" t="n"/>
      <c r="T444" s="14">
        <f>IF($A444="","",YEAR($A444)*4+ROUNDUP(MONTH($A444)/3,0))</f>
        <v/>
      </c>
      <c r="U444" s="14">
        <f>IF($C444="","",$C444&amp;"|"&amp;$T444)</f>
        <v/>
      </c>
      <c r="V444" s="14">
        <f>IF($C444="","",$C444&amp;"|"&amp;$T444&amp;"|"&amp;$G444)</f>
        <v/>
      </c>
      <c r="W444" s="14">
        <f>IF($A444="","",IF(OR($B444="",$F444="",$G444="",$H444="",$I444=""),"Faltam campos básicos",IF(AND(OR($F444="Ponto de atenção",$F444="Incidente"),OR($K444="",$L444="",$O444="",$P444="")),"Faltam campos de sinalização","OK")))</f>
        <v/>
      </c>
      <c r="X444" s="14">
        <f>IF($A444="","",IF(AND(OR($F444="Ponto de atenção",$F444="Incidente"),$L444&lt;&gt;"Sim"),"Não",IF(AND($S444="",$W444&lt;&gt;"OK"),"Não","Sim")))</f>
        <v/>
      </c>
      <c r="Y444" s="14">
        <f>IF($C444="",0,IF(COUNTIFS($C$5:$C444,$C444,$D$5:$D444,$D444)=1,1,0))</f>
        <v/>
      </c>
      <c r="Z444" s="14">
        <f>IF($A444="","",IF(Config!$B$7-$T444&gt;2,"Arquivada",IF(Config!$B$7-$T444&gt;0,"Histórico","Ativa")))</f>
        <v/>
      </c>
      <c r="AA444" s="14">
        <f>IF($A444="",0,IF(AND(OR($F444="Ponto de atenção",$F444="Incidente"),$L444="Sim"),1,0))</f>
        <v/>
      </c>
      <c r="AB444" s="14">
        <f>IF(OR($C444="",$C444&lt;&gt;'1a1'!$B$4,$T444&lt;&gt;Config!$B$7),"",COUNTIFS($C$5:$C444,'1a1'!$B$4,$T$5:$T444,Config!$B$7))</f>
        <v/>
      </c>
    </row>
    <row r="445">
      <c r="A445" s="18" t="n"/>
      <c r="B445" s="19" t="n"/>
      <c r="C445" s="14">
        <f>IFERROR(INDEX(Pessoas!$A$5:$A$64,MATCH($B445,Pessoas!$B$5:$B$64,0)),"")</f>
        <v/>
      </c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8" t="n"/>
      <c r="N445" s="19" t="n"/>
      <c r="O445" s="19" t="n"/>
      <c r="P445" s="19" t="n"/>
      <c r="Q445" s="20">
        <f>IF(OR($M445="",$P445=""),"",$M445+IF($P445="7 dias",7,IF($P445="14 dias",14,90)))</f>
        <v/>
      </c>
      <c r="R445" s="19" t="n"/>
      <c r="S445" s="19" t="n"/>
      <c r="T445" s="14">
        <f>IF($A445="","",YEAR($A445)*4+ROUNDUP(MONTH($A445)/3,0))</f>
        <v/>
      </c>
      <c r="U445" s="14">
        <f>IF($C445="","",$C445&amp;"|"&amp;$T445)</f>
        <v/>
      </c>
      <c r="V445" s="14">
        <f>IF($C445="","",$C445&amp;"|"&amp;$T445&amp;"|"&amp;$G445)</f>
        <v/>
      </c>
      <c r="W445" s="14">
        <f>IF($A445="","",IF(OR($B445="",$F445="",$G445="",$H445="",$I445=""),"Faltam campos básicos",IF(AND(OR($F445="Ponto de atenção",$F445="Incidente"),OR($K445="",$L445="",$O445="",$P445="")),"Faltam campos de sinalização","OK")))</f>
        <v/>
      </c>
      <c r="X445" s="14">
        <f>IF($A445="","",IF(AND(OR($F445="Ponto de atenção",$F445="Incidente"),$L445&lt;&gt;"Sim"),"Não",IF(AND($S445="",$W445&lt;&gt;"OK"),"Não","Sim")))</f>
        <v/>
      </c>
      <c r="Y445" s="14">
        <f>IF($C445="",0,IF(COUNTIFS($C$5:$C445,$C445,$D$5:$D445,$D445)=1,1,0))</f>
        <v/>
      </c>
      <c r="Z445" s="14">
        <f>IF($A445="","",IF(Config!$B$7-$T445&gt;2,"Arquivada",IF(Config!$B$7-$T445&gt;0,"Histórico","Ativa")))</f>
        <v/>
      </c>
      <c r="AA445" s="14">
        <f>IF($A445="",0,IF(AND(OR($F445="Ponto de atenção",$F445="Incidente"),$L445="Sim"),1,0))</f>
        <v/>
      </c>
      <c r="AB445" s="14">
        <f>IF(OR($C445="",$C445&lt;&gt;'1a1'!$B$4,$T445&lt;&gt;Config!$B$7),"",COUNTIFS($C$5:$C445,'1a1'!$B$4,$T$5:$T445,Config!$B$7))</f>
        <v/>
      </c>
    </row>
    <row r="446">
      <c r="A446" s="18" t="n"/>
      <c r="B446" s="19" t="n"/>
      <c r="C446" s="14">
        <f>IFERROR(INDEX(Pessoas!$A$5:$A$64,MATCH($B446,Pessoas!$B$5:$B$64,0)),"")</f>
        <v/>
      </c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8" t="n"/>
      <c r="N446" s="19" t="n"/>
      <c r="O446" s="19" t="n"/>
      <c r="P446" s="19" t="n"/>
      <c r="Q446" s="20">
        <f>IF(OR($M446="",$P446=""),"",$M446+IF($P446="7 dias",7,IF($P446="14 dias",14,90)))</f>
        <v/>
      </c>
      <c r="R446" s="19" t="n"/>
      <c r="S446" s="19" t="n"/>
      <c r="T446" s="14">
        <f>IF($A446="","",YEAR($A446)*4+ROUNDUP(MONTH($A446)/3,0))</f>
        <v/>
      </c>
      <c r="U446" s="14">
        <f>IF($C446="","",$C446&amp;"|"&amp;$T446)</f>
        <v/>
      </c>
      <c r="V446" s="14">
        <f>IF($C446="","",$C446&amp;"|"&amp;$T446&amp;"|"&amp;$G446)</f>
        <v/>
      </c>
      <c r="W446" s="14">
        <f>IF($A446="","",IF(OR($B446="",$F446="",$G446="",$H446="",$I446=""),"Faltam campos básicos",IF(AND(OR($F446="Ponto de atenção",$F446="Incidente"),OR($K446="",$L446="",$O446="",$P446="")),"Faltam campos de sinalização","OK")))</f>
        <v/>
      </c>
      <c r="X446" s="14">
        <f>IF($A446="","",IF(AND(OR($F446="Ponto de atenção",$F446="Incidente"),$L446&lt;&gt;"Sim"),"Não",IF(AND($S446="",$W446&lt;&gt;"OK"),"Não","Sim")))</f>
        <v/>
      </c>
      <c r="Y446" s="14">
        <f>IF($C446="",0,IF(COUNTIFS($C$5:$C446,$C446,$D$5:$D446,$D446)=1,1,0))</f>
        <v/>
      </c>
      <c r="Z446" s="14">
        <f>IF($A446="","",IF(Config!$B$7-$T446&gt;2,"Arquivada",IF(Config!$B$7-$T446&gt;0,"Histórico","Ativa")))</f>
        <v/>
      </c>
      <c r="AA446" s="14">
        <f>IF($A446="",0,IF(AND(OR($F446="Ponto de atenção",$F446="Incidente"),$L446="Sim"),1,0))</f>
        <v/>
      </c>
      <c r="AB446" s="14">
        <f>IF(OR($C446="",$C446&lt;&gt;'1a1'!$B$4,$T446&lt;&gt;Config!$B$7),"",COUNTIFS($C$5:$C446,'1a1'!$B$4,$T$5:$T446,Config!$B$7))</f>
        <v/>
      </c>
    </row>
    <row r="447">
      <c r="A447" s="18" t="n"/>
      <c r="B447" s="19" t="n"/>
      <c r="C447" s="14">
        <f>IFERROR(INDEX(Pessoas!$A$5:$A$64,MATCH($B447,Pessoas!$B$5:$B$64,0)),"")</f>
        <v/>
      </c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8" t="n"/>
      <c r="N447" s="19" t="n"/>
      <c r="O447" s="19" t="n"/>
      <c r="P447" s="19" t="n"/>
      <c r="Q447" s="20">
        <f>IF(OR($M447="",$P447=""),"",$M447+IF($P447="7 dias",7,IF($P447="14 dias",14,90)))</f>
        <v/>
      </c>
      <c r="R447" s="19" t="n"/>
      <c r="S447" s="19" t="n"/>
      <c r="T447" s="14">
        <f>IF($A447="","",YEAR($A447)*4+ROUNDUP(MONTH($A447)/3,0))</f>
        <v/>
      </c>
      <c r="U447" s="14">
        <f>IF($C447="","",$C447&amp;"|"&amp;$T447)</f>
        <v/>
      </c>
      <c r="V447" s="14">
        <f>IF($C447="","",$C447&amp;"|"&amp;$T447&amp;"|"&amp;$G447)</f>
        <v/>
      </c>
      <c r="W447" s="14">
        <f>IF($A447="","",IF(OR($B447="",$F447="",$G447="",$H447="",$I447=""),"Faltam campos básicos",IF(AND(OR($F447="Ponto de atenção",$F447="Incidente"),OR($K447="",$L447="",$O447="",$P447="")),"Faltam campos de sinalização","OK")))</f>
        <v/>
      </c>
      <c r="X447" s="14">
        <f>IF($A447="","",IF(AND(OR($F447="Ponto de atenção",$F447="Incidente"),$L447&lt;&gt;"Sim"),"Não",IF(AND($S447="",$W447&lt;&gt;"OK"),"Não","Sim")))</f>
        <v/>
      </c>
      <c r="Y447" s="14">
        <f>IF($C447="",0,IF(COUNTIFS($C$5:$C447,$C447,$D$5:$D447,$D447)=1,1,0))</f>
        <v/>
      </c>
      <c r="Z447" s="14">
        <f>IF($A447="","",IF(Config!$B$7-$T447&gt;2,"Arquivada",IF(Config!$B$7-$T447&gt;0,"Histórico","Ativa")))</f>
        <v/>
      </c>
      <c r="AA447" s="14">
        <f>IF($A447="",0,IF(AND(OR($F447="Ponto de atenção",$F447="Incidente"),$L447="Sim"),1,0))</f>
        <v/>
      </c>
      <c r="AB447" s="14">
        <f>IF(OR($C447="",$C447&lt;&gt;'1a1'!$B$4,$T447&lt;&gt;Config!$B$7),"",COUNTIFS($C$5:$C447,'1a1'!$B$4,$T$5:$T447,Config!$B$7))</f>
        <v/>
      </c>
    </row>
    <row r="448">
      <c r="A448" s="18" t="n"/>
      <c r="B448" s="19" t="n"/>
      <c r="C448" s="14">
        <f>IFERROR(INDEX(Pessoas!$A$5:$A$64,MATCH($B448,Pessoas!$B$5:$B$64,0)),"")</f>
        <v/>
      </c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8" t="n"/>
      <c r="N448" s="19" t="n"/>
      <c r="O448" s="19" t="n"/>
      <c r="P448" s="19" t="n"/>
      <c r="Q448" s="20">
        <f>IF(OR($M448="",$P448=""),"",$M448+IF($P448="7 dias",7,IF($P448="14 dias",14,90)))</f>
        <v/>
      </c>
      <c r="R448" s="19" t="n"/>
      <c r="S448" s="19" t="n"/>
      <c r="T448" s="14">
        <f>IF($A448="","",YEAR($A448)*4+ROUNDUP(MONTH($A448)/3,0))</f>
        <v/>
      </c>
      <c r="U448" s="14">
        <f>IF($C448="","",$C448&amp;"|"&amp;$T448)</f>
        <v/>
      </c>
      <c r="V448" s="14">
        <f>IF($C448="","",$C448&amp;"|"&amp;$T448&amp;"|"&amp;$G448)</f>
        <v/>
      </c>
      <c r="W448" s="14">
        <f>IF($A448="","",IF(OR($B448="",$F448="",$G448="",$H448="",$I448=""),"Faltam campos básicos",IF(AND(OR($F448="Ponto de atenção",$F448="Incidente"),OR($K448="",$L448="",$O448="",$P448="")),"Faltam campos de sinalização","OK")))</f>
        <v/>
      </c>
      <c r="X448" s="14">
        <f>IF($A448="","",IF(AND(OR($F448="Ponto de atenção",$F448="Incidente"),$L448&lt;&gt;"Sim"),"Não",IF(AND($S448="",$W448&lt;&gt;"OK"),"Não","Sim")))</f>
        <v/>
      </c>
      <c r="Y448" s="14">
        <f>IF($C448="",0,IF(COUNTIFS($C$5:$C448,$C448,$D$5:$D448,$D448)=1,1,0))</f>
        <v/>
      </c>
      <c r="Z448" s="14">
        <f>IF($A448="","",IF(Config!$B$7-$T448&gt;2,"Arquivada",IF(Config!$B$7-$T448&gt;0,"Histórico","Ativa")))</f>
        <v/>
      </c>
      <c r="AA448" s="14">
        <f>IF($A448="",0,IF(AND(OR($F448="Ponto de atenção",$F448="Incidente"),$L448="Sim"),1,0))</f>
        <v/>
      </c>
      <c r="AB448" s="14">
        <f>IF(OR($C448="",$C448&lt;&gt;'1a1'!$B$4,$T448&lt;&gt;Config!$B$7),"",COUNTIFS($C$5:$C448,'1a1'!$B$4,$T$5:$T448,Config!$B$7))</f>
        <v/>
      </c>
    </row>
    <row r="449">
      <c r="A449" s="18" t="n"/>
      <c r="B449" s="19" t="n"/>
      <c r="C449" s="14">
        <f>IFERROR(INDEX(Pessoas!$A$5:$A$64,MATCH($B449,Pessoas!$B$5:$B$64,0)),"")</f>
        <v/>
      </c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8" t="n"/>
      <c r="N449" s="19" t="n"/>
      <c r="O449" s="19" t="n"/>
      <c r="P449" s="19" t="n"/>
      <c r="Q449" s="20">
        <f>IF(OR($M449="",$P449=""),"",$M449+IF($P449="7 dias",7,IF($P449="14 dias",14,90)))</f>
        <v/>
      </c>
      <c r="R449" s="19" t="n"/>
      <c r="S449" s="19" t="n"/>
      <c r="T449" s="14">
        <f>IF($A449="","",YEAR($A449)*4+ROUNDUP(MONTH($A449)/3,0))</f>
        <v/>
      </c>
      <c r="U449" s="14">
        <f>IF($C449="","",$C449&amp;"|"&amp;$T449)</f>
        <v/>
      </c>
      <c r="V449" s="14">
        <f>IF($C449="","",$C449&amp;"|"&amp;$T449&amp;"|"&amp;$G449)</f>
        <v/>
      </c>
      <c r="W449" s="14">
        <f>IF($A449="","",IF(OR($B449="",$F449="",$G449="",$H449="",$I449=""),"Faltam campos básicos",IF(AND(OR($F449="Ponto de atenção",$F449="Incidente"),OR($K449="",$L449="",$O449="",$P449="")),"Faltam campos de sinalização","OK")))</f>
        <v/>
      </c>
      <c r="X449" s="14">
        <f>IF($A449="","",IF(AND(OR($F449="Ponto de atenção",$F449="Incidente"),$L449&lt;&gt;"Sim"),"Não",IF(AND($S449="",$W449&lt;&gt;"OK"),"Não","Sim")))</f>
        <v/>
      </c>
      <c r="Y449" s="14">
        <f>IF($C449="",0,IF(COUNTIFS($C$5:$C449,$C449,$D$5:$D449,$D449)=1,1,0))</f>
        <v/>
      </c>
      <c r="Z449" s="14">
        <f>IF($A449="","",IF(Config!$B$7-$T449&gt;2,"Arquivada",IF(Config!$B$7-$T449&gt;0,"Histórico","Ativa")))</f>
        <v/>
      </c>
      <c r="AA449" s="14">
        <f>IF($A449="",0,IF(AND(OR($F449="Ponto de atenção",$F449="Incidente"),$L449="Sim"),1,0))</f>
        <v/>
      </c>
      <c r="AB449" s="14">
        <f>IF(OR($C449="",$C449&lt;&gt;'1a1'!$B$4,$T449&lt;&gt;Config!$B$7),"",COUNTIFS($C$5:$C449,'1a1'!$B$4,$T$5:$T449,Config!$B$7))</f>
        <v/>
      </c>
    </row>
    <row r="450">
      <c r="A450" s="18" t="n"/>
      <c r="B450" s="19" t="n"/>
      <c r="C450" s="14">
        <f>IFERROR(INDEX(Pessoas!$A$5:$A$64,MATCH($B450,Pessoas!$B$5:$B$64,0)),"")</f>
        <v/>
      </c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8" t="n"/>
      <c r="N450" s="19" t="n"/>
      <c r="O450" s="19" t="n"/>
      <c r="P450" s="19" t="n"/>
      <c r="Q450" s="20">
        <f>IF(OR($M450="",$P450=""),"",$M450+IF($P450="7 dias",7,IF($P450="14 dias",14,90)))</f>
        <v/>
      </c>
      <c r="R450" s="19" t="n"/>
      <c r="S450" s="19" t="n"/>
      <c r="T450" s="14">
        <f>IF($A450="","",YEAR($A450)*4+ROUNDUP(MONTH($A450)/3,0))</f>
        <v/>
      </c>
      <c r="U450" s="14">
        <f>IF($C450="","",$C450&amp;"|"&amp;$T450)</f>
        <v/>
      </c>
      <c r="V450" s="14">
        <f>IF($C450="","",$C450&amp;"|"&amp;$T450&amp;"|"&amp;$G450)</f>
        <v/>
      </c>
      <c r="W450" s="14">
        <f>IF($A450="","",IF(OR($B450="",$F450="",$G450="",$H450="",$I450=""),"Faltam campos básicos",IF(AND(OR($F450="Ponto de atenção",$F450="Incidente"),OR($K450="",$L450="",$O450="",$P450="")),"Faltam campos de sinalização","OK")))</f>
        <v/>
      </c>
      <c r="X450" s="14">
        <f>IF($A450="","",IF(AND(OR($F450="Ponto de atenção",$F450="Incidente"),$L450&lt;&gt;"Sim"),"Não",IF(AND($S450="",$W450&lt;&gt;"OK"),"Não","Sim")))</f>
        <v/>
      </c>
      <c r="Y450" s="14">
        <f>IF($C450="",0,IF(COUNTIFS($C$5:$C450,$C450,$D$5:$D450,$D450)=1,1,0))</f>
        <v/>
      </c>
      <c r="Z450" s="14">
        <f>IF($A450="","",IF(Config!$B$7-$T450&gt;2,"Arquivada",IF(Config!$B$7-$T450&gt;0,"Histórico","Ativa")))</f>
        <v/>
      </c>
      <c r="AA450" s="14">
        <f>IF($A450="",0,IF(AND(OR($F450="Ponto de atenção",$F450="Incidente"),$L450="Sim"),1,0))</f>
        <v/>
      </c>
      <c r="AB450" s="14">
        <f>IF(OR($C450="",$C450&lt;&gt;'1a1'!$B$4,$T450&lt;&gt;Config!$B$7),"",COUNTIFS($C$5:$C450,'1a1'!$B$4,$T$5:$T450,Config!$B$7))</f>
        <v/>
      </c>
    </row>
    <row r="451">
      <c r="A451" s="18" t="n"/>
      <c r="B451" s="19" t="n"/>
      <c r="C451" s="14">
        <f>IFERROR(INDEX(Pessoas!$A$5:$A$64,MATCH($B451,Pessoas!$B$5:$B$64,0)),"")</f>
        <v/>
      </c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8" t="n"/>
      <c r="N451" s="19" t="n"/>
      <c r="O451" s="19" t="n"/>
      <c r="P451" s="19" t="n"/>
      <c r="Q451" s="20">
        <f>IF(OR($M451="",$P451=""),"",$M451+IF($P451="7 dias",7,IF($P451="14 dias",14,90)))</f>
        <v/>
      </c>
      <c r="R451" s="19" t="n"/>
      <c r="S451" s="19" t="n"/>
      <c r="T451" s="14">
        <f>IF($A451="","",YEAR($A451)*4+ROUNDUP(MONTH($A451)/3,0))</f>
        <v/>
      </c>
      <c r="U451" s="14">
        <f>IF($C451="","",$C451&amp;"|"&amp;$T451)</f>
        <v/>
      </c>
      <c r="V451" s="14">
        <f>IF($C451="","",$C451&amp;"|"&amp;$T451&amp;"|"&amp;$G451)</f>
        <v/>
      </c>
      <c r="W451" s="14">
        <f>IF($A451="","",IF(OR($B451="",$F451="",$G451="",$H451="",$I451=""),"Faltam campos básicos",IF(AND(OR($F451="Ponto de atenção",$F451="Incidente"),OR($K451="",$L451="",$O451="",$P451="")),"Faltam campos de sinalização","OK")))</f>
        <v/>
      </c>
      <c r="X451" s="14">
        <f>IF($A451="","",IF(AND(OR($F451="Ponto de atenção",$F451="Incidente"),$L451&lt;&gt;"Sim"),"Não",IF(AND($S451="",$W451&lt;&gt;"OK"),"Não","Sim")))</f>
        <v/>
      </c>
      <c r="Y451" s="14">
        <f>IF($C451="",0,IF(COUNTIFS($C$5:$C451,$C451,$D$5:$D451,$D451)=1,1,0))</f>
        <v/>
      </c>
      <c r="Z451" s="14">
        <f>IF($A451="","",IF(Config!$B$7-$T451&gt;2,"Arquivada",IF(Config!$B$7-$T451&gt;0,"Histórico","Ativa")))</f>
        <v/>
      </c>
      <c r="AA451" s="14">
        <f>IF($A451="",0,IF(AND(OR($F451="Ponto de atenção",$F451="Incidente"),$L451="Sim"),1,0))</f>
        <v/>
      </c>
      <c r="AB451" s="14">
        <f>IF(OR($C451="",$C451&lt;&gt;'1a1'!$B$4,$T451&lt;&gt;Config!$B$7),"",COUNTIFS($C$5:$C451,'1a1'!$B$4,$T$5:$T451,Config!$B$7))</f>
        <v/>
      </c>
    </row>
    <row r="452">
      <c r="A452" s="18" t="n"/>
      <c r="B452" s="19" t="n"/>
      <c r="C452" s="14">
        <f>IFERROR(INDEX(Pessoas!$A$5:$A$64,MATCH($B452,Pessoas!$B$5:$B$64,0)),"")</f>
        <v/>
      </c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8" t="n"/>
      <c r="N452" s="19" t="n"/>
      <c r="O452" s="19" t="n"/>
      <c r="P452" s="19" t="n"/>
      <c r="Q452" s="20">
        <f>IF(OR($M452="",$P452=""),"",$M452+IF($P452="7 dias",7,IF($P452="14 dias",14,90)))</f>
        <v/>
      </c>
      <c r="R452" s="19" t="n"/>
      <c r="S452" s="19" t="n"/>
      <c r="T452" s="14">
        <f>IF($A452="","",YEAR($A452)*4+ROUNDUP(MONTH($A452)/3,0))</f>
        <v/>
      </c>
      <c r="U452" s="14">
        <f>IF($C452="","",$C452&amp;"|"&amp;$T452)</f>
        <v/>
      </c>
      <c r="V452" s="14">
        <f>IF($C452="","",$C452&amp;"|"&amp;$T452&amp;"|"&amp;$G452)</f>
        <v/>
      </c>
      <c r="W452" s="14">
        <f>IF($A452="","",IF(OR($B452="",$F452="",$G452="",$H452="",$I452=""),"Faltam campos básicos",IF(AND(OR($F452="Ponto de atenção",$F452="Incidente"),OR($K452="",$L452="",$O452="",$P452="")),"Faltam campos de sinalização","OK")))</f>
        <v/>
      </c>
      <c r="X452" s="14">
        <f>IF($A452="","",IF(AND(OR($F452="Ponto de atenção",$F452="Incidente"),$L452&lt;&gt;"Sim"),"Não",IF(AND($S452="",$W452&lt;&gt;"OK"),"Não","Sim")))</f>
        <v/>
      </c>
      <c r="Y452" s="14">
        <f>IF($C452="",0,IF(COUNTIFS($C$5:$C452,$C452,$D$5:$D452,$D452)=1,1,0))</f>
        <v/>
      </c>
      <c r="Z452" s="14">
        <f>IF($A452="","",IF(Config!$B$7-$T452&gt;2,"Arquivada",IF(Config!$B$7-$T452&gt;0,"Histórico","Ativa")))</f>
        <v/>
      </c>
      <c r="AA452" s="14">
        <f>IF($A452="",0,IF(AND(OR($F452="Ponto de atenção",$F452="Incidente"),$L452="Sim"),1,0))</f>
        <v/>
      </c>
      <c r="AB452" s="14">
        <f>IF(OR($C452="",$C452&lt;&gt;'1a1'!$B$4,$T452&lt;&gt;Config!$B$7),"",COUNTIFS($C$5:$C452,'1a1'!$B$4,$T$5:$T452,Config!$B$7))</f>
        <v/>
      </c>
    </row>
    <row r="453">
      <c r="A453" s="18" t="n"/>
      <c r="B453" s="19" t="n"/>
      <c r="C453" s="14">
        <f>IFERROR(INDEX(Pessoas!$A$5:$A$64,MATCH($B453,Pessoas!$B$5:$B$64,0)),"")</f>
        <v/>
      </c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8" t="n"/>
      <c r="N453" s="19" t="n"/>
      <c r="O453" s="19" t="n"/>
      <c r="P453" s="19" t="n"/>
      <c r="Q453" s="20">
        <f>IF(OR($M453="",$P453=""),"",$M453+IF($P453="7 dias",7,IF($P453="14 dias",14,90)))</f>
        <v/>
      </c>
      <c r="R453" s="19" t="n"/>
      <c r="S453" s="19" t="n"/>
      <c r="T453" s="14">
        <f>IF($A453="","",YEAR($A453)*4+ROUNDUP(MONTH($A453)/3,0))</f>
        <v/>
      </c>
      <c r="U453" s="14">
        <f>IF($C453="","",$C453&amp;"|"&amp;$T453)</f>
        <v/>
      </c>
      <c r="V453" s="14">
        <f>IF($C453="","",$C453&amp;"|"&amp;$T453&amp;"|"&amp;$G453)</f>
        <v/>
      </c>
      <c r="W453" s="14">
        <f>IF($A453="","",IF(OR($B453="",$F453="",$G453="",$H453="",$I453=""),"Faltam campos básicos",IF(AND(OR($F453="Ponto de atenção",$F453="Incidente"),OR($K453="",$L453="",$O453="",$P453="")),"Faltam campos de sinalização","OK")))</f>
        <v/>
      </c>
      <c r="X453" s="14">
        <f>IF($A453="","",IF(AND(OR($F453="Ponto de atenção",$F453="Incidente"),$L453&lt;&gt;"Sim"),"Não",IF(AND($S453="",$W453&lt;&gt;"OK"),"Não","Sim")))</f>
        <v/>
      </c>
      <c r="Y453" s="14">
        <f>IF($C453="",0,IF(COUNTIFS($C$5:$C453,$C453,$D$5:$D453,$D453)=1,1,0))</f>
        <v/>
      </c>
      <c r="Z453" s="14">
        <f>IF($A453="","",IF(Config!$B$7-$T453&gt;2,"Arquivada",IF(Config!$B$7-$T453&gt;0,"Histórico","Ativa")))</f>
        <v/>
      </c>
      <c r="AA453" s="14">
        <f>IF($A453="",0,IF(AND(OR($F453="Ponto de atenção",$F453="Incidente"),$L453="Sim"),1,0))</f>
        <v/>
      </c>
      <c r="AB453" s="14">
        <f>IF(OR($C453="",$C453&lt;&gt;'1a1'!$B$4,$T453&lt;&gt;Config!$B$7),"",COUNTIFS($C$5:$C453,'1a1'!$B$4,$T$5:$T453,Config!$B$7))</f>
        <v/>
      </c>
    </row>
    <row r="454">
      <c r="A454" s="18" t="n"/>
      <c r="B454" s="19" t="n"/>
      <c r="C454" s="14">
        <f>IFERROR(INDEX(Pessoas!$A$5:$A$64,MATCH($B454,Pessoas!$B$5:$B$64,0)),"")</f>
        <v/>
      </c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8" t="n"/>
      <c r="N454" s="19" t="n"/>
      <c r="O454" s="19" t="n"/>
      <c r="P454" s="19" t="n"/>
      <c r="Q454" s="20">
        <f>IF(OR($M454="",$P454=""),"",$M454+IF($P454="7 dias",7,IF($P454="14 dias",14,90)))</f>
        <v/>
      </c>
      <c r="R454" s="19" t="n"/>
      <c r="S454" s="19" t="n"/>
      <c r="T454" s="14">
        <f>IF($A454="","",YEAR($A454)*4+ROUNDUP(MONTH($A454)/3,0))</f>
        <v/>
      </c>
      <c r="U454" s="14">
        <f>IF($C454="","",$C454&amp;"|"&amp;$T454)</f>
        <v/>
      </c>
      <c r="V454" s="14">
        <f>IF($C454="","",$C454&amp;"|"&amp;$T454&amp;"|"&amp;$G454)</f>
        <v/>
      </c>
      <c r="W454" s="14">
        <f>IF($A454="","",IF(OR($B454="",$F454="",$G454="",$H454="",$I454=""),"Faltam campos básicos",IF(AND(OR($F454="Ponto de atenção",$F454="Incidente"),OR($K454="",$L454="",$O454="",$P454="")),"Faltam campos de sinalização","OK")))</f>
        <v/>
      </c>
      <c r="X454" s="14">
        <f>IF($A454="","",IF(AND(OR($F454="Ponto de atenção",$F454="Incidente"),$L454&lt;&gt;"Sim"),"Não",IF(AND($S454="",$W454&lt;&gt;"OK"),"Não","Sim")))</f>
        <v/>
      </c>
      <c r="Y454" s="14">
        <f>IF($C454="",0,IF(COUNTIFS($C$5:$C454,$C454,$D$5:$D454,$D454)=1,1,0))</f>
        <v/>
      </c>
      <c r="Z454" s="14">
        <f>IF($A454="","",IF(Config!$B$7-$T454&gt;2,"Arquivada",IF(Config!$B$7-$T454&gt;0,"Histórico","Ativa")))</f>
        <v/>
      </c>
      <c r="AA454" s="14">
        <f>IF($A454="",0,IF(AND(OR($F454="Ponto de atenção",$F454="Incidente"),$L454="Sim"),1,0))</f>
        <v/>
      </c>
      <c r="AB454" s="14">
        <f>IF(OR($C454="",$C454&lt;&gt;'1a1'!$B$4,$T454&lt;&gt;Config!$B$7),"",COUNTIFS($C$5:$C454,'1a1'!$B$4,$T$5:$T454,Config!$B$7))</f>
        <v/>
      </c>
    </row>
    <row r="455">
      <c r="A455" s="18" t="n"/>
      <c r="B455" s="19" t="n"/>
      <c r="C455" s="14">
        <f>IFERROR(INDEX(Pessoas!$A$5:$A$64,MATCH($B455,Pessoas!$B$5:$B$64,0)),"")</f>
        <v/>
      </c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8" t="n"/>
      <c r="N455" s="19" t="n"/>
      <c r="O455" s="19" t="n"/>
      <c r="P455" s="19" t="n"/>
      <c r="Q455" s="20">
        <f>IF(OR($M455="",$P455=""),"",$M455+IF($P455="7 dias",7,IF($P455="14 dias",14,90)))</f>
        <v/>
      </c>
      <c r="R455" s="19" t="n"/>
      <c r="S455" s="19" t="n"/>
      <c r="T455" s="14">
        <f>IF($A455="","",YEAR($A455)*4+ROUNDUP(MONTH($A455)/3,0))</f>
        <v/>
      </c>
      <c r="U455" s="14">
        <f>IF($C455="","",$C455&amp;"|"&amp;$T455)</f>
        <v/>
      </c>
      <c r="V455" s="14">
        <f>IF($C455="","",$C455&amp;"|"&amp;$T455&amp;"|"&amp;$G455)</f>
        <v/>
      </c>
      <c r="W455" s="14">
        <f>IF($A455="","",IF(OR($B455="",$F455="",$G455="",$H455="",$I455=""),"Faltam campos básicos",IF(AND(OR($F455="Ponto de atenção",$F455="Incidente"),OR($K455="",$L455="",$O455="",$P455="")),"Faltam campos de sinalização","OK")))</f>
        <v/>
      </c>
      <c r="X455" s="14">
        <f>IF($A455="","",IF(AND(OR($F455="Ponto de atenção",$F455="Incidente"),$L455&lt;&gt;"Sim"),"Não",IF(AND($S455="",$W455&lt;&gt;"OK"),"Não","Sim")))</f>
        <v/>
      </c>
      <c r="Y455" s="14">
        <f>IF($C455="",0,IF(COUNTIFS($C$5:$C455,$C455,$D$5:$D455,$D455)=1,1,0))</f>
        <v/>
      </c>
      <c r="Z455" s="14">
        <f>IF($A455="","",IF(Config!$B$7-$T455&gt;2,"Arquivada",IF(Config!$B$7-$T455&gt;0,"Histórico","Ativa")))</f>
        <v/>
      </c>
      <c r="AA455" s="14">
        <f>IF($A455="",0,IF(AND(OR($F455="Ponto de atenção",$F455="Incidente"),$L455="Sim"),1,0))</f>
        <v/>
      </c>
      <c r="AB455" s="14">
        <f>IF(OR($C455="",$C455&lt;&gt;'1a1'!$B$4,$T455&lt;&gt;Config!$B$7),"",COUNTIFS($C$5:$C455,'1a1'!$B$4,$T$5:$T455,Config!$B$7))</f>
        <v/>
      </c>
    </row>
    <row r="456">
      <c r="A456" s="18" t="n"/>
      <c r="B456" s="19" t="n"/>
      <c r="C456" s="14">
        <f>IFERROR(INDEX(Pessoas!$A$5:$A$64,MATCH($B456,Pessoas!$B$5:$B$64,0)),"")</f>
        <v/>
      </c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8" t="n"/>
      <c r="N456" s="19" t="n"/>
      <c r="O456" s="19" t="n"/>
      <c r="P456" s="19" t="n"/>
      <c r="Q456" s="20">
        <f>IF(OR($M456="",$P456=""),"",$M456+IF($P456="7 dias",7,IF($P456="14 dias",14,90)))</f>
        <v/>
      </c>
      <c r="R456" s="19" t="n"/>
      <c r="S456" s="19" t="n"/>
      <c r="T456" s="14">
        <f>IF($A456="","",YEAR($A456)*4+ROUNDUP(MONTH($A456)/3,0))</f>
        <v/>
      </c>
      <c r="U456" s="14">
        <f>IF($C456="","",$C456&amp;"|"&amp;$T456)</f>
        <v/>
      </c>
      <c r="V456" s="14">
        <f>IF($C456="","",$C456&amp;"|"&amp;$T456&amp;"|"&amp;$G456)</f>
        <v/>
      </c>
      <c r="W456" s="14">
        <f>IF($A456="","",IF(OR($B456="",$F456="",$G456="",$H456="",$I456=""),"Faltam campos básicos",IF(AND(OR($F456="Ponto de atenção",$F456="Incidente"),OR($K456="",$L456="",$O456="",$P456="")),"Faltam campos de sinalização","OK")))</f>
        <v/>
      </c>
      <c r="X456" s="14">
        <f>IF($A456="","",IF(AND(OR($F456="Ponto de atenção",$F456="Incidente"),$L456&lt;&gt;"Sim"),"Não",IF(AND($S456="",$W456&lt;&gt;"OK"),"Não","Sim")))</f>
        <v/>
      </c>
      <c r="Y456" s="14">
        <f>IF($C456="",0,IF(COUNTIFS($C$5:$C456,$C456,$D$5:$D456,$D456)=1,1,0))</f>
        <v/>
      </c>
      <c r="Z456" s="14">
        <f>IF($A456="","",IF(Config!$B$7-$T456&gt;2,"Arquivada",IF(Config!$B$7-$T456&gt;0,"Histórico","Ativa")))</f>
        <v/>
      </c>
      <c r="AA456" s="14">
        <f>IF($A456="",0,IF(AND(OR($F456="Ponto de atenção",$F456="Incidente"),$L456="Sim"),1,0))</f>
        <v/>
      </c>
      <c r="AB456" s="14">
        <f>IF(OR($C456="",$C456&lt;&gt;'1a1'!$B$4,$T456&lt;&gt;Config!$B$7),"",COUNTIFS($C$5:$C456,'1a1'!$B$4,$T$5:$T456,Config!$B$7))</f>
        <v/>
      </c>
    </row>
    <row r="457">
      <c r="A457" s="18" t="n"/>
      <c r="B457" s="19" t="n"/>
      <c r="C457" s="14">
        <f>IFERROR(INDEX(Pessoas!$A$5:$A$64,MATCH($B457,Pessoas!$B$5:$B$64,0)),"")</f>
        <v/>
      </c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8" t="n"/>
      <c r="N457" s="19" t="n"/>
      <c r="O457" s="19" t="n"/>
      <c r="P457" s="19" t="n"/>
      <c r="Q457" s="20">
        <f>IF(OR($M457="",$P457=""),"",$M457+IF($P457="7 dias",7,IF($P457="14 dias",14,90)))</f>
        <v/>
      </c>
      <c r="R457" s="19" t="n"/>
      <c r="S457" s="19" t="n"/>
      <c r="T457" s="14">
        <f>IF($A457="","",YEAR($A457)*4+ROUNDUP(MONTH($A457)/3,0))</f>
        <v/>
      </c>
      <c r="U457" s="14">
        <f>IF($C457="","",$C457&amp;"|"&amp;$T457)</f>
        <v/>
      </c>
      <c r="V457" s="14">
        <f>IF($C457="","",$C457&amp;"|"&amp;$T457&amp;"|"&amp;$G457)</f>
        <v/>
      </c>
      <c r="W457" s="14">
        <f>IF($A457="","",IF(OR($B457="",$F457="",$G457="",$H457="",$I457=""),"Faltam campos básicos",IF(AND(OR($F457="Ponto de atenção",$F457="Incidente"),OR($K457="",$L457="",$O457="",$P457="")),"Faltam campos de sinalização","OK")))</f>
        <v/>
      </c>
      <c r="X457" s="14">
        <f>IF($A457="","",IF(AND(OR($F457="Ponto de atenção",$F457="Incidente"),$L457&lt;&gt;"Sim"),"Não",IF(AND($S457="",$W457&lt;&gt;"OK"),"Não","Sim")))</f>
        <v/>
      </c>
      <c r="Y457" s="14">
        <f>IF($C457="",0,IF(COUNTIFS($C$5:$C457,$C457,$D$5:$D457,$D457)=1,1,0))</f>
        <v/>
      </c>
      <c r="Z457" s="14">
        <f>IF($A457="","",IF(Config!$B$7-$T457&gt;2,"Arquivada",IF(Config!$B$7-$T457&gt;0,"Histórico","Ativa")))</f>
        <v/>
      </c>
      <c r="AA457" s="14">
        <f>IF($A457="",0,IF(AND(OR($F457="Ponto de atenção",$F457="Incidente"),$L457="Sim"),1,0))</f>
        <v/>
      </c>
      <c r="AB457" s="14">
        <f>IF(OR($C457="",$C457&lt;&gt;'1a1'!$B$4,$T457&lt;&gt;Config!$B$7),"",COUNTIFS($C$5:$C457,'1a1'!$B$4,$T$5:$T457,Config!$B$7))</f>
        <v/>
      </c>
    </row>
    <row r="458">
      <c r="A458" s="18" t="n"/>
      <c r="B458" s="19" t="n"/>
      <c r="C458" s="14">
        <f>IFERROR(INDEX(Pessoas!$A$5:$A$64,MATCH($B458,Pessoas!$B$5:$B$64,0)),"")</f>
        <v/>
      </c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8" t="n"/>
      <c r="N458" s="19" t="n"/>
      <c r="O458" s="19" t="n"/>
      <c r="P458" s="19" t="n"/>
      <c r="Q458" s="20">
        <f>IF(OR($M458="",$P458=""),"",$M458+IF($P458="7 dias",7,IF($P458="14 dias",14,90)))</f>
        <v/>
      </c>
      <c r="R458" s="19" t="n"/>
      <c r="S458" s="19" t="n"/>
      <c r="T458" s="14">
        <f>IF($A458="","",YEAR($A458)*4+ROUNDUP(MONTH($A458)/3,0))</f>
        <v/>
      </c>
      <c r="U458" s="14">
        <f>IF($C458="","",$C458&amp;"|"&amp;$T458)</f>
        <v/>
      </c>
      <c r="V458" s="14">
        <f>IF($C458="","",$C458&amp;"|"&amp;$T458&amp;"|"&amp;$G458)</f>
        <v/>
      </c>
      <c r="W458" s="14">
        <f>IF($A458="","",IF(OR($B458="",$F458="",$G458="",$H458="",$I458=""),"Faltam campos básicos",IF(AND(OR($F458="Ponto de atenção",$F458="Incidente"),OR($K458="",$L458="",$O458="",$P458="")),"Faltam campos de sinalização","OK")))</f>
        <v/>
      </c>
      <c r="X458" s="14">
        <f>IF($A458="","",IF(AND(OR($F458="Ponto de atenção",$F458="Incidente"),$L458&lt;&gt;"Sim"),"Não",IF(AND($S458="",$W458&lt;&gt;"OK"),"Não","Sim")))</f>
        <v/>
      </c>
      <c r="Y458" s="14">
        <f>IF($C458="",0,IF(COUNTIFS($C$5:$C458,$C458,$D$5:$D458,$D458)=1,1,0))</f>
        <v/>
      </c>
      <c r="Z458" s="14">
        <f>IF($A458="","",IF(Config!$B$7-$T458&gt;2,"Arquivada",IF(Config!$B$7-$T458&gt;0,"Histórico","Ativa")))</f>
        <v/>
      </c>
      <c r="AA458" s="14">
        <f>IF($A458="",0,IF(AND(OR($F458="Ponto de atenção",$F458="Incidente"),$L458="Sim"),1,0))</f>
        <v/>
      </c>
      <c r="AB458" s="14">
        <f>IF(OR($C458="",$C458&lt;&gt;'1a1'!$B$4,$T458&lt;&gt;Config!$B$7),"",COUNTIFS($C$5:$C458,'1a1'!$B$4,$T$5:$T458,Config!$B$7))</f>
        <v/>
      </c>
    </row>
    <row r="459">
      <c r="A459" s="18" t="n"/>
      <c r="B459" s="19" t="n"/>
      <c r="C459" s="14">
        <f>IFERROR(INDEX(Pessoas!$A$5:$A$64,MATCH($B459,Pessoas!$B$5:$B$64,0)),"")</f>
        <v/>
      </c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8" t="n"/>
      <c r="N459" s="19" t="n"/>
      <c r="O459" s="19" t="n"/>
      <c r="P459" s="19" t="n"/>
      <c r="Q459" s="20">
        <f>IF(OR($M459="",$P459=""),"",$M459+IF($P459="7 dias",7,IF($P459="14 dias",14,90)))</f>
        <v/>
      </c>
      <c r="R459" s="19" t="n"/>
      <c r="S459" s="19" t="n"/>
      <c r="T459" s="14">
        <f>IF($A459="","",YEAR($A459)*4+ROUNDUP(MONTH($A459)/3,0))</f>
        <v/>
      </c>
      <c r="U459" s="14">
        <f>IF($C459="","",$C459&amp;"|"&amp;$T459)</f>
        <v/>
      </c>
      <c r="V459" s="14">
        <f>IF($C459="","",$C459&amp;"|"&amp;$T459&amp;"|"&amp;$G459)</f>
        <v/>
      </c>
      <c r="W459" s="14">
        <f>IF($A459="","",IF(OR($B459="",$F459="",$G459="",$H459="",$I459=""),"Faltam campos básicos",IF(AND(OR($F459="Ponto de atenção",$F459="Incidente"),OR($K459="",$L459="",$O459="",$P459="")),"Faltam campos de sinalização","OK")))</f>
        <v/>
      </c>
      <c r="X459" s="14">
        <f>IF($A459="","",IF(AND(OR($F459="Ponto de atenção",$F459="Incidente"),$L459&lt;&gt;"Sim"),"Não",IF(AND($S459="",$W459&lt;&gt;"OK"),"Não","Sim")))</f>
        <v/>
      </c>
      <c r="Y459" s="14">
        <f>IF($C459="",0,IF(COUNTIFS($C$5:$C459,$C459,$D$5:$D459,$D459)=1,1,0))</f>
        <v/>
      </c>
      <c r="Z459" s="14">
        <f>IF($A459="","",IF(Config!$B$7-$T459&gt;2,"Arquivada",IF(Config!$B$7-$T459&gt;0,"Histórico","Ativa")))</f>
        <v/>
      </c>
      <c r="AA459" s="14">
        <f>IF($A459="",0,IF(AND(OR($F459="Ponto de atenção",$F459="Incidente"),$L459="Sim"),1,0))</f>
        <v/>
      </c>
      <c r="AB459" s="14">
        <f>IF(OR($C459="",$C459&lt;&gt;'1a1'!$B$4,$T459&lt;&gt;Config!$B$7),"",COUNTIFS($C$5:$C459,'1a1'!$B$4,$T$5:$T459,Config!$B$7))</f>
        <v/>
      </c>
    </row>
    <row r="460">
      <c r="A460" s="18" t="n"/>
      <c r="B460" s="19" t="n"/>
      <c r="C460" s="14">
        <f>IFERROR(INDEX(Pessoas!$A$5:$A$64,MATCH($B460,Pessoas!$B$5:$B$64,0)),"")</f>
        <v/>
      </c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8" t="n"/>
      <c r="N460" s="19" t="n"/>
      <c r="O460" s="19" t="n"/>
      <c r="P460" s="19" t="n"/>
      <c r="Q460" s="20">
        <f>IF(OR($M460="",$P460=""),"",$M460+IF($P460="7 dias",7,IF($P460="14 dias",14,90)))</f>
        <v/>
      </c>
      <c r="R460" s="19" t="n"/>
      <c r="S460" s="19" t="n"/>
      <c r="T460" s="14">
        <f>IF($A460="","",YEAR($A460)*4+ROUNDUP(MONTH($A460)/3,0))</f>
        <v/>
      </c>
      <c r="U460" s="14">
        <f>IF($C460="","",$C460&amp;"|"&amp;$T460)</f>
        <v/>
      </c>
      <c r="V460" s="14">
        <f>IF($C460="","",$C460&amp;"|"&amp;$T460&amp;"|"&amp;$G460)</f>
        <v/>
      </c>
      <c r="W460" s="14">
        <f>IF($A460="","",IF(OR($B460="",$F460="",$G460="",$H460="",$I460=""),"Faltam campos básicos",IF(AND(OR($F460="Ponto de atenção",$F460="Incidente"),OR($K460="",$L460="",$O460="",$P460="")),"Faltam campos de sinalização","OK")))</f>
        <v/>
      </c>
      <c r="X460" s="14">
        <f>IF($A460="","",IF(AND(OR($F460="Ponto de atenção",$F460="Incidente"),$L460&lt;&gt;"Sim"),"Não",IF(AND($S460="",$W460&lt;&gt;"OK"),"Não","Sim")))</f>
        <v/>
      </c>
      <c r="Y460" s="14">
        <f>IF($C460="",0,IF(COUNTIFS($C$5:$C460,$C460,$D$5:$D460,$D460)=1,1,0))</f>
        <v/>
      </c>
      <c r="Z460" s="14">
        <f>IF($A460="","",IF(Config!$B$7-$T460&gt;2,"Arquivada",IF(Config!$B$7-$T460&gt;0,"Histórico","Ativa")))</f>
        <v/>
      </c>
      <c r="AA460" s="14">
        <f>IF($A460="",0,IF(AND(OR($F460="Ponto de atenção",$F460="Incidente"),$L460="Sim"),1,0))</f>
        <v/>
      </c>
      <c r="AB460" s="14">
        <f>IF(OR($C460="",$C460&lt;&gt;'1a1'!$B$4,$T460&lt;&gt;Config!$B$7),"",COUNTIFS($C$5:$C460,'1a1'!$B$4,$T$5:$T460,Config!$B$7))</f>
        <v/>
      </c>
    </row>
    <row r="461">
      <c r="A461" s="18" t="n"/>
      <c r="B461" s="19" t="n"/>
      <c r="C461" s="14">
        <f>IFERROR(INDEX(Pessoas!$A$5:$A$64,MATCH($B461,Pessoas!$B$5:$B$64,0)),"")</f>
        <v/>
      </c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8" t="n"/>
      <c r="N461" s="19" t="n"/>
      <c r="O461" s="19" t="n"/>
      <c r="P461" s="19" t="n"/>
      <c r="Q461" s="20">
        <f>IF(OR($M461="",$P461=""),"",$M461+IF($P461="7 dias",7,IF($P461="14 dias",14,90)))</f>
        <v/>
      </c>
      <c r="R461" s="19" t="n"/>
      <c r="S461" s="19" t="n"/>
      <c r="T461" s="14">
        <f>IF($A461="","",YEAR($A461)*4+ROUNDUP(MONTH($A461)/3,0))</f>
        <v/>
      </c>
      <c r="U461" s="14">
        <f>IF($C461="","",$C461&amp;"|"&amp;$T461)</f>
        <v/>
      </c>
      <c r="V461" s="14">
        <f>IF($C461="","",$C461&amp;"|"&amp;$T461&amp;"|"&amp;$G461)</f>
        <v/>
      </c>
      <c r="W461" s="14">
        <f>IF($A461="","",IF(OR($B461="",$F461="",$G461="",$H461="",$I461=""),"Faltam campos básicos",IF(AND(OR($F461="Ponto de atenção",$F461="Incidente"),OR($K461="",$L461="",$O461="",$P461="")),"Faltam campos de sinalização","OK")))</f>
        <v/>
      </c>
      <c r="X461" s="14">
        <f>IF($A461="","",IF(AND(OR($F461="Ponto de atenção",$F461="Incidente"),$L461&lt;&gt;"Sim"),"Não",IF(AND($S461="",$W461&lt;&gt;"OK"),"Não","Sim")))</f>
        <v/>
      </c>
      <c r="Y461" s="14">
        <f>IF($C461="",0,IF(COUNTIFS($C$5:$C461,$C461,$D$5:$D461,$D461)=1,1,0))</f>
        <v/>
      </c>
      <c r="Z461" s="14">
        <f>IF($A461="","",IF(Config!$B$7-$T461&gt;2,"Arquivada",IF(Config!$B$7-$T461&gt;0,"Histórico","Ativa")))</f>
        <v/>
      </c>
      <c r="AA461" s="14">
        <f>IF($A461="",0,IF(AND(OR($F461="Ponto de atenção",$F461="Incidente"),$L461="Sim"),1,0))</f>
        <v/>
      </c>
      <c r="AB461" s="14">
        <f>IF(OR($C461="",$C461&lt;&gt;'1a1'!$B$4,$T461&lt;&gt;Config!$B$7),"",COUNTIFS($C$5:$C461,'1a1'!$B$4,$T$5:$T461,Config!$B$7))</f>
        <v/>
      </c>
    </row>
    <row r="462">
      <c r="A462" s="18" t="n"/>
      <c r="B462" s="19" t="n"/>
      <c r="C462" s="14">
        <f>IFERROR(INDEX(Pessoas!$A$5:$A$64,MATCH($B462,Pessoas!$B$5:$B$64,0)),"")</f>
        <v/>
      </c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8" t="n"/>
      <c r="N462" s="19" t="n"/>
      <c r="O462" s="19" t="n"/>
      <c r="P462" s="19" t="n"/>
      <c r="Q462" s="20">
        <f>IF(OR($M462="",$P462=""),"",$M462+IF($P462="7 dias",7,IF($P462="14 dias",14,90)))</f>
        <v/>
      </c>
      <c r="R462" s="19" t="n"/>
      <c r="S462" s="19" t="n"/>
      <c r="T462" s="14">
        <f>IF($A462="","",YEAR($A462)*4+ROUNDUP(MONTH($A462)/3,0))</f>
        <v/>
      </c>
      <c r="U462" s="14">
        <f>IF($C462="","",$C462&amp;"|"&amp;$T462)</f>
        <v/>
      </c>
      <c r="V462" s="14">
        <f>IF($C462="","",$C462&amp;"|"&amp;$T462&amp;"|"&amp;$G462)</f>
        <v/>
      </c>
      <c r="W462" s="14">
        <f>IF($A462="","",IF(OR($B462="",$F462="",$G462="",$H462="",$I462=""),"Faltam campos básicos",IF(AND(OR($F462="Ponto de atenção",$F462="Incidente"),OR($K462="",$L462="",$O462="",$P462="")),"Faltam campos de sinalização","OK")))</f>
        <v/>
      </c>
      <c r="X462" s="14">
        <f>IF($A462="","",IF(AND(OR($F462="Ponto de atenção",$F462="Incidente"),$L462&lt;&gt;"Sim"),"Não",IF(AND($S462="",$W462&lt;&gt;"OK"),"Não","Sim")))</f>
        <v/>
      </c>
      <c r="Y462" s="14">
        <f>IF($C462="",0,IF(COUNTIFS($C$5:$C462,$C462,$D$5:$D462,$D462)=1,1,0))</f>
        <v/>
      </c>
      <c r="Z462" s="14">
        <f>IF($A462="","",IF(Config!$B$7-$T462&gt;2,"Arquivada",IF(Config!$B$7-$T462&gt;0,"Histórico","Ativa")))</f>
        <v/>
      </c>
      <c r="AA462" s="14">
        <f>IF($A462="",0,IF(AND(OR($F462="Ponto de atenção",$F462="Incidente"),$L462="Sim"),1,0))</f>
        <v/>
      </c>
      <c r="AB462" s="14">
        <f>IF(OR($C462="",$C462&lt;&gt;'1a1'!$B$4,$T462&lt;&gt;Config!$B$7),"",COUNTIFS($C$5:$C462,'1a1'!$B$4,$T$5:$T462,Config!$B$7))</f>
        <v/>
      </c>
    </row>
    <row r="463">
      <c r="A463" s="18" t="n"/>
      <c r="B463" s="19" t="n"/>
      <c r="C463" s="14">
        <f>IFERROR(INDEX(Pessoas!$A$5:$A$64,MATCH($B463,Pessoas!$B$5:$B$64,0)),"")</f>
        <v/>
      </c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8" t="n"/>
      <c r="N463" s="19" t="n"/>
      <c r="O463" s="19" t="n"/>
      <c r="P463" s="19" t="n"/>
      <c r="Q463" s="20">
        <f>IF(OR($M463="",$P463=""),"",$M463+IF($P463="7 dias",7,IF($P463="14 dias",14,90)))</f>
        <v/>
      </c>
      <c r="R463" s="19" t="n"/>
      <c r="S463" s="19" t="n"/>
      <c r="T463" s="14">
        <f>IF($A463="","",YEAR($A463)*4+ROUNDUP(MONTH($A463)/3,0))</f>
        <v/>
      </c>
      <c r="U463" s="14">
        <f>IF($C463="","",$C463&amp;"|"&amp;$T463)</f>
        <v/>
      </c>
      <c r="V463" s="14">
        <f>IF($C463="","",$C463&amp;"|"&amp;$T463&amp;"|"&amp;$G463)</f>
        <v/>
      </c>
      <c r="W463" s="14">
        <f>IF($A463="","",IF(OR($B463="",$F463="",$G463="",$H463="",$I463=""),"Faltam campos básicos",IF(AND(OR($F463="Ponto de atenção",$F463="Incidente"),OR($K463="",$L463="",$O463="",$P463="")),"Faltam campos de sinalização","OK")))</f>
        <v/>
      </c>
      <c r="X463" s="14">
        <f>IF($A463="","",IF(AND(OR($F463="Ponto de atenção",$F463="Incidente"),$L463&lt;&gt;"Sim"),"Não",IF(AND($S463="",$W463&lt;&gt;"OK"),"Não","Sim")))</f>
        <v/>
      </c>
      <c r="Y463" s="14">
        <f>IF($C463="",0,IF(COUNTIFS($C$5:$C463,$C463,$D$5:$D463,$D463)=1,1,0))</f>
        <v/>
      </c>
      <c r="Z463" s="14">
        <f>IF($A463="","",IF(Config!$B$7-$T463&gt;2,"Arquivada",IF(Config!$B$7-$T463&gt;0,"Histórico","Ativa")))</f>
        <v/>
      </c>
      <c r="AA463" s="14">
        <f>IF($A463="",0,IF(AND(OR($F463="Ponto de atenção",$F463="Incidente"),$L463="Sim"),1,0))</f>
        <v/>
      </c>
      <c r="AB463" s="14">
        <f>IF(OR($C463="",$C463&lt;&gt;'1a1'!$B$4,$T463&lt;&gt;Config!$B$7),"",COUNTIFS($C$5:$C463,'1a1'!$B$4,$T$5:$T463,Config!$B$7))</f>
        <v/>
      </c>
    </row>
    <row r="464">
      <c r="A464" s="18" t="n"/>
      <c r="B464" s="19" t="n"/>
      <c r="C464" s="14">
        <f>IFERROR(INDEX(Pessoas!$A$5:$A$64,MATCH($B464,Pessoas!$B$5:$B$64,0)),"")</f>
        <v/>
      </c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8" t="n"/>
      <c r="N464" s="19" t="n"/>
      <c r="O464" s="19" t="n"/>
      <c r="P464" s="19" t="n"/>
      <c r="Q464" s="20">
        <f>IF(OR($M464="",$P464=""),"",$M464+IF($P464="7 dias",7,IF($P464="14 dias",14,90)))</f>
        <v/>
      </c>
      <c r="R464" s="19" t="n"/>
      <c r="S464" s="19" t="n"/>
      <c r="T464" s="14">
        <f>IF($A464="","",YEAR($A464)*4+ROUNDUP(MONTH($A464)/3,0))</f>
        <v/>
      </c>
      <c r="U464" s="14">
        <f>IF($C464="","",$C464&amp;"|"&amp;$T464)</f>
        <v/>
      </c>
      <c r="V464" s="14">
        <f>IF($C464="","",$C464&amp;"|"&amp;$T464&amp;"|"&amp;$G464)</f>
        <v/>
      </c>
      <c r="W464" s="14">
        <f>IF($A464="","",IF(OR($B464="",$F464="",$G464="",$H464="",$I464=""),"Faltam campos básicos",IF(AND(OR($F464="Ponto de atenção",$F464="Incidente"),OR($K464="",$L464="",$O464="",$P464="")),"Faltam campos de sinalização","OK")))</f>
        <v/>
      </c>
      <c r="X464" s="14">
        <f>IF($A464="","",IF(AND(OR($F464="Ponto de atenção",$F464="Incidente"),$L464&lt;&gt;"Sim"),"Não",IF(AND($S464="",$W464&lt;&gt;"OK"),"Não","Sim")))</f>
        <v/>
      </c>
      <c r="Y464" s="14">
        <f>IF($C464="",0,IF(COUNTIFS($C$5:$C464,$C464,$D$5:$D464,$D464)=1,1,0))</f>
        <v/>
      </c>
      <c r="Z464" s="14">
        <f>IF($A464="","",IF(Config!$B$7-$T464&gt;2,"Arquivada",IF(Config!$B$7-$T464&gt;0,"Histórico","Ativa")))</f>
        <v/>
      </c>
      <c r="AA464" s="14">
        <f>IF($A464="",0,IF(AND(OR($F464="Ponto de atenção",$F464="Incidente"),$L464="Sim"),1,0))</f>
        <v/>
      </c>
      <c r="AB464" s="14">
        <f>IF(OR($C464="",$C464&lt;&gt;'1a1'!$B$4,$T464&lt;&gt;Config!$B$7),"",COUNTIFS($C$5:$C464,'1a1'!$B$4,$T$5:$T464,Config!$B$7))</f>
        <v/>
      </c>
    </row>
    <row r="465">
      <c r="A465" s="18" t="n"/>
      <c r="B465" s="19" t="n"/>
      <c r="C465" s="14">
        <f>IFERROR(INDEX(Pessoas!$A$5:$A$64,MATCH($B465,Pessoas!$B$5:$B$64,0)),"")</f>
        <v/>
      </c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8" t="n"/>
      <c r="N465" s="19" t="n"/>
      <c r="O465" s="19" t="n"/>
      <c r="P465" s="19" t="n"/>
      <c r="Q465" s="20">
        <f>IF(OR($M465="",$P465=""),"",$M465+IF($P465="7 dias",7,IF($P465="14 dias",14,90)))</f>
        <v/>
      </c>
      <c r="R465" s="19" t="n"/>
      <c r="S465" s="19" t="n"/>
      <c r="T465" s="14">
        <f>IF($A465="","",YEAR($A465)*4+ROUNDUP(MONTH($A465)/3,0))</f>
        <v/>
      </c>
      <c r="U465" s="14">
        <f>IF($C465="","",$C465&amp;"|"&amp;$T465)</f>
        <v/>
      </c>
      <c r="V465" s="14">
        <f>IF($C465="","",$C465&amp;"|"&amp;$T465&amp;"|"&amp;$G465)</f>
        <v/>
      </c>
      <c r="W465" s="14">
        <f>IF($A465="","",IF(OR($B465="",$F465="",$G465="",$H465="",$I465=""),"Faltam campos básicos",IF(AND(OR($F465="Ponto de atenção",$F465="Incidente"),OR($K465="",$L465="",$O465="",$P465="")),"Faltam campos de sinalização","OK")))</f>
        <v/>
      </c>
      <c r="X465" s="14">
        <f>IF($A465="","",IF(AND(OR($F465="Ponto de atenção",$F465="Incidente"),$L465&lt;&gt;"Sim"),"Não",IF(AND($S465="",$W465&lt;&gt;"OK"),"Não","Sim")))</f>
        <v/>
      </c>
      <c r="Y465" s="14">
        <f>IF($C465="",0,IF(COUNTIFS($C$5:$C465,$C465,$D$5:$D465,$D465)=1,1,0))</f>
        <v/>
      </c>
      <c r="Z465" s="14">
        <f>IF($A465="","",IF(Config!$B$7-$T465&gt;2,"Arquivada",IF(Config!$B$7-$T465&gt;0,"Histórico","Ativa")))</f>
        <v/>
      </c>
      <c r="AA465" s="14">
        <f>IF($A465="",0,IF(AND(OR($F465="Ponto de atenção",$F465="Incidente"),$L465="Sim"),1,0))</f>
        <v/>
      </c>
      <c r="AB465" s="14">
        <f>IF(OR($C465="",$C465&lt;&gt;'1a1'!$B$4,$T465&lt;&gt;Config!$B$7),"",COUNTIFS($C$5:$C465,'1a1'!$B$4,$T$5:$T465,Config!$B$7))</f>
        <v/>
      </c>
    </row>
    <row r="466">
      <c r="A466" s="18" t="n"/>
      <c r="B466" s="19" t="n"/>
      <c r="C466" s="14">
        <f>IFERROR(INDEX(Pessoas!$A$5:$A$64,MATCH($B466,Pessoas!$B$5:$B$64,0)),"")</f>
        <v/>
      </c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8" t="n"/>
      <c r="N466" s="19" t="n"/>
      <c r="O466" s="19" t="n"/>
      <c r="P466" s="19" t="n"/>
      <c r="Q466" s="20">
        <f>IF(OR($M466="",$P466=""),"",$M466+IF($P466="7 dias",7,IF($P466="14 dias",14,90)))</f>
        <v/>
      </c>
      <c r="R466" s="19" t="n"/>
      <c r="S466" s="19" t="n"/>
      <c r="T466" s="14">
        <f>IF($A466="","",YEAR($A466)*4+ROUNDUP(MONTH($A466)/3,0))</f>
        <v/>
      </c>
      <c r="U466" s="14">
        <f>IF($C466="","",$C466&amp;"|"&amp;$T466)</f>
        <v/>
      </c>
      <c r="V466" s="14">
        <f>IF($C466="","",$C466&amp;"|"&amp;$T466&amp;"|"&amp;$G466)</f>
        <v/>
      </c>
      <c r="W466" s="14">
        <f>IF($A466="","",IF(OR($B466="",$F466="",$G466="",$H466="",$I466=""),"Faltam campos básicos",IF(AND(OR($F466="Ponto de atenção",$F466="Incidente"),OR($K466="",$L466="",$O466="",$P466="")),"Faltam campos de sinalização","OK")))</f>
        <v/>
      </c>
      <c r="X466" s="14">
        <f>IF($A466="","",IF(AND(OR($F466="Ponto de atenção",$F466="Incidente"),$L466&lt;&gt;"Sim"),"Não",IF(AND($S466="",$W466&lt;&gt;"OK"),"Não","Sim")))</f>
        <v/>
      </c>
      <c r="Y466" s="14">
        <f>IF($C466="",0,IF(COUNTIFS($C$5:$C466,$C466,$D$5:$D466,$D466)=1,1,0))</f>
        <v/>
      </c>
      <c r="Z466" s="14">
        <f>IF($A466="","",IF(Config!$B$7-$T466&gt;2,"Arquivada",IF(Config!$B$7-$T466&gt;0,"Histórico","Ativa")))</f>
        <v/>
      </c>
      <c r="AA466" s="14">
        <f>IF($A466="",0,IF(AND(OR($F466="Ponto de atenção",$F466="Incidente"),$L466="Sim"),1,0))</f>
        <v/>
      </c>
      <c r="AB466" s="14">
        <f>IF(OR($C466="",$C466&lt;&gt;'1a1'!$B$4,$T466&lt;&gt;Config!$B$7),"",COUNTIFS($C$5:$C466,'1a1'!$B$4,$T$5:$T466,Config!$B$7))</f>
        <v/>
      </c>
    </row>
    <row r="467">
      <c r="A467" s="18" t="n"/>
      <c r="B467" s="19" t="n"/>
      <c r="C467" s="14">
        <f>IFERROR(INDEX(Pessoas!$A$5:$A$64,MATCH($B467,Pessoas!$B$5:$B$64,0)),"")</f>
        <v/>
      </c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8" t="n"/>
      <c r="N467" s="19" t="n"/>
      <c r="O467" s="19" t="n"/>
      <c r="P467" s="19" t="n"/>
      <c r="Q467" s="20">
        <f>IF(OR($M467="",$P467=""),"",$M467+IF($P467="7 dias",7,IF($P467="14 dias",14,90)))</f>
        <v/>
      </c>
      <c r="R467" s="19" t="n"/>
      <c r="S467" s="19" t="n"/>
      <c r="T467" s="14">
        <f>IF($A467="","",YEAR($A467)*4+ROUNDUP(MONTH($A467)/3,0))</f>
        <v/>
      </c>
      <c r="U467" s="14">
        <f>IF($C467="","",$C467&amp;"|"&amp;$T467)</f>
        <v/>
      </c>
      <c r="V467" s="14">
        <f>IF($C467="","",$C467&amp;"|"&amp;$T467&amp;"|"&amp;$G467)</f>
        <v/>
      </c>
      <c r="W467" s="14">
        <f>IF($A467="","",IF(OR($B467="",$F467="",$G467="",$H467="",$I467=""),"Faltam campos básicos",IF(AND(OR($F467="Ponto de atenção",$F467="Incidente"),OR($K467="",$L467="",$O467="",$P467="")),"Faltam campos de sinalização","OK")))</f>
        <v/>
      </c>
      <c r="X467" s="14">
        <f>IF($A467="","",IF(AND(OR($F467="Ponto de atenção",$F467="Incidente"),$L467&lt;&gt;"Sim"),"Não",IF(AND($S467="",$W467&lt;&gt;"OK"),"Não","Sim")))</f>
        <v/>
      </c>
      <c r="Y467" s="14">
        <f>IF($C467="",0,IF(COUNTIFS($C$5:$C467,$C467,$D$5:$D467,$D467)=1,1,0))</f>
        <v/>
      </c>
      <c r="Z467" s="14">
        <f>IF($A467="","",IF(Config!$B$7-$T467&gt;2,"Arquivada",IF(Config!$B$7-$T467&gt;0,"Histórico","Ativa")))</f>
        <v/>
      </c>
      <c r="AA467" s="14">
        <f>IF($A467="",0,IF(AND(OR($F467="Ponto de atenção",$F467="Incidente"),$L467="Sim"),1,0))</f>
        <v/>
      </c>
      <c r="AB467" s="14">
        <f>IF(OR($C467="",$C467&lt;&gt;'1a1'!$B$4,$T467&lt;&gt;Config!$B$7),"",COUNTIFS($C$5:$C467,'1a1'!$B$4,$T$5:$T467,Config!$B$7))</f>
        <v/>
      </c>
    </row>
    <row r="468">
      <c r="A468" s="18" t="n"/>
      <c r="B468" s="19" t="n"/>
      <c r="C468" s="14">
        <f>IFERROR(INDEX(Pessoas!$A$5:$A$64,MATCH($B468,Pessoas!$B$5:$B$64,0)),"")</f>
        <v/>
      </c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8" t="n"/>
      <c r="N468" s="19" t="n"/>
      <c r="O468" s="19" t="n"/>
      <c r="P468" s="19" t="n"/>
      <c r="Q468" s="20">
        <f>IF(OR($M468="",$P468=""),"",$M468+IF($P468="7 dias",7,IF($P468="14 dias",14,90)))</f>
        <v/>
      </c>
      <c r="R468" s="19" t="n"/>
      <c r="S468" s="19" t="n"/>
      <c r="T468" s="14">
        <f>IF($A468="","",YEAR($A468)*4+ROUNDUP(MONTH($A468)/3,0))</f>
        <v/>
      </c>
      <c r="U468" s="14">
        <f>IF($C468="","",$C468&amp;"|"&amp;$T468)</f>
        <v/>
      </c>
      <c r="V468" s="14">
        <f>IF($C468="","",$C468&amp;"|"&amp;$T468&amp;"|"&amp;$G468)</f>
        <v/>
      </c>
      <c r="W468" s="14">
        <f>IF($A468="","",IF(OR($B468="",$F468="",$G468="",$H468="",$I468=""),"Faltam campos básicos",IF(AND(OR($F468="Ponto de atenção",$F468="Incidente"),OR($K468="",$L468="",$O468="",$P468="")),"Faltam campos de sinalização","OK")))</f>
        <v/>
      </c>
      <c r="X468" s="14">
        <f>IF($A468="","",IF(AND(OR($F468="Ponto de atenção",$F468="Incidente"),$L468&lt;&gt;"Sim"),"Não",IF(AND($S468="",$W468&lt;&gt;"OK"),"Não","Sim")))</f>
        <v/>
      </c>
      <c r="Y468" s="14">
        <f>IF($C468="",0,IF(COUNTIFS($C$5:$C468,$C468,$D$5:$D468,$D468)=1,1,0))</f>
        <v/>
      </c>
      <c r="Z468" s="14">
        <f>IF($A468="","",IF(Config!$B$7-$T468&gt;2,"Arquivada",IF(Config!$B$7-$T468&gt;0,"Histórico","Ativa")))</f>
        <v/>
      </c>
      <c r="AA468" s="14">
        <f>IF($A468="",0,IF(AND(OR($F468="Ponto de atenção",$F468="Incidente"),$L468="Sim"),1,0))</f>
        <v/>
      </c>
      <c r="AB468" s="14">
        <f>IF(OR($C468="",$C468&lt;&gt;'1a1'!$B$4,$T468&lt;&gt;Config!$B$7),"",COUNTIFS($C$5:$C468,'1a1'!$B$4,$T$5:$T468,Config!$B$7))</f>
        <v/>
      </c>
    </row>
    <row r="469">
      <c r="A469" s="18" t="n"/>
      <c r="B469" s="19" t="n"/>
      <c r="C469" s="14">
        <f>IFERROR(INDEX(Pessoas!$A$5:$A$64,MATCH($B469,Pessoas!$B$5:$B$64,0)),"")</f>
        <v/>
      </c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8" t="n"/>
      <c r="N469" s="19" t="n"/>
      <c r="O469" s="19" t="n"/>
      <c r="P469" s="19" t="n"/>
      <c r="Q469" s="20">
        <f>IF(OR($M469="",$P469=""),"",$M469+IF($P469="7 dias",7,IF($P469="14 dias",14,90)))</f>
        <v/>
      </c>
      <c r="R469" s="19" t="n"/>
      <c r="S469" s="19" t="n"/>
      <c r="T469" s="14">
        <f>IF($A469="","",YEAR($A469)*4+ROUNDUP(MONTH($A469)/3,0))</f>
        <v/>
      </c>
      <c r="U469" s="14">
        <f>IF($C469="","",$C469&amp;"|"&amp;$T469)</f>
        <v/>
      </c>
      <c r="V469" s="14">
        <f>IF($C469="","",$C469&amp;"|"&amp;$T469&amp;"|"&amp;$G469)</f>
        <v/>
      </c>
      <c r="W469" s="14">
        <f>IF($A469="","",IF(OR($B469="",$F469="",$G469="",$H469="",$I469=""),"Faltam campos básicos",IF(AND(OR($F469="Ponto de atenção",$F469="Incidente"),OR($K469="",$L469="",$O469="",$P469="")),"Faltam campos de sinalização","OK")))</f>
        <v/>
      </c>
      <c r="X469" s="14">
        <f>IF($A469="","",IF(AND(OR($F469="Ponto de atenção",$F469="Incidente"),$L469&lt;&gt;"Sim"),"Não",IF(AND($S469="",$W469&lt;&gt;"OK"),"Não","Sim")))</f>
        <v/>
      </c>
      <c r="Y469" s="14">
        <f>IF($C469="",0,IF(COUNTIFS($C$5:$C469,$C469,$D$5:$D469,$D469)=1,1,0))</f>
        <v/>
      </c>
      <c r="Z469" s="14">
        <f>IF($A469="","",IF(Config!$B$7-$T469&gt;2,"Arquivada",IF(Config!$B$7-$T469&gt;0,"Histórico","Ativa")))</f>
        <v/>
      </c>
      <c r="AA469" s="14">
        <f>IF($A469="",0,IF(AND(OR($F469="Ponto de atenção",$F469="Incidente"),$L469="Sim"),1,0))</f>
        <v/>
      </c>
      <c r="AB469" s="14">
        <f>IF(OR($C469="",$C469&lt;&gt;'1a1'!$B$4,$T469&lt;&gt;Config!$B$7),"",COUNTIFS($C$5:$C469,'1a1'!$B$4,$T$5:$T469,Config!$B$7))</f>
        <v/>
      </c>
    </row>
    <row r="470">
      <c r="A470" s="18" t="n"/>
      <c r="B470" s="19" t="n"/>
      <c r="C470" s="14">
        <f>IFERROR(INDEX(Pessoas!$A$5:$A$64,MATCH($B470,Pessoas!$B$5:$B$64,0)),"")</f>
        <v/>
      </c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8" t="n"/>
      <c r="N470" s="19" t="n"/>
      <c r="O470" s="19" t="n"/>
      <c r="P470" s="19" t="n"/>
      <c r="Q470" s="20">
        <f>IF(OR($M470="",$P470=""),"",$M470+IF($P470="7 dias",7,IF($P470="14 dias",14,90)))</f>
        <v/>
      </c>
      <c r="R470" s="19" t="n"/>
      <c r="S470" s="19" t="n"/>
      <c r="T470" s="14">
        <f>IF($A470="","",YEAR($A470)*4+ROUNDUP(MONTH($A470)/3,0))</f>
        <v/>
      </c>
      <c r="U470" s="14">
        <f>IF($C470="","",$C470&amp;"|"&amp;$T470)</f>
        <v/>
      </c>
      <c r="V470" s="14">
        <f>IF($C470="","",$C470&amp;"|"&amp;$T470&amp;"|"&amp;$G470)</f>
        <v/>
      </c>
      <c r="W470" s="14">
        <f>IF($A470="","",IF(OR($B470="",$F470="",$G470="",$H470="",$I470=""),"Faltam campos básicos",IF(AND(OR($F470="Ponto de atenção",$F470="Incidente"),OR($K470="",$L470="",$O470="",$P470="")),"Faltam campos de sinalização","OK")))</f>
        <v/>
      </c>
      <c r="X470" s="14">
        <f>IF($A470="","",IF(AND(OR($F470="Ponto de atenção",$F470="Incidente"),$L470&lt;&gt;"Sim"),"Não",IF(AND($S470="",$W470&lt;&gt;"OK"),"Não","Sim")))</f>
        <v/>
      </c>
      <c r="Y470" s="14">
        <f>IF($C470="",0,IF(COUNTIFS($C$5:$C470,$C470,$D$5:$D470,$D470)=1,1,0))</f>
        <v/>
      </c>
      <c r="Z470" s="14">
        <f>IF($A470="","",IF(Config!$B$7-$T470&gt;2,"Arquivada",IF(Config!$B$7-$T470&gt;0,"Histórico","Ativa")))</f>
        <v/>
      </c>
      <c r="AA470" s="14">
        <f>IF($A470="",0,IF(AND(OR($F470="Ponto de atenção",$F470="Incidente"),$L470="Sim"),1,0))</f>
        <v/>
      </c>
      <c r="AB470" s="14">
        <f>IF(OR($C470="",$C470&lt;&gt;'1a1'!$B$4,$T470&lt;&gt;Config!$B$7),"",COUNTIFS($C$5:$C470,'1a1'!$B$4,$T$5:$T470,Config!$B$7))</f>
        <v/>
      </c>
    </row>
    <row r="471">
      <c r="A471" s="18" t="n"/>
      <c r="B471" s="19" t="n"/>
      <c r="C471" s="14">
        <f>IFERROR(INDEX(Pessoas!$A$5:$A$64,MATCH($B471,Pessoas!$B$5:$B$64,0)),"")</f>
        <v/>
      </c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8" t="n"/>
      <c r="N471" s="19" t="n"/>
      <c r="O471" s="19" t="n"/>
      <c r="P471" s="19" t="n"/>
      <c r="Q471" s="20">
        <f>IF(OR($M471="",$P471=""),"",$M471+IF($P471="7 dias",7,IF($P471="14 dias",14,90)))</f>
        <v/>
      </c>
      <c r="R471" s="19" t="n"/>
      <c r="S471" s="19" t="n"/>
      <c r="T471" s="14">
        <f>IF($A471="","",YEAR($A471)*4+ROUNDUP(MONTH($A471)/3,0))</f>
        <v/>
      </c>
      <c r="U471" s="14">
        <f>IF($C471="","",$C471&amp;"|"&amp;$T471)</f>
        <v/>
      </c>
      <c r="V471" s="14">
        <f>IF($C471="","",$C471&amp;"|"&amp;$T471&amp;"|"&amp;$G471)</f>
        <v/>
      </c>
      <c r="W471" s="14">
        <f>IF($A471="","",IF(OR($B471="",$F471="",$G471="",$H471="",$I471=""),"Faltam campos básicos",IF(AND(OR($F471="Ponto de atenção",$F471="Incidente"),OR($K471="",$L471="",$O471="",$P471="")),"Faltam campos de sinalização","OK")))</f>
        <v/>
      </c>
      <c r="X471" s="14">
        <f>IF($A471="","",IF(AND(OR($F471="Ponto de atenção",$F471="Incidente"),$L471&lt;&gt;"Sim"),"Não",IF(AND($S471="",$W471&lt;&gt;"OK"),"Não","Sim")))</f>
        <v/>
      </c>
      <c r="Y471" s="14">
        <f>IF($C471="",0,IF(COUNTIFS($C$5:$C471,$C471,$D$5:$D471,$D471)=1,1,0))</f>
        <v/>
      </c>
      <c r="Z471" s="14">
        <f>IF($A471="","",IF(Config!$B$7-$T471&gt;2,"Arquivada",IF(Config!$B$7-$T471&gt;0,"Histórico","Ativa")))</f>
        <v/>
      </c>
      <c r="AA471" s="14">
        <f>IF($A471="",0,IF(AND(OR($F471="Ponto de atenção",$F471="Incidente"),$L471="Sim"),1,0))</f>
        <v/>
      </c>
      <c r="AB471" s="14">
        <f>IF(OR($C471="",$C471&lt;&gt;'1a1'!$B$4,$T471&lt;&gt;Config!$B$7),"",COUNTIFS($C$5:$C471,'1a1'!$B$4,$T$5:$T471,Config!$B$7))</f>
        <v/>
      </c>
    </row>
    <row r="472">
      <c r="A472" s="18" t="n"/>
      <c r="B472" s="19" t="n"/>
      <c r="C472" s="14">
        <f>IFERROR(INDEX(Pessoas!$A$5:$A$64,MATCH($B472,Pessoas!$B$5:$B$64,0)),"")</f>
        <v/>
      </c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8" t="n"/>
      <c r="N472" s="19" t="n"/>
      <c r="O472" s="19" t="n"/>
      <c r="P472" s="19" t="n"/>
      <c r="Q472" s="20">
        <f>IF(OR($M472="",$P472=""),"",$M472+IF($P472="7 dias",7,IF($P472="14 dias",14,90)))</f>
        <v/>
      </c>
      <c r="R472" s="19" t="n"/>
      <c r="S472" s="19" t="n"/>
      <c r="T472" s="14">
        <f>IF($A472="","",YEAR($A472)*4+ROUNDUP(MONTH($A472)/3,0))</f>
        <v/>
      </c>
      <c r="U472" s="14">
        <f>IF($C472="","",$C472&amp;"|"&amp;$T472)</f>
        <v/>
      </c>
      <c r="V472" s="14">
        <f>IF($C472="","",$C472&amp;"|"&amp;$T472&amp;"|"&amp;$G472)</f>
        <v/>
      </c>
      <c r="W472" s="14">
        <f>IF($A472="","",IF(OR($B472="",$F472="",$G472="",$H472="",$I472=""),"Faltam campos básicos",IF(AND(OR($F472="Ponto de atenção",$F472="Incidente"),OR($K472="",$L472="",$O472="",$P472="")),"Faltam campos de sinalização","OK")))</f>
        <v/>
      </c>
      <c r="X472" s="14">
        <f>IF($A472="","",IF(AND(OR($F472="Ponto de atenção",$F472="Incidente"),$L472&lt;&gt;"Sim"),"Não",IF(AND($S472="",$W472&lt;&gt;"OK"),"Não","Sim")))</f>
        <v/>
      </c>
      <c r="Y472" s="14">
        <f>IF($C472="",0,IF(COUNTIFS($C$5:$C472,$C472,$D$5:$D472,$D472)=1,1,0))</f>
        <v/>
      </c>
      <c r="Z472" s="14">
        <f>IF($A472="","",IF(Config!$B$7-$T472&gt;2,"Arquivada",IF(Config!$B$7-$T472&gt;0,"Histórico","Ativa")))</f>
        <v/>
      </c>
      <c r="AA472" s="14">
        <f>IF($A472="",0,IF(AND(OR($F472="Ponto de atenção",$F472="Incidente"),$L472="Sim"),1,0))</f>
        <v/>
      </c>
      <c r="AB472" s="14">
        <f>IF(OR($C472="",$C472&lt;&gt;'1a1'!$B$4,$T472&lt;&gt;Config!$B$7),"",COUNTIFS($C$5:$C472,'1a1'!$B$4,$T$5:$T472,Config!$B$7))</f>
        <v/>
      </c>
    </row>
    <row r="473">
      <c r="A473" s="18" t="n"/>
      <c r="B473" s="19" t="n"/>
      <c r="C473" s="14">
        <f>IFERROR(INDEX(Pessoas!$A$5:$A$64,MATCH($B473,Pessoas!$B$5:$B$64,0)),"")</f>
        <v/>
      </c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8" t="n"/>
      <c r="N473" s="19" t="n"/>
      <c r="O473" s="19" t="n"/>
      <c r="P473" s="19" t="n"/>
      <c r="Q473" s="20">
        <f>IF(OR($M473="",$P473=""),"",$M473+IF($P473="7 dias",7,IF($P473="14 dias",14,90)))</f>
        <v/>
      </c>
      <c r="R473" s="19" t="n"/>
      <c r="S473" s="19" t="n"/>
      <c r="T473" s="14">
        <f>IF($A473="","",YEAR($A473)*4+ROUNDUP(MONTH($A473)/3,0))</f>
        <v/>
      </c>
      <c r="U473" s="14">
        <f>IF($C473="","",$C473&amp;"|"&amp;$T473)</f>
        <v/>
      </c>
      <c r="V473" s="14">
        <f>IF($C473="","",$C473&amp;"|"&amp;$T473&amp;"|"&amp;$G473)</f>
        <v/>
      </c>
      <c r="W473" s="14">
        <f>IF($A473="","",IF(OR($B473="",$F473="",$G473="",$H473="",$I473=""),"Faltam campos básicos",IF(AND(OR($F473="Ponto de atenção",$F473="Incidente"),OR($K473="",$L473="",$O473="",$P473="")),"Faltam campos de sinalização","OK")))</f>
        <v/>
      </c>
      <c r="X473" s="14">
        <f>IF($A473="","",IF(AND(OR($F473="Ponto de atenção",$F473="Incidente"),$L473&lt;&gt;"Sim"),"Não",IF(AND($S473="",$W473&lt;&gt;"OK"),"Não","Sim")))</f>
        <v/>
      </c>
      <c r="Y473" s="14">
        <f>IF($C473="",0,IF(COUNTIFS($C$5:$C473,$C473,$D$5:$D473,$D473)=1,1,0))</f>
        <v/>
      </c>
      <c r="Z473" s="14">
        <f>IF($A473="","",IF(Config!$B$7-$T473&gt;2,"Arquivada",IF(Config!$B$7-$T473&gt;0,"Histórico","Ativa")))</f>
        <v/>
      </c>
      <c r="AA473" s="14">
        <f>IF($A473="",0,IF(AND(OR($F473="Ponto de atenção",$F473="Incidente"),$L473="Sim"),1,0))</f>
        <v/>
      </c>
      <c r="AB473" s="14">
        <f>IF(OR($C473="",$C473&lt;&gt;'1a1'!$B$4,$T473&lt;&gt;Config!$B$7),"",COUNTIFS($C$5:$C473,'1a1'!$B$4,$T$5:$T473,Config!$B$7))</f>
        <v/>
      </c>
    </row>
    <row r="474">
      <c r="A474" s="18" t="n"/>
      <c r="B474" s="19" t="n"/>
      <c r="C474" s="14">
        <f>IFERROR(INDEX(Pessoas!$A$5:$A$64,MATCH($B474,Pessoas!$B$5:$B$64,0)),"")</f>
        <v/>
      </c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8" t="n"/>
      <c r="N474" s="19" t="n"/>
      <c r="O474" s="19" t="n"/>
      <c r="P474" s="19" t="n"/>
      <c r="Q474" s="20">
        <f>IF(OR($M474="",$P474=""),"",$M474+IF($P474="7 dias",7,IF($P474="14 dias",14,90)))</f>
        <v/>
      </c>
      <c r="R474" s="19" t="n"/>
      <c r="S474" s="19" t="n"/>
      <c r="T474" s="14">
        <f>IF($A474="","",YEAR($A474)*4+ROUNDUP(MONTH($A474)/3,0))</f>
        <v/>
      </c>
      <c r="U474" s="14">
        <f>IF($C474="","",$C474&amp;"|"&amp;$T474)</f>
        <v/>
      </c>
      <c r="V474" s="14">
        <f>IF($C474="","",$C474&amp;"|"&amp;$T474&amp;"|"&amp;$G474)</f>
        <v/>
      </c>
      <c r="W474" s="14">
        <f>IF($A474="","",IF(OR($B474="",$F474="",$G474="",$H474="",$I474=""),"Faltam campos básicos",IF(AND(OR($F474="Ponto de atenção",$F474="Incidente"),OR($K474="",$L474="",$O474="",$P474="")),"Faltam campos de sinalização","OK")))</f>
        <v/>
      </c>
      <c r="X474" s="14">
        <f>IF($A474="","",IF(AND(OR($F474="Ponto de atenção",$F474="Incidente"),$L474&lt;&gt;"Sim"),"Não",IF(AND($S474="",$W474&lt;&gt;"OK"),"Não","Sim")))</f>
        <v/>
      </c>
      <c r="Y474" s="14">
        <f>IF($C474="",0,IF(COUNTIFS($C$5:$C474,$C474,$D$5:$D474,$D474)=1,1,0))</f>
        <v/>
      </c>
      <c r="Z474" s="14">
        <f>IF($A474="","",IF(Config!$B$7-$T474&gt;2,"Arquivada",IF(Config!$B$7-$T474&gt;0,"Histórico","Ativa")))</f>
        <v/>
      </c>
      <c r="AA474" s="14">
        <f>IF($A474="",0,IF(AND(OR($F474="Ponto de atenção",$F474="Incidente"),$L474="Sim"),1,0))</f>
        <v/>
      </c>
      <c r="AB474" s="14">
        <f>IF(OR($C474="",$C474&lt;&gt;'1a1'!$B$4,$T474&lt;&gt;Config!$B$7),"",COUNTIFS($C$5:$C474,'1a1'!$B$4,$T$5:$T474,Config!$B$7))</f>
        <v/>
      </c>
    </row>
    <row r="475">
      <c r="A475" s="18" t="n"/>
      <c r="B475" s="19" t="n"/>
      <c r="C475" s="14">
        <f>IFERROR(INDEX(Pessoas!$A$5:$A$64,MATCH($B475,Pessoas!$B$5:$B$64,0)),"")</f>
        <v/>
      </c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8" t="n"/>
      <c r="N475" s="19" t="n"/>
      <c r="O475" s="19" t="n"/>
      <c r="P475" s="19" t="n"/>
      <c r="Q475" s="20">
        <f>IF(OR($M475="",$P475=""),"",$M475+IF($P475="7 dias",7,IF($P475="14 dias",14,90)))</f>
        <v/>
      </c>
      <c r="R475" s="19" t="n"/>
      <c r="S475" s="19" t="n"/>
      <c r="T475" s="14">
        <f>IF($A475="","",YEAR($A475)*4+ROUNDUP(MONTH($A475)/3,0))</f>
        <v/>
      </c>
      <c r="U475" s="14">
        <f>IF($C475="","",$C475&amp;"|"&amp;$T475)</f>
        <v/>
      </c>
      <c r="V475" s="14">
        <f>IF($C475="","",$C475&amp;"|"&amp;$T475&amp;"|"&amp;$G475)</f>
        <v/>
      </c>
      <c r="W475" s="14">
        <f>IF($A475="","",IF(OR($B475="",$F475="",$G475="",$H475="",$I475=""),"Faltam campos básicos",IF(AND(OR($F475="Ponto de atenção",$F475="Incidente"),OR($K475="",$L475="",$O475="",$P475="")),"Faltam campos de sinalização","OK")))</f>
        <v/>
      </c>
      <c r="X475" s="14">
        <f>IF($A475="","",IF(AND(OR($F475="Ponto de atenção",$F475="Incidente"),$L475&lt;&gt;"Sim"),"Não",IF(AND($S475="",$W475&lt;&gt;"OK"),"Não","Sim")))</f>
        <v/>
      </c>
      <c r="Y475" s="14">
        <f>IF($C475="",0,IF(COUNTIFS($C$5:$C475,$C475,$D$5:$D475,$D475)=1,1,0))</f>
        <v/>
      </c>
      <c r="Z475" s="14">
        <f>IF($A475="","",IF(Config!$B$7-$T475&gt;2,"Arquivada",IF(Config!$B$7-$T475&gt;0,"Histórico","Ativa")))</f>
        <v/>
      </c>
      <c r="AA475" s="14">
        <f>IF($A475="",0,IF(AND(OR($F475="Ponto de atenção",$F475="Incidente"),$L475="Sim"),1,0))</f>
        <v/>
      </c>
      <c r="AB475" s="14">
        <f>IF(OR($C475="",$C475&lt;&gt;'1a1'!$B$4,$T475&lt;&gt;Config!$B$7),"",COUNTIFS($C$5:$C475,'1a1'!$B$4,$T$5:$T475,Config!$B$7))</f>
        <v/>
      </c>
    </row>
    <row r="476">
      <c r="A476" s="18" t="n"/>
      <c r="B476" s="19" t="n"/>
      <c r="C476" s="14">
        <f>IFERROR(INDEX(Pessoas!$A$5:$A$64,MATCH($B476,Pessoas!$B$5:$B$64,0)),"")</f>
        <v/>
      </c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8" t="n"/>
      <c r="N476" s="19" t="n"/>
      <c r="O476" s="19" t="n"/>
      <c r="P476" s="19" t="n"/>
      <c r="Q476" s="20">
        <f>IF(OR($M476="",$P476=""),"",$M476+IF($P476="7 dias",7,IF($P476="14 dias",14,90)))</f>
        <v/>
      </c>
      <c r="R476" s="19" t="n"/>
      <c r="S476" s="19" t="n"/>
      <c r="T476" s="14">
        <f>IF($A476="","",YEAR($A476)*4+ROUNDUP(MONTH($A476)/3,0))</f>
        <v/>
      </c>
      <c r="U476" s="14">
        <f>IF($C476="","",$C476&amp;"|"&amp;$T476)</f>
        <v/>
      </c>
      <c r="V476" s="14">
        <f>IF($C476="","",$C476&amp;"|"&amp;$T476&amp;"|"&amp;$G476)</f>
        <v/>
      </c>
      <c r="W476" s="14">
        <f>IF($A476="","",IF(OR($B476="",$F476="",$G476="",$H476="",$I476=""),"Faltam campos básicos",IF(AND(OR($F476="Ponto de atenção",$F476="Incidente"),OR($K476="",$L476="",$O476="",$P476="")),"Faltam campos de sinalização","OK")))</f>
        <v/>
      </c>
      <c r="X476" s="14">
        <f>IF($A476="","",IF(AND(OR($F476="Ponto de atenção",$F476="Incidente"),$L476&lt;&gt;"Sim"),"Não",IF(AND($S476="",$W476&lt;&gt;"OK"),"Não","Sim")))</f>
        <v/>
      </c>
      <c r="Y476" s="14">
        <f>IF($C476="",0,IF(COUNTIFS($C$5:$C476,$C476,$D$5:$D476,$D476)=1,1,0))</f>
        <v/>
      </c>
      <c r="Z476" s="14">
        <f>IF($A476="","",IF(Config!$B$7-$T476&gt;2,"Arquivada",IF(Config!$B$7-$T476&gt;0,"Histórico","Ativa")))</f>
        <v/>
      </c>
      <c r="AA476" s="14">
        <f>IF($A476="",0,IF(AND(OR($F476="Ponto de atenção",$F476="Incidente"),$L476="Sim"),1,0))</f>
        <v/>
      </c>
      <c r="AB476" s="14">
        <f>IF(OR($C476="",$C476&lt;&gt;'1a1'!$B$4,$T476&lt;&gt;Config!$B$7),"",COUNTIFS($C$5:$C476,'1a1'!$B$4,$T$5:$T476,Config!$B$7))</f>
        <v/>
      </c>
    </row>
    <row r="477">
      <c r="A477" s="18" t="n"/>
      <c r="B477" s="19" t="n"/>
      <c r="C477" s="14">
        <f>IFERROR(INDEX(Pessoas!$A$5:$A$64,MATCH($B477,Pessoas!$B$5:$B$64,0)),"")</f>
        <v/>
      </c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8" t="n"/>
      <c r="N477" s="19" t="n"/>
      <c r="O477" s="19" t="n"/>
      <c r="P477" s="19" t="n"/>
      <c r="Q477" s="20">
        <f>IF(OR($M477="",$P477=""),"",$M477+IF($P477="7 dias",7,IF($P477="14 dias",14,90)))</f>
        <v/>
      </c>
      <c r="R477" s="19" t="n"/>
      <c r="S477" s="19" t="n"/>
      <c r="T477" s="14">
        <f>IF($A477="","",YEAR($A477)*4+ROUNDUP(MONTH($A477)/3,0))</f>
        <v/>
      </c>
      <c r="U477" s="14">
        <f>IF($C477="","",$C477&amp;"|"&amp;$T477)</f>
        <v/>
      </c>
      <c r="V477" s="14">
        <f>IF($C477="","",$C477&amp;"|"&amp;$T477&amp;"|"&amp;$G477)</f>
        <v/>
      </c>
      <c r="W477" s="14">
        <f>IF($A477="","",IF(OR($B477="",$F477="",$G477="",$H477="",$I477=""),"Faltam campos básicos",IF(AND(OR($F477="Ponto de atenção",$F477="Incidente"),OR($K477="",$L477="",$O477="",$P477="")),"Faltam campos de sinalização","OK")))</f>
        <v/>
      </c>
      <c r="X477" s="14">
        <f>IF($A477="","",IF(AND(OR($F477="Ponto de atenção",$F477="Incidente"),$L477&lt;&gt;"Sim"),"Não",IF(AND($S477="",$W477&lt;&gt;"OK"),"Não","Sim")))</f>
        <v/>
      </c>
      <c r="Y477" s="14">
        <f>IF($C477="",0,IF(COUNTIFS($C$5:$C477,$C477,$D$5:$D477,$D477)=1,1,0))</f>
        <v/>
      </c>
      <c r="Z477" s="14">
        <f>IF($A477="","",IF(Config!$B$7-$T477&gt;2,"Arquivada",IF(Config!$B$7-$T477&gt;0,"Histórico","Ativa")))</f>
        <v/>
      </c>
      <c r="AA477" s="14">
        <f>IF($A477="",0,IF(AND(OR($F477="Ponto de atenção",$F477="Incidente"),$L477="Sim"),1,0))</f>
        <v/>
      </c>
      <c r="AB477" s="14">
        <f>IF(OR($C477="",$C477&lt;&gt;'1a1'!$B$4,$T477&lt;&gt;Config!$B$7),"",COUNTIFS($C$5:$C477,'1a1'!$B$4,$T$5:$T477,Config!$B$7))</f>
        <v/>
      </c>
    </row>
    <row r="478">
      <c r="A478" s="18" t="n"/>
      <c r="B478" s="19" t="n"/>
      <c r="C478" s="14">
        <f>IFERROR(INDEX(Pessoas!$A$5:$A$64,MATCH($B478,Pessoas!$B$5:$B$64,0)),"")</f>
        <v/>
      </c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8" t="n"/>
      <c r="N478" s="19" t="n"/>
      <c r="O478" s="19" t="n"/>
      <c r="P478" s="19" t="n"/>
      <c r="Q478" s="20">
        <f>IF(OR($M478="",$P478=""),"",$M478+IF($P478="7 dias",7,IF($P478="14 dias",14,90)))</f>
        <v/>
      </c>
      <c r="R478" s="19" t="n"/>
      <c r="S478" s="19" t="n"/>
      <c r="T478" s="14">
        <f>IF($A478="","",YEAR($A478)*4+ROUNDUP(MONTH($A478)/3,0))</f>
        <v/>
      </c>
      <c r="U478" s="14">
        <f>IF($C478="","",$C478&amp;"|"&amp;$T478)</f>
        <v/>
      </c>
      <c r="V478" s="14">
        <f>IF($C478="","",$C478&amp;"|"&amp;$T478&amp;"|"&amp;$G478)</f>
        <v/>
      </c>
      <c r="W478" s="14">
        <f>IF($A478="","",IF(OR($B478="",$F478="",$G478="",$H478="",$I478=""),"Faltam campos básicos",IF(AND(OR($F478="Ponto de atenção",$F478="Incidente"),OR($K478="",$L478="",$O478="",$P478="")),"Faltam campos de sinalização","OK")))</f>
        <v/>
      </c>
      <c r="X478" s="14">
        <f>IF($A478="","",IF(AND(OR($F478="Ponto de atenção",$F478="Incidente"),$L478&lt;&gt;"Sim"),"Não",IF(AND($S478="",$W478&lt;&gt;"OK"),"Não","Sim")))</f>
        <v/>
      </c>
      <c r="Y478" s="14">
        <f>IF($C478="",0,IF(COUNTIFS($C$5:$C478,$C478,$D$5:$D478,$D478)=1,1,0))</f>
        <v/>
      </c>
      <c r="Z478" s="14">
        <f>IF($A478="","",IF(Config!$B$7-$T478&gt;2,"Arquivada",IF(Config!$B$7-$T478&gt;0,"Histórico","Ativa")))</f>
        <v/>
      </c>
      <c r="AA478" s="14">
        <f>IF($A478="",0,IF(AND(OR($F478="Ponto de atenção",$F478="Incidente"),$L478="Sim"),1,0))</f>
        <v/>
      </c>
      <c r="AB478" s="14">
        <f>IF(OR($C478="",$C478&lt;&gt;'1a1'!$B$4,$T478&lt;&gt;Config!$B$7),"",COUNTIFS($C$5:$C478,'1a1'!$B$4,$T$5:$T478,Config!$B$7))</f>
        <v/>
      </c>
    </row>
    <row r="479">
      <c r="A479" s="18" t="n"/>
      <c r="B479" s="19" t="n"/>
      <c r="C479" s="14">
        <f>IFERROR(INDEX(Pessoas!$A$5:$A$64,MATCH($B479,Pessoas!$B$5:$B$64,0)),"")</f>
        <v/>
      </c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8" t="n"/>
      <c r="N479" s="19" t="n"/>
      <c r="O479" s="19" t="n"/>
      <c r="P479" s="19" t="n"/>
      <c r="Q479" s="20">
        <f>IF(OR($M479="",$P479=""),"",$M479+IF($P479="7 dias",7,IF($P479="14 dias",14,90)))</f>
        <v/>
      </c>
      <c r="R479" s="19" t="n"/>
      <c r="S479" s="19" t="n"/>
      <c r="T479" s="14">
        <f>IF($A479="","",YEAR($A479)*4+ROUNDUP(MONTH($A479)/3,0))</f>
        <v/>
      </c>
      <c r="U479" s="14">
        <f>IF($C479="","",$C479&amp;"|"&amp;$T479)</f>
        <v/>
      </c>
      <c r="V479" s="14">
        <f>IF($C479="","",$C479&amp;"|"&amp;$T479&amp;"|"&amp;$G479)</f>
        <v/>
      </c>
      <c r="W479" s="14">
        <f>IF($A479="","",IF(OR($B479="",$F479="",$G479="",$H479="",$I479=""),"Faltam campos básicos",IF(AND(OR($F479="Ponto de atenção",$F479="Incidente"),OR($K479="",$L479="",$O479="",$P479="")),"Faltam campos de sinalização","OK")))</f>
        <v/>
      </c>
      <c r="X479" s="14">
        <f>IF($A479="","",IF(AND(OR($F479="Ponto de atenção",$F479="Incidente"),$L479&lt;&gt;"Sim"),"Não",IF(AND($S479="",$W479&lt;&gt;"OK"),"Não","Sim")))</f>
        <v/>
      </c>
      <c r="Y479" s="14">
        <f>IF($C479="",0,IF(COUNTIFS($C$5:$C479,$C479,$D$5:$D479,$D479)=1,1,0))</f>
        <v/>
      </c>
      <c r="Z479" s="14">
        <f>IF($A479="","",IF(Config!$B$7-$T479&gt;2,"Arquivada",IF(Config!$B$7-$T479&gt;0,"Histórico","Ativa")))</f>
        <v/>
      </c>
      <c r="AA479" s="14">
        <f>IF($A479="",0,IF(AND(OR($F479="Ponto de atenção",$F479="Incidente"),$L479="Sim"),1,0))</f>
        <v/>
      </c>
      <c r="AB479" s="14">
        <f>IF(OR($C479="",$C479&lt;&gt;'1a1'!$B$4,$T479&lt;&gt;Config!$B$7),"",COUNTIFS($C$5:$C479,'1a1'!$B$4,$T$5:$T479,Config!$B$7))</f>
        <v/>
      </c>
    </row>
    <row r="480">
      <c r="A480" s="18" t="n"/>
      <c r="B480" s="19" t="n"/>
      <c r="C480" s="14">
        <f>IFERROR(INDEX(Pessoas!$A$5:$A$64,MATCH($B480,Pessoas!$B$5:$B$64,0)),"")</f>
        <v/>
      </c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8" t="n"/>
      <c r="N480" s="19" t="n"/>
      <c r="O480" s="19" t="n"/>
      <c r="P480" s="19" t="n"/>
      <c r="Q480" s="20">
        <f>IF(OR($M480="",$P480=""),"",$M480+IF($P480="7 dias",7,IF($P480="14 dias",14,90)))</f>
        <v/>
      </c>
      <c r="R480" s="19" t="n"/>
      <c r="S480" s="19" t="n"/>
      <c r="T480" s="14">
        <f>IF($A480="","",YEAR($A480)*4+ROUNDUP(MONTH($A480)/3,0))</f>
        <v/>
      </c>
      <c r="U480" s="14">
        <f>IF($C480="","",$C480&amp;"|"&amp;$T480)</f>
        <v/>
      </c>
      <c r="V480" s="14">
        <f>IF($C480="","",$C480&amp;"|"&amp;$T480&amp;"|"&amp;$G480)</f>
        <v/>
      </c>
      <c r="W480" s="14">
        <f>IF($A480="","",IF(OR($B480="",$F480="",$G480="",$H480="",$I480=""),"Faltam campos básicos",IF(AND(OR($F480="Ponto de atenção",$F480="Incidente"),OR($K480="",$L480="",$O480="",$P480="")),"Faltam campos de sinalização","OK")))</f>
        <v/>
      </c>
      <c r="X480" s="14">
        <f>IF($A480="","",IF(AND(OR($F480="Ponto de atenção",$F480="Incidente"),$L480&lt;&gt;"Sim"),"Não",IF(AND($S480="",$W480&lt;&gt;"OK"),"Não","Sim")))</f>
        <v/>
      </c>
      <c r="Y480" s="14">
        <f>IF($C480="",0,IF(COUNTIFS($C$5:$C480,$C480,$D$5:$D480,$D480)=1,1,0))</f>
        <v/>
      </c>
      <c r="Z480" s="14">
        <f>IF($A480="","",IF(Config!$B$7-$T480&gt;2,"Arquivada",IF(Config!$B$7-$T480&gt;0,"Histórico","Ativa")))</f>
        <v/>
      </c>
      <c r="AA480" s="14">
        <f>IF($A480="",0,IF(AND(OR($F480="Ponto de atenção",$F480="Incidente"),$L480="Sim"),1,0))</f>
        <v/>
      </c>
      <c r="AB480" s="14">
        <f>IF(OR($C480="",$C480&lt;&gt;'1a1'!$B$4,$T480&lt;&gt;Config!$B$7),"",COUNTIFS($C$5:$C480,'1a1'!$B$4,$T$5:$T480,Config!$B$7))</f>
        <v/>
      </c>
    </row>
    <row r="481">
      <c r="A481" s="18" t="n"/>
      <c r="B481" s="19" t="n"/>
      <c r="C481" s="14">
        <f>IFERROR(INDEX(Pessoas!$A$5:$A$64,MATCH($B481,Pessoas!$B$5:$B$64,0)),"")</f>
        <v/>
      </c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8" t="n"/>
      <c r="N481" s="19" t="n"/>
      <c r="O481" s="19" t="n"/>
      <c r="P481" s="19" t="n"/>
      <c r="Q481" s="20">
        <f>IF(OR($M481="",$P481=""),"",$M481+IF($P481="7 dias",7,IF($P481="14 dias",14,90)))</f>
        <v/>
      </c>
      <c r="R481" s="19" t="n"/>
      <c r="S481" s="19" t="n"/>
      <c r="T481" s="14">
        <f>IF($A481="","",YEAR($A481)*4+ROUNDUP(MONTH($A481)/3,0))</f>
        <v/>
      </c>
      <c r="U481" s="14">
        <f>IF($C481="","",$C481&amp;"|"&amp;$T481)</f>
        <v/>
      </c>
      <c r="V481" s="14">
        <f>IF($C481="","",$C481&amp;"|"&amp;$T481&amp;"|"&amp;$G481)</f>
        <v/>
      </c>
      <c r="W481" s="14">
        <f>IF($A481="","",IF(OR($B481="",$F481="",$G481="",$H481="",$I481=""),"Faltam campos básicos",IF(AND(OR($F481="Ponto de atenção",$F481="Incidente"),OR($K481="",$L481="",$O481="",$P481="")),"Faltam campos de sinalização","OK")))</f>
        <v/>
      </c>
      <c r="X481" s="14">
        <f>IF($A481="","",IF(AND(OR($F481="Ponto de atenção",$F481="Incidente"),$L481&lt;&gt;"Sim"),"Não",IF(AND($S481="",$W481&lt;&gt;"OK"),"Não","Sim")))</f>
        <v/>
      </c>
      <c r="Y481" s="14">
        <f>IF($C481="",0,IF(COUNTIFS($C$5:$C481,$C481,$D$5:$D481,$D481)=1,1,0))</f>
        <v/>
      </c>
      <c r="Z481" s="14">
        <f>IF($A481="","",IF(Config!$B$7-$T481&gt;2,"Arquivada",IF(Config!$B$7-$T481&gt;0,"Histórico","Ativa")))</f>
        <v/>
      </c>
      <c r="AA481" s="14">
        <f>IF($A481="",0,IF(AND(OR($F481="Ponto de atenção",$F481="Incidente"),$L481="Sim"),1,0))</f>
        <v/>
      </c>
      <c r="AB481" s="14">
        <f>IF(OR($C481="",$C481&lt;&gt;'1a1'!$B$4,$T481&lt;&gt;Config!$B$7),"",COUNTIFS($C$5:$C481,'1a1'!$B$4,$T$5:$T481,Config!$B$7))</f>
        <v/>
      </c>
    </row>
    <row r="482">
      <c r="A482" s="18" t="n"/>
      <c r="B482" s="19" t="n"/>
      <c r="C482" s="14">
        <f>IFERROR(INDEX(Pessoas!$A$5:$A$64,MATCH($B482,Pessoas!$B$5:$B$64,0)),"")</f>
        <v/>
      </c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8" t="n"/>
      <c r="N482" s="19" t="n"/>
      <c r="O482" s="19" t="n"/>
      <c r="P482" s="19" t="n"/>
      <c r="Q482" s="20">
        <f>IF(OR($M482="",$P482=""),"",$M482+IF($P482="7 dias",7,IF($P482="14 dias",14,90)))</f>
        <v/>
      </c>
      <c r="R482" s="19" t="n"/>
      <c r="S482" s="19" t="n"/>
      <c r="T482" s="14">
        <f>IF($A482="","",YEAR($A482)*4+ROUNDUP(MONTH($A482)/3,0))</f>
        <v/>
      </c>
      <c r="U482" s="14">
        <f>IF($C482="","",$C482&amp;"|"&amp;$T482)</f>
        <v/>
      </c>
      <c r="V482" s="14">
        <f>IF($C482="","",$C482&amp;"|"&amp;$T482&amp;"|"&amp;$G482)</f>
        <v/>
      </c>
      <c r="W482" s="14">
        <f>IF($A482="","",IF(OR($B482="",$F482="",$G482="",$H482="",$I482=""),"Faltam campos básicos",IF(AND(OR($F482="Ponto de atenção",$F482="Incidente"),OR($K482="",$L482="",$O482="",$P482="")),"Faltam campos de sinalização","OK")))</f>
        <v/>
      </c>
      <c r="X482" s="14">
        <f>IF($A482="","",IF(AND(OR($F482="Ponto de atenção",$F482="Incidente"),$L482&lt;&gt;"Sim"),"Não",IF(AND($S482="",$W482&lt;&gt;"OK"),"Não","Sim")))</f>
        <v/>
      </c>
      <c r="Y482" s="14">
        <f>IF($C482="",0,IF(COUNTIFS($C$5:$C482,$C482,$D$5:$D482,$D482)=1,1,0))</f>
        <v/>
      </c>
      <c r="Z482" s="14">
        <f>IF($A482="","",IF(Config!$B$7-$T482&gt;2,"Arquivada",IF(Config!$B$7-$T482&gt;0,"Histórico","Ativa")))</f>
        <v/>
      </c>
      <c r="AA482" s="14">
        <f>IF($A482="",0,IF(AND(OR($F482="Ponto de atenção",$F482="Incidente"),$L482="Sim"),1,0))</f>
        <v/>
      </c>
      <c r="AB482" s="14">
        <f>IF(OR($C482="",$C482&lt;&gt;'1a1'!$B$4,$T482&lt;&gt;Config!$B$7),"",COUNTIFS($C$5:$C482,'1a1'!$B$4,$T$5:$T482,Config!$B$7))</f>
        <v/>
      </c>
    </row>
    <row r="483">
      <c r="A483" s="18" t="n"/>
      <c r="B483" s="19" t="n"/>
      <c r="C483" s="14">
        <f>IFERROR(INDEX(Pessoas!$A$5:$A$64,MATCH($B483,Pessoas!$B$5:$B$64,0)),"")</f>
        <v/>
      </c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8" t="n"/>
      <c r="N483" s="19" t="n"/>
      <c r="O483" s="19" t="n"/>
      <c r="P483" s="19" t="n"/>
      <c r="Q483" s="20">
        <f>IF(OR($M483="",$P483=""),"",$M483+IF($P483="7 dias",7,IF($P483="14 dias",14,90)))</f>
        <v/>
      </c>
      <c r="R483" s="19" t="n"/>
      <c r="S483" s="19" t="n"/>
      <c r="T483" s="14">
        <f>IF($A483="","",YEAR($A483)*4+ROUNDUP(MONTH($A483)/3,0))</f>
        <v/>
      </c>
      <c r="U483" s="14">
        <f>IF($C483="","",$C483&amp;"|"&amp;$T483)</f>
        <v/>
      </c>
      <c r="V483" s="14">
        <f>IF($C483="","",$C483&amp;"|"&amp;$T483&amp;"|"&amp;$G483)</f>
        <v/>
      </c>
      <c r="W483" s="14">
        <f>IF($A483="","",IF(OR($B483="",$F483="",$G483="",$H483="",$I483=""),"Faltam campos básicos",IF(AND(OR($F483="Ponto de atenção",$F483="Incidente"),OR($K483="",$L483="",$O483="",$P483="")),"Faltam campos de sinalização","OK")))</f>
        <v/>
      </c>
      <c r="X483" s="14">
        <f>IF($A483="","",IF(AND(OR($F483="Ponto de atenção",$F483="Incidente"),$L483&lt;&gt;"Sim"),"Não",IF(AND($S483="",$W483&lt;&gt;"OK"),"Não","Sim")))</f>
        <v/>
      </c>
      <c r="Y483" s="14">
        <f>IF($C483="",0,IF(COUNTIFS($C$5:$C483,$C483,$D$5:$D483,$D483)=1,1,0))</f>
        <v/>
      </c>
      <c r="Z483" s="14">
        <f>IF($A483="","",IF(Config!$B$7-$T483&gt;2,"Arquivada",IF(Config!$B$7-$T483&gt;0,"Histórico","Ativa")))</f>
        <v/>
      </c>
      <c r="AA483" s="14">
        <f>IF($A483="",0,IF(AND(OR($F483="Ponto de atenção",$F483="Incidente"),$L483="Sim"),1,0))</f>
        <v/>
      </c>
      <c r="AB483" s="14">
        <f>IF(OR($C483="",$C483&lt;&gt;'1a1'!$B$4,$T483&lt;&gt;Config!$B$7),"",COUNTIFS($C$5:$C483,'1a1'!$B$4,$T$5:$T483,Config!$B$7))</f>
        <v/>
      </c>
    </row>
    <row r="484">
      <c r="A484" s="18" t="n"/>
      <c r="B484" s="19" t="n"/>
      <c r="C484" s="14">
        <f>IFERROR(INDEX(Pessoas!$A$5:$A$64,MATCH($B484,Pessoas!$B$5:$B$64,0)),"")</f>
        <v/>
      </c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8" t="n"/>
      <c r="N484" s="19" t="n"/>
      <c r="O484" s="19" t="n"/>
      <c r="P484" s="19" t="n"/>
      <c r="Q484" s="20">
        <f>IF(OR($M484="",$P484=""),"",$M484+IF($P484="7 dias",7,IF($P484="14 dias",14,90)))</f>
        <v/>
      </c>
      <c r="R484" s="19" t="n"/>
      <c r="S484" s="19" t="n"/>
      <c r="T484" s="14">
        <f>IF($A484="","",YEAR($A484)*4+ROUNDUP(MONTH($A484)/3,0))</f>
        <v/>
      </c>
      <c r="U484" s="14">
        <f>IF($C484="","",$C484&amp;"|"&amp;$T484)</f>
        <v/>
      </c>
      <c r="V484" s="14">
        <f>IF($C484="","",$C484&amp;"|"&amp;$T484&amp;"|"&amp;$G484)</f>
        <v/>
      </c>
      <c r="W484" s="14">
        <f>IF($A484="","",IF(OR($B484="",$F484="",$G484="",$H484="",$I484=""),"Faltam campos básicos",IF(AND(OR($F484="Ponto de atenção",$F484="Incidente"),OR($K484="",$L484="",$O484="",$P484="")),"Faltam campos de sinalização","OK")))</f>
        <v/>
      </c>
      <c r="X484" s="14">
        <f>IF($A484="","",IF(AND(OR($F484="Ponto de atenção",$F484="Incidente"),$L484&lt;&gt;"Sim"),"Não",IF(AND($S484="",$W484&lt;&gt;"OK"),"Não","Sim")))</f>
        <v/>
      </c>
      <c r="Y484" s="14">
        <f>IF($C484="",0,IF(COUNTIFS($C$5:$C484,$C484,$D$5:$D484,$D484)=1,1,0))</f>
        <v/>
      </c>
      <c r="Z484" s="14">
        <f>IF($A484="","",IF(Config!$B$7-$T484&gt;2,"Arquivada",IF(Config!$B$7-$T484&gt;0,"Histórico","Ativa")))</f>
        <v/>
      </c>
      <c r="AA484" s="14">
        <f>IF($A484="",0,IF(AND(OR($F484="Ponto de atenção",$F484="Incidente"),$L484="Sim"),1,0))</f>
        <v/>
      </c>
      <c r="AB484" s="14">
        <f>IF(OR($C484="",$C484&lt;&gt;'1a1'!$B$4,$T484&lt;&gt;Config!$B$7),"",COUNTIFS($C$5:$C484,'1a1'!$B$4,$T$5:$T484,Config!$B$7))</f>
        <v/>
      </c>
    </row>
    <row r="485">
      <c r="A485" s="18" t="n"/>
      <c r="B485" s="19" t="n"/>
      <c r="C485" s="14">
        <f>IFERROR(INDEX(Pessoas!$A$5:$A$64,MATCH($B485,Pessoas!$B$5:$B$64,0)),"")</f>
        <v/>
      </c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8" t="n"/>
      <c r="N485" s="19" t="n"/>
      <c r="O485" s="19" t="n"/>
      <c r="P485" s="19" t="n"/>
      <c r="Q485" s="20">
        <f>IF(OR($M485="",$P485=""),"",$M485+IF($P485="7 dias",7,IF($P485="14 dias",14,90)))</f>
        <v/>
      </c>
      <c r="R485" s="19" t="n"/>
      <c r="S485" s="19" t="n"/>
      <c r="T485" s="14">
        <f>IF($A485="","",YEAR($A485)*4+ROUNDUP(MONTH($A485)/3,0))</f>
        <v/>
      </c>
      <c r="U485" s="14">
        <f>IF($C485="","",$C485&amp;"|"&amp;$T485)</f>
        <v/>
      </c>
      <c r="V485" s="14">
        <f>IF($C485="","",$C485&amp;"|"&amp;$T485&amp;"|"&amp;$G485)</f>
        <v/>
      </c>
      <c r="W485" s="14">
        <f>IF($A485="","",IF(OR($B485="",$F485="",$G485="",$H485="",$I485=""),"Faltam campos básicos",IF(AND(OR($F485="Ponto de atenção",$F485="Incidente"),OR($K485="",$L485="",$O485="",$P485="")),"Faltam campos de sinalização","OK")))</f>
        <v/>
      </c>
      <c r="X485" s="14">
        <f>IF($A485="","",IF(AND(OR($F485="Ponto de atenção",$F485="Incidente"),$L485&lt;&gt;"Sim"),"Não",IF(AND($S485="",$W485&lt;&gt;"OK"),"Não","Sim")))</f>
        <v/>
      </c>
      <c r="Y485" s="14">
        <f>IF($C485="",0,IF(COUNTIFS($C$5:$C485,$C485,$D$5:$D485,$D485)=1,1,0))</f>
        <v/>
      </c>
      <c r="Z485" s="14">
        <f>IF($A485="","",IF(Config!$B$7-$T485&gt;2,"Arquivada",IF(Config!$B$7-$T485&gt;0,"Histórico","Ativa")))</f>
        <v/>
      </c>
      <c r="AA485" s="14">
        <f>IF($A485="",0,IF(AND(OR($F485="Ponto de atenção",$F485="Incidente"),$L485="Sim"),1,0))</f>
        <v/>
      </c>
      <c r="AB485" s="14">
        <f>IF(OR($C485="",$C485&lt;&gt;'1a1'!$B$4,$T485&lt;&gt;Config!$B$7),"",COUNTIFS($C$5:$C485,'1a1'!$B$4,$T$5:$T485,Config!$B$7))</f>
        <v/>
      </c>
    </row>
    <row r="486">
      <c r="A486" s="18" t="n"/>
      <c r="B486" s="19" t="n"/>
      <c r="C486" s="14">
        <f>IFERROR(INDEX(Pessoas!$A$5:$A$64,MATCH($B486,Pessoas!$B$5:$B$64,0)),"")</f>
        <v/>
      </c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8" t="n"/>
      <c r="N486" s="19" t="n"/>
      <c r="O486" s="19" t="n"/>
      <c r="P486" s="19" t="n"/>
      <c r="Q486" s="20">
        <f>IF(OR($M486="",$P486=""),"",$M486+IF($P486="7 dias",7,IF($P486="14 dias",14,90)))</f>
        <v/>
      </c>
      <c r="R486" s="19" t="n"/>
      <c r="S486" s="19" t="n"/>
      <c r="T486" s="14">
        <f>IF($A486="","",YEAR($A486)*4+ROUNDUP(MONTH($A486)/3,0))</f>
        <v/>
      </c>
      <c r="U486" s="14">
        <f>IF($C486="","",$C486&amp;"|"&amp;$T486)</f>
        <v/>
      </c>
      <c r="V486" s="14">
        <f>IF($C486="","",$C486&amp;"|"&amp;$T486&amp;"|"&amp;$G486)</f>
        <v/>
      </c>
      <c r="W486" s="14">
        <f>IF($A486="","",IF(OR($B486="",$F486="",$G486="",$H486="",$I486=""),"Faltam campos básicos",IF(AND(OR($F486="Ponto de atenção",$F486="Incidente"),OR($K486="",$L486="",$O486="",$P486="")),"Faltam campos de sinalização","OK")))</f>
        <v/>
      </c>
      <c r="X486" s="14">
        <f>IF($A486="","",IF(AND(OR($F486="Ponto de atenção",$F486="Incidente"),$L486&lt;&gt;"Sim"),"Não",IF(AND($S486="",$W486&lt;&gt;"OK"),"Não","Sim")))</f>
        <v/>
      </c>
      <c r="Y486" s="14">
        <f>IF($C486="",0,IF(COUNTIFS($C$5:$C486,$C486,$D$5:$D486,$D486)=1,1,0))</f>
        <v/>
      </c>
      <c r="Z486" s="14">
        <f>IF($A486="","",IF(Config!$B$7-$T486&gt;2,"Arquivada",IF(Config!$B$7-$T486&gt;0,"Histórico","Ativa")))</f>
        <v/>
      </c>
      <c r="AA486" s="14">
        <f>IF($A486="",0,IF(AND(OR($F486="Ponto de atenção",$F486="Incidente"),$L486="Sim"),1,0))</f>
        <v/>
      </c>
      <c r="AB486" s="14">
        <f>IF(OR($C486="",$C486&lt;&gt;'1a1'!$B$4,$T486&lt;&gt;Config!$B$7),"",COUNTIFS($C$5:$C486,'1a1'!$B$4,$T$5:$T486,Config!$B$7))</f>
        <v/>
      </c>
    </row>
    <row r="487">
      <c r="A487" s="18" t="n"/>
      <c r="B487" s="19" t="n"/>
      <c r="C487" s="14">
        <f>IFERROR(INDEX(Pessoas!$A$5:$A$64,MATCH($B487,Pessoas!$B$5:$B$64,0)),"")</f>
        <v/>
      </c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8" t="n"/>
      <c r="N487" s="19" t="n"/>
      <c r="O487" s="19" t="n"/>
      <c r="P487" s="19" t="n"/>
      <c r="Q487" s="20">
        <f>IF(OR($M487="",$P487=""),"",$M487+IF($P487="7 dias",7,IF($P487="14 dias",14,90)))</f>
        <v/>
      </c>
      <c r="R487" s="19" t="n"/>
      <c r="S487" s="19" t="n"/>
      <c r="T487" s="14">
        <f>IF($A487="","",YEAR($A487)*4+ROUNDUP(MONTH($A487)/3,0))</f>
        <v/>
      </c>
      <c r="U487" s="14">
        <f>IF($C487="","",$C487&amp;"|"&amp;$T487)</f>
        <v/>
      </c>
      <c r="V487" s="14">
        <f>IF($C487="","",$C487&amp;"|"&amp;$T487&amp;"|"&amp;$G487)</f>
        <v/>
      </c>
      <c r="W487" s="14">
        <f>IF($A487="","",IF(OR($B487="",$F487="",$G487="",$H487="",$I487=""),"Faltam campos básicos",IF(AND(OR($F487="Ponto de atenção",$F487="Incidente"),OR($K487="",$L487="",$O487="",$P487="")),"Faltam campos de sinalização","OK")))</f>
        <v/>
      </c>
      <c r="X487" s="14">
        <f>IF($A487="","",IF(AND(OR($F487="Ponto de atenção",$F487="Incidente"),$L487&lt;&gt;"Sim"),"Não",IF(AND($S487="",$W487&lt;&gt;"OK"),"Não","Sim")))</f>
        <v/>
      </c>
      <c r="Y487" s="14">
        <f>IF($C487="",0,IF(COUNTIFS($C$5:$C487,$C487,$D$5:$D487,$D487)=1,1,0))</f>
        <v/>
      </c>
      <c r="Z487" s="14">
        <f>IF($A487="","",IF(Config!$B$7-$T487&gt;2,"Arquivada",IF(Config!$B$7-$T487&gt;0,"Histórico","Ativa")))</f>
        <v/>
      </c>
      <c r="AA487" s="14">
        <f>IF($A487="",0,IF(AND(OR($F487="Ponto de atenção",$F487="Incidente"),$L487="Sim"),1,0))</f>
        <v/>
      </c>
      <c r="AB487" s="14">
        <f>IF(OR($C487="",$C487&lt;&gt;'1a1'!$B$4,$T487&lt;&gt;Config!$B$7),"",COUNTIFS($C$5:$C487,'1a1'!$B$4,$T$5:$T487,Config!$B$7))</f>
        <v/>
      </c>
    </row>
    <row r="488">
      <c r="A488" s="18" t="n"/>
      <c r="B488" s="19" t="n"/>
      <c r="C488" s="14">
        <f>IFERROR(INDEX(Pessoas!$A$5:$A$64,MATCH($B488,Pessoas!$B$5:$B$64,0)),"")</f>
        <v/>
      </c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8" t="n"/>
      <c r="N488" s="19" t="n"/>
      <c r="O488" s="19" t="n"/>
      <c r="P488" s="19" t="n"/>
      <c r="Q488" s="20">
        <f>IF(OR($M488="",$P488=""),"",$M488+IF($P488="7 dias",7,IF($P488="14 dias",14,90)))</f>
        <v/>
      </c>
      <c r="R488" s="19" t="n"/>
      <c r="S488" s="19" t="n"/>
      <c r="T488" s="14">
        <f>IF($A488="","",YEAR($A488)*4+ROUNDUP(MONTH($A488)/3,0))</f>
        <v/>
      </c>
      <c r="U488" s="14">
        <f>IF($C488="","",$C488&amp;"|"&amp;$T488)</f>
        <v/>
      </c>
      <c r="V488" s="14">
        <f>IF($C488="","",$C488&amp;"|"&amp;$T488&amp;"|"&amp;$G488)</f>
        <v/>
      </c>
      <c r="W488" s="14">
        <f>IF($A488="","",IF(OR($B488="",$F488="",$G488="",$H488="",$I488=""),"Faltam campos básicos",IF(AND(OR($F488="Ponto de atenção",$F488="Incidente"),OR($K488="",$L488="",$O488="",$P488="")),"Faltam campos de sinalização","OK")))</f>
        <v/>
      </c>
      <c r="X488" s="14">
        <f>IF($A488="","",IF(AND(OR($F488="Ponto de atenção",$F488="Incidente"),$L488&lt;&gt;"Sim"),"Não",IF(AND($S488="",$W488&lt;&gt;"OK"),"Não","Sim")))</f>
        <v/>
      </c>
      <c r="Y488" s="14">
        <f>IF($C488="",0,IF(COUNTIFS($C$5:$C488,$C488,$D$5:$D488,$D488)=1,1,0))</f>
        <v/>
      </c>
      <c r="Z488" s="14">
        <f>IF($A488="","",IF(Config!$B$7-$T488&gt;2,"Arquivada",IF(Config!$B$7-$T488&gt;0,"Histórico","Ativa")))</f>
        <v/>
      </c>
      <c r="AA488" s="14">
        <f>IF($A488="",0,IF(AND(OR($F488="Ponto de atenção",$F488="Incidente"),$L488="Sim"),1,0))</f>
        <v/>
      </c>
      <c r="AB488" s="14">
        <f>IF(OR($C488="",$C488&lt;&gt;'1a1'!$B$4,$T488&lt;&gt;Config!$B$7),"",COUNTIFS($C$5:$C488,'1a1'!$B$4,$T$5:$T488,Config!$B$7))</f>
        <v/>
      </c>
    </row>
    <row r="489">
      <c r="A489" s="18" t="n"/>
      <c r="B489" s="19" t="n"/>
      <c r="C489" s="14">
        <f>IFERROR(INDEX(Pessoas!$A$5:$A$64,MATCH($B489,Pessoas!$B$5:$B$64,0)),"")</f>
        <v/>
      </c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8" t="n"/>
      <c r="N489" s="19" t="n"/>
      <c r="O489" s="19" t="n"/>
      <c r="P489" s="19" t="n"/>
      <c r="Q489" s="20">
        <f>IF(OR($M489="",$P489=""),"",$M489+IF($P489="7 dias",7,IF($P489="14 dias",14,90)))</f>
        <v/>
      </c>
      <c r="R489" s="19" t="n"/>
      <c r="S489" s="19" t="n"/>
      <c r="T489" s="14">
        <f>IF($A489="","",YEAR($A489)*4+ROUNDUP(MONTH($A489)/3,0))</f>
        <v/>
      </c>
      <c r="U489" s="14">
        <f>IF($C489="","",$C489&amp;"|"&amp;$T489)</f>
        <v/>
      </c>
      <c r="V489" s="14">
        <f>IF($C489="","",$C489&amp;"|"&amp;$T489&amp;"|"&amp;$G489)</f>
        <v/>
      </c>
      <c r="W489" s="14">
        <f>IF($A489="","",IF(OR($B489="",$F489="",$G489="",$H489="",$I489=""),"Faltam campos básicos",IF(AND(OR($F489="Ponto de atenção",$F489="Incidente"),OR($K489="",$L489="",$O489="",$P489="")),"Faltam campos de sinalização","OK")))</f>
        <v/>
      </c>
      <c r="X489" s="14">
        <f>IF($A489="","",IF(AND(OR($F489="Ponto de atenção",$F489="Incidente"),$L489&lt;&gt;"Sim"),"Não",IF(AND($S489="",$W489&lt;&gt;"OK"),"Não","Sim")))</f>
        <v/>
      </c>
      <c r="Y489" s="14">
        <f>IF($C489="",0,IF(COUNTIFS($C$5:$C489,$C489,$D$5:$D489,$D489)=1,1,0))</f>
        <v/>
      </c>
      <c r="Z489" s="14">
        <f>IF($A489="","",IF(Config!$B$7-$T489&gt;2,"Arquivada",IF(Config!$B$7-$T489&gt;0,"Histórico","Ativa")))</f>
        <v/>
      </c>
      <c r="AA489" s="14">
        <f>IF($A489="",0,IF(AND(OR($F489="Ponto de atenção",$F489="Incidente"),$L489="Sim"),1,0))</f>
        <v/>
      </c>
      <c r="AB489" s="14">
        <f>IF(OR($C489="",$C489&lt;&gt;'1a1'!$B$4,$T489&lt;&gt;Config!$B$7),"",COUNTIFS($C$5:$C489,'1a1'!$B$4,$T$5:$T489,Config!$B$7))</f>
        <v/>
      </c>
    </row>
    <row r="490">
      <c r="A490" s="18" t="n"/>
      <c r="B490" s="19" t="n"/>
      <c r="C490" s="14">
        <f>IFERROR(INDEX(Pessoas!$A$5:$A$64,MATCH($B490,Pessoas!$B$5:$B$64,0)),"")</f>
        <v/>
      </c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8" t="n"/>
      <c r="N490" s="19" t="n"/>
      <c r="O490" s="19" t="n"/>
      <c r="P490" s="19" t="n"/>
      <c r="Q490" s="20">
        <f>IF(OR($M490="",$P490=""),"",$M490+IF($P490="7 dias",7,IF($P490="14 dias",14,90)))</f>
        <v/>
      </c>
      <c r="R490" s="19" t="n"/>
      <c r="S490" s="19" t="n"/>
      <c r="T490" s="14">
        <f>IF($A490="","",YEAR($A490)*4+ROUNDUP(MONTH($A490)/3,0))</f>
        <v/>
      </c>
      <c r="U490" s="14">
        <f>IF($C490="","",$C490&amp;"|"&amp;$T490)</f>
        <v/>
      </c>
      <c r="V490" s="14">
        <f>IF($C490="","",$C490&amp;"|"&amp;$T490&amp;"|"&amp;$G490)</f>
        <v/>
      </c>
      <c r="W490" s="14">
        <f>IF($A490="","",IF(OR($B490="",$F490="",$G490="",$H490="",$I490=""),"Faltam campos básicos",IF(AND(OR($F490="Ponto de atenção",$F490="Incidente"),OR($K490="",$L490="",$O490="",$P490="")),"Faltam campos de sinalização","OK")))</f>
        <v/>
      </c>
      <c r="X490" s="14">
        <f>IF($A490="","",IF(AND(OR($F490="Ponto de atenção",$F490="Incidente"),$L490&lt;&gt;"Sim"),"Não",IF(AND($S490="",$W490&lt;&gt;"OK"),"Não","Sim")))</f>
        <v/>
      </c>
      <c r="Y490" s="14">
        <f>IF($C490="",0,IF(COUNTIFS($C$5:$C490,$C490,$D$5:$D490,$D490)=1,1,0))</f>
        <v/>
      </c>
      <c r="Z490" s="14">
        <f>IF($A490="","",IF(Config!$B$7-$T490&gt;2,"Arquivada",IF(Config!$B$7-$T490&gt;0,"Histórico","Ativa")))</f>
        <v/>
      </c>
      <c r="AA490" s="14">
        <f>IF($A490="",0,IF(AND(OR($F490="Ponto de atenção",$F490="Incidente"),$L490="Sim"),1,0))</f>
        <v/>
      </c>
      <c r="AB490" s="14">
        <f>IF(OR($C490="",$C490&lt;&gt;'1a1'!$B$4,$T490&lt;&gt;Config!$B$7),"",COUNTIFS($C$5:$C490,'1a1'!$B$4,$T$5:$T490,Config!$B$7))</f>
        <v/>
      </c>
    </row>
    <row r="491">
      <c r="A491" s="18" t="n"/>
      <c r="B491" s="19" t="n"/>
      <c r="C491" s="14">
        <f>IFERROR(INDEX(Pessoas!$A$5:$A$64,MATCH($B491,Pessoas!$B$5:$B$64,0)),"")</f>
        <v/>
      </c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8" t="n"/>
      <c r="N491" s="19" t="n"/>
      <c r="O491" s="19" t="n"/>
      <c r="P491" s="19" t="n"/>
      <c r="Q491" s="20">
        <f>IF(OR($M491="",$P491=""),"",$M491+IF($P491="7 dias",7,IF($P491="14 dias",14,90)))</f>
        <v/>
      </c>
      <c r="R491" s="19" t="n"/>
      <c r="S491" s="19" t="n"/>
      <c r="T491" s="14">
        <f>IF($A491="","",YEAR($A491)*4+ROUNDUP(MONTH($A491)/3,0))</f>
        <v/>
      </c>
      <c r="U491" s="14">
        <f>IF($C491="","",$C491&amp;"|"&amp;$T491)</f>
        <v/>
      </c>
      <c r="V491" s="14">
        <f>IF($C491="","",$C491&amp;"|"&amp;$T491&amp;"|"&amp;$G491)</f>
        <v/>
      </c>
      <c r="W491" s="14">
        <f>IF($A491="","",IF(OR($B491="",$F491="",$G491="",$H491="",$I491=""),"Faltam campos básicos",IF(AND(OR($F491="Ponto de atenção",$F491="Incidente"),OR($K491="",$L491="",$O491="",$P491="")),"Faltam campos de sinalização","OK")))</f>
        <v/>
      </c>
      <c r="X491" s="14">
        <f>IF($A491="","",IF(AND(OR($F491="Ponto de atenção",$F491="Incidente"),$L491&lt;&gt;"Sim"),"Não",IF(AND($S491="",$W491&lt;&gt;"OK"),"Não","Sim")))</f>
        <v/>
      </c>
      <c r="Y491" s="14">
        <f>IF($C491="",0,IF(COUNTIFS($C$5:$C491,$C491,$D$5:$D491,$D491)=1,1,0))</f>
        <v/>
      </c>
      <c r="Z491" s="14">
        <f>IF($A491="","",IF(Config!$B$7-$T491&gt;2,"Arquivada",IF(Config!$B$7-$T491&gt;0,"Histórico","Ativa")))</f>
        <v/>
      </c>
      <c r="AA491" s="14">
        <f>IF($A491="",0,IF(AND(OR($F491="Ponto de atenção",$F491="Incidente"),$L491="Sim"),1,0))</f>
        <v/>
      </c>
      <c r="AB491" s="14">
        <f>IF(OR($C491="",$C491&lt;&gt;'1a1'!$B$4,$T491&lt;&gt;Config!$B$7),"",COUNTIFS($C$5:$C491,'1a1'!$B$4,$T$5:$T491,Config!$B$7))</f>
        <v/>
      </c>
    </row>
    <row r="492">
      <c r="A492" s="18" t="n"/>
      <c r="B492" s="19" t="n"/>
      <c r="C492" s="14">
        <f>IFERROR(INDEX(Pessoas!$A$5:$A$64,MATCH($B492,Pessoas!$B$5:$B$64,0)),"")</f>
        <v/>
      </c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8" t="n"/>
      <c r="N492" s="19" t="n"/>
      <c r="O492" s="19" t="n"/>
      <c r="P492" s="19" t="n"/>
      <c r="Q492" s="20">
        <f>IF(OR($M492="",$P492=""),"",$M492+IF($P492="7 dias",7,IF($P492="14 dias",14,90)))</f>
        <v/>
      </c>
      <c r="R492" s="19" t="n"/>
      <c r="S492" s="19" t="n"/>
      <c r="T492" s="14">
        <f>IF($A492="","",YEAR($A492)*4+ROUNDUP(MONTH($A492)/3,0))</f>
        <v/>
      </c>
      <c r="U492" s="14">
        <f>IF($C492="","",$C492&amp;"|"&amp;$T492)</f>
        <v/>
      </c>
      <c r="V492" s="14">
        <f>IF($C492="","",$C492&amp;"|"&amp;$T492&amp;"|"&amp;$G492)</f>
        <v/>
      </c>
      <c r="W492" s="14">
        <f>IF($A492="","",IF(OR($B492="",$F492="",$G492="",$H492="",$I492=""),"Faltam campos básicos",IF(AND(OR($F492="Ponto de atenção",$F492="Incidente"),OR($K492="",$L492="",$O492="",$P492="")),"Faltam campos de sinalização","OK")))</f>
        <v/>
      </c>
      <c r="X492" s="14">
        <f>IF($A492="","",IF(AND(OR($F492="Ponto de atenção",$F492="Incidente"),$L492&lt;&gt;"Sim"),"Não",IF(AND($S492="",$W492&lt;&gt;"OK"),"Não","Sim")))</f>
        <v/>
      </c>
      <c r="Y492" s="14">
        <f>IF($C492="",0,IF(COUNTIFS($C$5:$C492,$C492,$D$5:$D492,$D492)=1,1,0))</f>
        <v/>
      </c>
      <c r="Z492" s="14">
        <f>IF($A492="","",IF(Config!$B$7-$T492&gt;2,"Arquivada",IF(Config!$B$7-$T492&gt;0,"Histórico","Ativa")))</f>
        <v/>
      </c>
      <c r="AA492" s="14">
        <f>IF($A492="",0,IF(AND(OR($F492="Ponto de atenção",$F492="Incidente"),$L492="Sim"),1,0))</f>
        <v/>
      </c>
      <c r="AB492" s="14">
        <f>IF(OR($C492="",$C492&lt;&gt;'1a1'!$B$4,$T492&lt;&gt;Config!$B$7),"",COUNTIFS($C$5:$C492,'1a1'!$B$4,$T$5:$T492,Config!$B$7))</f>
        <v/>
      </c>
    </row>
    <row r="493">
      <c r="A493" s="18" t="n"/>
      <c r="B493" s="19" t="n"/>
      <c r="C493" s="14">
        <f>IFERROR(INDEX(Pessoas!$A$5:$A$64,MATCH($B493,Pessoas!$B$5:$B$64,0)),"")</f>
        <v/>
      </c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8" t="n"/>
      <c r="N493" s="19" t="n"/>
      <c r="O493" s="19" t="n"/>
      <c r="P493" s="19" t="n"/>
      <c r="Q493" s="20">
        <f>IF(OR($M493="",$P493=""),"",$M493+IF($P493="7 dias",7,IF($P493="14 dias",14,90)))</f>
        <v/>
      </c>
      <c r="R493" s="19" t="n"/>
      <c r="S493" s="19" t="n"/>
      <c r="T493" s="14">
        <f>IF($A493="","",YEAR($A493)*4+ROUNDUP(MONTH($A493)/3,0))</f>
        <v/>
      </c>
      <c r="U493" s="14">
        <f>IF($C493="","",$C493&amp;"|"&amp;$T493)</f>
        <v/>
      </c>
      <c r="V493" s="14">
        <f>IF($C493="","",$C493&amp;"|"&amp;$T493&amp;"|"&amp;$G493)</f>
        <v/>
      </c>
      <c r="W493" s="14">
        <f>IF($A493="","",IF(OR($B493="",$F493="",$G493="",$H493="",$I493=""),"Faltam campos básicos",IF(AND(OR($F493="Ponto de atenção",$F493="Incidente"),OR($K493="",$L493="",$O493="",$P493="")),"Faltam campos de sinalização","OK")))</f>
        <v/>
      </c>
      <c r="X493" s="14">
        <f>IF($A493="","",IF(AND(OR($F493="Ponto de atenção",$F493="Incidente"),$L493&lt;&gt;"Sim"),"Não",IF(AND($S493="",$W493&lt;&gt;"OK"),"Não","Sim")))</f>
        <v/>
      </c>
      <c r="Y493" s="14">
        <f>IF($C493="",0,IF(COUNTIFS($C$5:$C493,$C493,$D$5:$D493,$D493)=1,1,0))</f>
        <v/>
      </c>
      <c r="Z493" s="14">
        <f>IF($A493="","",IF(Config!$B$7-$T493&gt;2,"Arquivada",IF(Config!$B$7-$T493&gt;0,"Histórico","Ativa")))</f>
        <v/>
      </c>
      <c r="AA493" s="14">
        <f>IF($A493="",0,IF(AND(OR($F493="Ponto de atenção",$F493="Incidente"),$L493="Sim"),1,0))</f>
        <v/>
      </c>
      <c r="AB493" s="14">
        <f>IF(OR($C493="",$C493&lt;&gt;'1a1'!$B$4,$T493&lt;&gt;Config!$B$7),"",COUNTIFS($C$5:$C493,'1a1'!$B$4,$T$5:$T493,Config!$B$7))</f>
        <v/>
      </c>
    </row>
    <row r="494">
      <c r="A494" s="18" t="n"/>
      <c r="B494" s="19" t="n"/>
      <c r="C494" s="14">
        <f>IFERROR(INDEX(Pessoas!$A$5:$A$64,MATCH($B494,Pessoas!$B$5:$B$64,0)),"")</f>
        <v/>
      </c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8" t="n"/>
      <c r="N494" s="19" t="n"/>
      <c r="O494" s="19" t="n"/>
      <c r="P494" s="19" t="n"/>
      <c r="Q494" s="20">
        <f>IF(OR($M494="",$P494=""),"",$M494+IF($P494="7 dias",7,IF($P494="14 dias",14,90)))</f>
        <v/>
      </c>
      <c r="R494" s="19" t="n"/>
      <c r="S494" s="19" t="n"/>
      <c r="T494" s="14">
        <f>IF($A494="","",YEAR($A494)*4+ROUNDUP(MONTH($A494)/3,0))</f>
        <v/>
      </c>
      <c r="U494" s="14">
        <f>IF($C494="","",$C494&amp;"|"&amp;$T494)</f>
        <v/>
      </c>
      <c r="V494" s="14">
        <f>IF($C494="","",$C494&amp;"|"&amp;$T494&amp;"|"&amp;$G494)</f>
        <v/>
      </c>
      <c r="W494" s="14">
        <f>IF($A494="","",IF(OR($B494="",$F494="",$G494="",$H494="",$I494=""),"Faltam campos básicos",IF(AND(OR($F494="Ponto de atenção",$F494="Incidente"),OR($K494="",$L494="",$O494="",$P494="")),"Faltam campos de sinalização","OK")))</f>
        <v/>
      </c>
      <c r="X494" s="14">
        <f>IF($A494="","",IF(AND(OR($F494="Ponto de atenção",$F494="Incidente"),$L494&lt;&gt;"Sim"),"Não",IF(AND($S494="",$W494&lt;&gt;"OK"),"Não","Sim")))</f>
        <v/>
      </c>
      <c r="Y494" s="14">
        <f>IF($C494="",0,IF(COUNTIFS($C$5:$C494,$C494,$D$5:$D494,$D494)=1,1,0))</f>
        <v/>
      </c>
      <c r="Z494" s="14">
        <f>IF($A494="","",IF(Config!$B$7-$T494&gt;2,"Arquivada",IF(Config!$B$7-$T494&gt;0,"Histórico","Ativa")))</f>
        <v/>
      </c>
      <c r="AA494" s="14">
        <f>IF($A494="",0,IF(AND(OR($F494="Ponto de atenção",$F494="Incidente"),$L494="Sim"),1,0))</f>
        <v/>
      </c>
      <c r="AB494" s="14">
        <f>IF(OR($C494="",$C494&lt;&gt;'1a1'!$B$4,$T494&lt;&gt;Config!$B$7),"",COUNTIFS($C$5:$C494,'1a1'!$B$4,$T$5:$T494,Config!$B$7))</f>
        <v/>
      </c>
    </row>
    <row r="495">
      <c r="A495" s="18" t="n"/>
      <c r="B495" s="19" t="n"/>
      <c r="C495" s="14">
        <f>IFERROR(INDEX(Pessoas!$A$5:$A$64,MATCH($B495,Pessoas!$B$5:$B$64,0)),"")</f>
        <v/>
      </c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8" t="n"/>
      <c r="N495" s="19" t="n"/>
      <c r="O495" s="19" t="n"/>
      <c r="P495" s="19" t="n"/>
      <c r="Q495" s="20">
        <f>IF(OR($M495="",$P495=""),"",$M495+IF($P495="7 dias",7,IF($P495="14 dias",14,90)))</f>
        <v/>
      </c>
      <c r="R495" s="19" t="n"/>
      <c r="S495" s="19" t="n"/>
      <c r="T495" s="14">
        <f>IF($A495="","",YEAR($A495)*4+ROUNDUP(MONTH($A495)/3,0))</f>
        <v/>
      </c>
      <c r="U495" s="14">
        <f>IF($C495="","",$C495&amp;"|"&amp;$T495)</f>
        <v/>
      </c>
      <c r="V495" s="14">
        <f>IF($C495="","",$C495&amp;"|"&amp;$T495&amp;"|"&amp;$G495)</f>
        <v/>
      </c>
      <c r="W495" s="14">
        <f>IF($A495="","",IF(OR($B495="",$F495="",$G495="",$H495="",$I495=""),"Faltam campos básicos",IF(AND(OR($F495="Ponto de atenção",$F495="Incidente"),OR($K495="",$L495="",$O495="",$P495="")),"Faltam campos de sinalização","OK")))</f>
        <v/>
      </c>
      <c r="X495" s="14">
        <f>IF($A495="","",IF(AND(OR($F495="Ponto de atenção",$F495="Incidente"),$L495&lt;&gt;"Sim"),"Não",IF(AND($S495="",$W495&lt;&gt;"OK"),"Não","Sim")))</f>
        <v/>
      </c>
      <c r="Y495" s="14">
        <f>IF($C495="",0,IF(COUNTIFS($C$5:$C495,$C495,$D$5:$D495,$D495)=1,1,0))</f>
        <v/>
      </c>
      <c r="Z495" s="14">
        <f>IF($A495="","",IF(Config!$B$7-$T495&gt;2,"Arquivada",IF(Config!$B$7-$T495&gt;0,"Histórico","Ativa")))</f>
        <v/>
      </c>
      <c r="AA495" s="14">
        <f>IF($A495="",0,IF(AND(OR($F495="Ponto de atenção",$F495="Incidente"),$L495="Sim"),1,0))</f>
        <v/>
      </c>
      <c r="AB495" s="14">
        <f>IF(OR($C495="",$C495&lt;&gt;'1a1'!$B$4,$T495&lt;&gt;Config!$B$7),"",COUNTIFS($C$5:$C495,'1a1'!$B$4,$T$5:$T495,Config!$B$7))</f>
        <v/>
      </c>
    </row>
    <row r="496">
      <c r="A496" s="18" t="n"/>
      <c r="B496" s="19" t="n"/>
      <c r="C496" s="14">
        <f>IFERROR(INDEX(Pessoas!$A$5:$A$64,MATCH($B496,Pessoas!$B$5:$B$64,0)),"")</f>
        <v/>
      </c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8" t="n"/>
      <c r="N496" s="19" t="n"/>
      <c r="O496" s="19" t="n"/>
      <c r="P496" s="19" t="n"/>
      <c r="Q496" s="20">
        <f>IF(OR($M496="",$P496=""),"",$M496+IF($P496="7 dias",7,IF($P496="14 dias",14,90)))</f>
        <v/>
      </c>
      <c r="R496" s="19" t="n"/>
      <c r="S496" s="19" t="n"/>
      <c r="T496" s="14">
        <f>IF($A496="","",YEAR($A496)*4+ROUNDUP(MONTH($A496)/3,0))</f>
        <v/>
      </c>
      <c r="U496" s="14">
        <f>IF($C496="","",$C496&amp;"|"&amp;$T496)</f>
        <v/>
      </c>
      <c r="V496" s="14">
        <f>IF($C496="","",$C496&amp;"|"&amp;$T496&amp;"|"&amp;$G496)</f>
        <v/>
      </c>
      <c r="W496" s="14">
        <f>IF($A496="","",IF(OR($B496="",$F496="",$G496="",$H496="",$I496=""),"Faltam campos básicos",IF(AND(OR($F496="Ponto de atenção",$F496="Incidente"),OR($K496="",$L496="",$O496="",$P496="")),"Faltam campos de sinalização","OK")))</f>
        <v/>
      </c>
      <c r="X496" s="14">
        <f>IF($A496="","",IF(AND(OR($F496="Ponto de atenção",$F496="Incidente"),$L496&lt;&gt;"Sim"),"Não",IF(AND($S496="",$W496&lt;&gt;"OK"),"Não","Sim")))</f>
        <v/>
      </c>
      <c r="Y496" s="14">
        <f>IF($C496="",0,IF(COUNTIFS($C$5:$C496,$C496,$D$5:$D496,$D496)=1,1,0))</f>
        <v/>
      </c>
      <c r="Z496" s="14">
        <f>IF($A496="","",IF(Config!$B$7-$T496&gt;2,"Arquivada",IF(Config!$B$7-$T496&gt;0,"Histórico","Ativa")))</f>
        <v/>
      </c>
      <c r="AA496" s="14">
        <f>IF($A496="",0,IF(AND(OR($F496="Ponto de atenção",$F496="Incidente"),$L496="Sim"),1,0))</f>
        <v/>
      </c>
      <c r="AB496" s="14">
        <f>IF(OR($C496="",$C496&lt;&gt;'1a1'!$B$4,$T496&lt;&gt;Config!$B$7),"",COUNTIFS($C$5:$C496,'1a1'!$B$4,$T$5:$T496,Config!$B$7))</f>
        <v/>
      </c>
    </row>
    <row r="497">
      <c r="A497" s="18" t="n"/>
      <c r="B497" s="19" t="n"/>
      <c r="C497" s="14">
        <f>IFERROR(INDEX(Pessoas!$A$5:$A$64,MATCH($B497,Pessoas!$B$5:$B$64,0)),"")</f>
        <v/>
      </c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8" t="n"/>
      <c r="N497" s="19" t="n"/>
      <c r="O497" s="19" t="n"/>
      <c r="P497" s="19" t="n"/>
      <c r="Q497" s="20">
        <f>IF(OR($M497="",$P497=""),"",$M497+IF($P497="7 dias",7,IF($P497="14 dias",14,90)))</f>
        <v/>
      </c>
      <c r="R497" s="19" t="n"/>
      <c r="S497" s="19" t="n"/>
      <c r="T497" s="14">
        <f>IF($A497="","",YEAR($A497)*4+ROUNDUP(MONTH($A497)/3,0))</f>
        <v/>
      </c>
      <c r="U497" s="14">
        <f>IF($C497="","",$C497&amp;"|"&amp;$T497)</f>
        <v/>
      </c>
      <c r="V497" s="14">
        <f>IF($C497="","",$C497&amp;"|"&amp;$T497&amp;"|"&amp;$G497)</f>
        <v/>
      </c>
      <c r="W497" s="14">
        <f>IF($A497="","",IF(OR($B497="",$F497="",$G497="",$H497="",$I497=""),"Faltam campos básicos",IF(AND(OR($F497="Ponto de atenção",$F497="Incidente"),OR($K497="",$L497="",$O497="",$P497="")),"Faltam campos de sinalização","OK")))</f>
        <v/>
      </c>
      <c r="X497" s="14">
        <f>IF($A497="","",IF(AND(OR($F497="Ponto de atenção",$F497="Incidente"),$L497&lt;&gt;"Sim"),"Não",IF(AND($S497="",$W497&lt;&gt;"OK"),"Não","Sim")))</f>
        <v/>
      </c>
      <c r="Y497" s="14">
        <f>IF($C497="",0,IF(COUNTIFS($C$5:$C497,$C497,$D$5:$D497,$D497)=1,1,0))</f>
        <v/>
      </c>
      <c r="Z497" s="14">
        <f>IF($A497="","",IF(Config!$B$7-$T497&gt;2,"Arquivada",IF(Config!$B$7-$T497&gt;0,"Histórico","Ativa")))</f>
        <v/>
      </c>
      <c r="AA497" s="14">
        <f>IF($A497="",0,IF(AND(OR($F497="Ponto de atenção",$F497="Incidente"),$L497="Sim"),1,0))</f>
        <v/>
      </c>
      <c r="AB497" s="14">
        <f>IF(OR($C497="",$C497&lt;&gt;'1a1'!$B$4,$T497&lt;&gt;Config!$B$7),"",COUNTIFS($C$5:$C497,'1a1'!$B$4,$T$5:$T497,Config!$B$7))</f>
        <v/>
      </c>
    </row>
    <row r="498">
      <c r="A498" s="18" t="n"/>
      <c r="B498" s="19" t="n"/>
      <c r="C498" s="14">
        <f>IFERROR(INDEX(Pessoas!$A$5:$A$64,MATCH($B498,Pessoas!$B$5:$B$64,0)),"")</f>
        <v/>
      </c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8" t="n"/>
      <c r="N498" s="19" t="n"/>
      <c r="O498" s="19" t="n"/>
      <c r="P498" s="19" t="n"/>
      <c r="Q498" s="20">
        <f>IF(OR($M498="",$P498=""),"",$M498+IF($P498="7 dias",7,IF($P498="14 dias",14,90)))</f>
        <v/>
      </c>
      <c r="R498" s="19" t="n"/>
      <c r="S498" s="19" t="n"/>
      <c r="T498" s="14">
        <f>IF($A498="","",YEAR($A498)*4+ROUNDUP(MONTH($A498)/3,0))</f>
        <v/>
      </c>
      <c r="U498" s="14">
        <f>IF($C498="","",$C498&amp;"|"&amp;$T498)</f>
        <v/>
      </c>
      <c r="V498" s="14">
        <f>IF($C498="","",$C498&amp;"|"&amp;$T498&amp;"|"&amp;$G498)</f>
        <v/>
      </c>
      <c r="W498" s="14">
        <f>IF($A498="","",IF(OR($B498="",$F498="",$G498="",$H498="",$I498=""),"Faltam campos básicos",IF(AND(OR($F498="Ponto de atenção",$F498="Incidente"),OR($K498="",$L498="",$O498="",$P498="")),"Faltam campos de sinalização","OK")))</f>
        <v/>
      </c>
      <c r="X498" s="14">
        <f>IF($A498="","",IF(AND(OR($F498="Ponto de atenção",$F498="Incidente"),$L498&lt;&gt;"Sim"),"Não",IF(AND($S498="",$W498&lt;&gt;"OK"),"Não","Sim")))</f>
        <v/>
      </c>
      <c r="Y498" s="14">
        <f>IF($C498="",0,IF(COUNTIFS($C$5:$C498,$C498,$D$5:$D498,$D498)=1,1,0))</f>
        <v/>
      </c>
      <c r="Z498" s="14">
        <f>IF($A498="","",IF(Config!$B$7-$T498&gt;2,"Arquivada",IF(Config!$B$7-$T498&gt;0,"Histórico","Ativa")))</f>
        <v/>
      </c>
      <c r="AA498" s="14">
        <f>IF($A498="",0,IF(AND(OR($F498="Ponto de atenção",$F498="Incidente"),$L498="Sim"),1,0))</f>
        <v/>
      </c>
      <c r="AB498" s="14">
        <f>IF(OR($C498="",$C498&lt;&gt;'1a1'!$B$4,$T498&lt;&gt;Config!$B$7),"",COUNTIFS($C$5:$C498,'1a1'!$B$4,$T$5:$T498,Config!$B$7))</f>
        <v/>
      </c>
    </row>
    <row r="499">
      <c r="A499" s="18" t="n"/>
      <c r="B499" s="19" t="n"/>
      <c r="C499" s="14">
        <f>IFERROR(INDEX(Pessoas!$A$5:$A$64,MATCH($B499,Pessoas!$B$5:$B$64,0)),"")</f>
        <v/>
      </c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8" t="n"/>
      <c r="N499" s="19" t="n"/>
      <c r="O499" s="19" t="n"/>
      <c r="P499" s="19" t="n"/>
      <c r="Q499" s="20">
        <f>IF(OR($M499="",$P499=""),"",$M499+IF($P499="7 dias",7,IF($P499="14 dias",14,90)))</f>
        <v/>
      </c>
      <c r="R499" s="19" t="n"/>
      <c r="S499" s="19" t="n"/>
      <c r="T499" s="14">
        <f>IF($A499="","",YEAR($A499)*4+ROUNDUP(MONTH($A499)/3,0))</f>
        <v/>
      </c>
      <c r="U499" s="14">
        <f>IF($C499="","",$C499&amp;"|"&amp;$T499)</f>
        <v/>
      </c>
      <c r="V499" s="14">
        <f>IF($C499="","",$C499&amp;"|"&amp;$T499&amp;"|"&amp;$G499)</f>
        <v/>
      </c>
      <c r="W499" s="14">
        <f>IF($A499="","",IF(OR($B499="",$F499="",$G499="",$H499="",$I499=""),"Faltam campos básicos",IF(AND(OR($F499="Ponto de atenção",$F499="Incidente"),OR($K499="",$L499="",$O499="",$P499="")),"Faltam campos de sinalização","OK")))</f>
        <v/>
      </c>
      <c r="X499" s="14">
        <f>IF($A499="","",IF(AND(OR($F499="Ponto de atenção",$F499="Incidente"),$L499&lt;&gt;"Sim"),"Não",IF(AND($S499="",$W499&lt;&gt;"OK"),"Não","Sim")))</f>
        <v/>
      </c>
      <c r="Y499" s="14">
        <f>IF($C499="",0,IF(COUNTIFS($C$5:$C499,$C499,$D$5:$D499,$D499)=1,1,0))</f>
        <v/>
      </c>
      <c r="Z499" s="14">
        <f>IF($A499="","",IF(Config!$B$7-$T499&gt;2,"Arquivada",IF(Config!$B$7-$T499&gt;0,"Histórico","Ativa")))</f>
        <v/>
      </c>
      <c r="AA499" s="14">
        <f>IF($A499="",0,IF(AND(OR($F499="Ponto de atenção",$F499="Incidente"),$L499="Sim"),1,0))</f>
        <v/>
      </c>
      <c r="AB499" s="14">
        <f>IF(OR($C499="",$C499&lt;&gt;'1a1'!$B$4,$T499&lt;&gt;Config!$B$7),"",COUNTIFS($C$5:$C499,'1a1'!$B$4,$T$5:$T499,Config!$B$7))</f>
        <v/>
      </c>
    </row>
    <row r="500">
      <c r="A500" s="18" t="n"/>
      <c r="B500" s="19" t="n"/>
      <c r="C500" s="14">
        <f>IFERROR(INDEX(Pessoas!$A$5:$A$64,MATCH($B500,Pessoas!$B$5:$B$64,0)),"")</f>
        <v/>
      </c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8" t="n"/>
      <c r="N500" s="19" t="n"/>
      <c r="O500" s="19" t="n"/>
      <c r="P500" s="19" t="n"/>
      <c r="Q500" s="20">
        <f>IF(OR($M500="",$P500=""),"",$M500+IF($P500="7 dias",7,IF($P500="14 dias",14,90)))</f>
        <v/>
      </c>
      <c r="R500" s="19" t="n"/>
      <c r="S500" s="19" t="n"/>
      <c r="T500" s="14">
        <f>IF($A500="","",YEAR($A500)*4+ROUNDUP(MONTH($A500)/3,0))</f>
        <v/>
      </c>
      <c r="U500" s="14">
        <f>IF($C500="","",$C500&amp;"|"&amp;$T500)</f>
        <v/>
      </c>
      <c r="V500" s="14">
        <f>IF($C500="","",$C500&amp;"|"&amp;$T500&amp;"|"&amp;$G500)</f>
        <v/>
      </c>
      <c r="W500" s="14">
        <f>IF($A500="","",IF(OR($B500="",$F500="",$G500="",$H500="",$I500=""),"Faltam campos básicos",IF(AND(OR($F500="Ponto de atenção",$F500="Incidente"),OR($K500="",$L500="",$O500="",$P500="")),"Faltam campos de sinalização","OK")))</f>
        <v/>
      </c>
      <c r="X500" s="14">
        <f>IF($A500="","",IF(AND(OR($F500="Ponto de atenção",$F500="Incidente"),$L500&lt;&gt;"Sim"),"Não",IF(AND($S500="",$W500&lt;&gt;"OK"),"Não","Sim")))</f>
        <v/>
      </c>
      <c r="Y500" s="14">
        <f>IF($C500="",0,IF(COUNTIFS($C$5:$C500,$C500,$D$5:$D500,$D500)=1,1,0))</f>
        <v/>
      </c>
      <c r="Z500" s="14">
        <f>IF($A500="","",IF(Config!$B$7-$T500&gt;2,"Arquivada",IF(Config!$B$7-$T500&gt;0,"Histórico","Ativa")))</f>
        <v/>
      </c>
      <c r="AA500" s="14">
        <f>IF($A500="",0,IF(AND(OR($F500="Ponto de atenção",$F500="Incidente"),$L500="Sim"),1,0))</f>
        <v/>
      </c>
      <c r="AB500" s="14">
        <f>IF(OR($C500="",$C500&lt;&gt;'1a1'!$B$4,$T500&lt;&gt;Config!$B$7),"",COUNTIFS($C$5:$C500,'1a1'!$B$4,$T$5:$T500,Config!$B$7))</f>
        <v/>
      </c>
    </row>
    <row r="501">
      <c r="A501" s="18" t="n"/>
      <c r="B501" s="19" t="n"/>
      <c r="C501" s="14">
        <f>IFERROR(INDEX(Pessoas!$A$5:$A$64,MATCH($B501,Pessoas!$B$5:$B$64,0)),"")</f>
        <v/>
      </c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8" t="n"/>
      <c r="N501" s="19" t="n"/>
      <c r="O501" s="19" t="n"/>
      <c r="P501" s="19" t="n"/>
      <c r="Q501" s="20">
        <f>IF(OR($M501="",$P501=""),"",$M501+IF($P501="7 dias",7,IF($P501="14 dias",14,90)))</f>
        <v/>
      </c>
      <c r="R501" s="19" t="n"/>
      <c r="S501" s="19" t="n"/>
      <c r="T501" s="14">
        <f>IF($A501="","",YEAR($A501)*4+ROUNDUP(MONTH($A501)/3,0))</f>
        <v/>
      </c>
      <c r="U501" s="14">
        <f>IF($C501="","",$C501&amp;"|"&amp;$T501)</f>
        <v/>
      </c>
      <c r="V501" s="14">
        <f>IF($C501="","",$C501&amp;"|"&amp;$T501&amp;"|"&amp;$G501)</f>
        <v/>
      </c>
      <c r="W501" s="14">
        <f>IF($A501="","",IF(OR($B501="",$F501="",$G501="",$H501="",$I501=""),"Faltam campos básicos",IF(AND(OR($F501="Ponto de atenção",$F501="Incidente"),OR($K501="",$L501="",$O501="",$P501="")),"Faltam campos de sinalização","OK")))</f>
        <v/>
      </c>
      <c r="X501" s="14">
        <f>IF($A501="","",IF(AND(OR($F501="Ponto de atenção",$F501="Incidente"),$L501&lt;&gt;"Sim"),"Não",IF(AND($S501="",$W501&lt;&gt;"OK"),"Não","Sim")))</f>
        <v/>
      </c>
      <c r="Y501" s="14">
        <f>IF($C501="",0,IF(COUNTIFS($C$5:$C501,$C501,$D$5:$D501,$D501)=1,1,0))</f>
        <v/>
      </c>
      <c r="Z501" s="14">
        <f>IF($A501="","",IF(Config!$B$7-$T501&gt;2,"Arquivada",IF(Config!$B$7-$T501&gt;0,"Histórico","Ativa")))</f>
        <v/>
      </c>
      <c r="AA501" s="14">
        <f>IF($A501="",0,IF(AND(OR($F501="Ponto de atenção",$F501="Incidente"),$L501="Sim"),1,0))</f>
        <v/>
      </c>
      <c r="AB501" s="14">
        <f>IF(OR($C501="",$C501&lt;&gt;'1a1'!$B$4,$T501&lt;&gt;Config!$B$7),"",COUNTIFS($C$5:$C501,'1a1'!$B$4,$T$5:$T501,Config!$B$7))</f>
        <v/>
      </c>
    </row>
    <row r="502">
      <c r="A502" s="18" t="n"/>
      <c r="B502" s="19" t="n"/>
      <c r="C502" s="14">
        <f>IFERROR(INDEX(Pessoas!$A$5:$A$64,MATCH($B502,Pessoas!$B$5:$B$64,0)),"")</f>
        <v/>
      </c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8" t="n"/>
      <c r="N502" s="19" t="n"/>
      <c r="O502" s="19" t="n"/>
      <c r="P502" s="19" t="n"/>
      <c r="Q502" s="20">
        <f>IF(OR($M502="",$P502=""),"",$M502+IF($P502="7 dias",7,IF($P502="14 dias",14,90)))</f>
        <v/>
      </c>
      <c r="R502" s="19" t="n"/>
      <c r="S502" s="19" t="n"/>
      <c r="T502" s="14">
        <f>IF($A502="","",YEAR($A502)*4+ROUNDUP(MONTH($A502)/3,0))</f>
        <v/>
      </c>
      <c r="U502" s="14">
        <f>IF($C502="","",$C502&amp;"|"&amp;$T502)</f>
        <v/>
      </c>
      <c r="V502" s="14">
        <f>IF($C502="","",$C502&amp;"|"&amp;$T502&amp;"|"&amp;$G502)</f>
        <v/>
      </c>
      <c r="W502" s="14">
        <f>IF($A502="","",IF(OR($B502="",$F502="",$G502="",$H502="",$I502=""),"Faltam campos básicos",IF(AND(OR($F502="Ponto de atenção",$F502="Incidente"),OR($K502="",$L502="",$O502="",$P502="")),"Faltam campos de sinalização","OK")))</f>
        <v/>
      </c>
      <c r="X502" s="14">
        <f>IF($A502="","",IF(AND(OR($F502="Ponto de atenção",$F502="Incidente"),$L502&lt;&gt;"Sim"),"Não",IF(AND($S502="",$W502&lt;&gt;"OK"),"Não","Sim")))</f>
        <v/>
      </c>
      <c r="Y502" s="14">
        <f>IF($C502="",0,IF(COUNTIFS($C$5:$C502,$C502,$D$5:$D502,$D502)=1,1,0))</f>
        <v/>
      </c>
      <c r="Z502" s="14">
        <f>IF($A502="","",IF(Config!$B$7-$T502&gt;2,"Arquivada",IF(Config!$B$7-$T502&gt;0,"Histórico","Ativa")))</f>
        <v/>
      </c>
      <c r="AA502" s="14">
        <f>IF($A502="",0,IF(AND(OR($F502="Ponto de atenção",$F502="Incidente"),$L502="Sim"),1,0))</f>
        <v/>
      </c>
      <c r="AB502" s="14">
        <f>IF(OR($C502="",$C502&lt;&gt;'1a1'!$B$4,$T502&lt;&gt;Config!$B$7),"",COUNTIFS($C$5:$C502,'1a1'!$B$4,$T$5:$T502,Config!$B$7))</f>
        <v/>
      </c>
    </row>
    <row r="503">
      <c r="A503" s="18" t="n"/>
      <c r="B503" s="19" t="n"/>
      <c r="C503" s="14">
        <f>IFERROR(INDEX(Pessoas!$A$5:$A$64,MATCH($B503,Pessoas!$B$5:$B$64,0)),"")</f>
        <v/>
      </c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8" t="n"/>
      <c r="N503" s="19" t="n"/>
      <c r="O503" s="19" t="n"/>
      <c r="P503" s="19" t="n"/>
      <c r="Q503" s="20">
        <f>IF(OR($M503="",$P503=""),"",$M503+IF($P503="7 dias",7,IF($P503="14 dias",14,90)))</f>
        <v/>
      </c>
      <c r="R503" s="19" t="n"/>
      <c r="S503" s="19" t="n"/>
      <c r="T503" s="14">
        <f>IF($A503="","",YEAR($A503)*4+ROUNDUP(MONTH($A503)/3,0))</f>
        <v/>
      </c>
      <c r="U503" s="14">
        <f>IF($C503="","",$C503&amp;"|"&amp;$T503)</f>
        <v/>
      </c>
      <c r="V503" s="14">
        <f>IF($C503="","",$C503&amp;"|"&amp;$T503&amp;"|"&amp;$G503)</f>
        <v/>
      </c>
      <c r="W503" s="14">
        <f>IF($A503="","",IF(OR($B503="",$F503="",$G503="",$H503="",$I503=""),"Faltam campos básicos",IF(AND(OR($F503="Ponto de atenção",$F503="Incidente"),OR($K503="",$L503="",$O503="",$P503="")),"Faltam campos de sinalização","OK")))</f>
        <v/>
      </c>
      <c r="X503" s="14">
        <f>IF($A503="","",IF(AND(OR($F503="Ponto de atenção",$F503="Incidente"),$L503&lt;&gt;"Sim"),"Não",IF(AND($S503="",$W503&lt;&gt;"OK"),"Não","Sim")))</f>
        <v/>
      </c>
      <c r="Y503" s="14">
        <f>IF($C503="",0,IF(COUNTIFS($C$5:$C503,$C503,$D$5:$D503,$D503)=1,1,0))</f>
        <v/>
      </c>
      <c r="Z503" s="14">
        <f>IF($A503="","",IF(Config!$B$7-$T503&gt;2,"Arquivada",IF(Config!$B$7-$T503&gt;0,"Histórico","Ativa")))</f>
        <v/>
      </c>
      <c r="AA503" s="14">
        <f>IF($A503="",0,IF(AND(OR($F503="Ponto de atenção",$F503="Incidente"),$L503="Sim"),1,0))</f>
        <v/>
      </c>
      <c r="AB503" s="14">
        <f>IF(OR($C503="",$C503&lt;&gt;'1a1'!$B$4,$T503&lt;&gt;Config!$B$7),"",COUNTIFS($C$5:$C503,'1a1'!$B$4,$T$5:$T503,Config!$B$7))</f>
        <v/>
      </c>
    </row>
    <row r="504">
      <c r="A504" s="18" t="n"/>
      <c r="B504" s="19" t="n"/>
      <c r="C504" s="14">
        <f>IFERROR(INDEX(Pessoas!$A$5:$A$64,MATCH($B504,Pessoas!$B$5:$B$64,0)),"")</f>
        <v/>
      </c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8" t="n"/>
      <c r="N504" s="19" t="n"/>
      <c r="O504" s="19" t="n"/>
      <c r="P504" s="19" t="n"/>
      <c r="Q504" s="20">
        <f>IF(OR($M504="",$P504=""),"",$M504+IF($P504="7 dias",7,IF($P504="14 dias",14,90)))</f>
        <v/>
      </c>
      <c r="R504" s="19" t="n"/>
      <c r="S504" s="19" t="n"/>
      <c r="T504" s="14">
        <f>IF($A504="","",YEAR($A504)*4+ROUNDUP(MONTH($A504)/3,0))</f>
        <v/>
      </c>
      <c r="U504" s="14">
        <f>IF($C504="","",$C504&amp;"|"&amp;$T504)</f>
        <v/>
      </c>
      <c r="V504" s="14">
        <f>IF($C504="","",$C504&amp;"|"&amp;$T504&amp;"|"&amp;$G504)</f>
        <v/>
      </c>
      <c r="W504" s="14">
        <f>IF($A504="","",IF(OR($B504="",$F504="",$G504="",$H504="",$I504=""),"Faltam campos básicos",IF(AND(OR($F504="Ponto de atenção",$F504="Incidente"),OR($K504="",$L504="",$O504="",$P504="")),"Faltam campos de sinalização","OK")))</f>
        <v/>
      </c>
      <c r="X504" s="14">
        <f>IF($A504="","",IF(AND(OR($F504="Ponto de atenção",$F504="Incidente"),$L504&lt;&gt;"Sim"),"Não",IF(AND($S504="",$W504&lt;&gt;"OK"),"Não","Sim")))</f>
        <v/>
      </c>
      <c r="Y504" s="14">
        <f>IF($C504="",0,IF(COUNTIFS($C$5:$C504,$C504,$D$5:$D504,$D504)=1,1,0))</f>
        <v/>
      </c>
      <c r="Z504" s="14">
        <f>IF($A504="","",IF(Config!$B$7-$T504&gt;2,"Arquivada",IF(Config!$B$7-$T504&gt;0,"Histórico","Ativa")))</f>
        <v/>
      </c>
      <c r="AA504" s="14">
        <f>IF($A504="",0,IF(AND(OR($F504="Ponto de atenção",$F504="Incidente"),$L504="Sim"),1,0))</f>
        <v/>
      </c>
      <c r="AB504" s="14">
        <f>IF(OR($C504="",$C504&lt;&gt;'1a1'!$B$4,$T504&lt;&gt;Config!$B$7),"",COUNTIFS($C$5:$C504,'1a1'!$B$4,$T$5:$T504,Config!$B$7))</f>
        <v/>
      </c>
    </row>
    <row r="505">
      <c r="A505" s="18" t="n"/>
      <c r="B505" s="19" t="n"/>
      <c r="C505" s="14">
        <f>IFERROR(INDEX(Pessoas!$A$5:$A$64,MATCH($B505,Pessoas!$B$5:$B$64,0)),"")</f>
        <v/>
      </c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8" t="n"/>
      <c r="N505" s="19" t="n"/>
      <c r="O505" s="19" t="n"/>
      <c r="P505" s="19" t="n"/>
      <c r="Q505" s="20">
        <f>IF(OR($M505="",$P505=""),"",$M505+IF($P505="7 dias",7,IF($P505="14 dias",14,90)))</f>
        <v/>
      </c>
      <c r="R505" s="19" t="n"/>
      <c r="S505" s="19" t="n"/>
      <c r="T505" s="14">
        <f>IF($A505="","",YEAR($A505)*4+ROUNDUP(MONTH($A505)/3,0))</f>
        <v/>
      </c>
      <c r="U505" s="14">
        <f>IF($C505="","",$C505&amp;"|"&amp;$T505)</f>
        <v/>
      </c>
      <c r="V505" s="14">
        <f>IF($C505="","",$C505&amp;"|"&amp;$T505&amp;"|"&amp;$G505)</f>
        <v/>
      </c>
      <c r="W505" s="14">
        <f>IF($A505="","",IF(OR($B505="",$F505="",$G505="",$H505="",$I505=""),"Faltam campos básicos",IF(AND(OR($F505="Ponto de atenção",$F505="Incidente"),OR($K505="",$L505="",$O505="",$P505="")),"Faltam campos de sinalização","OK")))</f>
        <v/>
      </c>
      <c r="X505" s="14">
        <f>IF($A505="","",IF(AND(OR($F505="Ponto de atenção",$F505="Incidente"),$L505&lt;&gt;"Sim"),"Não",IF(AND($S505="",$W505&lt;&gt;"OK"),"Não","Sim")))</f>
        <v/>
      </c>
      <c r="Y505" s="14">
        <f>IF($C505="",0,IF(COUNTIFS($C$5:$C505,$C505,$D$5:$D505,$D505)=1,1,0))</f>
        <v/>
      </c>
      <c r="Z505" s="14">
        <f>IF($A505="","",IF(Config!$B$7-$T505&gt;2,"Arquivada",IF(Config!$B$7-$T505&gt;0,"Histórico","Ativa")))</f>
        <v/>
      </c>
      <c r="AA505" s="14">
        <f>IF($A505="",0,IF(AND(OR($F505="Ponto de atenção",$F505="Incidente"),$L505="Sim"),1,0))</f>
        <v/>
      </c>
      <c r="AB505" s="14">
        <f>IF(OR($C505="",$C505&lt;&gt;'1a1'!$B$4,$T505&lt;&gt;Config!$B$7),"",COUNTIFS($C$5:$C505,'1a1'!$B$4,$T$5:$T505,Config!$B$7))</f>
        <v/>
      </c>
    </row>
    <row r="506">
      <c r="A506" s="18" t="n"/>
      <c r="B506" s="19" t="n"/>
      <c r="C506" s="14">
        <f>IFERROR(INDEX(Pessoas!$A$5:$A$64,MATCH($B506,Pessoas!$B$5:$B$64,0)),"")</f>
        <v/>
      </c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8" t="n"/>
      <c r="N506" s="19" t="n"/>
      <c r="O506" s="19" t="n"/>
      <c r="P506" s="19" t="n"/>
      <c r="Q506" s="20">
        <f>IF(OR($M506="",$P506=""),"",$M506+IF($P506="7 dias",7,IF($P506="14 dias",14,90)))</f>
        <v/>
      </c>
      <c r="R506" s="19" t="n"/>
      <c r="S506" s="19" t="n"/>
      <c r="T506" s="14">
        <f>IF($A506="","",YEAR($A506)*4+ROUNDUP(MONTH($A506)/3,0))</f>
        <v/>
      </c>
      <c r="U506" s="14">
        <f>IF($C506="","",$C506&amp;"|"&amp;$T506)</f>
        <v/>
      </c>
      <c r="V506" s="14">
        <f>IF($C506="","",$C506&amp;"|"&amp;$T506&amp;"|"&amp;$G506)</f>
        <v/>
      </c>
      <c r="W506" s="14">
        <f>IF($A506="","",IF(OR($B506="",$F506="",$G506="",$H506="",$I506=""),"Faltam campos básicos",IF(AND(OR($F506="Ponto de atenção",$F506="Incidente"),OR($K506="",$L506="",$O506="",$P506="")),"Faltam campos de sinalização","OK")))</f>
        <v/>
      </c>
      <c r="X506" s="14">
        <f>IF($A506="","",IF(AND(OR($F506="Ponto de atenção",$F506="Incidente"),$L506&lt;&gt;"Sim"),"Não",IF(AND($S506="",$W506&lt;&gt;"OK"),"Não","Sim")))</f>
        <v/>
      </c>
      <c r="Y506" s="14">
        <f>IF($C506="",0,IF(COUNTIFS($C$5:$C506,$C506,$D$5:$D506,$D506)=1,1,0))</f>
        <v/>
      </c>
      <c r="Z506" s="14">
        <f>IF($A506="","",IF(Config!$B$7-$T506&gt;2,"Arquivada",IF(Config!$B$7-$T506&gt;0,"Histórico","Ativa")))</f>
        <v/>
      </c>
      <c r="AA506" s="14">
        <f>IF($A506="",0,IF(AND(OR($F506="Ponto de atenção",$F506="Incidente"),$L506="Sim"),1,0))</f>
        <v/>
      </c>
      <c r="AB506" s="14">
        <f>IF(OR($C506="",$C506&lt;&gt;'1a1'!$B$4,$T506&lt;&gt;Config!$B$7),"",COUNTIFS($C$5:$C506,'1a1'!$B$4,$T$5:$T506,Config!$B$7))</f>
        <v/>
      </c>
    </row>
    <row r="507">
      <c r="A507" s="18" t="n"/>
      <c r="B507" s="19" t="n"/>
      <c r="C507" s="14">
        <f>IFERROR(INDEX(Pessoas!$A$5:$A$64,MATCH($B507,Pessoas!$B$5:$B$64,0)),"")</f>
        <v/>
      </c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8" t="n"/>
      <c r="N507" s="19" t="n"/>
      <c r="O507" s="19" t="n"/>
      <c r="P507" s="19" t="n"/>
      <c r="Q507" s="20">
        <f>IF(OR($M507="",$P507=""),"",$M507+IF($P507="7 dias",7,IF($P507="14 dias",14,90)))</f>
        <v/>
      </c>
      <c r="R507" s="19" t="n"/>
      <c r="S507" s="19" t="n"/>
      <c r="T507" s="14">
        <f>IF($A507="","",YEAR($A507)*4+ROUNDUP(MONTH($A507)/3,0))</f>
        <v/>
      </c>
      <c r="U507" s="14">
        <f>IF($C507="","",$C507&amp;"|"&amp;$T507)</f>
        <v/>
      </c>
      <c r="V507" s="14">
        <f>IF($C507="","",$C507&amp;"|"&amp;$T507&amp;"|"&amp;$G507)</f>
        <v/>
      </c>
      <c r="W507" s="14">
        <f>IF($A507="","",IF(OR($B507="",$F507="",$G507="",$H507="",$I507=""),"Faltam campos básicos",IF(AND(OR($F507="Ponto de atenção",$F507="Incidente"),OR($K507="",$L507="",$O507="",$P507="")),"Faltam campos de sinalização","OK")))</f>
        <v/>
      </c>
      <c r="X507" s="14">
        <f>IF($A507="","",IF(AND(OR($F507="Ponto de atenção",$F507="Incidente"),$L507&lt;&gt;"Sim"),"Não",IF(AND($S507="",$W507&lt;&gt;"OK"),"Não","Sim")))</f>
        <v/>
      </c>
      <c r="Y507" s="14">
        <f>IF($C507="",0,IF(COUNTIFS($C$5:$C507,$C507,$D$5:$D507,$D507)=1,1,0))</f>
        <v/>
      </c>
      <c r="Z507" s="14">
        <f>IF($A507="","",IF(Config!$B$7-$T507&gt;2,"Arquivada",IF(Config!$B$7-$T507&gt;0,"Histórico","Ativa")))</f>
        <v/>
      </c>
      <c r="AA507" s="14">
        <f>IF($A507="",0,IF(AND(OR($F507="Ponto de atenção",$F507="Incidente"),$L507="Sim"),1,0))</f>
        <v/>
      </c>
      <c r="AB507" s="14">
        <f>IF(OR($C507="",$C507&lt;&gt;'1a1'!$B$4,$T507&lt;&gt;Config!$B$7),"",COUNTIFS($C$5:$C507,'1a1'!$B$4,$T$5:$T507,Config!$B$7))</f>
        <v/>
      </c>
    </row>
    <row r="508">
      <c r="A508" s="18" t="n"/>
      <c r="B508" s="19" t="n"/>
      <c r="C508" s="14">
        <f>IFERROR(INDEX(Pessoas!$A$5:$A$64,MATCH($B508,Pessoas!$B$5:$B$64,0)),"")</f>
        <v/>
      </c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8" t="n"/>
      <c r="N508" s="19" t="n"/>
      <c r="O508" s="19" t="n"/>
      <c r="P508" s="19" t="n"/>
      <c r="Q508" s="20">
        <f>IF(OR($M508="",$P508=""),"",$M508+IF($P508="7 dias",7,IF($P508="14 dias",14,90)))</f>
        <v/>
      </c>
      <c r="R508" s="19" t="n"/>
      <c r="S508" s="19" t="n"/>
      <c r="T508" s="14">
        <f>IF($A508="","",YEAR($A508)*4+ROUNDUP(MONTH($A508)/3,0))</f>
        <v/>
      </c>
      <c r="U508" s="14">
        <f>IF($C508="","",$C508&amp;"|"&amp;$T508)</f>
        <v/>
      </c>
      <c r="V508" s="14">
        <f>IF($C508="","",$C508&amp;"|"&amp;$T508&amp;"|"&amp;$G508)</f>
        <v/>
      </c>
      <c r="W508" s="14">
        <f>IF($A508="","",IF(OR($B508="",$F508="",$G508="",$H508="",$I508=""),"Faltam campos básicos",IF(AND(OR($F508="Ponto de atenção",$F508="Incidente"),OR($K508="",$L508="",$O508="",$P508="")),"Faltam campos de sinalização","OK")))</f>
        <v/>
      </c>
      <c r="X508" s="14">
        <f>IF($A508="","",IF(AND(OR($F508="Ponto de atenção",$F508="Incidente"),$L508&lt;&gt;"Sim"),"Não",IF(AND($S508="",$W508&lt;&gt;"OK"),"Não","Sim")))</f>
        <v/>
      </c>
      <c r="Y508" s="14">
        <f>IF($C508="",0,IF(COUNTIFS($C$5:$C508,$C508,$D$5:$D508,$D508)=1,1,0))</f>
        <v/>
      </c>
      <c r="Z508" s="14">
        <f>IF($A508="","",IF(Config!$B$7-$T508&gt;2,"Arquivada",IF(Config!$B$7-$T508&gt;0,"Histórico","Ativa")))</f>
        <v/>
      </c>
      <c r="AA508" s="14">
        <f>IF($A508="",0,IF(AND(OR($F508="Ponto de atenção",$F508="Incidente"),$L508="Sim"),1,0))</f>
        <v/>
      </c>
      <c r="AB508" s="14">
        <f>IF(OR($C508="",$C508&lt;&gt;'1a1'!$B$4,$T508&lt;&gt;Config!$B$7),"",COUNTIFS($C$5:$C508,'1a1'!$B$4,$T$5:$T508,Config!$B$7))</f>
        <v/>
      </c>
    </row>
    <row r="509">
      <c r="A509" s="18" t="n"/>
      <c r="B509" s="19" t="n"/>
      <c r="C509" s="14">
        <f>IFERROR(INDEX(Pessoas!$A$5:$A$64,MATCH($B509,Pessoas!$B$5:$B$64,0)),"")</f>
        <v/>
      </c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8" t="n"/>
      <c r="N509" s="19" t="n"/>
      <c r="O509" s="19" t="n"/>
      <c r="P509" s="19" t="n"/>
      <c r="Q509" s="20">
        <f>IF(OR($M509="",$P509=""),"",$M509+IF($P509="7 dias",7,IF($P509="14 dias",14,90)))</f>
        <v/>
      </c>
      <c r="R509" s="19" t="n"/>
      <c r="S509" s="19" t="n"/>
      <c r="T509" s="14">
        <f>IF($A509="","",YEAR($A509)*4+ROUNDUP(MONTH($A509)/3,0))</f>
        <v/>
      </c>
      <c r="U509" s="14">
        <f>IF($C509="","",$C509&amp;"|"&amp;$T509)</f>
        <v/>
      </c>
      <c r="V509" s="14">
        <f>IF($C509="","",$C509&amp;"|"&amp;$T509&amp;"|"&amp;$G509)</f>
        <v/>
      </c>
      <c r="W509" s="14">
        <f>IF($A509="","",IF(OR($B509="",$F509="",$G509="",$H509="",$I509=""),"Faltam campos básicos",IF(AND(OR($F509="Ponto de atenção",$F509="Incidente"),OR($K509="",$L509="",$O509="",$P509="")),"Faltam campos de sinalização","OK")))</f>
        <v/>
      </c>
      <c r="X509" s="14">
        <f>IF($A509="","",IF(AND(OR($F509="Ponto de atenção",$F509="Incidente"),$L509&lt;&gt;"Sim"),"Não",IF(AND($S509="",$W509&lt;&gt;"OK"),"Não","Sim")))</f>
        <v/>
      </c>
      <c r="Y509" s="14">
        <f>IF($C509="",0,IF(COUNTIFS($C$5:$C509,$C509,$D$5:$D509,$D509)=1,1,0))</f>
        <v/>
      </c>
      <c r="Z509" s="14">
        <f>IF($A509="","",IF(Config!$B$7-$T509&gt;2,"Arquivada",IF(Config!$B$7-$T509&gt;0,"Histórico","Ativa")))</f>
        <v/>
      </c>
      <c r="AA509" s="14">
        <f>IF($A509="",0,IF(AND(OR($F509="Ponto de atenção",$F509="Incidente"),$L509="Sim"),1,0))</f>
        <v/>
      </c>
      <c r="AB509" s="14">
        <f>IF(OR($C509="",$C509&lt;&gt;'1a1'!$B$4,$T509&lt;&gt;Config!$B$7),"",COUNTIFS($C$5:$C509,'1a1'!$B$4,$T$5:$T509,Config!$B$7))</f>
        <v/>
      </c>
    </row>
    <row r="510">
      <c r="A510" s="18" t="n"/>
      <c r="B510" s="19" t="n"/>
      <c r="C510" s="14">
        <f>IFERROR(INDEX(Pessoas!$A$5:$A$64,MATCH($B510,Pessoas!$B$5:$B$64,0)),"")</f>
        <v/>
      </c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8" t="n"/>
      <c r="N510" s="19" t="n"/>
      <c r="O510" s="19" t="n"/>
      <c r="P510" s="19" t="n"/>
      <c r="Q510" s="20">
        <f>IF(OR($M510="",$P510=""),"",$M510+IF($P510="7 dias",7,IF($P510="14 dias",14,90)))</f>
        <v/>
      </c>
      <c r="R510" s="19" t="n"/>
      <c r="S510" s="19" t="n"/>
      <c r="T510" s="14">
        <f>IF($A510="","",YEAR($A510)*4+ROUNDUP(MONTH($A510)/3,0))</f>
        <v/>
      </c>
      <c r="U510" s="14">
        <f>IF($C510="","",$C510&amp;"|"&amp;$T510)</f>
        <v/>
      </c>
      <c r="V510" s="14">
        <f>IF($C510="","",$C510&amp;"|"&amp;$T510&amp;"|"&amp;$G510)</f>
        <v/>
      </c>
      <c r="W510" s="14">
        <f>IF($A510="","",IF(OR($B510="",$F510="",$G510="",$H510="",$I510=""),"Faltam campos básicos",IF(AND(OR($F510="Ponto de atenção",$F510="Incidente"),OR($K510="",$L510="",$O510="",$P510="")),"Faltam campos de sinalização","OK")))</f>
        <v/>
      </c>
      <c r="X510" s="14">
        <f>IF($A510="","",IF(AND(OR($F510="Ponto de atenção",$F510="Incidente"),$L510&lt;&gt;"Sim"),"Não",IF(AND($S510="",$W510&lt;&gt;"OK"),"Não","Sim")))</f>
        <v/>
      </c>
      <c r="Y510" s="14">
        <f>IF($C510="",0,IF(COUNTIFS($C$5:$C510,$C510,$D$5:$D510,$D510)=1,1,0))</f>
        <v/>
      </c>
      <c r="Z510" s="14">
        <f>IF($A510="","",IF(Config!$B$7-$T510&gt;2,"Arquivada",IF(Config!$B$7-$T510&gt;0,"Histórico","Ativa")))</f>
        <v/>
      </c>
      <c r="AA510" s="14">
        <f>IF($A510="",0,IF(AND(OR($F510="Ponto de atenção",$F510="Incidente"),$L510="Sim"),1,0))</f>
        <v/>
      </c>
      <c r="AB510" s="14">
        <f>IF(OR($C510="",$C510&lt;&gt;'1a1'!$B$4,$T510&lt;&gt;Config!$B$7),"",COUNTIFS($C$5:$C510,'1a1'!$B$4,$T$5:$T510,Config!$B$7))</f>
        <v/>
      </c>
    </row>
    <row r="511">
      <c r="A511" s="18" t="n"/>
      <c r="B511" s="19" t="n"/>
      <c r="C511" s="14">
        <f>IFERROR(INDEX(Pessoas!$A$5:$A$64,MATCH($B511,Pessoas!$B$5:$B$64,0)),"")</f>
        <v/>
      </c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8" t="n"/>
      <c r="N511" s="19" t="n"/>
      <c r="O511" s="19" t="n"/>
      <c r="P511" s="19" t="n"/>
      <c r="Q511" s="20">
        <f>IF(OR($M511="",$P511=""),"",$M511+IF($P511="7 dias",7,IF($P511="14 dias",14,90)))</f>
        <v/>
      </c>
      <c r="R511" s="19" t="n"/>
      <c r="S511" s="19" t="n"/>
      <c r="T511" s="14">
        <f>IF($A511="","",YEAR($A511)*4+ROUNDUP(MONTH($A511)/3,0))</f>
        <v/>
      </c>
      <c r="U511" s="14">
        <f>IF($C511="","",$C511&amp;"|"&amp;$T511)</f>
        <v/>
      </c>
      <c r="V511" s="14">
        <f>IF($C511="","",$C511&amp;"|"&amp;$T511&amp;"|"&amp;$G511)</f>
        <v/>
      </c>
      <c r="W511" s="14">
        <f>IF($A511="","",IF(OR($B511="",$F511="",$G511="",$H511="",$I511=""),"Faltam campos básicos",IF(AND(OR($F511="Ponto de atenção",$F511="Incidente"),OR($K511="",$L511="",$O511="",$P511="")),"Faltam campos de sinalização","OK")))</f>
        <v/>
      </c>
      <c r="X511" s="14">
        <f>IF($A511="","",IF(AND(OR($F511="Ponto de atenção",$F511="Incidente"),$L511&lt;&gt;"Sim"),"Não",IF(AND($S511="",$W511&lt;&gt;"OK"),"Não","Sim")))</f>
        <v/>
      </c>
      <c r="Y511" s="14">
        <f>IF($C511="",0,IF(COUNTIFS($C$5:$C511,$C511,$D$5:$D511,$D511)=1,1,0))</f>
        <v/>
      </c>
      <c r="Z511" s="14">
        <f>IF($A511="","",IF(Config!$B$7-$T511&gt;2,"Arquivada",IF(Config!$B$7-$T511&gt;0,"Histórico","Ativa")))</f>
        <v/>
      </c>
      <c r="AA511" s="14">
        <f>IF($A511="",0,IF(AND(OR($F511="Ponto de atenção",$F511="Incidente"),$L511="Sim"),1,0))</f>
        <v/>
      </c>
      <c r="AB511" s="14">
        <f>IF(OR($C511="",$C511&lt;&gt;'1a1'!$B$4,$T511&lt;&gt;Config!$B$7),"",COUNTIFS($C$5:$C511,'1a1'!$B$4,$T$5:$T511,Config!$B$7))</f>
        <v/>
      </c>
    </row>
    <row r="512">
      <c r="A512" s="18" t="n"/>
      <c r="B512" s="19" t="n"/>
      <c r="C512" s="14">
        <f>IFERROR(INDEX(Pessoas!$A$5:$A$64,MATCH($B512,Pessoas!$B$5:$B$64,0)),"")</f>
        <v/>
      </c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8" t="n"/>
      <c r="N512" s="19" t="n"/>
      <c r="O512" s="19" t="n"/>
      <c r="P512" s="19" t="n"/>
      <c r="Q512" s="20">
        <f>IF(OR($M512="",$P512=""),"",$M512+IF($P512="7 dias",7,IF($P512="14 dias",14,90)))</f>
        <v/>
      </c>
      <c r="R512" s="19" t="n"/>
      <c r="S512" s="19" t="n"/>
      <c r="T512" s="14">
        <f>IF($A512="","",YEAR($A512)*4+ROUNDUP(MONTH($A512)/3,0))</f>
        <v/>
      </c>
      <c r="U512" s="14">
        <f>IF($C512="","",$C512&amp;"|"&amp;$T512)</f>
        <v/>
      </c>
      <c r="V512" s="14">
        <f>IF($C512="","",$C512&amp;"|"&amp;$T512&amp;"|"&amp;$G512)</f>
        <v/>
      </c>
      <c r="W512" s="14">
        <f>IF($A512="","",IF(OR($B512="",$F512="",$G512="",$H512="",$I512=""),"Faltam campos básicos",IF(AND(OR($F512="Ponto de atenção",$F512="Incidente"),OR($K512="",$L512="",$O512="",$P512="")),"Faltam campos de sinalização","OK")))</f>
        <v/>
      </c>
      <c r="X512" s="14">
        <f>IF($A512="","",IF(AND(OR($F512="Ponto de atenção",$F512="Incidente"),$L512&lt;&gt;"Sim"),"Não",IF(AND($S512="",$W512&lt;&gt;"OK"),"Não","Sim")))</f>
        <v/>
      </c>
      <c r="Y512" s="14">
        <f>IF($C512="",0,IF(COUNTIFS($C$5:$C512,$C512,$D$5:$D512,$D512)=1,1,0))</f>
        <v/>
      </c>
      <c r="Z512" s="14">
        <f>IF($A512="","",IF(Config!$B$7-$T512&gt;2,"Arquivada",IF(Config!$B$7-$T512&gt;0,"Histórico","Ativa")))</f>
        <v/>
      </c>
      <c r="AA512" s="14">
        <f>IF($A512="",0,IF(AND(OR($F512="Ponto de atenção",$F512="Incidente"),$L512="Sim"),1,0))</f>
        <v/>
      </c>
      <c r="AB512" s="14">
        <f>IF(OR($C512="",$C512&lt;&gt;'1a1'!$B$4,$T512&lt;&gt;Config!$B$7),"",COUNTIFS($C$5:$C512,'1a1'!$B$4,$T$5:$T512,Config!$B$7))</f>
        <v/>
      </c>
    </row>
    <row r="513">
      <c r="A513" s="18" t="n"/>
      <c r="B513" s="19" t="n"/>
      <c r="C513" s="14">
        <f>IFERROR(INDEX(Pessoas!$A$5:$A$64,MATCH($B513,Pessoas!$B$5:$B$64,0)),"")</f>
        <v/>
      </c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8" t="n"/>
      <c r="N513" s="19" t="n"/>
      <c r="O513" s="19" t="n"/>
      <c r="P513" s="19" t="n"/>
      <c r="Q513" s="20">
        <f>IF(OR($M513="",$P513=""),"",$M513+IF($P513="7 dias",7,IF($P513="14 dias",14,90)))</f>
        <v/>
      </c>
      <c r="R513" s="19" t="n"/>
      <c r="S513" s="19" t="n"/>
      <c r="T513" s="14">
        <f>IF($A513="","",YEAR($A513)*4+ROUNDUP(MONTH($A513)/3,0))</f>
        <v/>
      </c>
      <c r="U513" s="14">
        <f>IF($C513="","",$C513&amp;"|"&amp;$T513)</f>
        <v/>
      </c>
      <c r="V513" s="14">
        <f>IF($C513="","",$C513&amp;"|"&amp;$T513&amp;"|"&amp;$G513)</f>
        <v/>
      </c>
      <c r="W513" s="14">
        <f>IF($A513="","",IF(OR($B513="",$F513="",$G513="",$H513="",$I513=""),"Faltam campos básicos",IF(AND(OR($F513="Ponto de atenção",$F513="Incidente"),OR($K513="",$L513="",$O513="",$P513="")),"Faltam campos de sinalização","OK")))</f>
        <v/>
      </c>
      <c r="X513" s="14">
        <f>IF($A513="","",IF(AND(OR($F513="Ponto de atenção",$F513="Incidente"),$L513&lt;&gt;"Sim"),"Não",IF(AND($S513="",$W513&lt;&gt;"OK"),"Não","Sim")))</f>
        <v/>
      </c>
      <c r="Y513" s="14">
        <f>IF($C513="",0,IF(COUNTIFS($C$5:$C513,$C513,$D$5:$D513,$D513)=1,1,0))</f>
        <v/>
      </c>
      <c r="Z513" s="14">
        <f>IF($A513="","",IF(Config!$B$7-$T513&gt;2,"Arquivada",IF(Config!$B$7-$T513&gt;0,"Histórico","Ativa")))</f>
        <v/>
      </c>
      <c r="AA513" s="14">
        <f>IF($A513="",0,IF(AND(OR($F513="Ponto de atenção",$F513="Incidente"),$L513="Sim"),1,0))</f>
        <v/>
      </c>
      <c r="AB513" s="14">
        <f>IF(OR($C513="",$C513&lt;&gt;'1a1'!$B$4,$T513&lt;&gt;Config!$B$7),"",COUNTIFS($C$5:$C513,'1a1'!$B$4,$T$5:$T513,Config!$B$7))</f>
        <v/>
      </c>
    </row>
    <row r="514">
      <c r="A514" s="18" t="n"/>
      <c r="B514" s="19" t="n"/>
      <c r="C514" s="14">
        <f>IFERROR(INDEX(Pessoas!$A$5:$A$64,MATCH($B514,Pessoas!$B$5:$B$64,0)),"")</f>
        <v/>
      </c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8" t="n"/>
      <c r="N514" s="19" t="n"/>
      <c r="O514" s="19" t="n"/>
      <c r="P514" s="19" t="n"/>
      <c r="Q514" s="20">
        <f>IF(OR($M514="",$P514=""),"",$M514+IF($P514="7 dias",7,IF($P514="14 dias",14,90)))</f>
        <v/>
      </c>
      <c r="R514" s="19" t="n"/>
      <c r="S514" s="19" t="n"/>
      <c r="T514" s="14">
        <f>IF($A514="","",YEAR($A514)*4+ROUNDUP(MONTH($A514)/3,0))</f>
        <v/>
      </c>
      <c r="U514" s="14">
        <f>IF($C514="","",$C514&amp;"|"&amp;$T514)</f>
        <v/>
      </c>
      <c r="V514" s="14">
        <f>IF($C514="","",$C514&amp;"|"&amp;$T514&amp;"|"&amp;$G514)</f>
        <v/>
      </c>
      <c r="W514" s="14">
        <f>IF($A514="","",IF(OR($B514="",$F514="",$G514="",$H514="",$I514=""),"Faltam campos básicos",IF(AND(OR($F514="Ponto de atenção",$F514="Incidente"),OR($K514="",$L514="",$O514="",$P514="")),"Faltam campos de sinalização","OK")))</f>
        <v/>
      </c>
      <c r="X514" s="14">
        <f>IF($A514="","",IF(AND(OR($F514="Ponto de atenção",$F514="Incidente"),$L514&lt;&gt;"Sim"),"Não",IF(AND($S514="",$W514&lt;&gt;"OK"),"Não","Sim")))</f>
        <v/>
      </c>
      <c r="Y514" s="14">
        <f>IF($C514="",0,IF(COUNTIFS($C$5:$C514,$C514,$D$5:$D514,$D514)=1,1,0))</f>
        <v/>
      </c>
      <c r="Z514" s="14">
        <f>IF($A514="","",IF(Config!$B$7-$T514&gt;2,"Arquivada",IF(Config!$B$7-$T514&gt;0,"Histórico","Ativa")))</f>
        <v/>
      </c>
      <c r="AA514" s="14">
        <f>IF($A514="",0,IF(AND(OR($F514="Ponto de atenção",$F514="Incidente"),$L514="Sim"),1,0))</f>
        <v/>
      </c>
      <c r="AB514" s="14">
        <f>IF(OR($C514="",$C514&lt;&gt;'1a1'!$B$4,$T514&lt;&gt;Config!$B$7),"",COUNTIFS($C$5:$C514,'1a1'!$B$4,$T$5:$T514,Config!$B$7))</f>
        <v/>
      </c>
    </row>
    <row r="515">
      <c r="A515" s="18" t="n"/>
      <c r="B515" s="19" t="n"/>
      <c r="C515" s="14">
        <f>IFERROR(INDEX(Pessoas!$A$5:$A$64,MATCH($B515,Pessoas!$B$5:$B$64,0)),"")</f>
        <v/>
      </c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8" t="n"/>
      <c r="N515" s="19" t="n"/>
      <c r="O515" s="19" t="n"/>
      <c r="P515" s="19" t="n"/>
      <c r="Q515" s="20">
        <f>IF(OR($M515="",$P515=""),"",$M515+IF($P515="7 dias",7,IF($P515="14 dias",14,90)))</f>
        <v/>
      </c>
      <c r="R515" s="19" t="n"/>
      <c r="S515" s="19" t="n"/>
      <c r="T515" s="14">
        <f>IF($A515="","",YEAR($A515)*4+ROUNDUP(MONTH($A515)/3,0))</f>
        <v/>
      </c>
      <c r="U515" s="14">
        <f>IF($C515="","",$C515&amp;"|"&amp;$T515)</f>
        <v/>
      </c>
      <c r="V515" s="14">
        <f>IF($C515="","",$C515&amp;"|"&amp;$T515&amp;"|"&amp;$G515)</f>
        <v/>
      </c>
      <c r="W515" s="14">
        <f>IF($A515="","",IF(OR($B515="",$F515="",$G515="",$H515="",$I515=""),"Faltam campos básicos",IF(AND(OR($F515="Ponto de atenção",$F515="Incidente"),OR($K515="",$L515="",$O515="",$P515="")),"Faltam campos de sinalização","OK")))</f>
        <v/>
      </c>
      <c r="X515" s="14">
        <f>IF($A515="","",IF(AND(OR($F515="Ponto de atenção",$F515="Incidente"),$L515&lt;&gt;"Sim"),"Não",IF(AND($S515="",$W515&lt;&gt;"OK"),"Não","Sim")))</f>
        <v/>
      </c>
      <c r="Y515" s="14">
        <f>IF($C515="",0,IF(COUNTIFS($C$5:$C515,$C515,$D$5:$D515,$D515)=1,1,0))</f>
        <v/>
      </c>
      <c r="Z515" s="14">
        <f>IF($A515="","",IF(Config!$B$7-$T515&gt;2,"Arquivada",IF(Config!$B$7-$T515&gt;0,"Histórico","Ativa")))</f>
        <v/>
      </c>
      <c r="AA515" s="14">
        <f>IF($A515="",0,IF(AND(OR($F515="Ponto de atenção",$F515="Incidente"),$L515="Sim"),1,0))</f>
        <v/>
      </c>
      <c r="AB515" s="14">
        <f>IF(OR($C515="",$C515&lt;&gt;'1a1'!$B$4,$T515&lt;&gt;Config!$B$7),"",COUNTIFS($C$5:$C515,'1a1'!$B$4,$T$5:$T515,Config!$B$7))</f>
        <v/>
      </c>
    </row>
    <row r="516">
      <c r="A516" s="18" t="n"/>
      <c r="B516" s="19" t="n"/>
      <c r="C516" s="14">
        <f>IFERROR(INDEX(Pessoas!$A$5:$A$64,MATCH($B516,Pessoas!$B$5:$B$64,0)),"")</f>
        <v/>
      </c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8" t="n"/>
      <c r="N516" s="19" t="n"/>
      <c r="O516" s="19" t="n"/>
      <c r="P516" s="19" t="n"/>
      <c r="Q516" s="20">
        <f>IF(OR($M516="",$P516=""),"",$M516+IF($P516="7 dias",7,IF($P516="14 dias",14,90)))</f>
        <v/>
      </c>
      <c r="R516" s="19" t="n"/>
      <c r="S516" s="19" t="n"/>
      <c r="T516" s="14">
        <f>IF($A516="","",YEAR($A516)*4+ROUNDUP(MONTH($A516)/3,0))</f>
        <v/>
      </c>
      <c r="U516" s="14">
        <f>IF($C516="","",$C516&amp;"|"&amp;$T516)</f>
        <v/>
      </c>
      <c r="V516" s="14">
        <f>IF($C516="","",$C516&amp;"|"&amp;$T516&amp;"|"&amp;$G516)</f>
        <v/>
      </c>
      <c r="W516" s="14">
        <f>IF($A516="","",IF(OR($B516="",$F516="",$G516="",$H516="",$I516=""),"Faltam campos básicos",IF(AND(OR($F516="Ponto de atenção",$F516="Incidente"),OR($K516="",$L516="",$O516="",$P516="")),"Faltam campos de sinalização","OK")))</f>
        <v/>
      </c>
      <c r="X516" s="14">
        <f>IF($A516="","",IF(AND(OR($F516="Ponto de atenção",$F516="Incidente"),$L516&lt;&gt;"Sim"),"Não",IF(AND($S516="",$W516&lt;&gt;"OK"),"Não","Sim")))</f>
        <v/>
      </c>
      <c r="Y516" s="14">
        <f>IF($C516="",0,IF(COUNTIFS($C$5:$C516,$C516,$D$5:$D516,$D516)=1,1,0))</f>
        <v/>
      </c>
      <c r="Z516" s="14">
        <f>IF($A516="","",IF(Config!$B$7-$T516&gt;2,"Arquivada",IF(Config!$B$7-$T516&gt;0,"Histórico","Ativa")))</f>
        <v/>
      </c>
      <c r="AA516" s="14">
        <f>IF($A516="",0,IF(AND(OR($F516="Ponto de atenção",$F516="Incidente"),$L516="Sim"),1,0))</f>
        <v/>
      </c>
      <c r="AB516" s="14">
        <f>IF(OR($C516="",$C516&lt;&gt;'1a1'!$B$4,$T516&lt;&gt;Config!$B$7),"",COUNTIFS($C$5:$C516,'1a1'!$B$4,$T$5:$T516,Config!$B$7))</f>
        <v/>
      </c>
    </row>
    <row r="517">
      <c r="A517" s="18" t="n"/>
      <c r="B517" s="19" t="n"/>
      <c r="C517" s="14">
        <f>IFERROR(INDEX(Pessoas!$A$5:$A$64,MATCH($B517,Pessoas!$B$5:$B$64,0)),"")</f>
        <v/>
      </c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8" t="n"/>
      <c r="N517" s="19" t="n"/>
      <c r="O517" s="19" t="n"/>
      <c r="P517" s="19" t="n"/>
      <c r="Q517" s="20">
        <f>IF(OR($M517="",$P517=""),"",$M517+IF($P517="7 dias",7,IF($P517="14 dias",14,90)))</f>
        <v/>
      </c>
      <c r="R517" s="19" t="n"/>
      <c r="S517" s="19" t="n"/>
      <c r="T517" s="14">
        <f>IF($A517="","",YEAR($A517)*4+ROUNDUP(MONTH($A517)/3,0))</f>
        <v/>
      </c>
      <c r="U517" s="14">
        <f>IF($C517="","",$C517&amp;"|"&amp;$T517)</f>
        <v/>
      </c>
      <c r="V517" s="14">
        <f>IF($C517="","",$C517&amp;"|"&amp;$T517&amp;"|"&amp;$G517)</f>
        <v/>
      </c>
      <c r="W517" s="14">
        <f>IF($A517="","",IF(OR($B517="",$F517="",$G517="",$H517="",$I517=""),"Faltam campos básicos",IF(AND(OR($F517="Ponto de atenção",$F517="Incidente"),OR($K517="",$L517="",$O517="",$P517="")),"Faltam campos de sinalização","OK")))</f>
        <v/>
      </c>
      <c r="X517" s="14">
        <f>IF($A517="","",IF(AND(OR($F517="Ponto de atenção",$F517="Incidente"),$L517&lt;&gt;"Sim"),"Não",IF(AND($S517="",$W517&lt;&gt;"OK"),"Não","Sim")))</f>
        <v/>
      </c>
      <c r="Y517" s="14">
        <f>IF($C517="",0,IF(COUNTIFS($C$5:$C517,$C517,$D$5:$D517,$D517)=1,1,0))</f>
        <v/>
      </c>
      <c r="Z517" s="14">
        <f>IF($A517="","",IF(Config!$B$7-$T517&gt;2,"Arquivada",IF(Config!$B$7-$T517&gt;0,"Histórico","Ativa")))</f>
        <v/>
      </c>
      <c r="AA517" s="14">
        <f>IF($A517="",0,IF(AND(OR($F517="Ponto de atenção",$F517="Incidente"),$L517="Sim"),1,0))</f>
        <v/>
      </c>
      <c r="AB517" s="14">
        <f>IF(OR($C517="",$C517&lt;&gt;'1a1'!$B$4,$T517&lt;&gt;Config!$B$7),"",COUNTIFS($C$5:$C517,'1a1'!$B$4,$T$5:$T517,Config!$B$7))</f>
        <v/>
      </c>
    </row>
    <row r="518">
      <c r="A518" s="18" t="n"/>
      <c r="B518" s="19" t="n"/>
      <c r="C518" s="14">
        <f>IFERROR(INDEX(Pessoas!$A$5:$A$64,MATCH($B518,Pessoas!$B$5:$B$64,0)),"")</f>
        <v/>
      </c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8" t="n"/>
      <c r="N518" s="19" t="n"/>
      <c r="O518" s="19" t="n"/>
      <c r="P518" s="19" t="n"/>
      <c r="Q518" s="20">
        <f>IF(OR($M518="",$P518=""),"",$M518+IF($P518="7 dias",7,IF($P518="14 dias",14,90)))</f>
        <v/>
      </c>
      <c r="R518" s="19" t="n"/>
      <c r="S518" s="19" t="n"/>
      <c r="T518" s="14">
        <f>IF($A518="","",YEAR($A518)*4+ROUNDUP(MONTH($A518)/3,0))</f>
        <v/>
      </c>
      <c r="U518" s="14">
        <f>IF($C518="","",$C518&amp;"|"&amp;$T518)</f>
        <v/>
      </c>
      <c r="V518" s="14">
        <f>IF($C518="","",$C518&amp;"|"&amp;$T518&amp;"|"&amp;$G518)</f>
        <v/>
      </c>
      <c r="W518" s="14">
        <f>IF($A518="","",IF(OR($B518="",$F518="",$G518="",$H518="",$I518=""),"Faltam campos básicos",IF(AND(OR($F518="Ponto de atenção",$F518="Incidente"),OR($K518="",$L518="",$O518="",$P518="")),"Faltam campos de sinalização","OK")))</f>
        <v/>
      </c>
      <c r="X518" s="14">
        <f>IF($A518="","",IF(AND(OR($F518="Ponto de atenção",$F518="Incidente"),$L518&lt;&gt;"Sim"),"Não",IF(AND($S518="",$W518&lt;&gt;"OK"),"Não","Sim")))</f>
        <v/>
      </c>
      <c r="Y518" s="14">
        <f>IF($C518="",0,IF(COUNTIFS($C$5:$C518,$C518,$D$5:$D518,$D518)=1,1,0))</f>
        <v/>
      </c>
      <c r="Z518" s="14">
        <f>IF($A518="","",IF(Config!$B$7-$T518&gt;2,"Arquivada",IF(Config!$B$7-$T518&gt;0,"Histórico","Ativa")))</f>
        <v/>
      </c>
      <c r="AA518" s="14">
        <f>IF($A518="",0,IF(AND(OR($F518="Ponto de atenção",$F518="Incidente"),$L518="Sim"),1,0))</f>
        <v/>
      </c>
      <c r="AB518" s="14">
        <f>IF(OR($C518="",$C518&lt;&gt;'1a1'!$B$4,$T518&lt;&gt;Config!$B$7),"",COUNTIFS($C$5:$C518,'1a1'!$B$4,$T$5:$T518,Config!$B$7))</f>
        <v/>
      </c>
    </row>
    <row r="519">
      <c r="A519" s="18" t="n"/>
      <c r="B519" s="19" t="n"/>
      <c r="C519" s="14">
        <f>IFERROR(INDEX(Pessoas!$A$5:$A$64,MATCH($B519,Pessoas!$B$5:$B$64,0)),"")</f>
        <v/>
      </c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8" t="n"/>
      <c r="N519" s="19" t="n"/>
      <c r="O519" s="19" t="n"/>
      <c r="P519" s="19" t="n"/>
      <c r="Q519" s="20">
        <f>IF(OR($M519="",$P519=""),"",$M519+IF($P519="7 dias",7,IF($P519="14 dias",14,90)))</f>
        <v/>
      </c>
      <c r="R519" s="19" t="n"/>
      <c r="S519" s="19" t="n"/>
      <c r="T519" s="14">
        <f>IF($A519="","",YEAR($A519)*4+ROUNDUP(MONTH($A519)/3,0))</f>
        <v/>
      </c>
      <c r="U519" s="14">
        <f>IF($C519="","",$C519&amp;"|"&amp;$T519)</f>
        <v/>
      </c>
      <c r="V519" s="14">
        <f>IF($C519="","",$C519&amp;"|"&amp;$T519&amp;"|"&amp;$G519)</f>
        <v/>
      </c>
      <c r="W519" s="14">
        <f>IF($A519="","",IF(OR($B519="",$F519="",$G519="",$H519="",$I519=""),"Faltam campos básicos",IF(AND(OR($F519="Ponto de atenção",$F519="Incidente"),OR($K519="",$L519="",$O519="",$P519="")),"Faltam campos de sinalização","OK")))</f>
        <v/>
      </c>
      <c r="X519" s="14">
        <f>IF($A519="","",IF(AND(OR($F519="Ponto de atenção",$F519="Incidente"),$L519&lt;&gt;"Sim"),"Não",IF(AND($S519="",$W519&lt;&gt;"OK"),"Não","Sim")))</f>
        <v/>
      </c>
      <c r="Y519" s="14">
        <f>IF($C519="",0,IF(COUNTIFS($C$5:$C519,$C519,$D$5:$D519,$D519)=1,1,0))</f>
        <v/>
      </c>
      <c r="Z519" s="14">
        <f>IF($A519="","",IF(Config!$B$7-$T519&gt;2,"Arquivada",IF(Config!$B$7-$T519&gt;0,"Histórico","Ativa")))</f>
        <v/>
      </c>
      <c r="AA519" s="14">
        <f>IF($A519="",0,IF(AND(OR($F519="Ponto de atenção",$F519="Incidente"),$L519="Sim"),1,0))</f>
        <v/>
      </c>
      <c r="AB519" s="14">
        <f>IF(OR($C519="",$C519&lt;&gt;'1a1'!$B$4,$T519&lt;&gt;Config!$B$7),"",COUNTIFS($C$5:$C519,'1a1'!$B$4,$T$5:$T519,Config!$B$7))</f>
        <v/>
      </c>
    </row>
    <row r="520">
      <c r="A520" s="18" t="n"/>
      <c r="B520" s="19" t="n"/>
      <c r="C520" s="14">
        <f>IFERROR(INDEX(Pessoas!$A$5:$A$64,MATCH($B520,Pessoas!$B$5:$B$64,0)),"")</f>
        <v/>
      </c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8" t="n"/>
      <c r="N520" s="19" t="n"/>
      <c r="O520" s="19" t="n"/>
      <c r="P520" s="19" t="n"/>
      <c r="Q520" s="20">
        <f>IF(OR($M520="",$P520=""),"",$M520+IF($P520="7 dias",7,IF($P520="14 dias",14,90)))</f>
        <v/>
      </c>
      <c r="R520" s="19" t="n"/>
      <c r="S520" s="19" t="n"/>
      <c r="T520" s="14">
        <f>IF($A520="","",YEAR($A520)*4+ROUNDUP(MONTH($A520)/3,0))</f>
        <v/>
      </c>
      <c r="U520" s="14">
        <f>IF($C520="","",$C520&amp;"|"&amp;$T520)</f>
        <v/>
      </c>
      <c r="V520" s="14">
        <f>IF($C520="","",$C520&amp;"|"&amp;$T520&amp;"|"&amp;$G520)</f>
        <v/>
      </c>
      <c r="W520" s="14">
        <f>IF($A520="","",IF(OR($B520="",$F520="",$G520="",$H520="",$I520=""),"Faltam campos básicos",IF(AND(OR($F520="Ponto de atenção",$F520="Incidente"),OR($K520="",$L520="",$O520="",$P520="")),"Faltam campos de sinalização","OK")))</f>
        <v/>
      </c>
      <c r="X520" s="14">
        <f>IF($A520="","",IF(AND(OR($F520="Ponto de atenção",$F520="Incidente"),$L520&lt;&gt;"Sim"),"Não",IF(AND($S520="",$W520&lt;&gt;"OK"),"Não","Sim")))</f>
        <v/>
      </c>
      <c r="Y520" s="14">
        <f>IF($C520="",0,IF(COUNTIFS($C$5:$C520,$C520,$D$5:$D520,$D520)=1,1,0))</f>
        <v/>
      </c>
      <c r="Z520" s="14">
        <f>IF($A520="","",IF(Config!$B$7-$T520&gt;2,"Arquivada",IF(Config!$B$7-$T520&gt;0,"Histórico","Ativa")))</f>
        <v/>
      </c>
      <c r="AA520" s="14">
        <f>IF($A520="",0,IF(AND(OR($F520="Ponto de atenção",$F520="Incidente"),$L520="Sim"),1,0))</f>
        <v/>
      </c>
      <c r="AB520" s="14">
        <f>IF(OR($C520="",$C520&lt;&gt;'1a1'!$B$4,$T520&lt;&gt;Config!$B$7),"",COUNTIFS($C$5:$C520,'1a1'!$B$4,$T$5:$T520,Config!$B$7))</f>
        <v/>
      </c>
    </row>
    <row r="521">
      <c r="A521" s="18" t="n"/>
      <c r="B521" s="19" t="n"/>
      <c r="C521" s="14">
        <f>IFERROR(INDEX(Pessoas!$A$5:$A$64,MATCH($B521,Pessoas!$B$5:$B$64,0)),"")</f>
        <v/>
      </c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8" t="n"/>
      <c r="N521" s="19" t="n"/>
      <c r="O521" s="19" t="n"/>
      <c r="P521" s="19" t="n"/>
      <c r="Q521" s="20">
        <f>IF(OR($M521="",$P521=""),"",$M521+IF($P521="7 dias",7,IF($P521="14 dias",14,90)))</f>
        <v/>
      </c>
      <c r="R521" s="19" t="n"/>
      <c r="S521" s="19" t="n"/>
      <c r="T521" s="14">
        <f>IF($A521="","",YEAR($A521)*4+ROUNDUP(MONTH($A521)/3,0))</f>
        <v/>
      </c>
      <c r="U521" s="14">
        <f>IF($C521="","",$C521&amp;"|"&amp;$T521)</f>
        <v/>
      </c>
      <c r="V521" s="14">
        <f>IF($C521="","",$C521&amp;"|"&amp;$T521&amp;"|"&amp;$G521)</f>
        <v/>
      </c>
      <c r="W521" s="14">
        <f>IF($A521="","",IF(OR($B521="",$F521="",$G521="",$H521="",$I521=""),"Faltam campos básicos",IF(AND(OR($F521="Ponto de atenção",$F521="Incidente"),OR($K521="",$L521="",$O521="",$P521="")),"Faltam campos de sinalização","OK")))</f>
        <v/>
      </c>
      <c r="X521" s="14">
        <f>IF($A521="","",IF(AND(OR($F521="Ponto de atenção",$F521="Incidente"),$L521&lt;&gt;"Sim"),"Não",IF(AND($S521="",$W521&lt;&gt;"OK"),"Não","Sim")))</f>
        <v/>
      </c>
      <c r="Y521" s="14">
        <f>IF($C521="",0,IF(COUNTIFS($C$5:$C521,$C521,$D$5:$D521,$D521)=1,1,0))</f>
        <v/>
      </c>
      <c r="Z521" s="14">
        <f>IF($A521="","",IF(Config!$B$7-$T521&gt;2,"Arquivada",IF(Config!$B$7-$T521&gt;0,"Histórico","Ativa")))</f>
        <v/>
      </c>
      <c r="AA521" s="14">
        <f>IF($A521="",0,IF(AND(OR($F521="Ponto de atenção",$F521="Incidente"),$L521="Sim"),1,0))</f>
        <v/>
      </c>
      <c r="AB521" s="14">
        <f>IF(OR($C521="",$C521&lt;&gt;'1a1'!$B$4,$T521&lt;&gt;Config!$B$7),"",COUNTIFS($C$5:$C521,'1a1'!$B$4,$T$5:$T521,Config!$B$7))</f>
        <v/>
      </c>
    </row>
    <row r="522">
      <c r="A522" s="18" t="n"/>
      <c r="B522" s="19" t="n"/>
      <c r="C522" s="14">
        <f>IFERROR(INDEX(Pessoas!$A$5:$A$64,MATCH($B522,Pessoas!$B$5:$B$64,0)),"")</f>
        <v/>
      </c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8" t="n"/>
      <c r="N522" s="19" t="n"/>
      <c r="O522" s="19" t="n"/>
      <c r="P522" s="19" t="n"/>
      <c r="Q522" s="20">
        <f>IF(OR($M522="",$P522=""),"",$M522+IF($P522="7 dias",7,IF($P522="14 dias",14,90)))</f>
        <v/>
      </c>
      <c r="R522" s="19" t="n"/>
      <c r="S522" s="19" t="n"/>
      <c r="T522" s="14">
        <f>IF($A522="","",YEAR($A522)*4+ROUNDUP(MONTH($A522)/3,0))</f>
        <v/>
      </c>
      <c r="U522" s="14">
        <f>IF($C522="","",$C522&amp;"|"&amp;$T522)</f>
        <v/>
      </c>
      <c r="V522" s="14">
        <f>IF($C522="","",$C522&amp;"|"&amp;$T522&amp;"|"&amp;$G522)</f>
        <v/>
      </c>
      <c r="W522" s="14">
        <f>IF($A522="","",IF(OR($B522="",$F522="",$G522="",$H522="",$I522=""),"Faltam campos básicos",IF(AND(OR($F522="Ponto de atenção",$F522="Incidente"),OR($K522="",$L522="",$O522="",$P522="")),"Faltam campos de sinalização","OK")))</f>
        <v/>
      </c>
      <c r="X522" s="14">
        <f>IF($A522="","",IF(AND(OR($F522="Ponto de atenção",$F522="Incidente"),$L522&lt;&gt;"Sim"),"Não",IF(AND($S522="",$W522&lt;&gt;"OK"),"Não","Sim")))</f>
        <v/>
      </c>
      <c r="Y522" s="14">
        <f>IF($C522="",0,IF(COUNTIFS($C$5:$C522,$C522,$D$5:$D522,$D522)=1,1,0))</f>
        <v/>
      </c>
      <c r="Z522" s="14">
        <f>IF($A522="","",IF(Config!$B$7-$T522&gt;2,"Arquivada",IF(Config!$B$7-$T522&gt;0,"Histórico","Ativa")))</f>
        <v/>
      </c>
      <c r="AA522" s="14">
        <f>IF($A522="",0,IF(AND(OR($F522="Ponto de atenção",$F522="Incidente"),$L522="Sim"),1,0))</f>
        <v/>
      </c>
      <c r="AB522" s="14">
        <f>IF(OR($C522="",$C522&lt;&gt;'1a1'!$B$4,$T522&lt;&gt;Config!$B$7),"",COUNTIFS($C$5:$C522,'1a1'!$B$4,$T$5:$T522,Config!$B$7))</f>
        <v/>
      </c>
    </row>
    <row r="523">
      <c r="A523" s="18" t="n"/>
      <c r="B523" s="19" t="n"/>
      <c r="C523" s="14">
        <f>IFERROR(INDEX(Pessoas!$A$5:$A$64,MATCH($B523,Pessoas!$B$5:$B$64,0)),"")</f>
        <v/>
      </c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8" t="n"/>
      <c r="N523" s="19" t="n"/>
      <c r="O523" s="19" t="n"/>
      <c r="P523" s="19" t="n"/>
      <c r="Q523" s="20">
        <f>IF(OR($M523="",$P523=""),"",$M523+IF($P523="7 dias",7,IF($P523="14 dias",14,90)))</f>
        <v/>
      </c>
      <c r="R523" s="19" t="n"/>
      <c r="S523" s="19" t="n"/>
      <c r="T523" s="14">
        <f>IF($A523="","",YEAR($A523)*4+ROUNDUP(MONTH($A523)/3,0))</f>
        <v/>
      </c>
      <c r="U523" s="14">
        <f>IF($C523="","",$C523&amp;"|"&amp;$T523)</f>
        <v/>
      </c>
      <c r="V523" s="14">
        <f>IF($C523="","",$C523&amp;"|"&amp;$T523&amp;"|"&amp;$G523)</f>
        <v/>
      </c>
      <c r="W523" s="14">
        <f>IF($A523="","",IF(OR($B523="",$F523="",$G523="",$H523="",$I523=""),"Faltam campos básicos",IF(AND(OR($F523="Ponto de atenção",$F523="Incidente"),OR($K523="",$L523="",$O523="",$P523="")),"Faltam campos de sinalização","OK")))</f>
        <v/>
      </c>
      <c r="X523" s="14">
        <f>IF($A523="","",IF(AND(OR($F523="Ponto de atenção",$F523="Incidente"),$L523&lt;&gt;"Sim"),"Não",IF(AND($S523="",$W523&lt;&gt;"OK"),"Não","Sim")))</f>
        <v/>
      </c>
      <c r="Y523" s="14">
        <f>IF($C523="",0,IF(COUNTIFS($C$5:$C523,$C523,$D$5:$D523,$D523)=1,1,0))</f>
        <v/>
      </c>
      <c r="Z523" s="14">
        <f>IF($A523="","",IF(Config!$B$7-$T523&gt;2,"Arquivada",IF(Config!$B$7-$T523&gt;0,"Histórico","Ativa")))</f>
        <v/>
      </c>
      <c r="AA523" s="14">
        <f>IF($A523="",0,IF(AND(OR($F523="Ponto de atenção",$F523="Incidente"),$L523="Sim"),1,0))</f>
        <v/>
      </c>
      <c r="AB523" s="14">
        <f>IF(OR($C523="",$C523&lt;&gt;'1a1'!$B$4,$T523&lt;&gt;Config!$B$7),"",COUNTIFS($C$5:$C523,'1a1'!$B$4,$T$5:$T523,Config!$B$7))</f>
        <v/>
      </c>
    </row>
    <row r="524">
      <c r="A524" s="18" t="n"/>
      <c r="B524" s="19" t="n"/>
      <c r="C524" s="14">
        <f>IFERROR(INDEX(Pessoas!$A$5:$A$64,MATCH($B524,Pessoas!$B$5:$B$64,0)),"")</f>
        <v/>
      </c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8" t="n"/>
      <c r="N524" s="19" t="n"/>
      <c r="O524" s="19" t="n"/>
      <c r="P524" s="19" t="n"/>
      <c r="Q524" s="20">
        <f>IF(OR($M524="",$P524=""),"",$M524+IF($P524="7 dias",7,IF($P524="14 dias",14,90)))</f>
        <v/>
      </c>
      <c r="R524" s="19" t="n"/>
      <c r="S524" s="19" t="n"/>
      <c r="T524" s="14">
        <f>IF($A524="","",YEAR($A524)*4+ROUNDUP(MONTH($A524)/3,0))</f>
        <v/>
      </c>
      <c r="U524" s="14">
        <f>IF($C524="","",$C524&amp;"|"&amp;$T524)</f>
        <v/>
      </c>
      <c r="V524" s="14">
        <f>IF($C524="","",$C524&amp;"|"&amp;$T524&amp;"|"&amp;$G524)</f>
        <v/>
      </c>
      <c r="W524" s="14">
        <f>IF($A524="","",IF(OR($B524="",$F524="",$G524="",$H524="",$I524=""),"Faltam campos básicos",IF(AND(OR($F524="Ponto de atenção",$F524="Incidente"),OR($K524="",$L524="",$O524="",$P524="")),"Faltam campos de sinalização","OK")))</f>
        <v/>
      </c>
      <c r="X524" s="14">
        <f>IF($A524="","",IF(AND(OR($F524="Ponto de atenção",$F524="Incidente"),$L524&lt;&gt;"Sim"),"Não",IF(AND($S524="",$W524&lt;&gt;"OK"),"Não","Sim")))</f>
        <v/>
      </c>
      <c r="Y524" s="14">
        <f>IF($C524="",0,IF(COUNTIFS($C$5:$C524,$C524,$D$5:$D524,$D524)=1,1,0))</f>
        <v/>
      </c>
      <c r="Z524" s="14">
        <f>IF($A524="","",IF(Config!$B$7-$T524&gt;2,"Arquivada",IF(Config!$B$7-$T524&gt;0,"Histórico","Ativa")))</f>
        <v/>
      </c>
      <c r="AA524" s="14">
        <f>IF($A524="",0,IF(AND(OR($F524="Ponto de atenção",$F524="Incidente"),$L524="Sim"),1,0))</f>
        <v/>
      </c>
      <c r="AB524" s="14">
        <f>IF(OR($C524="",$C524&lt;&gt;'1a1'!$B$4,$T524&lt;&gt;Config!$B$7),"",COUNTIFS($C$5:$C524,'1a1'!$B$4,$T$5:$T524,Config!$B$7))</f>
        <v/>
      </c>
    </row>
    <row r="525">
      <c r="A525" s="18" t="n"/>
      <c r="B525" s="19" t="n"/>
      <c r="C525" s="14">
        <f>IFERROR(INDEX(Pessoas!$A$5:$A$64,MATCH($B525,Pessoas!$B$5:$B$64,0)),"")</f>
        <v/>
      </c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8" t="n"/>
      <c r="N525" s="19" t="n"/>
      <c r="O525" s="19" t="n"/>
      <c r="P525" s="19" t="n"/>
      <c r="Q525" s="20">
        <f>IF(OR($M525="",$P525=""),"",$M525+IF($P525="7 dias",7,IF($P525="14 dias",14,90)))</f>
        <v/>
      </c>
      <c r="R525" s="19" t="n"/>
      <c r="S525" s="19" t="n"/>
      <c r="T525" s="14">
        <f>IF($A525="","",YEAR($A525)*4+ROUNDUP(MONTH($A525)/3,0))</f>
        <v/>
      </c>
      <c r="U525" s="14">
        <f>IF($C525="","",$C525&amp;"|"&amp;$T525)</f>
        <v/>
      </c>
      <c r="V525" s="14">
        <f>IF($C525="","",$C525&amp;"|"&amp;$T525&amp;"|"&amp;$G525)</f>
        <v/>
      </c>
      <c r="W525" s="14">
        <f>IF($A525="","",IF(OR($B525="",$F525="",$G525="",$H525="",$I525=""),"Faltam campos básicos",IF(AND(OR($F525="Ponto de atenção",$F525="Incidente"),OR($K525="",$L525="",$O525="",$P525="")),"Faltam campos de sinalização","OK")))</f>
        <v/>
      </c>
      <c r="X525" s="14">
        <f>IF($A525="","",IF(AND(OR($F525="Ponto de atenção",$F525="Incidente"),$L525&lt;&gt;"Sim"),"Não",IF(AND($S525="",$W525&lt;&gt;"OK"),"Não","Sim")))</f>
        <v/>
      </c>
      <c r="Y525" s="14">
        <f>IF($C525="",0,IF(COUNTIFS($C$5:$C525,$C525,$D$5:$D525,$D525)=1,1,0))</f>
        <v/>
      </c>
      <c r="Z525" s="14">
        <f>IF($A525="","",IF(Config!$B$7-$T525&gt;2,"Arquivada",IF(Config!$B$7-$T525&gt;0,"Histórico","Ativa")))</f>
        <v/>
      </c>
      <c r="AA525" s="14">
        <f>IF($A525="",0,IF(AND(OR($F525="Ponto de atenção",$F525="Incidente"),$L525="Sim"),1,0))</f>
        <v/>
      </c>
      <c r="AB525" s="14">
        <f>IF(OR($C525="",$C525&lt;&gt;'1a1'!$B$4,$T525&lt;&gt;Config!$B$7),"",COUNTIFS($C$5:$C525,'1a1'!$B$4,$T$5:$T525,Config!$B$7))</f>
        <v/>
      </c>
    </row>
    <row r="526">
      <c r="A526" s="18" t="n"/>
      <c r="B526" s="19" t="n"/>
      <c r="C526" s="14">
        <f>IFERROR(INDEX(Pessoas!$A$5:$A$64,MATCH($B526,Pessoas!$B$5:$B$64,0)),"")</f>
        <v/>
      </c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8" t="n"/>
      <c r="N526" s="19" t="n"/>
      <c r="O526" s="19" t="n"/>
      <c r="P526" s="19" t="n"/>
      <c r="Q526" s="20">
        <f>IF(OR($M526="",$P526=""),"",$M526+IF($P526="7 dias",7,IF($P526="14 dias",14,90)))</f>
        <v/>
      </c>
      <c r="R526" s="19" t="n"/>
      <c r="S526" s="19" t="n"/>
      <c r="T526" s="14">
        <f>IF($A526="","",YEAR($A526)*4+ROUNDUP(MONTH($A526)/3,0))</f>
        <v/>
      </c>
      <c r="U526" s="14">
        <f>IF($C526="","",$C526&amp;"|"&amp;$T526)</f>
        <v/>
      </c>
      <c r="V526" s="14">
        <f>IF($C526="","",$C526&amp;"|"&amp;$T526&amp;"|"&amp;$G526)</f>
        <v/>
      </c>
      <c r="W526" s="14">
        <f>IF($A526="","",IF(OR($B526="",$F526="",$G526="",$H526="",$I526=""),"Faltam campos básicos",IF(AND(OR($F526="Ponto de atenção",$F526="Incidente"),OR($K526="",$L526="",$O526="",$P526="")),"Faltam campos de sinalização","OK")))</f>
        <v/>
      </c>
      <c r="X526" s="14">
        <f>IF($A526="","",IF(AND(OR($F526="Ponto de atenção",$F526="Incidente"),$L526&lt;&gt;"Sim"),"Não",IF(AND($S526="",$W526&lt;&gt;"OK"),"Não","Sim")))</f>
        <v/>
      </c>
      <c r="Y526" s="14">
        <f>IF($C526="",0,IF(COUNTIFS($C$5:$C526,$C526,$D$5:$D526,$D526)=1,1,0))</f>
        <v/>
      </c>
      <c r="Z526" s="14">
        <f>IF($A526="","",IF(Config!$B$7-$T526&gt;2,"Arquivada",IF(Config!$B$7-$T526&gt;0,"Histórico","Ativa")))</f>
        <v/>
      </c>
      <c r="AA526" s="14">
        <f>IF($A526="",0,IF(AND(OR($F526="Ponto de atenção",$F526="Incidente"),$L526="Sim"),1,0))</f>
        <v/>
      </c>
      <c r="AB526" s="14">
        <f>IF(OR($C526="",$C526&lt;&gt;'1a1'!$B$4,$T526&lt;&gt;Config!$B$7),"",COUNTIFS($C$5:$C526,'1a1'!$B$4,$T$5:$T526,Config!$B$7))</f>
        <v/>
      </c>
    </row>
    <row r="527">
      <c r="A527" s="18" t="n"/>
      <c r="B527" s="19" t="n"/>
      <c r="C527" s="14">
        <f>IFERROR(INDEX(Pessoas!$A$5:$A$64,MATCH($B527,Pessoas!$B$5:$B$64,0)),"")</f>
        <v/>
      </c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8" t="n"/>
      <c r="N527" s="19" t="n"/>
      <c r="O527" s="19" t="n"/>
      <c r="P527" s="19" t="n"/>
      <c r="Q527" s="20">
        <f>IF(OR($M527="",$P527=""),"",$M527+IF($P527="7 dias",7,IF($P527="14 dias",14,90)))</f>
        <v/>
      </c>
      <c r="R527" s="19" t="n"/>
      <c r="S527" s="19" t="n"/>
      <c r="T527" s="14">
        <f>IF($A527="","",YEAR($A527)*4+ROUNDUP(MONTH($A527)/3,0))</f>
        <v/>
      </c>
      <c r="U527" s="14">
        <f>IF($C527="","",$C527&amp;"|"&amp;$T527)</f>
        <v/>
      </c>
      <c r="V527" s="14">
        <f>IF($C527="","",$C527&amp;"|"&amp;$T527&amp;"|"&amp;$G527)</f>
        <v/>
      </c>
      <c r="W527" s="14">
        <f>IF($A527="","",IF(OR($B527="",$F527="",$G527="",$H527="",$I527=""),"Faltam campos básicos",IF(AND(OR($F527="Ponto de atenção",$F527="Incidente"),OR($K527="",$L527="",$O527="",$P527="")),"Faltam campos de sinalização","OK")))</f>
        <v/>
      </c>
      <c r="X527" s="14">
        <f>IF($A527="","",IF(AND(OR($F527="Ponto de atenção",$F527="Incidente"),$L527&lt;&gt;"Sim"),"Não",IF(AND($S527="",$W527&lt;&gt;"OK"),"Não","Sim")))</f>
        <v/>
      </c>
      <c r="Y527" s="14">
        <f>IF($C527="",0,IF(COUNTIFS($C$5:$C527,$C527,$D$5:$D527,$D527)=1,1,0))</f>
        <v/>
      </c>
      <c r="Z527" s="14">
        <f>IF($A527="","",IF(Config!$B$7-$T527&gt;2,"Arquivada",IF(Config!$B$7-$T527&gt;0,"Histórico","Ativa")))</f>
        <v/>
      </c>
      <c r="AA527" s="14">
        <f>IF($A527="",0,IF(AND(OR($F527="Ponto de atenção",$F527="Incidente"),$L527="Sim"),1,0))</f>
        <v/>
      </c>
      <c r="AB527" s="14">
        <f>IF(OR($C527="",$C527&lt;&gt;'1a1'!$B$4,$T527&lt;&gt;Config!$B$7),"",COUNTIFS($C$5:$C527,'1a1'!$B$4,$T$5:$T527,Config!$B$7))</f>
        <v/>
      </c>
    </row>
    <row r="528">
      <c r="A528" s="18" t="n"/>
      <c r="B528" s="19" t="n"/>
      <c r="C528" s="14">
        <f>IFERROR(INDEX(Pessoas!$A$5:$A$64,MATCH($B528,Pessoas!$B$5:$B$64,0)),"")</f>
        <v/>
      </c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8" t="n"/>
      <c r="N528" s="19" t="n"/>
      <c r="O528" s="19" t="n"/>
      <c r="P528" s="19" t="n"/>
      <c r="Q528" s="20">
        <f>IF(OR($M528="",$P528=""),"",$M528+IF($P528="7 dias",7,IF($P528="14 dias",14,90)))</f>
        <v/>
      </c>
      <c r="R528" s="19" t="n"/>
      <c r="S528" s="19" t="n"/>
      <c r="T528" s="14">
        <f>IF($A528="","",YEAR($A528)*4+ROUNDUP(MONTH($A528)/3,0))</f>
        <v/>
      </c>
      <c r="U528" s="14">
        <f>IF($C528="","",$C528&amp;"|"&amp;$T528)</f>
        <v/>
      </c>
      <c r="V528" s="14">
        <f>IF($C528="","",$C528&amp;"|"&amp;$T528&amp;"|"&amp;$G528)</f>
        <v/>
      </c>
      <c r="W528" s="14">
        <f>IF($A528="","",IF(OR($B528="",$F528="",$G528="",$H528="",$I528=""),"Faltam campos básicos",IF(AND(OR($F528="Ponto de atenção",$F528="Incidente"),OR($K528="",$L528="",$O528="",$P528="")),"Faltam campos de sinalização","OK")))</f>
        <v/>
      </c>
      <c r="X528" s="14">
        <f>IF($A528="","",IF(AND(OR($F528="Ponto de atenção",$F528="Incidente"),$L528&lt;&gt;"Sim"),"Não",IF(AND($S528="",$W528&lt;&gt;"OK"),"Não","Sim")))</f>
        <v/>
      </c>
      <c r="Y528" s="14">
        <f>IF($C528="",0,IF(COUNTIFS($C$5:$C528,$C528,$D$5:$D528,$D528)=1,1,0))</f>
        <v/>
      </c>
      <c r="Z528" s="14">
        <f>IF($A528="","",IF(Config!$B$7-$T528&gt;2,"Arquivada",IF(Config!$B$7-$T528&gt;0,"Histórico","Ativa")))</f>
        <v/>
      </c>
      <c r="AA528" s="14">
        <f>IF($A528="",0,IF(AND(OR($F528="Ponto de atenção",$F528="Incidente"),$L528="Sim"),1,0))</f>
        <v/>
      </c>
      <c r="AB528" s="14">
        <f>IF(OR($C528="",$C528&lt;&gt;'1a1'!$B$4,$T528&lt;&gt;Config!$B$7),"",COUNTIFS($C$5:$C528,'1a1'!$B$4,$T$5:$T528,Config!$B$7))</f>
        <v/>
      </c>
    </row>
    <row r="529">
      <c r="A529" s="18" t="n"/>
      <c r="B529" s="19" t="n"/>
      <c r="C529" s="14">
        <f>IFERROR(INDEX(Pessoas!$A$5:$A$64,MATCH($B529,Pessoas!$B$5:$B$64,0)),"")</f>
        <v/>
      </c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8" t="n"/>
      <c r="N529" s="19" t="n"/>
      <c r="O529" s="19" t="n"/>
      <c r="P529" s="19" t="n"/>
      <c r="Q529" s="20">
        <f>IF(OR($M529="",$P529=""),"",$M529+IF($P529="7 dias",7,IF($P529="14 dias",14,90)))</f>
        <v/>
      </c>
      <c r="R529" s="19" t="n"/>
      <c r="S529" s="19" t="n"/>
      <c r="T529" s="14">
        <f>IF($A529="","",YEAR($A529)*4+ROUNDUP(MONTH($A529)/3,0))</f>
        <v/>
      </c>
      <c r="U529" s="14">
        <f>IF($C529="","",$C529&amp;"|"&amp;$T529)</f>
        <v/>
      </c>
      <c r="V529" s="14">
        <f>IF($C529="","",$C529&amp;"|"&amp;$T529&amp;"|"&amp;$G529)</f>
        <v/>
      </c>
      <c r="W529" s="14">
        <f>IF($A529="","",IF(OR($B529="",$F529="",$G529="",$H529="",$I529=""),"Faltam campos básicos",IF(AND(OR($F529="Ponto de atenção",$F529="Incidente"),OR($K529="",$L529="",$O529="",$P529="")),"Faltam campos de sinalização","OK")))</f>
        <v/>
      </c>
      <c r="X529" s="14">
        <f>IF($A529="","",IF(AND(OR($F529="Ponto de atenção",$F529="Incidente"),$L529&lt;&gt;"Sim"),"Não",IF(AND($S529="",$W529&lt;&gt;"OK"),"Não","Sim")))</f>
        <v/>
      </c>
      <c r="Y529" s="14">
        <f>IF($C529="",0,IF(COUNTIFS($C$5:$C529,$C529,$D$5:$D529,$D529)=1,1,0))</f>
        <v/>
      </c>
      <c r="Z529" s="14">
        <f>IF($A529="","",IF(Config!$B$7-$T529&gt;2,"Arquivada",IF(Config!$B$7-$T529&gt;0,"Histórico","Ativa")))</f>
        <v/>
      </c>
      <c r="AA529" s="14">
        <f>IF($A529="",0,IF(AND(OR($F529="Ponto de atenção",$F529="Incidente"),$L529="Sim"),1,0))</f>
        <v/>
      </c>
      <c r="AB529" s="14">
        <f>IF(OR($C529="",$C529&lt;&gt;'1a1'!$B$4,$T529&lt;&gt;Config!$B$7),"",COUNTIFS($C$5:$C529,'1a1'!$B$4,$T$5:$T529,Config!$B$7))</f>
        <v/>
      </c>
    </row>
    <row r="530">
      <c r="A530" s="18" t="n"/>
      <c r="B530" s="19" t="n"/>
      <c r="C530" s="14">
        <f>IFERROR(INDEX(Pessoas!$A$5:$A$64,MATCH($B530,Pessoas!$B$5:$B$64,0)),"")</f>
        <v/>
      </c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8" t="n"/>
      <c r="N530" s="19" t="n"/>
      <c r="O530" s="19" t="n"/>
      <c r="P530" s="19" t="n"/>
      <c r="Q530" s="20">
        <f>IF(OR($M530="",$P530=""),"",$M530+IF($P530="7 dias",7,IF($P530="14 dias",14,90)))</f>
        <v/>
      </c>
      <c r="R530" s="19" t="n"/>
      <c r="S530" s="19" t="n"/>
      <c r="T530" s="14">
        <f>IF($A530="","",YEAR($A530)*4+ROUNDUP(MONTH($A530)/3,0))</f>
        <v/>
      </c>
      <c r="U530" s="14">
        <f>IF($C530="","",$C530&amp;"|"&amp;$T530)</f>
        <v/>
      </c>
      <c r="V530" s="14">
        <f>IF($C530="","",$C530&amp;"|"&amp;$T530&amp;"|"&amp;$G530)</f>
        <v/>
      </c>
      <c r="W530" s="14">
        <f>IF($A530="","",IF(OR($B530="",$F530="",$G530="",$H530="",$I530=""),"Faltam campos básicos",IF(AND(OR($F530="Ponto de atenção",$F530="Incidente"),OR($K530="",$L530="",$O530="",$P530="")),"Faltam campos de sinalização","OK")))</f>
        <v/>
      </c>
      <c r="X530" s="14">
        <f>IF($A530="","",IF(AND(OR($F530="Ponto de atenção",$F530="Incidente"),$L530&lt;&gt;"Sim"),"Não",IF(AND($S530="",$W530&lt;&gt;"OK"),"Não","Sim")))</f>
        <v/>
      </c>
      <c r="Y530" s="14">
        <f>IF($C530="",0,IF(COUNTIFS($C$5:$C530,$C530,$D$5:$D530,$D530)=1,1,0))</f>
        <v/>
      </c>
      <c r="Z530" s="14">
        <f>IF($A530="","",IF(Config!$B$7-$T530&gt;2,"Arquivada",IF(Config!$B$7-$T530&gt;0,"Histórico","Ativa")))</f>
        <v/>
      </c>
      <c r="AA530" s="14">
        <f>IF($A530="",0,IF(AND(OR($F530="Ponto de atenção",$F530="Incidente"),$L530="Sim"),1,0))</f>
        <v/>
      </c>
      <c r="AB530" s="14">
        <f>IF(OR($C530="",$C530&lt;&gt;'1a1'!$B$4,$T530&lt;&gt;Config!$B$7),"",COUNTIFS($C$5:$C530,'1a1'!$B$4,$T$5:$T530,Config!$B$7))</f>
        <v/>
      </c>
    </row>
    <row r="531">
      <c r="A531" s="18" t="n"/>
      <c r="B531" s="19" t="n"/>
      <c r="C531" s="14">
        <f>IFERROR(INDEX(Pessoas!$A$5:$A$64,MATCH($B531,Pessoas!$B$5:$B$64,0)),"")</f>
        <v/>
      </c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8" t="n"/>
      <c r="N531" s="19" t="n"/>
      <c r="O531" s="19" t="n"/>
      <c r="P531" s="19" t="n"/>
      <c r="Q531" s="20">
        <f>IF(OR($M531="",$P531=""),"",$M531+IF($P531="7 dias",7,IF($P531="14 dias",14,90)))</f>
        <v/>
      </c>
      <c r="R531" s="19" t="n"/>
      <c r="S531" s="19" t="n"/>
      <c r="T531" s="14">
        <f>IF($A531="","",YEAR($A531)*4+ROUNDUP(MONTH($A531)/3,0))</f>
        <v/>
      </c>
      <c r="U531" s="14">
        <f>IF($C531="","",$C531&amp;"|"&amp;$T531)</f>
        <v/>
      </c>
      <c r="V531" s="14">
        <f>IF($C531="","",$C531&amp;"|"&amp;$T531&amp;"|"&amp;$G531)</f>
        <v/>
      </c>
      <c r="W531" s="14">
        <f>IF($A531="","",IF(OR($B531="",$F531="",$G531="",$H531="",$I531=""),"Faltam campos básicos",IF(AND(OR($F531="Ponto de atenção",$F531="Incidente"),OR($K531="",$L531="",$O531="",$P531="")),"Faltam campos de sinalização","OK")))</f>
        <v/>
      </c>
      <c r="X531" s="14">
        <f>IF($A531="","",IF(AND(OR($F531="Ponto de atenção",$F531="Incidente"),$L531&lt;&gt;"Sim"),"Não",IF(AND($S531="",$W531&lt;&gt;"OK"),"Não","Sim")))</f>
        <v/>
      </c>
      <c r="Y531" s="14">
        <f>IF($C531="",0,IF(COUNTIFS($C$5:$C531,$C531,$D$5:$D531,$D531)=1,1,0))</f>
        <v/>
      </c>
      <c r="Z531" s="14">
        <f>IF($A531="","",IF(Config!$B$7-$T531&gt;2,"Arquivada",IF(Config!$B$7-$T531&gt;0,"Histórico","Ativa")))</f>
        <v/>
      </c>
      <c r="AA531" s="14">
        <f>IF($A531="",0,IF(AND(OR($F531="Ponto de atenção",$F531="Incidente"),$L531="Sim"),1,0))</f>
        <v/>
      </c>
      <c r="AB531" s="14">
        <f>IF(OR($C531="",$C531&lt;&gt;'1a1'!$B$4,$T531&lt;&gt;Config!$B$7),"",COUNTIFS($C$5:$C531,'1a1'!$B$4,$T$5:$T531,Config!$B$7))</f>
        <v/>
      </c>
    </row>
    <row r="532">
      <c r="A532" s="18" t="n"/>
      <c r="B532" s="19" t="n"/>
      <c r="C532" s="14">
        <f>IFERROR(INDEX(Pessoas!$A$5:$A$64,MATCH($B532,Pessoas!$B$5:$B$64,0)),"")</f>
        <v/>
      </c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8" t="n"/>
      <c r="N532" s="19" t="n"/>
      <c r="O532" s="19" t="n"/>
      <c r="P532" s="19" t="n"/>
      <c r="Q532" s="20">
        <f>IF(OR($M532="",$P532=""),"",$M532+IF($P532="7 dias",7,IF($P532="14 dias",14,90)))</f>
        <v/>
      </c>
      <c r="R532" s="19" t="n"/>
      <c r="S532" s="19" t="n"/>
      <c r="T532" s="14">
        <f>IF($A532="","",YEAR($A532)*4+ROUNDUP(MONTH($A532)/3,0))</f>
        <v/>
      </c>
      <c r="U532" s="14">
        <f>IF($C532="","",$C532&amp;"|"&amp;$T532)</f>
        <v/>
      </c>
      <c r="V532" s="14">
        <f>IF($C532="","",$C532&amp;"|"&amp;$T532&amp;"|"&amp;$G532)</f>
        <v/>
      </c>
      <c r="W532" s="14">
        <f>IF($A532="","",IF(OR($B532="",$F532="",$G532="",$H532="",$I532=""),"Faltam campos básicos",IF(AND(OR($F532="Ponto de atenção",$F532="Incidente"),OR($K532="",$L532="",$O532="",$P532="")),"Faltam campos de sinalização","OK")))</f>
        <v/>
      </c>
      <c r="X532" s="14">
        <f>IF($A532="","",IF(AND(OR($F532="Ponto de atenção",$F532="Incidente"),$L532&lt;&gt;"Sim"),"Não",IF(AND($S532="",$W532&lt;&gt;"OK"),"Não","Sim")))</f>
        <v/>
      </c>
      <c r="Y532" s="14">
        <f>IF($C532="",0,IF(COUNTIFS($C$5:$C532,$C532,$D$5:$D532,$D532)=1,1,0))</f>
        <v/>
      </c>
      <c r="Z532" s="14">
        <f>IF($A532="","",IF(Config!$B$7-$T532&gt;2,"Arquivada",IF(Config!$B$7-$T532&gt;0,"Histórico","Ativa")))</f>
        <v/>
      </c>
      <c r="AA532" s="14">
        <f>IF($A532="",0,IF(AND(OR($F532="Ponto de atenção",$F532="Incidente"),$L532="Sim"),1,0))</f>
        <v/>
      </c>
      <c r="AB532" s="14">
        <f>IF(OR($C532="",$C532&lt;&gt;'1a1'!$B$4,$T532&lt;&gt;Config!$B$7),"",COUNTIFS($C$5:$C532,'1a1'!$B$4,$T$5:$T532,Config!$B$7))</f>
        <v/>
      </c>
    </row>
    <row r="533">
      <c r="A533" s="18" t="n"/>
      <c r="B533" s="19" t="n"/>
      <c r="C533" s="14">
        <f>IFERROR(INDEX(Pessoas!$A$5:$A$64,MATCH($B533,Pessoas!$B$5:$B$64,0)),"")</f>
        <v/>
      </c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8" t="n"/>
      <c r="N533" s="19" t="n"/>
      <c r="O533" s="19" t="n"/>
      <c r="P533" s="19" t="n"/>
      <c r="Q533" s="20">
        <f>IF(OR($M533="",$P533=""),"",$M533+IF($P533="7 dias",7,IF($P533="14 dias",14,90)))</f>
        <v/>
      </c>
      <c r="R533" s="19" t="n"/>
      <c r="S533" s="19" t="n"/>
      <c r="T533" s="14">
        <f>IF($A533="","",YEAR($A533)*4+ROUNDUP(MONTH($A533)/3,0))</f>
        <v/>
      </c>
      <c r="U533" s="14">
        <f>IF($C533="","",$C533&amp;"|"&amp;$T533)</f>
        <v/>
      </c>
      <c r="V533" s="14">
        <f>IF($C533="","",$C533&amp;"|"&amp;$T533&amp;"|"&amp;$G533)</f>
        <v/>
      </c>
      <c r="W533" s="14">
        <f>IF($A533="","",IF(OR($B533="",$F533="",$G533="",$H533="",$I533=""),"Faltam campos básicos",IF(AND(OR($F533="Ponto de atenção",$F533="Incidente"),OR($K533="",$L533="",$O533="",$P533="")),"Faltam campos de sinalização","OK")))</f>
        <v/>
      </c>
      <c r="X533" s="14">
        <f>IF($A533="","",IF(AND(OR($F533="Ponto de atenção",$F533="Incidente"),$L533&lt;&gt;"Sim"),"Não",IF(AND($S533="",$W533&lt;&gt;"OK"),"Não","Sim")))</f>
        <v/>
      </c>
      <c r="Y533" s="14">
        <f>IF($C533="",0,IF(COUNTIFS($C$5:$C533,$C533,$D$5:$D533,$D533)=1,1,0))</f>
        <v/>
      </c>
      <c r="Z533" s="14">
        <f>IF($A533="","",IF(Config!$B$7-$T533&gt;2,"Arquivada",IF(Config!$B$7-$T533&gt;0,"Histórico","Ativa")))</f>
        <v/>
      </c>
      <c r="AA533" s="14">
        <f>IF($A533="",0,IF(AND(OR($F533="Ponto de atenção",$F533="Incidente"),$L533="Sim"),1,0))</f>
        <v/>
      </c>
      <c r="AB533" s="14">
        <f>IF(OR($C533="",$C533&lt;&gt;'1a1'!$B$4,$T533&lt;&gt;Config!$B$7),"",COUNTIFS($C$5:$C533,'1a1'!$B$4,$T$5:$T533,Config!$B$7))</f>
        <v/>
      </c>
    </row>
    <row r="534">
      <c r="A534" s="18" t="n"/>
      <c r="B534" s="19" t="n"/>
      <c r="C534" s="14">
        <f>IFERROR(INDEX(Pessoas!$A$5:$A$64,MATCH($B534,Pessoas!$B$5:$B$64,0)),"")</f>
        <v/>
      </c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8" t="n"/>
      <c r="N534" s="19" t="n"/>
      <c r="O534" s="19" t="n"/>
      <c r="P534" s="19" t="n"/>
      <c r="Q534" s="20">
        <f>IF(OR($M534="",$P534=""),"",$M534+IF($P534="7 dias",7,IF($P534="14 dias",14,90)))</f>
        <v/>
      </c>
      <c r="R534" s="19" t="n"/>
      <c r="S534" s="19" t="n"/>
      <c r="T534" s="14">
        <f>IF($A534="","",YEAR($A534)*4+ROUNDUP(MONTH($A534)/3,0))</f>
        <v/>
      </c>
      <c r="U534" s="14">
        <f>IF($C534="","",$C534&amp;"|"&amp;$T534)</f>
        <v/>
      </c>
      <c r="V534" s="14">
        <f>IF($C534="","",$C534&amp;"|"&amp;$T534&amp;"|"&amp;$G534)</f>
        <v/>
      </c>
      <c r="W534" s="14">
        <f>IF($A534="","",IF(OR($B534="",$F534="",$G534="",$H534="",$I534=""),"Faltam campos básicos",IF(AND(OR($F534="Ponto de atenção",$F534="Incidente"),OR($K534="",$L534="",$O534="",$P534="")),"Faltam campos de sinalização","OK")))</f>
        <v/>
      </c>
      <c r="X534" s="14">
        <f>IF($A534="","",IF(AND(OR($F534="Ponto de atenção",$F534="Incidente"),$L534&lt;&gt;"Sim"),"Não",IF(AND($S534="",$W534&lt;&gt;"OK"),"Não","Sim")))</f>
        <v/>
      </c>
      <c r="Y534" s="14">
        <f>IF($C534="",0,IF(COUNTIFS($C$5:$C534,$C534,$D$5:$D534,$D534)=1,1,0))</f>
        <v/>
      </c>
      <c r="Z534" s="14">
        <f>IF($A534="","",IF(Config!$B$7-$T534&gt;2,"Arquivada",IF(Config!$B$7-$T534&gt;0,"Histórico","Ativa")))</f>
        <v/>
      </c>
      <c r="AA534" s="14">
        <f>IF($A534="",0,IF(AND(OR($F534="Ponto de atenção",$F534="Incidente"),$L534="Sim"),1,0))</f>
        <v/>
      </c>
      <c r="AB534" s="14">
        <f>IF(OR($C534="",$C534&lt;&gt;'1a1'!$B$4,$T534&lt;&gt;Config!$B$7),"",COUNTIFS($C$5:$C534,'1a1'!$B$4,$T$5:$T534,Config!$B$7))</f>
        <v/>
      </c>
    </row>
    <row r="535">
      <c r="A535" s="18" t="n"/>
      <c r="B535" s="19" t="n"/>
      <c r="C535" s="14">
        <f>IFERROR(INDEX(Pessoas!$A$5:$A$64,MATCH($B535,Pessoas!$B$5:$B$64,0)),"")</f>
        <v/>
      </c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8" t="n"/>
      <c r="N535" s="19" t="n"/>
      <c r="O535" s="19" t="n"/>
      <c r="P535" s="19" t="n"/>
      <c r="Q535" s="20">
        <f>IF(OR($M535="",$P535=""),"",$M535+IF($P535="7 dias",7,IF($P535="14 dias",14,90)))</f>
        <v/>
      </c>
      <c r="R535" s="19" t="n"/>
      <c r="S535" s="19" t="n"/>
      <c r="T535" s="14">
        <f>IF($A535="","",YEAR($A535)*4+ROUNDUP(MONTH($A535)/3,0))</f>
        <v/>
      </c>
      <c r="U535" s="14">
        <f>IF($C535="","",$C535&amp;"|"&amp;$T535)</f>
        <v/>
      </c>
      <c r="V535" s="14">
        <f>IF($C535="","",$C535&amp;"|"&amp;$T535&amp;"|"&amp;$G535)</f>
        <v/>
      </c>
      <c r="W535" s="14">
        <f>IF($A535="","",IF(OR($B535="",$F535="",$G535="",$H535="",$I535=""),"Faltam campos básicos",IF(AND(OR($F535="Ponto de atenção",$F535="Incidente"),OR($K535="",$L535="",$O535="",$P535="")),"Faltam campos de sinalização","OK")))</f>
        <v/>
      </c>
      <c r="X535" s="14">
        <f>IF($A535="","",IF(AND(OR($F535="Ponto de atenção",$F535="Incidente"),$L535&lt;&gt;"Sim"),"Não",IF(AND($S535="",$W535&lt;&gt;"OK"),"Não","Sim")))</f>
        <v/>
      </c>
      <c r="Y535" s="14">
        <f>IF($C535="",0,IF(COUNTIFS($C$5:$C535,$C535,$D$5:$D535,$D535)=1,1,0))</f>
        <v/>
      </c>
      <c r="Z535" s="14">
        <f>IF($A535="","",IF(Config!$B$7-$T535&gt;2,"Arquivada",IF(Config!$B$7-$T535&gt;0,"Histórico","Ativa")))</f>
        <v/>
      </c>
      <c r="AA535" s="14">
        <f>IF($A535="",0,IF(AND(OR($F535="Ponto de atenção",$F535="Incidente"),$L535="Sim"),1,0))</f>
        <v/>
      </c>
      <c r="AB535" s="14">
        <f>IF(OR($C535="",$C535&lt;&gt;'1a1'!$B$4,$T535&lt;&gt;Config!$B$7),"",COUNTIFS($C$5:$C535,'1a1'!$B$4,$T$5:$T535,Config!$B$7))</f>
        <v/>
      </c>
    </row>
    <row r="536">
      <c r="A536" s="18" t="n"/>
      <c r="B536" s="19" t="n"/>
      <c r="C536" s="14">
        <f>IFERROR(INDEX(Pessoas!$A$5:$A$64,MATCH($B536,Pessoas!$B$5:$B$64,0)),"")</f>
        <v/>
      </c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8" t="n"/>
      <c r="N536" s="19" t="n"/>
      <c r="O536" s="19" t="n"/>
      <c r="P536" s="19" t="n"/>
      <c r="Q536" s="20">
        <f>IF(OR($M536="",$P536=""),"",$M536+IF($P536="7 dias",7,IF($P536="14 dias",14,90)))</f>
        <v/>
      </c>
      <c r="R536" s="19" t="n"/>
      <c r="S536" s="19" t="n"/>
      <c r="T536" s="14">
        <f>IF($A536="","",YEAR($A536)*4+ROUNDUP(MONTH($A536)/3,0))</f>
        <v/>
      </c>
      <c r="U536" s="14">
        <f>IF($C536="","",$C536&amp;"|"&amp;$T536)</f>
        <v/>
      </c>
      <c r="V536" s="14">
        <f>IF($C536="","",$C536&amp;"|"&amp;$T536&amp;"|"&amp;$G536)</f>
        <v/>
      </c>
      <c r="W536" s="14">
        <f>IF($A536="","",IF(OR($B536="",$F536="",$G536="",$H536="",$I536=""),"Faltam campos básicos",IF(AND(OR($F536="Ponto de atenção",$F536="Incidente"),OR($K536="",$L536="",$O536="",$P536="")),"Faltam campos de sinalização","OK")))</f>
        <v/>
      </c>
      <c r="X536" s="14">
        <f>IF($A536="","",IF(AND(OR($F536="Ponto de atenção",$F536="Incidente"),$L536&lt;&gt;"Sim"),"Não",IF(AND($S536="",$W536&lt;&gt;"OK"),"Não","Sim")))</f>
        <v/>
      </c>
      <c r="Y536" s="14">
        <f>IF($C536="",0,IF(COUNTIFS($C$5:$C536,$C536,$D$5:$D536,$D536)=1,1,0))</f>
        <v/>
      </c>
      <c r="Z536" s="14">
        <f>IF($A536="","",IF(Config!$B$7-$T536&gt;2,"Arquivada",IF(Config!$B$7-$T536&gt;0,"Histórico","Ativa")))</f>
        <v/>
      </c>
      <c r="AA536" s="14">
        <f>IF($A536="",0,IF(AND(OR($F536="Ponto de atenção",$F536="Incidente"),$L536="Sim"),1,0))</f>
        <v/>
      </c>
      <c r="AB536" s="14">
        <f>IF(OR($C536="",$C536&lt;&gt;'1a1'!$B$4,$T536&lt;&gt;Config!$B$7),"",COUNTIFS($C$5:$C536,'1a1'!$B$4,$T$5:$T536,Config!$B$7))</f>
        <v/>
      </c>
    </row>
    <row r="537">
      <c r="A537" s="18" t="n"/>
      <c r="B537" s="19" t="n"/>
      <c r="C537" s="14">
        <f>IFERROR(INDEX(Pessoas!$A$5:$A$64,MATCH($B537,Pessoas!$B$5:$B$64,0)),"")</f>
        <v/>
      </c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8" t="n"/>
      <c r="N537" s="19" t="n"/>
      <c r="O537" s="19" t="n"/>
      <c r="P537" s="19" t="n"/>
      <c r="Q537" s="20">
        <f>IF(OR($M537="",$P537=""),"",$M537+IF($P537="7 dias",7,IF($P537="14 dias",14,90)))</f>
        <v/>
      </c>
      <c r="R537" s="19" t="n"/>
      <c r="S537" s="19" t="n"/>
      <c r="T537" s="14">
        <f>IF($A537="","",YEAR($A537)*4+ROUNDUP(MONTH($A537)/3,0))</f>
        <v/>
      </c>
      <c r="U537" s="14">
        <f>IF($C537="","",$C537&amp;"|"&amp;$T537)</f>
        <v/>
      </c>
      <c r="V537" s="14">
        <f>IF($C537="","",$C537&amp;"|"&amp;$T537&amp;"|"&amp;$G537)</f>
        <v/>
      </c>
      <c r="W537" s="14">
        <f>IF($A537="","",IF(OR($B537="",$F537="",$G537="",$H537="",$I537=""),"Faltam campos básicos",IF(AND(OR($F537="Ponto de atenção",$F537="Incidente"),OR($K537="",$L537="",$O537="",$P537="")),"Faltam campos de sinalização","OK")))</f>
        <v/>
      </c>
      <c r="X537" s="14">
        <f>IF($A537="","",IF(AND(OR($F537="Ponto de atenção",$F537="Incidente"),$L537&lt;&gt;"Sim"),"Não",IF(AND($S537="",$W537&lt;&gt;"OK"),"Não","Sim")))</f>
        <v/>
      </c>
      <c r="Y537" s="14">
        <f>IF($C537="",0,IF(COUNTIFS($C$5:$C537,$C537,$D$5:$D537,$D537)=1,1,0))</f>
        <v/>
      </c>
      <c r="Z537" s="14">
        <f>IF($A537="","",IF(Config!$B$7-$T537&gt;2,"Arquivada",IF(Config!$B$7-$T537&gt;0,"Histórico","Ativa")))</f>
        <v/>
      </c>
      <c r="AA537" s="14">
        <f>IF($A537="",0,IF(AND(OR($F537="Ponto de atenção",$F537="Incidente"),$L537="Sim"),1,0))</f>
        <v/>
      </c>
      <c r="AB537" s="14">
        <f>IF(OR($C537="",$C537&lt;&gt;'1a1'!$B$4,$T537&lt;&gt;Config!$B$7),"",COUNTIFS($C$5:$C537,'1a1'!$B$4,$T$5:$T537,Config!$B$7))</f>
        <v/>
      </c>
    </row>
    <row r="538">
      <c r="A538" s="18" t="n"/>
      <c r="B538" s="19" t="n"/>
      <c r="C538" s="14">
        <f>IFERROR(INDEX(Pessoas!$A$5:$A$64,MATCH($B538,Pessoas!$B$5:$B$64,0)),"")</f>
        <v/>
      </c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8" t="n"/>
      <c r="N538" s="19" t="n"/>
      <c r="O538" s="19" t="n"/>
      <c r="P538" s="19" t="n"/>
      <c r="Q538" s="20">
        <f>IF(OR($M538="",$P538=""),"",$M538+IF($P538="7 dias",7,IF($P538="14 dias",14,90)))</f>
        <v/>
      </c>
      <c r="R538" s="19" t="n"/>
      <c r="S538" s="19" t="n"/>
      <c r="T538" s="14">
        <f>IF($A538="","",YEAR($A538)*4+ROUNDUP(MONTH($A538)/3,0))</f>
        <v/>
      </c>
      <c r="U538" s="14">
        <f>IF($C538="","",$C538&amp;"|"&amp;$T538)</f>
        <v/>
      </c>
      <c r="V538" s="14">
        <f>IF($C538="","",$C538&amp;"|"&amp;$T538&amp;"|"&amp;$G538)</f>
        <v/>
      </c>
      <c r="W538" s="14">
        <f>IF($A538="","",IF(OR($B538="",$F538="",$G538="",$H538="",$I538=""),"Faltam campos básicos",IF(AND(OR($F538="Ponto de atenção",$F538="Incidente"),OR($K538="",$L538="",$O538="",$P538="")),"Faltam campos de sinalização","OK")))</f>
        <v/>
      </c>
      <c r="X538" s="14">
        <f>IF($A538="","",IF(AND(OR($F538="Ponto de atenção",$F538="Incidente"),$L538&lt;&gt;"Sim"),"Não",IF(AND($S538="",$W538&lt;&gt;"OK"),"Não","Sim")))</f>
        <v/>
      </c>
      <c r="Y538" s="14">
        <f>IF($C538="",0,IF(COUNTIFS($C$5:$C538,$C538,$D$5:$D538,$D538)=1,1,0))</f>
        <v/>
      </c>
      <c r="Z538" s="14">
        <f>IF($A538="","",IF(Config!$B$7-$T538&gt;2,"Arquivada",IF(Config!$B$7-$T538&gt;0,"Histórico","Ativa")))</f>
        <v/>
      </c>
      <c r="AA538" s="14">
        <f>IF($A538="",0,IF(AND(OR($F538="Ponto de atenção",$F538="Incidente"),$L538="Sim"),1,0))</f>
        <v/>
      </c>
      <c r="AB538" s="14">
        <f>IF(OR($C538="",$C538&lt;&gt;'1a1'!$B$4,$T538&lt;&gt;Config!$B$7),"",COUNTIFS($C$5:$C538,'1a1'!$B$4,$T$5:$T538,Config!$B$7))</f>
        <v/>
      </c>
    </row>
    <row r="539">
      <c r="A539" s="18" t="n"/>
      <c r="B539" s="19" t="n"/>
      <c r="C539" s="14">
        <f>IFERROR(INDEX(Pessoas!$A$5:$A$64,MATCH($B539,Pessoas!$B$5:$B$64,0)),"")</f>
        <v/>
      </c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8" t="n"/>
      <c r="N539" s="19" t="n"/>
      <c r="O539" s="19" t="n"/>
      <c r="P539" s="19" t="n"/>
      <c r="Q539" s="20">
        <f>IF(OR($M539="",$P539=""),"",$M539+IF($P539="7 dias",7,IF($P539="14 dias",14,90)))</f>
        <v/>
      </c>
      <c r="R539" s="19" t="n"/>
      <c r="S539" s="19" t="n"/>
      <c r="T539" s="14">
        <f>IF($A539="","",YEAR($A539)*4+ROUNDUP(MONTH($A539)/3,0))</f>
        <v/>
      </c>
      <c r="U539" s="14">
        <f>IF($C539="","",$C539&amp;"|"&amp;$T539)</f>
        <v/>
      </c>
      <c r="V539" s="14">
        <f>IF($C539="","",$C539&amp;"|"&amp;$T539&amp;"|"&amp;$G539)</f>
        <v/>
      </c>
      <c r="W539" s="14">
        <f>IF($A539="","",IF(OR($B539="",$F539="",$G539="",$H539="",$I539=""),"Faltam campos básicos",IF(AND(OR($F539="Ponto de atenção",$F539="Incidente"),OR($K539="",$L539="",$O539="",$P539="")),"Faltam campos de sinalização","OK")))</f>
        <v/>
      </c>
      <c r="X539" s="14">
        <f>IF($A539="","",IF(AND(OR($F539="Ponto de atenção",$F539="Incidente"),$L539&lt;&gt;"Sim"),"Não",IF(AND($S539="",$W539&lt;&gt;"OK"),"Não","Sim")))</f>
        <v/>
      </c>
      <c r="Y539" s="14">
        <f>IF($C539="",0,IF(COUNTIFS($C$5:$C539,$C539,$D$5:$D539,$D539)=1,1,0))</f>
        <v/>
      </c>
      <c r="Z539" s="14">
        <f>IF($A539="","",IF(Config!$B$7-$T539&gt;2,"Arquivada",IF(Config!$B$7-$T539&gt;0,"Histórico","Ativa")))</f>
        <v/>
      </c>
      <c r="AA539" s="14">
        <f>IF($A539="",0,IF(AND(OR($F539="Ponto de atenção",$F539="Incidente"),$L539="Sim"),1,0))</f>
        <v/>
      </c>
      <c r="AB539" s="14">
        <f>IF(OR($C539="",$C539&lt;&gt;'1a1'!$B$4,$T539&lt;&gt;Config!$B$7),"",COUNTIFS($C$5:$C539,'1a1'!$B$4,$T$5:$T539,Config!$B$7))</f>
        <v/>
      </c>
    </row>
    <row r="540">
      <c r="A540" s="18" t="n"/>
      <c r="B540" s="19" t="n"/>
      <c r="C540" s="14">
        <f>IFERROR(INDEX(Pessoas!$A$5:$A$64,MATCH($B540,Pessoas!$B$5:$B$64,0)),"")</f>
        <v/>
      </c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8" t="n"/>
      <c r="N540" s="19" t="n"/>
      <c r="O540" s="19" t="n"/>
      <c r="P540" s="19" t="n"/>
      <c r="Q540" s="20">
        <f>IF(OR($M540="",$P540=""),"",$M540+IF($P540="7 dias",7,IF($P540="14 dias",14,90)))</f>
        <v/>
      </c>
      <c r="R540" s="19" t="n"/>
      <c r="S540" s="19" t="n"/>
      <c r="T540" s="14">
        <f>IF($A540="","",YEAR($A540)*4+ROUNDUP(MONTH($A540)/3,0))</f>
        <v/>
      </c>
      <c r="U540" s="14">
        <f>IF($C540="","",$C540&amp;"|"&amp;$T540)</f>
        <v/>
      </c>
      <c r="V540" s="14">
        <f>IF($C540="","",$C540&amp;"|"&amp;$T540&amp;"|"&amp;$G540)</f>
        <v/>
      </c>
      <c r="W540" s="14">
        <f>IF($A540="","",IF(OR($B540="",$F540="",$G540="",$H540="",$I540=""),"Faltam campos básicos",IF(AND(OR($F540="Ponto de atenção",$F540="Incidente"),OR($K540="",$L540="",$O540="",$P540="")),"Faltam campos de sinalização","OK")))</f>
        <v/>
      </c>
      <c r="X540" s="14">
        <f>IF($A540="","",IF(AND(OR($F540="Ponto de atenção",$F540="Incidente"),$L540&lt;&gt;"Sim"),"Não",IF(AND($S540="",$W540&lt;&gt;"OK"),"Não","Sim")))</f>
        <v/>
      </c>
      <c r="Y540" s="14">
        <f>IF($C540="",0,IF(COUNTIFS($C$5:$C540,$C540,$D$5:$D540,$D540)=1,1,0))</f>
        <v/>
      </c>
      <c r="Z540" s="14">
        <f>IF($A540="","",IF(Config!$B$7-$T540&gt;2,"Arquivada",IF(Config!$B$7-$T540&gt;0,"Histórico","Ativa")))</f>
        <v/>
      </c>
      <c r="AA540" s="14">
        <f>IF($A540="",0,IF(AND(OR($F540="Ponto de atenção",$F540="Incidente"),$L540="Sim"),1,0))</f>
        <v/>
      </c>
      <c r="AB540" s="14">
        <f>IF(OR($C540="",$C540&lt;&gt;'1a1'!$B$4,$T540&lt;&gt;Config!$B$7),"",COUNTIFS($C$5:$C540,'1a1'!$B$4,$T$5:$T540,Config!$B$7))</f>
        <v/>
      </c>
    </row>
    <row r="541">
      <c r="A541" s="18" t="n"/>
      <c r="B541" s="19" t="n"/>
      <c r="C541" s="14">
        <f>IFERROR(INDEX(Pessoas!$A$5:$A$64,MATCH($B541,Pessoas!$B$5:$B$64,0)),"")</f>
        <v/>
      </c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8" t="n"/>
      <c r="N541" s="19" t="n"/>
      <c r="O541" s="19" t="n"/>
      <c r="P541" s="19" t="n"/>
      <c r="Q541" s="20">
        <f>IF(OR($M541="",$P541=""),"",$M541+IF($P541="7 dias",7,IF($P541="14 dias",14,90)))</f>
        <v/>
      </c>
      <c r="R541" s="19" t="n"/>
      <c r="S541" s="19" t="n"/>
      <c r="T541" s="14">
        <f>IF($A541="","",YEAR($A541)*4+ROUNDUP(MONTH($A541)/3,0))</f>
        <v/>
      </c>
      <c r="U541" s="14">
        <f>IF($C541="","",$C541&amp;"|"&amp;$T541)</f>
        <v/>
      </c>
      <c r="V541" s="14">
        <f>IF($C541="","",$C541&amp;"|"&amp;$T541&amp;"|"&amp;$G541)</f>
        <v/>
      </c>
      <c r="W541" s="14">
        <f>IF($A541="","",IF(OR($B541="",$F541="",$G541="",$H541="",$I541=""),"Faltam campos básicos",IF(AND(OR($F541="Ponto de atenção",$F541="Incidente"),OR($K541="",$L541="",$O541="",$P541="")),"Faltam campos de sinalização","OK")))</f>
        <v/>
      </c>
      <c r="X541" s="14">
        <f>IF($A541="","",IF(AND(OR($F541="Ponto de atenção",$F541="Incidente"),$L541&lt;&gt;"Sim"),"Não",IF(AND($S541="",$W541&lt;&gt;"OK"),"Não","Sim")))</f>
        <v/>
      </c>
      <c r="Y541" s="14">
        <f>IF($C541="",0,IF(COUNTIFS($C$5:$C541,$C541,$D$5:$D541,$D541)=1,1,0))</f>
        <v/>
      </c>
      <c r="Z541" s="14">
        <f>IF($A541="","",IF(Config!$B$7-$T541&gt;2,"Arquivada",IF(Config!$B$7-$T541&gt;0,"Histórico","Ativa")))</f>
        <v/>
      </c>
      <c r="AA541" s="14">
        <f>IF($A541="",0,IF(AND(OR($F541="Ponto de atenção",$F541="Incidente"),$L541="Sim"),1,0))</f>
        <v/>
      </c>
      <c r="AB541" s="14">
        <f>IF(OR($C541="",$C541&lt;&gt;'1a1'!$B$4,$T541&lt;&gt;Config!$B$7),"",COUNTIFS($C$5:$C541,'1a1'!$B$4,$T$5:$T541,Config!$B$7))</f>
        <v/>
      </c>
    </row>
    <row r="542">
      <c r="A542" s="18" t="n"/>
      <c r="B542" s="19" t="n"/>
      <c r="C542" s="14">
        <f>IFERROR(INDEX(Pessoas!$A$5:$A$64,MATCH($B542,Pessoas!$B$5:$B$64,0)),"")</f>
        <v/>
      </c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8" t="n"/>
      <c r="N542" s="19" t="n"/>
      <c r="O542" s="19" t="n"/>
      <c r="P542" s="19" t="n"/>
      <c r="Q542" s="20">
        <f>IF(OR($M542="",$P542=""),"",$M542+IF($P542="7 dias",7,IF($P542="14 dias",14,90)))</f>
        <v/>
      </c>
      <c r="R542" s="19" t="n"/>
      <c r="S542" s="19" t="n"/>
      <c r="T542" s="14">
        <f>IF($A542="","",YEAR($A542)*4+ROUNDUP(MONTH($A542)/3,0))</f>
        <v/>
      </c>
      <c r="U542" s="14">
        <f>IF($C542="","",$C542&amp;"|"&amp;$T542)</f>
        <v/>
      </c>
      <c r="V542" s="14">
        <f>IF($C542="","",$C542&amp;"|"&amp;$T542&amp;"|"&amp;$G542)</f>
        <v/>
      </c>
      <c r="W542" s="14">
        <f>IF($A542="","",IF(OR($B542="",$F542="",$G542="",$H542="",$I542=""),"Faltam campos básicos",IF(AND(OR($F542="Ponto de atenção",$F542="Incidente"),OR($K542="",$L542="",$O542="",$P542="")),"Faltam campos de sinalização","OK")))</f>
        <v/>
      </c>
      <c r="X542" s="14">
        <f>IF($A542="","",IF(AND(OR($F542="Ponto de atenção",$F542="Incidente"),$L542&lt;&gt;"Sim"),"Não",IF(AND($S542="",$W542&lt;&gt;"OK"),"Não","Sim")))</f>
        <v/>
      </c>
      <c r="Y542" s="14">
        <f>IF($C542="",0,IF(COUNTIFS($C$5:$C542,$C542,$D$5:$D542,$D542)=1,1,0))</f>
        <v/>
      </c>
      <c r="Z542" s="14">
        <f>IF($A542="","",IF(Config!$B$7-$T542&gt;2,"Arquivada",IF(Config!$B$7-$T542&gt;0,"Histórico","Ativa")))</f>
        <v/>
      </c>
      <c r="AA542" s="14">
        <f>IF($A542="",0,IF(AND(OR($F542="Ponto de atenção",$F542="Incidente"),$L542="Sim"),1,0))</f>
        <v/>
      </c>
      <c r="AB542" s="14">
        <f>IF(OR($C542="",$C542&lt;&gt;'1a1'!$B$4,$T542&lt;&gt;Config!$B$7),"",COUNTIFS($C$5:$C542,'1a1'!$B$4,$T$5:$T542,Config!$B$7))</f>
        <v/>
      </c>
    </row>
    <row r="543">
      <c r="A543" s="18" t="n"/>
      <c r="B543" s="19" t="n"/>
      <c r="C543" s="14">
        <f>IFERROR(INDEX(Pessoas!$A$5:$A$64,MATCH($B543,Pessoas!$B$5:$B$64,0)),"")</f>
        <v/>
      </c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8" t="n"/>
      <c r="N543" s="19" t="n"/>
      <c r="O543" s="19" t="n"/>
      <c r="P543" s="19" t="n"/>
      <c r="Q543" s="20">
        <f>IF(OR($M543="",$P543=""),"",$M543+IF($P543="7 dias",7,IF($P543="14 dias",14,90)))</f>
        <v/>
      </c>
      <c r="R543" s="19" t="n"/>
      <c r="S543" s="19" t="n"/>
      <c r="T543" s="14">
        <f>IF($A543="","",YEAR($A543)*4+ROUNDUP(MONTH($A543)/3,0))</f>
        <v/>
      </c>
      <c r="U543" s="14">
        <f>IF($C543="","",$C543&amp;"|"&amp;$T543)</f>
        <v/>
      </c>
      <c r="V543" s="14">
        <f>IF($C543="","",$C543&amp;"|"&amp;$T543&amp;"|"&amp;$G543)</f>
        <v/>
      </c>
      <c r="W543" s="14">
        <f>IF($A543="","",IF(OR($B543="",$F543="",$G543="",$H543="",$I543=""),"Faltam campos básicos",IF(AND(OR($F543="Ponto de atenção",$F543="Incidente"),OR($K543="",$L543="",$O543="",$P543="")),"Faltam campos de sinalização","OK")))</f>
        <v/>
      </c>
      <c r="X543" s="14">
        <f>IF($A543="","",IF(AND(OR($F543="Ponto de atenção",$F543="Incidente"),$L543&lt;&gt;"Sim"),"Não",IF(AND($S543="",$W543&lt;&gt;"OK"),"Não","Sim")))</f>
        <v/>
      </c>
      <c r="Y543" s="14">
        <f>IF($C543="",0,IF(COUNTIFS($C$5:$C543,$C543,$D$5:$D543,$D543)=1,1,0))</f>
        <v/>
      </c>
      <c r="Z543" s="14">
        <f>IF($A543="","",IF(Config!$B$7-$T543&gt;2,"Arquivada",IF(Config!$B$7-$T543&gt;0,"Histórico","Ativa")))</f>
        <v/>
      </c>
      <c r="AA543" s="14">
        <f>IF($A543="",0,IF(AND(OR($F543="Ponto de atenção",$F543="Incidente"),$L543="Sim"),1,0))</f>
        <v/>
      </c>
      <c r="AB543" s="14">
        <f>IF(OR($C543="",$C543&lt;&gt;'1a1'!$B$4,$T543&lt;&gt;Config!$B$7),"",COUNTIFS($C$5:$C543,'1a1'!$B$4,$T$5:$T543,Config!$B$7))</f>
        <v/>
      </c>
    </row>
    <row r="544">
      <c r="A544" s="18" t="n"/>
      <c r="B544" s="19" t="n"/>
      <c r="C544" s="14">
        <f>IFERROR(INDEX(Pessoas!$A$5:$A$64,MATCH($B544,Pessoas!$B$5:$B$64,0)),"")</f>
        <v/>
      </c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8" t="n"/>
      <c r="N544" s="19" t="n"/>
      <c r="O544" s="19" t="n"/>
      <c r="P544" s="19" t="n"/>
      <c r="Q544" s="20">
        <f>IF(OR($M544="",$P544=""),"",$M544+IF($P544="7 dias",7,IF($P544="14 dias",14,90)))</f>
        <v/>
      </c>
      <c r="R544" s="19" t="n"/>
      <c r="S544" s="19" t="n"/>
      <c r="T544" s="14">
        <f>IF($A544="","",YEAR($A544)*4+ROUNDUP(MONTH($A544)/3,0))</f>
        <v/>
      </c>
      <c r="U544" s="14">
        <f>IF($C544="","",$C544&amp;"|"&amp;$T544)</f>
        <v/>
      </c>
      <c r="V544" s="14">
        <f>IF($C544="","",$C544&amp;"|"&amp;$T544&amp;"|"&amp;$G544)</f>
        <v/>
      </c>
      <c r="W544" s="14">
        <f>IF($A544="","",IF(OR($B544="",$F544="",$G544="",$H544="",$I544=""),"Faltam campos básicos",IF(AND(OR($F544="Ponto de atenção",$F544="Incidente"),OR($K544="",$L544="",$O544="",$P544="")),"Faltam campos de sinalização","OK")))</f>
        <v/>
      </c>
      <c r="X544" s="14">
        <f>IF($A544="","",IF(AND(OR($F544="Ponto de atenção",$F544="Incidente"),$L544&lt;&gt;"Sim"),"Não",IF(AND($S544="",$W544&lt;&gt;"OK"),"Não","Sim")))</f>
        <v/>
      </c>
      <c r="Y544" s="14">
        <f>IF($C544="",0,IF(COUNTIFS($C$5:$C544,$C544,$D$5:$D544,$D544)=1,1,0))</f>
        <v/>
      </c>
      <c r="Z544" s="14">
        <f>IF($A544="","",IF(Config!$B$7-$T544&gt;2,"Arquivada",IF(Config!$B$7-$T544&gt;0,"Histórico","Ativa")))</f>
        <v/>
      </c>
      <c r="AA544" s="14">
        <f>IF($A544="",0,IF(AND(OR($F544="Ponto de atenção",$F544="Incidente"),$L544="Sim"),1,0))</f>
        <v/>
      </c>
      <c r="AB544" s="14">
        <f>IF(OR($C544="",$C544&lt;&gt;'1a1'!$B$4,$T544&lt;&gt;Config!$B$7),"",COUNTIFS($C$5:$C544,'1a1'!$B$4,$T$5:$T544,Config!$B$7))</f>
        <v/>
      </c>
    </row>
    <row r="545">
      <c r="A545" s="18" t="n"/>
      <c r="B545" s="19" t="n"/>
      <c r="C545" s="14">
        <f>IFERROR(INDEX(Pessoas!$A$5:$A$64,MATCH($B545,Pessoas!$B$5:$B$64,0)),"")</f>
        <v/>
      </c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8" t="n"/>
      <c r="N545" s="19" t="n"/>
      <c r="O545" s="19" t="n"/>
      <c r="P545" s="19" t="n"/>
      <c r="Q545" s="20">
        <f>IF(OR($M545="",$P545=""),"",$M545+IF($P545="7 dias",7,IF($P545="14 dias",14,90)))</f>
        <v/>
      </c>
      <c r="R545" s="19" t="n"/>
      <c r="S545" s="19" t="n"/>
      <c r="T545" s="14">
        <f>IF($A545="","",YEAR($A545)*4+ROUNDUP(MONTH($A545)/3,0))</f>
        <v/>
      </c>
      <c r="U545" s="14">
        <f>IF($C545="","",$C545&amp;"|"&amp;$T545)</f>
        <v/>
      </c>
      <c r="V545" s="14">
        <f>IF($C545="","",$C545&amp;"|"&amp;$T545&amp;"|"&amp;$G545)</f>
        <v/>
      </c>
      <c r="W545" s="14">
        <f>IF($A545="","",IF(OR($B545="",$F545="",$G545="",$H545="",$I545=""),"Faltam campos básicos",IF(AND(OR($F545="Ponto de atenção",$F545="Incidente"),OR($K545="",$L545="",$O545="",$P545="")),"Faltam campos de sinalização","OK")))</f>
        <v/>
      </c>
      <c r="X545" s="14">
        <f>IF($A545="","",IF(AND(OR($F545="Ponto de atenção",$F545="Incidente"),$L545&lt;&gt;"Sim"),"Não",IF(AND($S545="",$W545&lt;&gt;"OK"),"Não","Sim")))</f>
        <v/>
      </c>
      <c r="Y545" s="14">
        <f>IF($C545="",0,IF(COUNTIFS($C$5:$C545,$C545,$D$5:$D545,$D545)=1,1,0))</f>
        <v/>
      </c>
      <c r="Z545" s="14">
        <f>IF($A545="","",IF(Config!$B$7-$T545&gt;2,"Arquivada",IF(Config!$B$7-$T545&gt;0,"Histórico","Ativa")))</f>
        <v/>
      </c>
      <c r="AA545" s="14">
        <f>IF($A545="",0,IF(AND(OR($F545="Ponto de atenção",$F545="Incidente"),$L545="Sim"),1,0))</f>
        <v/>
      </c>
      <c r="AB545" s="14">
        <f>IF(OR($C545="",$C545&lt;&gt;'1a1'!$B$4,$T545&lt;&gt;Config!$B$7),"",COUNTIFS($C$5:$C545,'1a1'!$B$4,$T$5:$T545,Config!$B$7))</f>
        <v/>
      </c>
    </row>
    <row r="546">
      <c r="A546" s="18" t="n"/>
      <c r="B546" s="19" t="n"/>
      <c r="C546" s="14">
        <f>IFERROR(INDEX(Pessoas!$A$5:$A$64,MATCH($B546,Pessoas!$B$5:$B$64,0)),"")</f>
        <v/>
      </c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8" t="n"/>
      <c r="N546" s="19" t="n"/>
      <c r="O546" s="19" t="n"/>
      <c r="P546" s="19" t="n"/>
      <c r="Q546" s="20">
        <f>IF(OR($M546="",$P546=""),"",$M546+IF($P546="7 dias",7,IF($P546="14 dias",14,90)))</f>
        <v/>
      </c>
      <c r="R546" s="19" t="n"/>
      <c r="S546" s="19" t="n"/>
      <c r="T546" s="14">
        <f>IF($A546="","",YEAR($A546)*4+ROUNDUP(MONTH($A546)/3,0))</f>
        <v/>
      </c>
      <c r="U546" s="14">
        <f>IF($C546="","",$C546&amp;"|"&amp;$T546)</f>
        <v/>
      </c>
      <c r="V546" s="14">
        <f>IF($C546="","",$C546&amp;"|"&amp;$T546&amp;"|"&amp;$G546)</f>
        <v/>
      </c>
      <c r="W546" s="14">
        <f>IF($A546="","",IF(OR($B546="",$F546="",$G546="",$H546="",$I546=""),"Faltam campos básicos",IF(AND(OR($F546="Ponto de atenção",$F546="Incidente"),OR($K546="",$L546="",$O546="",$P546="")),"Faltam campos de sinalização","OK")))</f>
        <v/>
      </c>
      <c r="X546" s="14">
        <f>IF($A546="","",IF(AND(OR($F546="Ponto de atenção",$F546="Incidente"),$L546&lt;&gt;"Sim"),"Não",IF(AND($S546="",$W546&lt;&gt;"OK"),"Não","Sim")))</f>
        <v/>
      </c>
      <c r="Y546" s="14">
        <f>IF($C546="",0,IF(COUNTIFS($C$5:$C546,$C546,$D$5:$D546,$D546)=1,1,0))</f>
        <v/>
      </c>
      <c r="Z546" s="14">
        <f>IF($A546="","",IF(Config!$B$7-$T546&gt;2,"Arquivada",IF(Config!$B$7-$T546&gt;0,"Histórico","Ativa")))</f>
        <v/>
      </c>
      <c r="AA546" s="14">
        <f>IF($A546="",0,IF(AND(OR($F546="Ponto de atenção",$F546="Incidente"),$L546="Sim"),1,0))</f>
        <v/>
      </c>
      <c r="AB546" s="14">
        <f>IF(OR($C546="",$C546&lt;&gt;'1a1'!$B$4,$T546&lt;&gt;Config!$B$7),"",COUNTIFS($C$5:$C546,'1a1'!$B$4,$T$5:$T546,Config!$B$7))</f>
        <v/>
      </c>
    </row>
    <row r="547">
      <c r="A547" s="18" t="n"/>
      <c r="B547" s="19" t="n"/>
      <c r="C547" s="14">
        <f>IFERROR(INDEX(Pessoas!$A$5:$A$64,MATCH($B547,Pessoas!$B$5:$B$64,0)),"")</f>
        <v/>
      </c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8" t="n"/>
      <c r="N547" s="19" t="n"/>
      <c r="O547" s="19" t="n"/>
      <c r="P547" s="19" t="n"/>
      <c r="Q547" s="20">
        <f>IF(OR($M547="",$P547=""),"",$M547+IF($P547="7 dias",7,IF($P547="14 dias",14,90)))</f>
        <v/>
      </c>
      <c r="R547" s="19" t="n"/>
      <c r="S547" s="19" t="n"/>
      <c r="T547" s="14">
        <f>IF($A547="","",YEAR($A547)*4+ROUNDUP(MONTH($A547)/3,0))</f>
        <v/>
      </c>
      <c r="U547" s="14">
        <f>IF($C547="","",$C547&amp;"|"&amp;$T547)</f>
        <v/>
      </c>
      <c r="V547" s="14">
        <f>IF($C547="","",$C547&amp;"|"&amp;$T547&amp;"|"&amp;$G547)</f>
        <v/>
      </c>
      <c r="W547" s="14">
        <f>IF($A547="","",IF(OR($B547="",$F547="",$G547="",$H547="",$I547=""),"Faltam campos básicos",IF(AND(OR($F547="Ponto de atenção",$F547="Incidente"),OR($K547="",$L547="",$O547="",$P547="")),"Faltam campos de sinalização","OK")))</f>
        <v/>
      </c>
      <c r="X547" s="14">
        <f>IF($A547="","",IF(AND(OR($F547="Ponto de atenção",$F547="Incidente"),$L547&lt;&gt;"Sim"),"Não",IF(AND($S547="",$W547&lt;&gt;"OK"),"Não","Sim")))</f>
        <v/>
      </c>
      <c r="Y547" s="14">
        <f>IF($C547="",0,IF(COUNTIFS($C$5:$C547,$C547,$D$5:$D547,$D547)=1,1,0))</f>
        <v/>
      </c>
      <c r="Z547" s="14">
        <f>IF($A547="","",IF(Config!$B$7-$T547&gt;2,"Arquivada",IF(Config!$B$7-$T547&gt;0,"Histórico","Ativa")))</f>
        <v/>
      </c>
      <c r="AA547" s="14">
        <f>IF($A547="",0,IF(AND(OR($F547="Ponto de atenção",$F547="Incidente"),$L547="Sim"),1,0))</f>
        <v/>
      </c>
      <c r="AB547" s="14">
        <f>IF(OR($C547="",$C547&lt;&gt;'1a1'!$B$4,$T547&lt;&gt;Config!$B$7),"",COUNTIFS($C$5:$C547,'1a1'!$B$4,$T$5:$T547,Config!$B$7))</f>
        <v/>
      </c>
    </row>
    <row r="548">
      <c r="A548" s="18" t="n"/>
      <c r="B548" s="19" t="n"/>
      <c r="C548" s="14">
        <f>IFERROR(INDEX(Pessoas!$A$5:$A$64,MATCH($B548,Pessoas!$B$5:$B$64,0)),"")</f>
        <v/>
      </c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8" t="n"/>
      <c r="N548" s="19" t="n"/>
      <c r="O548" s="19" t="n"/>
      <c r="P548" s="19" t="n"/>
      <c r="Q548" s="20">
        <f>IF(OR($M548="",$P548=""),"",$M548+IF($P548="7 dias",7,IF($P548="14 dias",14,90)))</f>
        <v/>
      </c>
      <c r="R548" s="19" t="n"/>
      <c r="S548" s="19" t="n"/>
      <c r="T548" s="14">
        <f>IF($A548="","",YEAR($A548)*4+ROUNDUP(MONTH($A548)/3,0))</f>
        <v/>
      </c>
      <c r="U548" s="14">
        <f>IF($C548="","",$C548&amp;"|"&amp;$T548)</f>
        <v/>
      </c>
      <c r="V548" s="14">
        <f>IF($C548="","",$C548&amp;"|"&amp;$T548&amp;"|"&amp;$G548)</f>
        <v/>
      </c>
      <c r="W548" s="14">
        <f>IF($A548="","",IF(OR($B548="",$F548="",$G548="",$H548="",$I548=""),"Faltam campos básicos",IF(AND(OR($F548="Ponto de atenção",$F548="Incidente"),OR($K548="",$L548="",$O548="",$P548="")),"Faltam campos de sinalização","OK")))</f>
        <v/>
      </c>
      <c r="X548" s="14">
        <f>IF($A548="","",IF(AND(OR($F548="Ponto de atenção",$F548="Incidente"),$L548&lt;&gt;"Sim"),"Não",IF(AND($S548="",$W548&lt;&gt;"OK"),"Não","Sim")))</f>
        <v/>
      </c>
      <c r="Y548" s="14">
        <f>IF($C548="",0,IF(COUNTIFS($C$5:$C548,$C548,$D$5:$D548,$D548)=1,1,0))</f>
        <v/>
      </c>
      <c r="Z548" s="14">
        <f>IF($A548="","",IF(Config!$B$7-$T548&gt;2,"Arquivada",IF(Config!$B$7-$T548&gt;0,"Histórico","Ativa")))</f>
        <v/>
      </c>
      <c r="AA548" s="14">
        <f>IF($A548="",0,IF(AND(OR($F548="Ponto de atenção",$F548="Incidente"),$L548="Sim"),1,0))</f>
        <v/>
      </c>
      <c r="AB548" s="14">
        <f>IF(OR($C548="",$C548&lt;&gt;'1a1'!$B$4,$T548&lt;&gt;Config!$B$7),"",COUNTIFS($C$5:$C548,'1a1'!$B$4,$T$5:$T548,Config!$B$7))</f>
        <v/>
      </c>
    </row>
    <row r="549">
      <c r="A549" s="18" t="n"/>
      <c r="B549" s="19" t="n"/>
      <c r="C549" s="14">
        <f>IFERROR(INDEX(Pessoas!$A$5:$A$64,MATCH($B549,Pessoas!$B$5:$B$64,0)),"")</f>
        <v/>
      </c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8" t="n"/>
      <c r="N549" s="19" t="n"/>
      <c r="O549" s="19" t="n"/>
      <c r="P549" s="19" t="n"/>
      <c r="Q549" s="20">
        <f>IF(OR($M549="",$P549=""),"",$M549+IF($P549="7 dias",7,IF($P549="14 dias",14,90)))</f>
        <v/>
      </c>
      <c r="R549" s="19" t="n"/>
      <c r="S549" s="19" t="n"/>
      <c r="T549" s="14">
        <f>IF($A549="","",YEAR($A549)*4+ROUNDUP(MONTH($A549)/3,0))</f>
        <v/>
      </c>
      <c r="U549" s="14">
        <f>IF($C549="","",$C549&amp;"|"&amp;$T549)</f>
        <v/>
      </c>
      <c r="V549" s="14">
        <f>IF($C549="","",$C549&amp;"|"&amp;$T549&amp;"|"&amp;$G549)</f>
        <v/>
      </c>
      <c r="W549" s="14">
        <f>IF($A549="","",IF(OR($B549="",$F549="",$G549="",$H549="",$I549=""),"Faltam campos básicos",IF(AND(OR($F549="Ponto de atenção",$F549="Incidente"),OR($K549="",$L549="",$O549="",$P549="")),"Faltam campos de sinalização","OK")))</f>
        <v/>
      </c>
      <c r="X549" s="14">
        <f>IF($A549="","",IF(AND(OR($F549="Ponto de atenção",$F549="Incidente"),$L549&lt;&gt;"Sim"),"Não",IF(AND($S549="",$W549&lt;&gt;"OK"),"Não","Sim")))</f>
        <v/>
      </c>
      <c r="Y549" s="14">
        <f>IF($C549="",0,IF(COUNTIFS($C$5:$C549,$C549,$D$5:$D549,$D549)=1,1,0))</f>
        <v/>
      </c>
      <c r="Z549" s="14">
        <f>IF($A549="","",IF(Config!$B$7-$T549&gt;2,"Arquivada",IF(Config!$B$7-$T549&gt;0,"Histórico","Ativa")))</f>
        <v/>
      </c>
      <c r="AA549" s="14">
        <f>IF($A549="",0,IF(AND(OR($F549="Ponto de atenção",$F549="Incidente"),$L549="Sim"),1,0))</f>
        <v/>
      </c>
      <c r="AB549" s="14">
        <f>IF(OR($C549="",$C549&lt;&gt;'1a1'!$B$4,$T549&lt;&gt;Config!$B$7),"",COUNTIFS($C$5:$C549,'1a1'!$B$4,$T$5:$T549,Config!$B$7))</f>
        <v/>
      </c>
    </row>
    <row r="550">
      <c r="A550" s="18" t="n"/>
      <c r="B550" s="19" t="n"/>
      <c r="C550" s="14">
        <f>IFERROR(INDEX(Pessoas!$A$5:$A$64,MATCH($B550,Pessoas!$B$5:$B$64,0)),"")</f>
        <v/>
      </c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8" t="n"/>
      <c r="N550" s="19" t="n"/>
      <c r="O550" s="19" t="n"/>
      <c r="P550" s="19" t="n"/>
      <c r="Q550" s="20">
        <f>IF(OR($M550="",$P550=""),"",$M550+IF($P550="7 dias",7,IF($P550="14 dias",14,90)))</f>
        <v/>
      </c>
      <c r="R550" s="19" t="n"/>
      <c r="S550" s="19" t="n"/>
      <c r="T550" s="14">
        <f>IF($A550="","",YEAR($A550)*4+ROUNDUP(MONTH($A550)/3,0))</f>
        <v/>
      </c>
      <c r="U550" s="14">
        <f>IF($C550="","",$C550&amp;"|"&amp;$T550)</f>
        <v/>
      </c>
      <c r="V550" s="14">
        <f>IF($C550="","",$C550&amp;"|"&amp;$T550&amp;"|"&amp;$G550)</f>
        <v/>
      </c>
      <c r="W550" s="14">
        <f>IF($A550="","",IF(OR($B550="",$F550="",$G550="",$H550="",$I550=""),"Faltam campos básicos",IF(AND(OR($F550="Ponto de atenção",$F550="Incidente"),OR($K550="",$L550="",$O550="",$P550="")),"Faltam campos de sinalização","OK")))</f>
        <v/>
      </c>
      <c r="X550" s="14">
        <f>IF($A550="","",IF(AND(OR($F550="Ponto de atenção",$F550="Incidente"),$L550&lt;&gt;"Sim"),"Não",IF(AND($S550="",$W550&lt;&gt;"OK"),"Não","Sim")))</f>
        <v/>
      </c>
      <c r="Y550" s="14">
        <f>IF($C550="",0,IF(COUNTIFS($C$5:$C550,$C550,$D$5:$D550,$D550)=1,1,0))</f>
        <v/>
      </c>
      <c r="Z550" s="14">
        <f>IF($A550="","",IF(Config!$B$7-$T550&gt;2,"Arquivada",IF(Config!$B$7-$T550&gt;0,"Histórico","Ativa")))</f>
        <v/>
      </c>
      <c r="AA550" s="14">
        <f>IF($A550="",0,IF(AND(OR($F550="Ponto de atenção",$F550="Incidente"),$L550="Sim"),1,0))</f>
        <v/>
      </c>
      <c r="AB550" s="14">
        <f>IF(OR($C550="",$C550&lt;&gt;'1a1'!$B$4,$T550&lt;&gt;Config!$B$7),"",COUNTIFS($C$5:$C550,'1a1'!$B$4,$T$5:$T550,Config!$B$7))</f>
        <v/>
      </c>
    </row>
    <row r="551">
      <c r="A551" s="18" t="n"/>
      <c r="B551" s="19" t="n"/>
      <c r="C551" s="14">
        <f>IFERROR(INDEX(Pessoas!$A$5:$A$64,MATCH($B551,Pessoas!$B$5:$B$64,0)),"")</f>
        <v/>
      </c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8" t="n"/>
      <c r="N551" s="19" t="n"/>
      <c r="O551" s="19" t="n"/>
      <c r="P551" s="19" t="n"/>
      <c r="Q551" s="20">
        <f>IF(OR($M551="",$P551=""),"",$M551+IF($P551="7 dias",7,IF($P551="14 dias",14,90)))</f>
        <v/>
      </c>
      <c r="R551" s="19" t="n"/>
      <c r="S551" s="19" t="n"/>
      <c r="T551" s="14">
        <f>IF($A551="","",YEAR($A551)*4+ROUNDUP(MONTH($A551)/3,0))</f>
        <v/>
      </c>
      <c r="U551" s="14">
        <f>IF($C551="","",$C551&amp;"|"&amp;$T551)</f>
        <v/>
      </c>
      <c r="V551" s="14">
        <f>IF($C551="","",$C551&amp;"|"&amp;$T551&amp;"|"&amp;$G551)</f>
        <v/>
      </c>
      <c r="W551" s="14">
        <f>IF($A551="","",IF(OR($B551="",$F551="",$G551="",$H551="",$I551=""),"Faltam campos básicos",IF(AND(OR($F551="Ponto de atenção",$F551="Incidente"),OR($K551="",$L551="",$O551="",$P551="")),"Faltam campos de sinalização","OK")))</f>
        <v/>
      </c>
      <c r="X551" s="14">
        <f>IF($A551="","",IF(AND(OR($F551="Ponto de atenção",$F551="Incidente"),$L551&lt;&gt;"Sim"),"Não",IF(AND($S551="",$W551&lt;&gt;"OK"),"Não","Sim")))</f>
        <v/>
      </c>
      <c r="Y551" s="14">
        <f>IF($C551="",0,IF(COUNTIFS($C$5:$C551,$C551,$D$5:$D551,$D551)=1,1,0))</f>
        <v/>
      </c>
      <c r="Z551" s="14">
        <f>IF($A551="","",IF(Config!$B$7-$T551&gt;2,"Arquivada",IF(Config!$B$7-$T551&gt;0,"Histórico","Ativa")))</f>
        <v/>
      </c>
      <c r="AA551" s="14">
        <f>IF($A551="",0,IF(AND(OR($F551="Ponto de atenção",$F551="Incidente"),$L551="Sim"),1,0))</f>
        <v/>
      </c>
      <c r="AB551" s="14">
        <f>IF(OR($C551="",$C551&lt;&gt;'1a1'!$B$4,$T551&lt;&gt;Config!$B$7),"",COUNTIFS($C$5:$C551,'1a1'!$B$4,$T$5:$T551,Config!$B$7))</f>
        <v/>
      </c>
    </row>
    <row r="552">
      <c r="A552" s="18" t="n"/>
      <c r="B552" s="19" t="n"/>
      <c r="C552" s="14">
        <f>IFERROR(INDEX(Pessoas!$A$5:$A$64,MATCH($B552,Pessoas!$B$5:$B$64,0)),"")</f>
        <v/>
      </c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8" t="n"/>
      <c r="N552" s="19" t="n"/>
      <c r="O552" s="19" t="n"/>
      <c r="P552" s="19" t="n"/>
      <c r="Q552" s="20">
        <f>IF(OR($M552="",$P552=""),"",$M552+IF($P552="7 dias",7,IF($P552="14 dias",14,90)))</f>
        <v/>
      </c>
      <c r="R552" s="19" t="n"/>
      <c r="S552" s="19" t="n"/>
      <c r="T552" s="14">
        <f>IF($A552="","",YEAR($A552)*4+ROUNDUP(MONTH($A552)/3,0))</f>
        <v/>
      </c>
      <c r="U552" s="14">
        <f>IF($C552="","",$C552&amp;"|"&amp;$T552)</f>
        <v/>
      </c>
      <c r="V552" s="14">
        <f>IF($C552="","",$C552&amp;"|"&amp;$T552&amp;"|"&amp;$G552)</f>
        <v/>
      </c>
      <c r="W552" s="14">
        <f>IF($A552="","",IF(OR($B552="",$F552="",$G552="",$H552="",$I552=""),"Faltam campos básicos",IF(AND(OR($F552="Ponto de atenção",$F552="Incidente"),OR($K552="",$L552="",$O552="",$P552="")),"Faltam campos de sinalização","OK")))</f>
        <v/>
      </c>
      <c r="X552" s="14">
        <f>IF($A552="","",IF(AND(OR($F552="Ponto de atenção",$F552="Incidente"),$L552&lt;&gt;"Sim"),"Não",IF(AND($S552="",$W552&lt;&gt;"OK"),"Não","Sim")))</f>
        <v/>
      </c>
      <c r="Y552" s="14">
        <f>IF($C552="",0,IF(COUNTIFS($C$5:$C552,$C552,$D$5:$D552,$D552)=1,1,0))</f>
        <v/>
      </c>
      <c r="Z552" s="14">
        <f>IF($A552="","",IF(Config!$B$7-$T552&gt;2,"Arquivada",IF(Config!$B$7-$T552&gt;0,"Histórico","Ativa")))</f>
        <v/>
      </c>
      <c r="AA552" s="14">
        <f>IF($A552="",0,IF(AND(OR($F552="Ponto de atenção",$F552="Incidente"),$L552="Sim"),1,0))</f>
        <v/>
      </c>
      <c r="AB552" s="14">
        <f>IF(OR($C552="",$C552&lt;&gt;'1a1'!$B$4,$T552&lt;&gt;Config!$B$7),"",COUNTIFS($C$5:$C552,'1a1'!$B$4,$T$5:$T552,Config!$B$7))</f>
        <v/>
      </c>
    </row>
    <row r="553">
      <c r="A553" s="18" t="n"/>
      <c r="B553" s="19" t="n"/>
      <c r="C553" s="14">
        <f>IFERROR(INDEX(Pessoas!$A$5:$A$64,MATCH($B553,Pessoas!$B$5:$B$64,0)),"")</f>
        <v/>
      </c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8" t="n"/>
      <c r="N553" s="19" t="n"/>
      <c r="O553" s="19" t="n"/>
      <c r="P553" s="19" t="n"/>
      <c r="Q553" s="20">
        <f>IF(OR($M553="",$P553=""),"",$M553+IF($P553="7 dias",7,IF($P553="14 dias",14,90)))</f>
        <v/>
      </c>
      <c r="R553" s="19" t="n"/>
      <c r="S553" s="19" t="n"/>
      <c r="T553" s="14">
        <f>IF($A553="","",YEAR($A553)*4+ROUNDUP(MONTH($A553)/3,0))</f>
        <v/>
      </c>
      <c r="U553" s="14">
        <f>IF($C553="","",$C553&amp;"|"&amp;$T553)</f>
        <v/>
      </c>
      <c r="V553" s="14">
        <f>IF($C553="","",$C553&amp;"|"&amp;$T553&amp;"|"&amp;$G553)</f>
        <v/>
      </c>
      <c r="W553" s="14">
        <f>IF($A553="","",IF(OR($B553="",$F553="",$G553="",$H553="",$I553=""),"Faltam campos básicos",IF(AND(OR($F553="Ponto de atenção",$F553="Incidente"),OR($K553="",$L553="",$O553="",$P553="")),"Faltam campos de sinalização","OK")))</f>
        <v/>
      </c>
      <c r="X553" s="14">
        <f>IF($A553="","",IF(AND(OR($F553="Ponto de atenção",$F553="Incidente"),$L553&lt;&gt;"Sim"),"Não",IF(AND($S553="",$W553&lt;&gt;"OK"),"Não","Sim")))</f>
        <v/>
      </c>
      <c r="Y553" s="14">
        <f>IF($C553="",0,IF(COUNTIFS($C$5:$C553,$C553,$D$5:$D553,$D553)=1,1,0))</f>
        <v/>
      </c>
      <c r="Z553" s="14">
        <f>IF($A553="","",IF(Config!$B$7-$T553&gt;2,"Arquivada",IF(Config!$B$7-$T553&gt;0,"Histórico","Ativa")))</f>
        <v/>
      </c>
      <c r="AA553" s="14">
        <f>IF($A553="",0,IF(AND(OR($F553="Ponto de atenção",$F553="Incidente"),$L553="Sim"),1,0))</f>
        <v/>
      </c>
      <c r="AB553" s="14">
        <f>IF(OR($C553="",$C553&lt;&gt;'1a1'!$B$4,$T553&lt;&gt;Config!$B$7),"",COUNTIFS($C$5:$C553,'1a1'!$B$4,$T$5:$T553,Config!$B$7))</f>
        <v/>
      </c>
    </row>
    <row r="554">
      <c r="A554" s="18" t="n"/>
      <c r="B554" s="19" t="n"/>
      <c r="C554" s="14">
        <f>IFERROR(INDEX(Pessoas!$A$5:$A$64,MATCH($B554,Pessoas!$B$5:$B$64,0)),"")</f>
        <v/>
      </c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8" t="n"/>
      <c r="N554" s="19" t="n"/>
      <c r="O554" s="19" t="n"/>
      <c r="P554" s="19" t="n"/>
      <c r="Q554" s="20">
        <f>IF(OR($M554="",$P554=""),"",$M554+IF($P554="7 dias",7,IF($P554="14 dias",14,90)))</f>
        <v/>
      </c>
      <c r="R554" s="19" t="n"/>
      <c r="S554" s="19" t="n"/>
      <c r="T554" s="14">
        <f>IF($A554="","",YEAR($A554)*4+ROUNDUP(MONTH($A554)/3,0))</f>
        <v/>
      </c>
      <c r="U554" s="14">
        <f>IF($C554="","",$C554&amp;"|"&amp;$T554)</f>
        <v/>
      </c>
      <c r="V554" s="14">
        <f>IF($C554="","",$C554&amp;"|"&amp;$T554&amp;"|"&amp;$G554)</f>
        <v/>
      </c>
      <c r="W554" s="14">
        <f>IF($A554="","",IF(OR($B554="",$F554="",$G554="",$H554="",$I554=""),"Faltam campos básicos",IF(AND(OR($F554="Ponto de atenção",$F554="Incidente"),OR($K554="",$L554="",$O554="",$P554="")),"Faltam campos de sinalização","OK")))</f>
        <v/>
      </c>
      <c r="X554" s="14">
        <f>IF($A554="","",IF(AND(OR($F554="Ponto de atenção",$F554="Incidente"),$L554&lt;&gt;"Sim"),"Não",IF(AND($S554="",$W554&lt;&gt;"OK"),"Não","Sim")))</f>
        <v/>
      </c>
      <c r="Y554" s="14">
        <f>IF($C554="",0,IF(COUNTIFS($C$5:$C554,$C554,$D$5:$D554,$D554)=1,1,0))</f>
        <v/>
      </c>
      <c r="Z554" s="14">
        <f>IF($A554="","",IF(Config!$B$7-$T554&gt;2,"Arquivada",IF(Config!$B$7-$T554&gt;0,"Histórico","Ativa")))</f>
        <v/>
      </c>
      <c r="AA554" s="14">
        <f>IF($A554="",0,IF(AND(OR($F554="Ponto de atenção",$F554="Incidente"),$L554="Sim"),1,0))</f>
        <v/>
      </c>
      <c r="AB554" s="14">
        <f>IF(OR($C554="",$C554&lt;&gt;'1a1'!$B$4,$T554&lt;&gt;Config!$B$7),"",COUNTIFS($C$5:$C554,'1a1'!$B$4,$T$5:$T554,Config!$B$7))</f>
        <v/>
      </c>
    </row>
    <row r="555">
      <c r="A555" s="18" t="n"/>
      <c r="B555" s="19" t="n"/>
      <c r="C555" s="14">
        <f>IFERROR(INDEX(Pessoas!$A$5:$A$64,MATCH($B555,Pessoas!$B$5:$B$64,0)),"")</f>
        <v/>
      </c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8" t="n"/>
      <c r="N555" s="19" t="n"/>
      <c r="O555" s="19" t="n"/>
      <c r="P555" s="19" t="n"/>
      <c r="Q555" s="20">
        <f>IF(OR($M555="",$P555=""),"",$M555+IF($P555="7 dias",7,IF($P555="14 dias",14,90)))</f>
        <v/>
      </c>
      <c r="R555" s="19" t="n"/>
      <c r="S555" s="19" t="n"/>
      <c r="T555" s="14">
        <f>IF($A555="","",YEAR($A555)*4+ROUNDUP(MONTH($A555)/3,0))</f>
        <v/>
      </c>
      <c r="U555" s="14">
        <f>IF($C555="","",$C555&amp;"|"&amp;$T555)</f>
        <v/>
      </c>
      <c r="V555" s="14">
        <f>IF($C555="","",$C555&amp;"|"&amp;$T555&amp;"|"&amp;$G555)</f>
        <v/>
      </c>
      <c r="W555" s="14">
        <f>IF($A555="","",IF(OR($B555="",$F555="",$G555="",$H555="",$I555=""),"Faltam campos básicos",IF(AND(OR($F555="Ponto de atenção",$F555="Incidente"),OR($K555="",$L555="",$O555="",$P555="")),"Faltam campos de sinalização","OK")))</f>
        <v/>
      </c>
      <c r="X555" s="14">
        <f>IF($A555="","",IF(AND(OR($F555="Ponto de atenção",$F555="Incidente"),$L555&lt;&gt;"Sim"),"Não",IF(AND($S555="",$W555&lt;&gt;"OK"),"Não","Sim")))</f>
        <v/>
      </c>
      <c r="Y555" s="14">
        <f>IF($C555="",0,IF(COUNTIFS($C$5:$C555,$C555,$D$5:$D555,$D555)=1,1,0))</f>
        <v/>
      </c>
      <c r="Z555" s="14">
        <f>IF($A555="","",IF(Config!$B$7-$T555&gt;2,"Arquivada",IF(Config!$B$7-$T555&gt;0,"Histórico","Ativa")))</f>
        <v/>
      </c>
      <c r="AA555" s="14">
        <f>IF($A555="",0,IF(AND(OR($F555="Ponto de atenção",$F555="Incidente"),$L555="Sim"),1,0))</f>
        <v/>
      </c>
      <c r="AB555" s="14">
        <f>IF(OR($C555="",$C555&lt;&gt;'1a1'!$B$4,$T555&lt;&gt;Config!$B$7),"",COUNTIFS($C$5:$C555,'1a1'!$B$4,$T$5:$T555,Config!$B$7))</f>
        <v/>
      </c>
    </row>
    <row r="556">
      <c r="A556" s="18" t="n"/>
      <c r="B556" s="19" t="n"/>
      <c r="C556" s="14">
        <f>IFERROR(INDEX(Pessoas!$A$5:$A$64,MATCH($B556,Pessoas!$B$5:$B$64,0)),"")</f>
        <v/>
      </c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8" t="n"/>
      <c r="N556" s="19" t="n"/>
      <c r="O556" s="19" t="n"/>
      <c r="P556" s="19" t="n"/>
      <c r="Q556" s="20">
        <f>IF(OR($M556="",$P556=""),"",$M556+IF($P556="7 dias",7,IF($P556="14 dias",14,90)))</f>
        <v/>
      </c>
      <c r="R556" s="19" t="n"/>
      <c r="S556" s="19" t="n"/>
      <c r="T556" s="14">
        <f>IF($A556="","",YEAR($A556)*4+ROUNDUP(MONTH($A556)/3,0))</f>
        <v/>
      </c>
      <c r="U556" s="14">
        <f>IF($C556="","",$C556&amp;"|"&amp;$T556)</f>
        <v/>
      </c>
      <c r="V556" s="14">
        <f>IF($C556="","",$C556&amp;"|"&amp;$T556&amp;"|"&amp;$G556)</f>
        <v/>
      </c>
      <c r="W556" s="14">
        <f>IF($A556="","",IF(OR($B556="",$F556="",$G556="",$H556="",$I556=""),"Faltam campos básicos",IF(AND(OR($F556="Ponto de atenção",$F556="Incidente"),OR($K556="",$L556="",$O556="",$P556="")),"Faltam campos de sinalização","OK")))</f>
        <v/>
      </c>
      <c r="X556" s="14">
        <f>IF($A556="","",IF(AND(OR($F556="Ponto de atenção",$F556="Incidente"),$L556&lt;&gt;"Sim"),"Não",IF(AND($S556="",$W556&lt;&gt;"OK"),"Não","Sim")))</f>
        <v/>
      </c>
      <c r="Y556" s="14">
        <f>IF($C556="",0,IF(COUNTIFS($C$5:$C556,$C556,$D$5:$D556,$D556)=1,1,0))</f>
        <v/>
      </c>
      <c r="Z556" s="14">
        <f>IF($A556="","",IF(Config!$B$7-$T556&gt;2,"Arquivada",IF(Config!$B$7-$T556&gt;0,"Histórico","Ativa")))</f>
        <v/>
      </c>
      <c r="AA556" s="14">
        <f>IF($A556="",0,IF(AND(OR($F556="Ponto de atenção",$F556="Incidente"),$L556="Sim"),1,0))</f>
        <v/>
      </c>
      <c r="AB556" s="14">
        <f>IF(OR($C556="",$C556&lt;&gt;'1a1'!$B$4,$T556&lt;&gt;Config!$B$7),"",COUNTIFS($C$5:$C556,'1a1'!$B$4,$T$5:$T556,Config!$B$7))</f>
        <v/>
      </c>
    </row>
    <row r="557">
      <c r="A557" s="18" t="n"/>
      <c r="B557" s="19" t="n"/>
      <c r="C557" s="14">
        <f>IFERROR(INDEX(Pessoas!$A$5:$A$64,MATCH($B557,Pessoas!$B$5:$B$64,0)),"")</f>
        <v/>
      </c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8" t="n"/>
      <c r="N557" s="19" t="n"/>
      <c r="O557" s="19" t="n"/>
      <c r="P557" s="19" t="n"/>
      <c r="Q557" s="20">
        <f>IF(OR($M557="",$P557=""),"",$M557+IF($P557="7 dias",7,IF($P557="14 dias",14,90)))</f>
        <v/>
      </c>
      <c r="R557" s="19" t="n"/>
      <c r="S557" s="19" t="n"/>
      <c r="T557" s="14">
        <f>IF($A557="","",YEAR($A557)*4+ROUNDUP(MONTH($A557)/3,0))</f>
        <v/>
      </c>
      <c r="U557" s="14">
        <f>IF($C557="","",$C557&amp;"|"&amp;$T557)</f>
        <v/>
      </c>
      <c r="V557" s="14">
        <f>IF($C557="","",$C557&amp;"|"&amp;$T557&amp;"|"&amp;$G557)</f>
        <v/>
      </c>
      <c r="W557" s="14">
        <f>IF($A557="","",IF(OR($B557="",$F557="",$G557="",$H557="",$I557=""),"Faltam campos básicos",IF(AND(OR($F557="Ponto de atenção",$F557="Incidente"),OR($K557="",$L557="",$O557="",$P557="")),"Faltam campos de sinalização","OK")))</f>
        <v/>
      </c>
      <c r="X557" s="14">
        <f>IF($A557="","",IF(AND(OR($F557="Ponto de atenção",$F557="Incidente"),$L557&lt;&gt;"Sim"),"Não",IF(AND($S557="",$W557&lt;&gt;"OK"),"Não","Sim")))</f>
        <v/>
      </c>
      <c r="Y557" s="14">
        <f>IF($C557="",0,IF(COUNTIFS($C$5:$C557,$C557,$D$5:$D557,$D557)=1,1,0))</f>
        <v/>
      </c>
      <c r="Z557" s="14">
        <f>IF($A557="","",IF(Config!$B$7-$T557&gt;2,"Arquivada",IF(Config!$B$7-$T557&gt;0,"Histórico","Ativa")))</f>
        <v/>
      </c>
      <c r="AA557" s="14">
        <f>IF($A557="",0,IF(AND(OR($F557="Ponto de atenção",$F557="Incidente"),$L557="Sim"),1,0))</f>
        <v/>
      </c>
      <c r="AB557" s="14">
        <f>IF(OR($C557="",$C557&lt;&gt;'1a1'!$B$4,$T557&lt;&gt;Config!$B$7),"",COUNTIFS($C$5:$C557,'1a1'!$B$4,$T$5:$T557,Config!$B$7))</f>
        <v/>
      </c>
    </row>
    <row r="558">
      <c r="A558" s="18" t="n"/>
      <c r="B558" s="19" t="n"/>
      <c r="C558" s="14">
        <f>IFERROR(INDEX(Pessoas!$A$5:$A$64,MATCH($B558,Pessoas!$B$5:$B$64,0)),"")</f>
        <v/>
      </c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8" t="n"/>
      <c r="N558" s="19" t="n"/>
      <c r="O558" s="19" t="n"/>
      <c r="P558" s="19" t="n"/>
      <c r="Q558" s="20">
        <f>IF(OR($M558="",$P558=""),"",$M558+IF($P558="7 dias",7,IF($P558="14 dias",14,90)))</f>
        <v/>
      </c>
      <c r="R558" s="19" t="n"/>
      <c r="S558" s="19" t="n"/>
      <c r="T558" s="14">
        <f>IF($A558="","",YEAR($A558)*4+ROUNDUP(MONTH($A558)/3,0))</f>
        <v/>
      </c>
      <c r="U558" s="14">
        <f>IF($C558="","",$C558&amp;"|"&amp;$T558)</f>
        <v/>
      </c>
      <c r="V558" s="14">
        <f>IF($C558="","",$C558&amp;"|"&amp;$T558&amp;"|"&amp;$G558)</f>
        <v/>
      </c>
      <c r="W558" s="14">
        <f>IF($A558="","",IF(OR($B558="",$F558="",$G558="",$H558="",$I558=""),"Faltam campos básicos",IF(AND(OR($F558="Ponto de atenção",$F558="Incidente"),OR($K558="",$L558="",$O558="",$P558="")),"Faltam campos de sinalização","OK")))</f>
        <v/>
      </c>
      <c r="X558" s="14">
        <f>IF($A558="","",IF(AND(OR($F558="Ponto de atenção",$F558="Incidente"),$L558&lt;&gt;"Sim"),"Não",IF(AND($S558="",$W558&lt;&gt;"OK"),"Não","Sim")))</f>
        <v/>
      </c>
      <c r="Y558" s="14">
        <f>IF($C558="",0,IF(COUNTIFS($C$5:$C558,$C558,$D$5:$D558,$D558)=1,1,0))</f>
        <v/>
      </c>
      <c r="Z558" s="14">
        <f>IF($A558="","",IF(Config!$B$7-$T558&gt;2,"Arquivada",IF(Config!$B$7-$T558&gt;0,"Histórico","Ativa")))</f>
        <v/>
      </c>
      <c r="AA558" s="14">
        <f>IF($A558="",0,IF(AND(OR($F558="Ponto de atenção",$F558="Incidente"),$L558="Sim"),1,0))</f>
        <v/>
      </c>
      <c r="AB558" s="14">
        <f>IF(OR($C558="",$C558&lt;&gt;'1a1'!$B$4,$T558&lt;&gt;Config!$B$7),"",COUNTIFS($C$5:$C558,'1a1'!$B$4,$T$5:$T558,Config!$B$7))</f>
        <v/>
      </c>
    </row>
    <row r="559">
      <c r="A559" s="18" t="n"/>
      <c r="B559" s="19" t="n"/>
      <c r="C559" s="14">
        <f>IFERROR(INDEX(Pessoas!$A$5:$A$64,MATCH($B559,Pessoas!$B$5:$B$64,0)),"")</f>
        <v/>
      </c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8" t="n"/>
      <c r="N559" s="19" t="n"/>
      <c r="O559" s="19" t="n"/>
      <c r="P559" s="19" t="n"/>
      <c r="Q559" s="20">
        <f>IF(OR($M559="",$P559=""),"",$M559+IF($P559="7 dias",7,IF($P559="14 dias",14,90)))</f>
        <v/>
      </c>
      <c r="R559" s="19" t="n"/>
      <c r="S559" s="19" t="n"/>
      <c r="T559" s="14">
        <f>IF($A559="","",YEAR($A559)*4+ROUNDUP(MONTH($A559)/3,0))</f>
        <v/>
      </c>
      <c r="U559" s="14">
        <f>IF($C559="","",$C559&amp;"|"&amp;$T559)</f>
        <v/>
      </c>
      <c r="V559" s="14">
        <f>IF($C559="","",$C559&amp;"|"&amp;$T559&amp;"|"&amp;$G559)</f>
        <v/>
      </c>
      <c r="W559" s="14">
        <f>IF($A559="","",IF(OR($B559="",$F559="",$G559="",$H559="",$I559=""),"Faltam campos básicos",IF(AND(OR($F559="Ponto de atenção",$F559="Incidente"),OR($K559="",$L559="",$O559="",$P559="")),"Faltam campos de sinalização","OK")))</f>
        <v/>
      </c>
      <c r="X559" s="14">
        <f>IF($A559="","",IF(AND(OR($F559="Ponto de atenção",$F559="Incidente"),$L559&lt;&gt;"Sim"),"Não",IF(AND($S559="",$W559&lt;&gt;"OK"),"Não","Sim")))</f>
        <v/>
      </c>
      <c r="Y559" s="14">
        <f>IF($C559="",0,IF(COUNTIFS($C$5:$C559,$C559,$D$5:$D559,$D559)=1,1,0))</f>
        <v/>
      </c>
      <c r="Z559" s="14">
        <f>IF($A559="","",IF(Config!$B$7-$T559&gt;2,"Arquivada",IF(Config!$B$7-$T559&gt;0,"Histórico","Ativa")))</f>
        <v/>
      </c>
      <c r="AA559" s="14">
        <f>IF($A559="",0,IF(AND(OR($F559="Ponto de atenção",$F559="Incidente"),$L559="Sim"),1,0))</f>
        <v/>
      </c>
      <c r="AB559" s="14">
        <f>IF(OR($C559="",$C559&lt;&gt;'1a1'!$B$4,$T559&lt;&gt;Config!$B$7),"",COUNTIFS($C$5:$C559,'1a1'!$B$4,$T$5:$T559,Config!$B$7))</f>
        <v/>
      </c>
    </row>
    <row r="560">
      <c r="A560" s="18" t="n"/>
      <c r="B560" s="19" t="n"/>
      <c r="C560" s="14">
        <f>IFERROR(INDEX(Pessoas!$A$5:$A$64,MATCH($B560,Pessoas!$B$5:$B$64,0)),"")</f>
        <v/>
      </c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8" t="n"/>
      <c r="N560" s="19" t="n"/>
      <c r="O560" s="19" t="n"/>
      <c r="P560" s="19" t="n"/>
      <c r="Q560" s="20">
        <f>IF(OR($M560="",$P560=""),"",$M560+IF($P560="7 dias",7,IF($P560="14 dias",14,90)))</f>
        <v/>
      </c>
      <c r="R560" s="19" t="n"/>
      <c r="S560" s="19" t="n"/>
      <c r="T560" s="14">
        <f>IF($A560="","",YEAR($A560)*4+ROUNDUP(MONTH($A560)/3,0))</f>
        <v/>
      </c>
      <c r="U560" s="14">
        <f>IF($C560="","",$C560&amp;"|"&amp;$T560)</f>
        <v/>
      </c>
      <c r="V560" s="14">
        <f>IF($C560="","",$C560&amp;"|"&amp;$T560&amp;"|"&amp;$G560)</f>
        <v/>
      </c>
      <c r="W560" s="14">
        <f>IF($A560="","",IF(OR($B560="",$F560="",$G560="",$H560="",$I560=""),"Faltam campos básicos",IF(AND(OR($F560="Ponto de atenção",$F560="Incidente"),OR($K560="",$L560="",$O560="",$P560="")),"Faltam campos de sinalização","OK")))</f>
        <v/>
      </c>
      <c r="X560" s="14">
        <f>IF($A560="","",IF(AND(OR($F560="Ponto de atenção",$F560="Incidente"),$L560&lt;&gt;"Sim"),"Não",IF(AND($S560="",$W560&lt;&gt;"OK"),"Não","Sim")))</f>
        <v/>
      </c>
      <c r="Y560" s="14">
        <f>IF($C560="",0,IF(COUNTIFS($C$5:$C560,$C560,$D$5:$D560,$D560)=1,1,0))</f>
        <v/>
      </c>
      <c r="Z560" s="14">
        <f>IF($A560="","",IF(Config!$B$7-$T560&gt;2,"Arquivada",IF(Config!$B$7-$T560&gt;0,"Histórico","Ativa")))</f>
        <v/>
      </c>
      <c r="AA560" s="14">
        <f>IF($A560="",0,IF(AND(OR($F560="Ponto de atenção",$F560="Incidente"),$L560="Sim"),1,0))</f>
        <v/>
      </c>
      <c r="AB560" s="14">
        <f>IF(OR($C560="",$C560&lt;&gt;'1a1'!$B$4,$T560&lt;&gt;Config!$B$7),"",COUNTIFS($C$5:$C560,'1a1'!$B$4,$T$5:$T560,Config!$B$7))</f>
        <v/>
      </c>
    </row>
    <row r="561">
      <c r="A561" s="18" t="n"/>
      <c r="B561" s="19" t="n"/>
      <c r="C561" s="14">
        <f>IFERROR(INDEX(Pessoas!$A$5:$A$64,MATCH($B561,Pessoas!$B$5:$B$64,0)),"")</f>
        <v/>
      </c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8" t="n"/>
      <c r="N561" s="19" t="n"/>
      <c r="O561" s="19" t="n"/>
      <c r="P561" s="19" t="n"/>
      <c r="Q561" s="20">
        <f>IF(OR($M561="",$P561=""),"",$M561+IF($P561="7 dias",7,IF($P561="14 dias",14,90)))</f>
        <v/>
      </c>
      <c r="R561" s="19" t="n"/>
      <c r="S561" s="19" t="n"/>
      <c r="T561" s="14">
        <f>IF($A561="","",YEAR($A561)*4+ROUNDUP(MONTH($A561)/3,0))</f>
        <v/>
      </c>
      <c r="U561" s="14">
        <f>IF($C561="","",$C561&amp;"|"&amp;$T561)</f>
        <v/>
      </c>
      <c r="V561" s="14">
        <f>IF($C561="","",$C561&amp;"|"&amp;$T561&amp;"|"&amp;$G561)</f>
        <v/>
      </c>
      <c r="W561" s="14">
        <f>IF($A561="","",IF(OR($B561="",$F561="",$G561="",$H561="",$I561=""),"Faltam campos básicos",IF(AND(OR($F561="Ponto de atenção",$F561="Incidente"),OR($K561="",$L561="",$O561="",$P561="")),"Faltam campos de sinalização","OK")))</f>
        <v/>
      </c>
      <c r="X561" s="14">
        <f>IF($A561="","",IF(AND(OR($F561="Ponto de atenção",$F561="Incidente"),$L561&lt;&gt;"Sim"),"Não",IF(AND($S561="",$W561&lt;&gt;"OK"),"Não","Sim")))</f>
        <v/>
      </c>
      <c r="Y561" s="14">
        <f>IF($C561="",0,IF(COUNTIFS($C$5:$C561,$C561,$D$5:$D561,$D561)=1,1,0))</f>
        <v/>
      </c>
      <c r="Z561" s="14">
        <f>IF($A561="","",IF(Config!$B$7-$T561&gt;2,"Arquivada",IF(Config!$B$7-$T561&gt;0,"Histórico","Ativa")))</f>
        <v/>
      </c>
      <c r="AA561" s="14">
        <f>IF($A561="",0,IF(AND(OR($F561="Ponto de atenção",$F561="Incidente"),$L561="Sim"),1,0))</f>
        <v/>
      </c>
      <c r="AB561" s="14">
        <f>IF(OR($C561="",$C561&lt;&gt;'1a1'!$B$4,$T561&lt;&gt;Config!$B$7),"",COUNTIFS($C$5:$C561,'1a1'!$B$4,$T$5:$T561,Config!$B$7))</f>
        <v/>
      </c>
    </row>
    <row r="562">
      <c r="A562" s="18" t="n"/>
      <c r="B562" s="19" t="n"/>
      <c r="C562" s="14">
        <f>IFERROR(INDEX(Pessoas!$A$5:$A$64,MATCH($B562,Pessoas!$B$5:$B$64,0)),"")</f>
        <v/>
      </c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8" t="n"/>
      <c r="N562" s="19" t="n"/>
      <c r="O562" s="19" t="n"/>
      <c r="P562" s="19" t="n"/>
      <c r="Q562" s="20">
        <f>IF(OR($M562="",$P562=""),"",$M562+IF($P562="7 dias",7,IF($P562="14 dias",14,90)))</f>
        <v/>
      </c>
      <c r="R562" s="19" t="n"/>
      <c r="S562" s="19" t="n"/>
      <c r="T562" s="14">
        <f>IF($A562="","",YEAR($A562)*4+ROUNDUP(MONTH($A562)/3,0))</f>
        <v/>
      </c>
      <c r="U562" s="14">
        <f>IF($C562="","",$C562&amp;"|"&amp;$T562)</f>
        <v/>
      </c>
      <c r="V562" s="14">
        <f>IF($C562="","",$C562&amp;"|"&amp;$T562&amp;"|"&amp;$G562)</f>
        <v/>
      </c>
      <c r="W562" s="14">
        <f>IF($A562="","",IF(OR($B562="",$F562="",$G562="",$H562="",$I562=""),"Faltam campos básicos",IF(AND(OR($F562="Ponto de atenção",$F562="Incidente"),OR($K562="",$L562="",$O562="",$P562="")),"Faltam campos de sinalização","OK")))</f>
        <v/>
      </c>
      <c r="X562" s="14">
        <f>IF($A562="","",IF(AND(OR($F562="Ponto de atenção",$F562="Incidente"),$L562&lt;&gt;"Sim"),"Não",IF(AND($S562="",$W562&lt;&gt;"OK"),"Não","Sim")))</f>
        <v/>
      </c>
      <c r="Y562" s="14">
        <f>IF($C562="",0,IF(COUNTIFS($C$5:$C562,$C562,$D$5:$D562,$D562)=1,1,0))</f>
        <v/>
      </c>
      <c r="Z562" s="14">
        <f>IF($A562="","",IF(Config!$B$7-$T562&gt;2,"Arquivada",IF(Config!$B$7-$T562&gt;0,"Histórico","Ativa")))</f>
        <v/>
      </c>
      <c r="AA562" s="14">
        <f>IF($A562="",0,IF(AND(OR($F562="Ponto de atenção",$F562="Incidente"),$L562="Sim"),1,0))</f>
        <v/>
      </c>
      <c r="AB562" s="14">
        <f>IF(OR($C562="",$C562&lt;&gt;'1a1'!$B$4,$T562&lt;&gt;Config!$B$7),"",COUNTIFS($C$5:$C562,'1a1'!$B$4,$T$5:$T562,Config!$B$7))</f>
        <v/>
      </c>
    </row>
    <row r="563">
      <c r="A563" s="18" t="n"/>
      <c r="B563" s="19" t="n"/>
      <c r="C563" s="14">
        <f>IFERROR(INDEX(Pessoas!$A$5:$A$64,MATCH($B563,Pessoas!$B$5:$B$64,0)),"")</f>
        <v/>
      </c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8" t="n"/>
      <c r="N563" s="19" t="n"/>
      <c r="O563" s="19" t="n"/>
      <c r="P563" s="19" t="n"/>
      <c r="Q563" s="20">
        <f>IF(OR($M563="",$P563=""),"",$M563+IF($P563="7 dias",7,IF($P563="14 dias",14,90)))</f>
        <v/>
      </c>
      <c r="R563" s="19" t="n"/>
      <c r="S563" s="19" t="n"/>
      <c r="T563" s="14">
        <f>IF($A563="","",YEAR($A563)*4+ROUNDUP(MONTH($A563)/3,0))</f>
        <v/>
      </c>
      <c r="U563" s="14">
        <f>IF($C563="","",$C563&amp;"|"&amp;$T563)</f>
        <v/>
      </c>
      <c r="V563" s="14">
        <f>IF($C563="","",$C563&amp;"|"&amp;$T563&amp;"|"&amp;$G563)</f>
        <v/>
      </c>
      <c r="W563" s="14">
        <f>IF($A563="","",IF(OR($B563="",$F563="",$G563="",$H563="",$I563=""),"Faltam campos básicos",IF(AND(OR($F563="Ponto de atenção",$F563="Incidente"),OR($K563="",$L563="",$O563="",$P563="")),"Faltam campos de sinalização","OK")))</f>
        <v/>
      </c>
      <c r="X563" s="14">
        <f>IF($A563="","",IF(AND(OR($F563="Ponto de atenção",$F563="Incidente"),$L563&lt;&gt;"Sim"),"Não",IF(AND($S563="",$W563&lt;&gt;"OK"),"Não","Sim")))</f>
        <v/>
      </c>
      <c r="Y563" s="14">
        <f>IF($C563="",0,IF(COUNTIFS($C$5:$C563,$C563,$D$5:$D563,$D563)=1,1,0))</f>
        <v/>
      </c>
      <c r="Z563" s="14">
        <f>IF($A563="","",IF(Config!$B$7-$T563&gt;2,"Arquivada",IF(Config!$B$7-$T563&gt;0,"Histórico","Ativa")))</f>
        <v/>
      </c>
      <c r="AA563" s="14">
        <f>IF($A563="",0,IF(AND(OR($F563="Ponto de atenção",$F563="Incidente"),$L563="Sim"),1,0))</f>
        <v/>
      </c>
      <c r="AB563" s="14">
        <f>IF(OR($C563="",$C563&lt;&gt;'1a1'!$B$4,$T563&lt;&gt;Config!$B$7),"",COUNTIFS($C$5:$C563,'1a1'!$B$4,$T$5:$T563,Config!$B$7))</f>
        <v/>
      </c>
    </row>
    <row r="564">
      <c r="A564" s="18" t="n"/>
      <c r="B564" s="19" t="n"/>
      <c r="C564" s="14">
        <f>IFERROR(INDEX(Pessoas!$A$5:$A$64,MATCH($B564,Pessoas!$B$5:$B$64,0)),"")</f>
        <v/>
      </c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8" t="n"/>
      <c r="N564" s="19" t="n"/>
      <c r="O564" s="19" t="n"/>
      <c r="P564" s="19" t="n"/>
      <c r="Q564" s="20">
        <f>IF(OR($M564="",$P564=""),"",$M564+IF($P564="7 dias",7,IF($P564="14 dias",14,90)))</f>
        <v/>
      </c>
      <c r="R564" s="19" t="n"/>
      <c r="S564" s="19" t="n"/>
      <c r="T564" s="14">
        <f>IF($A564="","",YEAR($A564)*4+ROUNDUP(MONTH($A564)/3,0))</f>
        <v/>
      </c>
      <c r="U564" s="14">
        <f>IF($C564="","",$C564&amp;"|"&amp;$T564)</f>
        <v/>
      </c>
      <c r="V564" s="14">
        <f>IF($C564="","",$C564&amp;"|"&amp;$T564&amp;"|"&amp;$G564)</f>
        <v/>
      </c>
      <c r="W564" s="14">
        <f>IF($A564="","",IF(OR($B564="",$F564="",$G564="",$H564="",$I564=""),"Faltam campos básicos",IF(AND(OR($F564="Ponto de atenção",$F564="Incidente"),OR($K564="",$L564="",$O564="",$P564="")),"Faltam campos de sinalização","OK")))</f>
        <v/>
      </c>
      <c r="X564" s="14">
        <f>IF($A564="","",IF(AND(OR($F564="Ponto de atenção",$F564="Incidente"),$L564&lt;&gt;"Sim"),"Não",IF(AND($S564="",$W564&lt;&gt;"OK"),"Não","Sim")))</f>
        <v/>
      </c>
      <c r="Y564" s="14">
        <f>IF($C564="",0,IF(COUNTIFS($C$5:$C564,$C564,$D$5:$D564,$D564)=1,1,0))</f>
        <v/>
      </c>
      <c r="Z564" s="14">
        <f>IF($A564="","",IF(Config!$B$7-$T564&gt;2,"Arquivada",IF(Config!$B$7-$T564&gt;0,"Histórico","Ativa")))</f>
        <v/>
      </c>
      <c r="AA564" s="14">
        <f>IF($A564="",0,IF(AND(OR($F564="Ponto de atenção",$F564="Incidente"),$L564="Sim"),1,0))</f>
        <v/>
      </c>
      <c r="AB564" s="14">
        <f>IF(OR($C564="",$C564&lt;&gt;'1a1'!$B$4,$T564&lt;&gt;Config!$B$7),"",COUNTIFS($C$5:$C564,'1a1'!$B$4,$T$5:$T564,Config!$B$7))</f>
        <v/>
      </c>
    </row>
    <row r="565">
      <c r="A565" s="18" t="n"/>
      <c r="B565" s="19" t="n"/>
      <c r="C565" s="14">
        <f>IFERROR(INDEX(Pessoas!$A$5:$A$64,MATCH($B565,Pessoas!$B$5:$B$64,0)),"")</f>
        <v/>
      </c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8" t="n"/>
      <c r="N565" s="19" t="n"/>
      <c r="O565" s="19" t="n"/>
      <c r="P565" s="19" t="n"/>
      <c r="Q565" s="20">
        <f>IF(OR($M565="",$P565=""),"",$M565+IF($P565="7 dias",7,IF($P565="14 dias",14,90)))</f>
        <v/>
      </c>
      <c r="R565" s="19" t="n"/>
      <c r="S565" s="19" t="n"/>
      <c r="T565" s="14">
        <f>IF($A565="","",YEAR($A565)*4+ROUNDUP(MONTH($A565)/3,0))</f>
        <v/>
      </c>
      <c r="U565" s="14">
        <f>IF($C565="","",$C565&amp;"|"&amp;$T565)</f>
        <v/>
      </c>
      <c r="V565" s="14">
        <f>IF($C565="","",$C565&amp;"|"&amp;$T565&amp;"|"&amp;$G565)</f>
        <v/>
      </c>
      <c r="W565" s="14">
        <f>IF($A565="","",IF(OR($B565="",$F565="",$G565="",$H565="",$I565=""),"Faltam campos básicos",IF(AND(OR($F565="Ponto de atenção",$F565="Incidente"),OR($K565="",$L565="",$O565="",$P565="")),"Faltam campos de sinalização","OK")))</f>
        <v/>
      </c>
      <c r="X565" s="14">
        <f>IF($A565="","",IF(AND(OR($F565="Ponto de atenção",$F565="Incidente"),$L565&lt;&gt;"Sim"),"Não",IF(AND($S565="",$W565&lt;&gt;"OK"),"Não","Sim")))</f>
        <v/>
      </c>
      <c r="Y565" s="14">
        <f>IF($C565="",0,IF(COUNTIFS($C$5:$C565,$C565,$D$5:$D565,$D565)=1,1,0))</f>
        <v/>
      </c>
      <c r="Z565" s="14">
        <f>IF($A565="","",IF(Config!$B$7-$T565&gt;2,"Arquivada",IF(Config!$B$7-$T565&gt;0,"Histórico","Ativa")))</f>
        <v/>
      </c>
      <c r="AA565" s="14">
        <f>IF($A565="",0,IF(AND(OR($F565="Ponto de atenção",$F565="Incidente"),$L565="Sim"),1,0))</f>
        <v/>
      </c>
      <c r="AB565" s="14">
        <f>IF(OR($C565="",$C565&lt;&gt;'1a1'!$B$4,$T565&lt;&gt;Config!$B$7),"",COUNTIFS($C$5:$C565,'1a1'!$B$4,$T$5:$T565,Config!$B$7))</f>
        <v/>
      </c>
    </row>
    <row r="566">
      <c r="A566" s="18" t="n"/>
      <c r="B566" s="19" t="n"/>
      <c r="C566" s="14">
        <f>IFERROR(INDEX(Pessoas!$A$5:$A$64,MATCH($B566,Pessoas!$B$5:$B$64,0)),"")</f>
        <v/>
      </c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8" t="n"/>
      <c r="N566" s="19" t="n"/>
      <c r="O566" s="19" t="n"/>
      <c r="P566" s="19" t="n"/>
      <c r="Q566" s="20">
        <f>IF(OR($M566="",$P566=""),"",$M566+IF($P566="7 dias",7,IF($P566="14 dias",14,90)))</f>
        <v/>
      </c>
      <c r="R566" s="19" t="n"/>
      <c r="S566" s="19" t="n"/>
      <c r="T566" s="14">
        <f>IF($A566="","",YEAR($A566)*4+ROUNDUP(MONTH($A566)/3,0))</f>
        <v/>
      </c>
      <c r="U566" s="14">
        <f>IF($C566="","",$C566&amp;"|"&amp;$T566)</f>
        <v/>
      </c>
      <c r="V566" s="14">
        <f>IF($C566="","",$C566&amp;"|"&amp;$T566&amp;"|"&amp;$G566)</f>
        <v/>
      </c>
      <c r="W566" s="14">
        <f>IF($A566="","",IF(OR($B566="",$F566="",$G566="",$H566="",$I566=""),"Faltam campos básicos",IF(AND(OR($F566="Ponto de atenção",$F566="Incidente"),OR($K566="",$L566="",$O566="",$P566="")),"Faltam campos de sinalização","OK")))</f>
        <v/>
      </c>
      <c r="X566" s="14">
        <f>IF($A566="","",IF(AND(OR($F566="Ponto de atenção",$F566="Incidente"),$L566&lt;&gt;"Sim"),"Não",IF(AND($S566="",$W566&lt;&gt;"OK"),"Não","Sim")))</f>
        <v/>
      </c>
      <c r="Y566" s="14">
        <f>IF($C566="",0,IF(COUNTIFS($C$5:$C566,$C566,$D$5:$D566,$D566)=1,1,0))</f>
        <v/>
      </c>
      <c r="Z566" s="14">
        <f>IF($A566="","",IF(Config!$B$7-$T566&gt;2,"Arquivada",IF(Config!$B$7-$T566&gt;0,"Histórico","Ativa")))</f>
        <v/>
      </c>
      <c r="AA566" s="14">
        <f>IF($A566="",0,IF(AND(OR($F566="Ponto de atenção",$F566="Incidente"),$L566="Sim"),1,0))</f>
        <v/>
      </c>
      <c r="AB566" s="14">
        <f>IF(OR($C566="",$C566&lt;&gt;'1a1'!$B$4,$T566&lt;&gt;Config!$B$7),"",COUNTIFS($C$5:$C566,'1a1'!$B$4,$T$5:$T566,Config!$B$7))</f>
        <v/>
      </c>
    </row>
    <row r="567">
      <c r="A567" s="18" t="n"/>
      <c r="B567" s="19" t="n"/>
      <c r="C567" s="14">
        <f>IFERROR(INDEX(Pessoas!$A$5:$A$64,MATCH($B567,Pessoas!$B$5:$B$64,0)),"")</f>
        <v/>
      </c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8" t="n"/>
      <c r="N567" s="19" t="n"/>
      <c r="O567" s="19" t="n"/>
      <c r="P567" s="19" t="n"/>
      <c r="Q567" s="20">
        <f>IF(OR($M567="",$P567=""),"",$M567+IF($P567="7 dias",7,IF($P567="14 dias",14,90)))</f>
        <v/>
      </c>
      <c r="R567" s="19" t="n"/>
      <c r="S567" s="19" t="n"/>
      <c r="T567" s="14">
        <f>IF($A567="","",YEAR($A567)*4+ROUNDUP(MONTH($A567)/3,0))</f>
        <v/>
      </c>
      <c r="U567" s="14">
        <f>IF($C567="","",$C567&amp;"|"&amp;$T567)</f>
        <v/>
      </c>
      <c r="V567" s="14">
        <f>IF($C567="","",$C567&amp;"|"&amp;$T567&amp;"|"&amp;$G567)</f>
        <v/>
      </c>
      <c r="W567" s="14">
        <f>IF($A567="","",IF(OR($B567="",$F567="",$G567="",$H567="",$I567=""),"Faltam campos básicos",IF(AND(OR($F567="Ponto de atenção",$F567="Incidente"),OR($K567="",$L567="",$O567="",$P567="")),"Faltam campos de sinalização","OK")))</f>
        <v/>
      </c>
      <c r="X567" s="14">
        <f>IF($A567="","",IF(AND(OR($F567="Ponto de atenção",$F567="Incidente"),$L567&lt;&gt;"Sim"),"Não",IF(AND($S567="",$W567&lt;&gt;"OK"),"Não","Sim")))</f>
        <v/>
      </c>
      <c r="Y567" s="14">
        <f>IF($C567="",0,IF(COUNTIFS($C$5:$C567,$C567,$D$5:$D567,$D567)=1,1,0))</f>
        <v/>
      </c>
      <c r="Z567" s="14">
        <f>IF($A567="","",IF(Config!$B$7-$T567&gt;2,"Arquivada",IF(Config!$B$7-$T567&gt;0,"Histórico","Ativa")))</f>
        <v/>
      </c>
      <c r="AA567" s="14">
        <f>IF($A567="",0,IF(AND(OR($F567="Ponto de atenção",$F567="Incidente"),$L567="Sim"),1,0))</f>
        <v/>
      </c>
      <c r="AB567" s="14">
        <f>IF(OR($C567="",$C567&lt;&gt;'1a1'!$B$4,$T567&lt;&gt;Config!$B$7),"",COUNTIFS($C$5:$C567,'1a1'!$B$4,$T$5:$T567,Config!$B$7))</f>
        <v/>
      </c>
    </row>
    <row r="568">
      <c r="A568" s="18" t="n"/>
      <c r="B568" s="19" t="n"/>
      <c r="C568" s="14">
        <f>IFERROR(INDEX(Pessoas!$A$5:$A$64,MATCH($B568,Pessoas!$B$5:$B$64,0)),"")</f>
        <v/>
      </c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8" t="n"/>
      <c r="N568" s="19" t="n"/>
      <c r="O568" s="19" t="n"/>
      <c r="P568" s="19" t="n"/>
      <c r="Q568" s="20">
        <f>IF(OR($M568="",$P568=""),"",$M568+IF($P568="7 dias",7,IF($P568="14 dias",14,90)))</f>
        <v/>
      </c>
      <c r="R568" s="19" t="n"/>
      <c r="S568" s="19" t="n"/>
      <c r="T568" s="14">
        <f>IF($A568="","",YEAR($A568)*4+ROUNDUP(MONTH($A568)/3,0))</f>
        <v/>
      </c>
      <c r="U568" s="14">
        <f>IF($C568="","",$C568&amp;"|"&amp;$T568)</f>
        <v/>
      </c>
      <c r="V568" s="14">
        <f>IF($C568="","",$C568&amp;"|"&amp;$T568&amp;"|"&amp;$G568)</f>
        <v/>
      </c>
      <c r="W568" s="14">
        <f>IF($A568="","",IF(OR($B568="",$F568="",$G568="",$H568="",$I568=""),"Faltam campos básicos",IF(AND(OR($F568="Ponto de atenção",$F568="Incidente"),OR($K568="",$L568="",$O568="",$P568="")),"Faltam campos de sinalização","OK")))</f>
        <v/>
      </c>
      <c r="X568" s="14">
        <f>IF($A568="","",IF(AND(OR($F568="Ponto de atenção",$F568="Incidente"),$L568&lt;&gt;"Sim"),"Não",IF(AND($S568="",$W568&lt;&gt;"OK"),"Não","Sim")))</f>
        <v/>
      </c>
      <c r="Y568" s="14">
        <f>IF($C568="",0,IF(COUNTIFS($C$5:$C568,$C568,$D$5:$D568,$D568)=1,1,0))</f>
        <v/>
      </c>
      <c r="Z568" s="14">
        <f>IF($A568="","",IF(Config!$B$7-$T568&gt;2,"Arquivada",IF(Config!$B$7-$T568&gt;0,"Histórico","Ativa")))</f>
        <v/>
      </c>
      <c r="AA568" s="14">
        <f>IF($A568="",0,IF(AND(OR($F568="Ponto de atenção",$F568="Incidente"),$L568="Sim"),1,0))</f>
        <v/>
      </c>
      <c r="AB568" s="14">
        <f>IF(OR($C568="",$C568&lt;&gt;'1a1'!$B$4,$T568&lt;&gt;Config!$B$7),"",COUNTIFS($C$5:$C568,'1a1'!$B$4,$T$5:$T568,Config!$B$7))</f>
        <v/>
      </c>
    </row>
    <row r="569">
      <c r="A569" s="18" t="n"/>
      <c r="B569" s="19" t="n"/>
      <c r="C569" s="14">
        <f>IFERROR(INDEX(Pessoas!$A$5:$A$64,MATCH($B569,Pessoas!$B$5:$B$64,0)),"")</f>
        <v/>
      </c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8" t="n"/>
      <c r="N569" s="19" t="n"/>
      <c r="O569" s="19" t="n"/>
      <c r="P569" s="19" t="n"/>
      <c r="Q569" s="20">
        <f>IF(OR($M569="",$P569=""),"",$M569+IF($P569="7 dias",7,IF($P569="14 dias",14,90)))</f>
        <v/>
      </c>
      <c r="R569" s="19" t="n"/>
      <c r="S569" s="19" t="n"/>
      <c r="T569" s="14">
        <f>IF($A569="","",YEAR($A569)*4+ROUNDUP(MONTH($A569)/3,0))</f>
        <v/>
      </c>
      <c r="U569" s="14">
        <f>IF($C569="","",$C569&amp;"|"&amp;$T569)</f>
        <v/>
      </c>
      <c r="V569" s="14">
        <f>IF($C569="","",$C569&amp;"|"&amp;$T569&amp;"|"&amp;$G569)</f>
        <v/>
      </c>
      <c r="W569" s="14">
        <f>IF($A569="","",IF(OR($B569="",$F569="",$G569="",$H569="",$I569=""),"Faltam campos básicos",IF(AND(OR($F569="Ponto de atenção",$F569="Incidente"),OR($K569="",$L569="",$O569="",$P569="")),"Faltam campos de sinalização","OK")))</f>
        <v/>
      </c>
      <c r="X569" s="14">
        <f>IF($A569="","",IF(AND(OR($F569="Ponto de atenção",$F569="Incidente"),$L569&lt;&gt;"Sim"),"Não",IF(AND($S569="",$W569&lt;&gt;"OK"),"Não","Sim")))</f>
        <v/>
      </c>
      <c r="Y569" s="14">
        <f>IF($C569="",0,IF(COUNTIFS($C$5:$C569,$C569,$D$5:$D569,$D569)=1,1,0))</f>
        <v/>
      </c>
      <c r="Z569" s="14">
        <f>IF($A569="","",IF(Config!$B$7-$T569&gt;2,"Arquivada",IF(Config!$B$7-$T569&gt;0,"Histórico","Ativa")))</f>
        <v/>
      </c>
      <c r="AA569" s="14">
        <f>IF($A569="",0,IF(AND(OR($F569="Ponto de atenção",$F569="Incidente"),$L569="Sim"),1,0))</f>
        <v/>
      </c>
      <c r="AB569" s="14">
        <f>IF(OR($C569="",$C569&lt;&gt;'1a1'!$B$4,$T569&lt;&gt;Config!$B$7),"",COUNTIFS($C$5:$C569,'1a1'!$B$4,$T$5:$T569,Config!$B$7))</f>
        <v/>
      </c>
    </row>
    <row r="570">
      <c r="A570" s="18" t="n"/>
      <c r="B570" s="19" t="n"/>
      <c r="C570" s="14">
        <f>IFERROR(INDEX(Pessoas!$A$5:$A$64,MATCH($B570,Pessoas!$B$5:$B$64,0)),"")</f>
        <v/>
      </c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8" t="n"/>
      <c r="N570" s="19" t="n"/>
      <c r="O570" s="19" t="n"/>
      <c r="P570" s="19" t="n"/>
      <c r="Q570" s="20">
        <f>IF(OR($M570="",$P570=""),"",$M570+IF($P570="7 dias",7,IF($P570="14 dias",14,90)))</f>
        <v/>
      </c>
      <c r="R570" s="19" t="n"/>
      <c r="S570" s="19" t="n"/>
      <c r="T570" s="14">
        <f>IF($A570="","",YEAR($A570)*4+ROUNDUP(MONTH($A570)/3,0))</f>
        <v/>
      </c>
      <c r="U570" s="14">
        <f>IF($C570="","",$C570&amp;"|"&amp;$T570)</f>
        <v/>
      </c>
      <c r="V570" s="14">
        <f>IF($C570="","",$C570&amp;"|"&amp;$T570&amp;"|"&amp;$G570)</f>
        <v/>
      </c>
      <c r="W570" s="14">
        <f>IF($A570="","",IF(OR($B570="",$F570="",$G570="",$H570="",$I570=""),"Faltam campos básicos",IF(AND(OR($F570="Ponto de atenção",$F570="Incidente"),OR($K570="",$L570="",$O570="",$P570="")),"Faltam campos de sinalização","OK")))</f>
        <v/>
      </c>
      <c r="X570" s="14">
        <f>IF($A570="","",IF(AND(OR($F570="Ponto de atenção",$F570="Incidente"),$L570&lt;&gt;"Sim"),"Não",IF(AND($S570="",$W570&lt;&gt;"OK"),"Não","Sim")))</f>
        <v/>
      </c>
      <c r="Y570" s="14">
        <f>IF($C570="",0,IF(COUNTIFS($C$5:$C570,$C570,$D$5:$D570,$D570)=1,1,0))</f>
        <v/>
      </c>
      <c r="Z570" s="14">
        <f>IF($A570="","",IF(Config!$B$7-$T570&gt;2,"Arquivada",IF(Config!$B$7-$T570&gt;0,"Histórico","Ativa")))</f>
        <v/>
      </c>
      <c r="AA570" s="14">
        <f>IF($A570="",0,IF(AND(OR($F570="Ponto de atenção",$F570="Incidente"),$L570="Sim"),1,0))</f>
        <v/>
      </c>
      <c r="AB570" s="14">
        <f>IF(OR($C570="",$C570&lt;&gt;'1a1'!$B$4,$T570&lt;&gt;Config!$B$7),"",COUNTIFS($C$5:$C570,'1a1'!$B$4,$T$5:$T570,Config!$B$7))</f>
        <v/>
      </c>
    </row>
    <row r="571">
      <c r="A571" s="18" t="n"/>
      <c r="B571" s="19" t="n"/>
      <c r="C571" s="14">
        <f>IFERROR(INDEX(Pessoas!$A$5:$A$64,MATCH($B571,Pessoas!$B$5:$B$64,0)),"")</f>
        <v/>
      </c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8" t="n"/>
      <c r="N571" s="19" t="n"/>
      <c r="O571" s="19" t="n"/>
      <c r="P571" s="19" t="n"/>
      <c r="Q571" s="20">
        <f>IF(OR($M571="",$P571=""),"",$M571+IF($P571="7 dias",7,IF($P571="14 dias",14,90)))</f>
        <v/>
      </c>
      <c r="R571" s="19" t="n"/>
      <c r="S571" s="19" t="n"/>
      <c r="T571" s="14">
        <f>IF($A571="","",YEAR($A571)*4+ROUNDUP(MONTH($A571)/3,0))</f>
        <v/>
      </c>
      <c r="U571" s="14">
        <f>IF($C571="","",$C571&amp;"|"&amp;$T571)</f>
        <v/>
      </c>
      <c r="V571" s="14">
        <f>IF($C571="","",$C571&amp;"|"&amp;$T571&amp;"|"&amp;$G571)</f>
        <v/>
      </c>
      <c r="W571" s="14">
        <f>IF($A571="","",IF(OR($B571="",$F571="",$G571="",$H571="",$I571=""),"Faltam campos básicos",IF(AND(OR($F571="Ponto de atenção",$F571="Incidente"),OR($K571="",$L571="",$O571="",$P571="")),"Faltam campos de sinalização","OK")))</f>
        <v/>
      </c>
      <c r="X571" s="14">
        <f>IF($A571="","",IF(AND(OR($F571="Ponto de atenção",$F571="Incidente"),$L571&lt;&gt;"Sim"),"Não",IF(AND($S571="",$W571&lt;&gt;"OK"),"Não","Sim")))</f>
        <v/>
      </c>
      <c r="Y571" s="14">
        <f>IF($C571="",0,IF(COUNTIFS($C$5:$C571,$C571,$D$5:$D571,$D571)=1,1,0))</f>
        <v/>
      </c>
      <c r="Z571" s="14">
        <f>IF($A571="","",IF(Config!$B$7-$T571&gt;2,"Arquivada",IF(Config!$B$7-$T571&gt;0,"Histórico","Ativa")))</f>
        <v/>
      </c>
      <c r="AA571" s="14">
        <f>IF($A571="",0,IF(AND(OR($F571="Ponto de atenção",$F571="Incidente"),$L571="Sim"),1,0))</f>
        <v/>
      </c>
      <c r="AB571" s="14">
        <f>IF(OR($C571="",$C571&lt;&gt;'1a1'!$B$4,$T571&lt;&gt;Config!$B$7),"",COUNTIFS($C$5:$C571,'1a1'!$B$4,$T$5:$T571,Config!$B$7))</f>
        <v/>
      </c>
    </row>
    <row r="572">
      <c r="A572" s="18" t="n"/>
      <c r="B572" s="19" t="n"/>
      <c r="C572" s="14">
        <f>IFERROR(INDEX(Pessoas!$A$5:$A$64,MATCH($B572,Pessoas!$B$5:$B$64,0)),"")</f>
        <v/>
      </c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8" t="n"/>
      <c r="N572" s="19" t="n"/>
      <c r="O572" s="19" t="n"/>
      <c r="P572" s="19" t="n"/>
      <c r="Q572" s="20">
        <f>IF(OR($M572="",$P572=""),"",$M572+IF($P572="7 dias",7,IF($P572="14 dias",14,90)))</f>
        <v/>
      </c>
      <c r="R572" s="19" t="n"/>
      <c r="S572" s="19" t="n"/>
      <c r="T572" s="14">
        <f>IF($A572="","",YEAR($A572)*4+ROUNDUP(MONTH($A572)/3,0))</f>
        <v/>
      </c>
      <c r="U572" s="14">
        <f>IF($C572="","",$C572&amp;"|"&amp;$T572)</f>
        <v/>
      </c>
      <c r="V572" s="14">
        <f>IF($C572="","",$C572&amp;"|"&amp;$T572&amp;"|"&amp;$G572)</f>
        <v/>
      </c>
      <c r="W572" s="14">
        <f>IF($A572="","",IF(OR($B572="",$F572="",$G572="",$H572="",$I572=""),"Faltam campos básicos",IF(AND(OR($F572="Ponto de atenção",$F572="Incidente"),OR($K572="",$L572="",$O572="",$P572="")),"Faltam campos de sinalização","OK")))</f>
        <v/>
      </c>
      <c r="X572" s="14">
        <f>IF($A572="","",IF(AND(OR($F572="Ponto de atenção",$F572="Incidente"),$L572&lt;&gt;"Sim"),"Não",IF(AND($S572="",$W572&lt;&gt;"OK"),"Não","Sim")))</f>
        <v/>
      </c>
      <c r="Y572" s="14">
        <f>IF($C572="",0,IF(COUNTIFS($C$5:$C572,$C572,$D$5:$D572,$D572)=1,1,0))</f>
        <v/>
      </c>
      <c r="Z572" s="14">
        <f>IF($A572="","",IF(Config!$B$7-$T572&gt;2,"Arquivada",IF(Config!$B$7-$T572&gt;0,"Histórico","Ativa")))</f>
        <v/>
      </c>
      <c r="AA572" s="14">
        <f>IF($A572="",0,IF(AND(OR($F572="Ponto de atenção",$F572="Incidente"),$L572="Sim"),1,0))</f>
        <v/>
      </c>
      <c r="AB572" s="14">
        <f>IF(OR($C572="",$C572&lt;&gt;'1a1'!$B$4,$T572&lt;&gt;Config!$B$7),"",COUNTIFS($C$5:$C572,'1a1'!$B$4,$T$5:$T572,Config!$B$7))</f>
        <v/>
      </c>
    </row>
    <row r="573">
      <c r="A573" s="18" t="n"/>
      <c r="B573" s="19" t="n"/>
      <c r="C573" s="14">
        <f>IFERROR(INDEX(Pessoas!$A$5:$A$64,MATCH($B573,Pessoas!$B$5:$B$64,0)),"")</f>
        <v/>
      </c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8" t="n"/>
      <c r="N573" s="19" t="n"/>
      <c r="O573" s="19" t="n"/>
      <c r="P573" s="19" t="n"/>
      <c r="Q573" s="20">
        <f>IF(OR($M573="",$P573=""),"",$M573+IF($P573="7 dias",7,IF($P573="14 dias",14,90)))</f>
        <v/>
      </c>
      <c r="R573" s="19" t="n"/>
      <c r="S573" s="19" t="n"/>
      <c r="T573" s="14">
        <f>IF($A573="","",YEAR($A573)*4+ROUNDUP(MONTH($A573)/3,0))</f>
        <v/>
      </c>
      <c r="U573" s="14">
        <f>IF($C573="","",$C573&amp;"|"&amp;$T573)</f>
        <v/>
      </c>
      <c r="V573" s="14">
        <f>IF($C573="","",$C573&amp;"|"&amp;$T573&amp;"|"&amp;$G573)</f>
        <v/>
      </c>
      <c r="W573" s="14">
        <f>IF($A573="","",IF(OR($B573="",$F573="",$G573="",$H573="",$I573=""),"Faltam campos básicos",IF(AND(OR($F573="Ponto de atenção",$F573="Incidente"),OR($K573="",$L573="",$O573="",$P573="")),"Faltam campos de sinalização","OK")))</f>
        <v/>
      </c>
      <c r="X573" s="14">
        <f>IF($A573="","",IF(AND(OR($F573="Ponto de atenção",$F573="Incidente"),$L573&lt;&gt;"Sim"),"Não",IF(AND($S573="",$W573&lt;&gt;"OK"),"Não","Sim")))</f>
        <v/>
      </c>
      <c r="Y573" s="14">
        <f>IF($C573="",0,IF(COUNTIFS($C$5:$C573,$C573,$D$5:$D573,$D573)=1,1,0))</f>
        <v/>
      </c>
      <c r="Z573" s="14">
        <f>IF($A573="","",IF(Config!$B$7-$T573&gt;2,"Arquivada",IF(Config!$B$7-$T573&gt;0,"Histórico","Ativa")))</f>
        <v/>
      </c>
      <c r="AA573" s="14">
        <f>IF($A573="",0,IF(AND(OR($F573="Ponto de atenção",$F573="Incidente"),$L573="Sim"),1,0))</f>
        <v/>
      </c>
      <c r="AB573" s="14">
        <f>IF(OR($C573="",$C573&lt;&gt;'1a1'!$B$4,$T573&lt;&gt;Config!$B$7),"",COUNTIFS($C$5:$C573,'1a1'!$B$4,$T$5:$T573,Config!$B$7))</f>
        <v/>
      </c>
    </row>
    <row r="574">
      <c r="A574" s="18" t="n"/>
      <c r="B574" s="19" t="n"/>
      <c r="C574" s="14">
        <f>IFERROR(INDEX(Pessoas!$A$5:$A$64,MATCH($B574,Pessoas!$B$5:$B$64,0)),"")</f>
        <v/>
      </c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8" t="n"/>
      <c r="N574" s="19" t="n"/>
      <c r="O574" s="19" t="n"/>
      <c r="P574" s="19" t="n"/>
      <c r="Q574" s="20">
        <f>IF(OR($M574="",$P574=""),"",$M574+IF($P574="7 dias",7,IF($P574="14 dias",14,90)))</f>
        <v/>
      </c>
      <c r="R574" s="19" t="n"/>
      <c r="S574" s="19" t="n"/>
      <c r="T574" s="14">
        <f>IF($A574="","",YEAR($A574)*4+ROUNDUP(MONTH($A574)/3,0))</f>
        <v/>
      </c>
      <c r="U574" s="14">
        <f>IF($C574="","",$C574&amp;"|"&amp;$T574)</f>
        <v/>
      </c>
      <c r="V574" s="14">
        <f>IF($C574="","",$C574&amp;"|"&amp;$T574&amp;"|"&amp;$G574)</f>
        <v/>
      </c>
      <c r="W574" s="14">
        <f>IF($A574="","",IF(OR($B574="",$F574="",$G574="",$H574="",$I574=""),"Faltam campos básicos",IF(AND(OR($F574="Ponto de atenção",$F574="Incidente"),OR($K574="",$L574="",$O574="",$P574="")),"Faltam campos de sinalização","OK")))</f>
        <v/>
      </c>
      <c r="X574" s="14">
        <f>IF($A574="","",IF(AND(OR($F574="Ponto de atenção",$F574="Incidente"),$L574&lt;&gt;"Sim"),"Não",IF(AND($S574="",$W574&lt;&gt;"OK"),"Não","Sim")))</f>
        <v/>
      </c>
      <c r="Y574" s="14">
        <f>IF($C574="",0,IF(COUNTIFS($C$5:$C574,$C574,$D$5:$D574,$D574)=1,1,0))</f>
        <v/>
      </c>
      <c r="Z574" s="14">
        <f>IF($A574="","",IF(Config!$B$7-$T574&gt;2,"Arquivada",IF(Config!$B$7-$T574&gt;0,"Histórico","Ativa")))</f>
        <v/>
      </c>
      <c r="AA574" s="14">
        <f>IF($A574="",0,IF(AND(OR($F574="Ponto de atenção",$F574="Incidente"),$L574="Sim"),1,0))</f>
        <v/>
      </c>
      <c r="AB574" s="14">
        <f>IF(OR($C574="",$C574&lt;&gt;'1a1'!$B$4,$T574&lt;&gt;Config!$B$7),"",COUNTIFS($C$5:$C574,'1a1'!$B$4,$T$5:$T574,Config!$B$7))</f>
        <v/>
      </c>
    </row>
    <row r="575">
      <c r="A575" s="18" t="n"/>
      <c r="B575" s="19" t="n"/>
      <c r="C575" s="14">
        <f>IFERROR(INDEX(Pessoas!$A$5:$A$64,MATCH($B575,Pessoas!$B$5:$B$64,0)),"")</f>
        <v/>
      </c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8" t="n"/>
      <c r="N575" s="19" t="n"/>
      <c r="O575" s="19" t="n"/>
      <c r="P575" s="19" t="n"/>
      <c r="Q575" s="20">
        <f>IF(OR($M575="",$P575=""),"",$M575+IF($P575="7 dias",7,IF($P575="14 dias",14,90)))</f>
        <v/>
      </c>
      <c r="R575" s="19" t="n"/>
      <c r="S575" s="19" t="n"/>
      <c r="T575" s="14">
        <f>IF($A575="","",YEAR($A575)*4+ROUNDUP(MONTH($A575)/3,0))</f>
        <v/>
      </c>
      <c r="U575" s="14">
        <f>IF($C575="","",$C575&amp;"|"&amp;$T575)</f>
        <v/>
      </c>
      <c r="V575" s="14">
        <f>IF($C575="","",$C575&amp;"|"&amp;$T575&amp;"|"&amp;$G575)</f>
        <v/>
      </c>
      <c r="W575" s="14">
        <f>IF($A575="","",IF(OR($B575="",$F575="",$G575="",$H575="",$I575=""),"Faltam campos básicos",IF(AND(OR($F575="Ponto de atenção",$F575="Incidente"),OR($K575="",$L575="",$O575="",$P575="")),"Faltam campos de sinalização","OK")))</f>
        <v/>
      </c>
      <c r="X575" s="14">
        <f>IF($A575="","",IF(AND(OR($F575="Ponto de atenção",$F575="Incidente"),$L575&lt;&gt;"Sim"),"Não",IF(AND($S575="",$W575&lt;&gt;"OK"),"Não","Sim")))</f>
        <v/>
      </c>
      <c r="Y575" s="14">
        <f>IF($C575="",0,IF(COUNTIFS($C$5:$C575,$C575,$D$5:$D575,$D575)=1,1,0))</f>
        <v/>
      </c>
      <c r="Z575" s="14">
        <f>IF($A575="","",IF(Config!$B$7-$T575&gt;2,"Arquivada",IF(Config!$B$7-$T575&gt;0,"Histórico","Ativa")))</f>
        <v/>
      </c>
      <c r="AA575" s="14">
        <f>IF($A575="",0,IF(AND(OR($F575="Ponto de atenção",$F575="Incidente"),$L575="Sim"),1,0))</f>
        <v/>
      </c>
      <c r="AB575" s="14">
        <f>IF(OR($C575="",$C575&lt;&gt;'1a1'!$B$4,$T575&lt;&gt;Config!$B$7),"",COUNTIFS($C$5:$C575,'1a1'!$B$4,$T$5:$T575,Config!$B$7))</f>
        <v/>
      </c>
    </row>
    <row r="576">
      <c r="A576" s="18" t="n"/>
      <c r="B576" s="19" t="n"/>
      <c r="C576" s="14">
        <f>IFERROR(INDEX(Pessoas!$A$5:$A$64,MATCH($B576,Pessoas!$B$5:$B$64,0)),"")</f>
        <v/>
      </c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8" t="n"/>
      <c r="N576" s="19" t="n"/>
      <c r="O576" s="19" t="n"/>
      <c r="P576" s="19" t="n"/>
      <c r="Q576" s="20">
        <f>IF(OR($M576="",$P576=""),"",$M576+IF($P576="7 dias",7,IF($P576="14 dias",14,90)))</f>
        <v/>
      </c>
      <c r="R576" s="19" t="n"/>
      <c r="S576" s="19" t="n"/>
      <c r="T576" s="14">
        <f>IF($A576="","",YEAR($A576)*4+ROUNDUP(MONTH($A576)/3,0))</f>
        <v/>
      </c>
      <c r="U576" s="14">
        <f>IF($C576="","",$C576&amp;"|"&amp;$T576)</f>
        <v/>
      </c>
      <c r="V576" s="14">
        <f>IF($C576="","",$C576&amp;"|"&amp;$T576&amp;"|"&amp;$G576)</f>
        <v/>
      </c>
      <c r="W576" s="14">
        <f>IF($A576="","",IF(OR($B576="",$F576="",$G576="",$H576="",$I576=""),"Faltam campos básicos",IF(AND(OR($F576="Ponto de atenção",$F576="Incidente"),OR($K576="",$L576="",$O576="",$P576="")),"Faltam campos de sinalização","OK")))</f>
        <v/>
      </c>
      <c r="X576" s="14">
        <f>IF($A576="","",IF(AND(OR($F576="Ponto de atenção",$F576="Incidente"),$L576&lt;&gt;"Sim"),"Não",IF(AND($S576="",$W576&lt;&gt;"OK"),"Não","Sim")))</f>
        <v/>
      </c>
      <c r="Y576" s="14">
        <f>IF($C576="",0,IF(COUNTIFS($C$5:$C576,$C576,$D$5:$D576,$D576)=1,1,0))</f>
        <v/>
      </c>
      <c r="Z576" s="14">
        <f>IF($A576="","",IF(Config!$B$7-$T576&gt;2,"Arquivada",IF(Config!$B$7-$T576&gt;0,"Histórico","Ativa")))</f>
        <v/>
      </c>
      <c r="AA576" s="14">
        <f>IF($A576="",0,IF(AND(OR($F576="Ponto de atenção",$F576="Incidente"),$L576="Sim"),1,0))</f>
        <v/>
      </c>
      <c r="AB576" s="14">
        <f>IF(OR($C576="",$C576&lt;&gt;'1a1'!$B$4,$T576&lt;&gt;Config!$B$7),"",COUNTIFS($C$5:$C576,'1a1'!$B$4,$T$5:$T576,Config!$B$7))</f>
        <v/>
      </c>
    </row>
    <row r="577">
      <c r="A577" s="18" t="n"/>
      <c r="B577" s="19" t="n"/>
      <c r="C577" s="14">
        <f>IFERROR(INDEX(Pessoas!$A$5:$A$64,MATCH($B577,Pessoas!$B$5:$B$64,0)),"")</f>
        <v/>
      </c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8" t="n"/>
      <c r="N577" s="19" t="n"/>
      <c r="O577" s="19" t="n"/>
      <c r="P577" s="19" t="n"/>
      <c r="Q577" s="20">
        <f>IF(OR($M577="",$P577=""),"",$M577+IF($P577="7 dias",7,IF($P577="14 dias",14,90)))</f>
        <v/>
      </c>
      <c r="R577" s="19" t="n"/>
      <c r="S577" s="19" t="n"/>
      <c r="T577" s="14">
        <f>IF($A577="","",YEAR($A577)*4+ROUNDUP(MONTH($A577)/3,0))</f>
        <v/>
      </c>
      <c r="U577" s="14">
        <f>IF($C577="","",$C577&amp;"|"&amp;$T577)</f>
        <v/>
      </c>
      <c r="V577" s="14">
        <f>IF($C577="","",$C577&amp;"|"&amp;$T577&amp;"|"&amp;$G577)</f>
        <v/>
      </c>
      <c r="W577" s="14">
        <f>IF($A577="","",IF(OR($B577="",$F577="",$G577="",$H577="",$I577=""),"Faltam campos básicos",IF(AND(OR($F577="Ponto de atenção",$F577="Incidente"),OR($K577="",$L577="",$O577="",$P577="")),"Faltam campos de sinalização","OK")))</f>
        <v/>
      </c>
      <c r="X577" s="14">
        <f>IF($A577="","",IF(AND(OR($F577="Ponto de atenção",$F577="Incidente"),$L577&lt;&gt;"Sim"),"Não",IF(AND($S577="",$W577&lt;&gt;"OK"),"Não","Sim")))</f>
        <v/>
      </c>
      <c r="Y577" s="14">
        <f>IF($C577="",0,IF(COUNTIFS($C$5:$C577,$C577,$D$5:$D577,$D577)=1,1,0))</f>
        <v/>
      </c>
      <c r="Z577" s="14">
        <f>IF($A577="","",IF(Config!$B$7-$T577&gt;2,"Arquivada",IF(Config!$B$7-$T577&gt;0,"Histórico","Ativa")))</f>
        <v/>
      </c>
      <c r="AA577" s="14">
        <f>IF($A577="",0,IF(AND(OR($F577="Ponto de atenção",$F577="Incidente"),$L577="Sim"),1,0))</f>
        <v/>
      </c>
      <c r="AB577" s="14">
        <f>IF(OR($C577="",$C577&lt;&gt;'1a1'!$B$4,$T577&lt;&gt;Config!$B$7),"",COUNTIFS($C$5:$C577,'1a1'!$B$4,$T$5:$T577,Config!$B$7))</f>
        <v/>
      </c>
    </row>
    <row r="578">
      <c r="A578" s="18" t="n"/>
      <c r="B578" s="19" t="n"/>
      <c r="C578" s="14">
        <f>IFERROR(INDEX(Pessoas!$A$5:$A$64,MATCH($B578,Pessoas!$B$5:$B$64,0)),"")</f>
        <v/>
      </c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8" t="n"/>
      <c r="N578" s="19" t="n"/>
      <c r="O578" s="19" t="n"/>
      <c r="P578" s="19" t="n"/>
      <c r="Q578" s="20">
        <f>IF(OR($M578="",$P578=""),"",$M578+IF($P578="7 dias",7,IF($P578="14 dias",14,90)))</f>
        <v/>
      </c>
      <c r="R578" s="19" t="n"/>
      <c r="S578" s="19" t="n"/>
      <c r="T578" s="14">
        <f>IF($A578="","",YEAR($A578)*4+ROUNDUP(MONTH($A578)/3,0))</f>
        <v/>
      </c>
      <c r="U578" s="14">
        <f>IF($C578="","",$C578&amp;"|"&amp;$T578)</f>
        <v/>
      </c>
      <c r="V578" s="14">
        <f>IF($C578="","",$C578&amp;"|"&amp;$T578&amp;"|"&amp;$G578)</f>
        <v/>
      </c>
      <c r="W578" s="14">
        <f>IF($A578="","",IF(OR($B578="",$F578="",$G578="",$H578="",$I578=""),"Faltam campos básicos",IF(AND(OR($F578="Ponto de atenção",$F578="Incidente"),OR($K578="",$L578="",$O578="",$P578="")),"Faltam campos de sinalização","OK")))</f>
        <v/>
      </c>
      <c r="X578" s="14">
        <f>IF($A578="","",IF(AND(OR($F578="Ponto de atenção",$F578="Incidente"),$L578&lt;&gt;"Sim"),"Não",IF(AND($S578="",$W578&lt;&gt;"OK"),"Não","Sim")))</f>
        <v/>
      </c>
      <c r="Y578" s="14">
        <f>IF($C578="",0,IF(COUNTIFS($C$5:$C578,$C578,$D$5:$D578,$D578)=1,1,0))</f>
        <v/>
      </c>
      <c r="Z578" s="14">
        <f>IF($A578="","",IF(Config!$B$7-$T578&gt;2,"Arquivada",IF(Config!$B$7-$T578&gt;0,"Histórico","Ativa")))</f>
        <v/>
      </c>
      <c r="AA578" s="14">
        <f>IF($A578="",0,IF(AND(OR($F578="Ponto de atenção",$F578="Incidente"),$L578="Sim"),1,0))</f>
        <v/>
      </c>
      <c r="AB578" s="14">
        <f>IF(OR($C578="",$C578&lt;&gt;'1a1'!$B$4,$T578&lt;&gt;Config!$B$7),"",COUNTIFS($C$5:$C578,'1a1'!$B$4,$T$5:$T578,Config!$B$7))</f>
        <v/>
      </c>
    </row>
    <row r="579">
      <c r="A579" s="18" t="n"/>
      <c r="B579" s="19" t="n"/>
      <c r="C579" s="14">
        <f>IFERROR(INDEX(Pessoas!$A$5:$A$64,MATCH($B579,Pessoas!$B$5:$B$64,0)),"")</f>
        <v/>
      </c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8" t="n"/>
      <c r="N579" s="19" t="n"/>
      <c r="O579" s="19" t="n"/>
      <c r="P579" s="19" t="n"/>
      <c r="Q579" s="20">
        <f>IF(OR($M579="",$P579=""),"",$M579+IF($P579="7 dias",7,IF($P579="14 dias",14,90)))</f>
        <v/>
      </c>
      <c r="R579" s="19" t="n"/>
      <c r="S579" s="19" t="n"/>
      <c r="T579" s="14">
        <f>IF($A579="","",YEAR($A579)*4+ROUNDUP(MONTH($A579)/3,0))</f>
        <v/>
      </c>
      <c r="U579" s="14">
        <f>IF($C579="","",$C579&amp;"|"&amp;$T579)</f>
        <v/>
      </c>
      <c r="V579" s="14">
        <f>IF($C579="","",$C579&amp;"|"&amp;$T579&amp;"|"&amp;$G579)</f>
        <v/>
      </c>
      <c r="W579" s="14">
        <f>IF($A579="","",IF(OR($B579="",$F579="",$G579="",$H579="",$I579=""),"Faltam campos básicos",IF(AND(OR($F579="Ponto de atenção",$F579="Incidente"),OR($K579="",$L579="",$O579="",$P579="")),"Faltam campos de sinalização","OK")))</f>
        <v/>
      </c>
      <c r="X579" s="14">
        <f>IF($A579="","",IF(AND(OR($F579="Ponto de atenção",$F579="Incidente"),$L579&lt;&gt;"Sim"),"Não",IF(AND($S579="",$W579&lt;&gt;"OK"),"Não","Sim")))</f>
        <v/>
      </c>
      <c r="Y579" s="14">
        <f>IF($C579="",0,IF(COUNTIFS($C$5:$C579,$C579,$D$5:$D579,$D579)=1,1,0))</f>
        <v/>
      </c>
      <c r="Z579" s="14">
        <f>IF($A579="","",IF(Config!$B$7-$T579&gt;2,"Arquivada",IF(Config!$B$7-$T579&gt;0,"Histórico","Ativa")))</f>
        <v/>
      </c>
      <c r="AA579" s="14">
        <f>IF($A579="",0,IF(AND(OR($F579="Ponto de atenção",$F579="Incidente"),$L579="Sim"),1,0))</f>
        <v/>
      </c>
      <c r="AB579" s="14">
        <f>IF(OR($C579="",$C579&lt;&gt;'1a1'!$B$4,$T579&lt;&gt;Config!$B$7),"",COUNTIFS($C$5:$C579,'1a1'!$B$4,$T$5:$T579,Config!$B$7))</f>
        <v/>
      </c>
    </row>
    <row r="580">
      <c r="A580" s="18" t="n"/>
      <c r="B580" s="19" t="n"/>
      <c r="C580" s="14">
        <f>IFERROR(INDEX(Pessoas!$A$5:$A$64,MATCH($B580,Pessoas!$B$5:$B$64,0)),"")</f>
        <v/>
      </c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8" t="n"/>
      <c r="N580" s="19" t="n"/>
      <c r="O580" s="19" t="n"/>
      <c r="P580" s="19" t="n"/>
      <c r="Q580" s="20">
        <f>IF(OR($M580="",$P580=""),"",$M580+IF($P580="7 dias",7,IF($P580="14 dias",14,90)))</f>
        <v/>
      </c>
      <c r="R580" s="19" t="n"/>
      <c r="S580" s="19" t="n"/>
      <c r="T580" s="14">
        <f>IF($A580="","",YEAR($A580)*4+ROUNDUP(MONTH($A580)/3,0))</f>
        <v/>
      </c>
      <c r="U580" s="14">
        <f>IF($C580="","",$C580&amp;"|"&amp;$T580)</f>
        <v/>
      </c>
      <c r="V580" s="14">
        <f>IF($C580="","",$C580&amp;"|"&amp;$T580&amp;"|"&amp;$G580)</f>
        <v/>
      </c>
      <c r="W580" s="14">
        <f>IF($A580="","",IF(OR($B580="",$F580="",$G580="",$H580="",$I580=""),"Faltam campos básicos",IF(AND(OR($F580="Ponto de atenção",$F580="Incidente"),OR($K580="",$L580="",$O580="",$P580="")),"Faltam campos de sinalização","OK")))</f>
        <v/>
      </c>
      <c r="X580" s="14">
        <f>IF($A580="","",IF(AND(OR($F580="Ponto de atenção",$F580="Incidente"),$L580&lt;&gt;"Sim"),"Não",IF(AND($S580="",$W580&lt;&gt;"OK"),"Não","Sim")))</f>
        <v/>
      </c>
      <c r="Y580" s="14">
        <f>IF($C580="",0,IF(COUNTIFS($C$5:$C580,$C580,$D$5:$D580,$D580)=1,1,0))</f>
        <v/>
      </c>
      <c r="Z580" s="14">
        <f>IF($A580="","",IF(Config!$B$7-$T580&gt;2,"Arquivada",IF(Config!$B$7-$T580&gt;0,"Histórico","Ativa")))</f>
        <v/>
      </c>
      <c r="AA580" s="14">
        <f>IF($A580="",0,IF(AND(OR($F580="Ponto de atenção",$F580="Incidente"),$L580="Sim"),1,0))</f>
        <v/>
      </c>
      <c r="AB580" s="14">
        <f>IF(OR($C580="",$C580&lt;&gt;'1a1'!$B$4,$T580&lt;&gt;Config!$B$7),"",COUNTIFS($C$5:$C580,'1a1'!$B$4,$T$5:$T580,Config!$B$7))</f>
        <v/>
      </c>
    </row>
    <row r="581">
      <c r="A581" s="18" t="n"/>
      <c r="B581" s="19" t="n"/>
      <c r="C581" s="14">
        <f>IFERROR(INDEX(Pessoas!$A$5:$A$64,MATCH($B581,Pessoas!$B$5:$B$64,0)),"")</f>
        <v/>
      </c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8" t="n"/>
      <c r="N581" s="19" t="n"/>
      <c r="O581" s="19" t="n"/>
      <c r="P581" s="19" t="n"/>
      <c r="Q581" s="20">
        <f>IF(OR($M581="",$P581=""),"",$M581+IF($P581="7 dias",7,IF($P581="14 dias",14,90)))</f>
        <v/>
      </c>
      <c r="R581" s="19" t="n"/>
      <c r="S581" s="19" t="n"/>
      <c r="T581" s="14">
        <f>IF($A581="","",YEAR($A581)*4+ROUNDUP(MONTH($A581)/3,0))</f>
        <v/>
      </c>
      <c r="U581" s="14">
        <f>IF($C581="","",$C581&amp;"|"&amp;$T581)</f>
        <v/>
      </c>
      <c r="V581" s="14">
        <f>IF($C581="","",$C581&amp;"|"&amp;$T581&amp;"|"&amp;$G581)</f>
        <v/>
      </c>
      <c r="W581" s="14">
        <f>IF($A581="","",IF(OR($B581="",$F581="",$G581="",$H581="",$I581=""),"Faltam campos básicos",IF(AND(OR($F581="Ponto de atenção",$F581="Incidente"),OR($K581="",$L581="",$O581="",$P581="")),"Faltam campos de sinalização","OK")))</f>
        <v/>
      </c>
      <c r="X581" s="14">
        <f>IF($A581="","",IF(AND(OR($F581="Ponto de atenção",$F581="Incidente"),$L581&lt;&gt;"Sim"),"Não",IF(AND($S581="",$W581&lt;&gt;"OK"),"Não","Sim")))</f>
        <v/>
      </c>
      <c r="Y581" s="14">
        <f>IF($C581="",0,IF(COUNTIFS($C$5:$C581,$C581,$D$5:$D581,$D581)=1,1,0))</f>
        <v/>
      </c>
      <c r="Z581" s="14">
        <f>IF($A581="","",IF(Config!$B$7-$T581&gt;2,"Arquivada",IF(Config!$B$7-$T581&gt;0,"Histórico","Ativa")))</f>
        <v/>
      </c>
      <c r="AA581" s="14">
        <f>IF($A581="",0,IF(AND(OR($F581="Ponto de atenção",$F581="Incidente"),$L581="Sim"),1,0))</f>
        <v/>
      </c>
      <c r="AB581" s="14">
        <f>IF(OR($C581="",$C581&lt;&gt;'1a1'!$B$4,$T581&lt;&gt;Config!$B$7),"",COUNTIFS($C$5:$C581,'1a1'!$B$4,$T$5:$T581,Config!$B$7))</f>
        <v/>
      </c>
    </row>
    <row r="582">
      <c r="A582" s="18" t="n"/>
      <c r="B582" s="19" t="n"/>
      <c r="C582" s="14">
        <f>IFERROR(INDEX(Pessoas!$A$5:$A$64,MATCH($B582,Pessoas!$B$5:$B$64,0)),"")</f>
        <v/>
      </c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8" t="n"/>
      <c r="N582" s="19" t="n"/>
      <c r="O582" s="19" t="n"/>
      <c r="P582" s="19" t="n"/>
      <c r="Q582" s="20">
        <f>IF(OR($M582="",$P582=""),"",$M582+IF($P582="7 dias",7,IF($P582="14 dias",14,90)))</f>
        <v/>
      </c>
      <c r="R582" s="19" t="n"/>
      <c r="S582" s="19" t="n"/>
      <c r="T582" s="14">
        <f>IF($A582="","",YEAR($A582)*4+ROUNDUP(MONTH($A582)/3,0))</f>
        <v/>
      </c>
      <c r="U582" s="14">
        <f>IF($C582="","",$C582&amp;"|"&amp;$T582)</f>
        <v/>
      </c>
      <c r="V582" s="14">
        <f>IF($C582="","",$C582&amp;"|"&amp;$T582&amp;"|"&amp;$G582)</f>
        <v/>
      </c>
      <c r="W582" s="14">
        <f>IF($A582="","",IF(OR($B582="",$F582="",$G582="",$H582="",$I582=""),"Faltam campos básicos",IF(AND(OR($F582="Ponto de atenção",$F582="Incidente"),OR($K582="",$L582="",$O582="",$P582="")),"Faltam campos de sinalização","OK")))</f>
        <v/>
      </c>
      <c r="X582" s="14">
        <f>IF($A582="","",IF(AND(OR($F582="Ponto de atenção",$F582="Incidente"),$L582&lt;&gt;"Sim"),"Não",IF(AND($S582="",$W582&lt;&gt;"OK"),"Não","Sim")))</f>
        <v/>
      </c>
      <c r="Y582" s="14">
        <f>IF($C582="",0,IF(COUNTIFS($C$5:$C582,$C582,$D$5:$D582,$D582)=1,1,0))</f>
        <v/>
      </c>
      <c r="Z582" s="14">
        <f>IF($A582="","",IF(Config!$B$7-$T582&gt;2,"Arquivada",IF(Config!$B$7-$T582&gt;0,"Histórico","Ativa")))</f>
        <v/>
      </c>
      <c r="AA582" s="14">
        <f>IF($A582="",0,IF(AND(OR($F582="Ponto de atenção",$F582="Incidente"),$L582="Sim"),1,0))</f>
        <v/>
      </c>
      <c r="AB582" s="14">
        <f>IF(OR($C582="",$C582&lt;&gt;'1a1'!$B$4,$T582&lt;&gt;Config!$B$7),"",COUNTIFS($C$5:$C582,'1a1'!$B$4,$T$5:$T582,Config!$B$7))</f>
        <v/>
      </c>
    </row>
    <row r="583">
      <c r="A583" s="18" t="n"/>
      <c r="B583" s="19" t="n"/>
      <c r="C583" s="14">
        <f>IFERROR(INDEX(Pessoas!$A$5:$A$64,MATCH($B583,Pessoas!$B$5:$B$64,0)),"")</f>
        <v/>
      </c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8" t="n"/>
      <c r="N583" s="19" t="n"/>
      <c r="O583" s="19" t="n"/>
      <c r="P583" s="19" t="n"/>
      <c r="Q583" s="20">
        <f>IF(OR($M583="",$P583=""),"",$M583+IF($P583="7 dias",7,IF($P583="14 dias",14,90)))</f>
        <v/>
      </c>
      <c r="R583" s="19" t="n"/>
      <c r="S583" s="19" t="n"/>
      <c r="T583" s="14">
        <f>IF($A583="","",YEAR($A583)*4+ROUNDUP(MONTH($A583)/3,0))</f>
        <v/>
      </c>
      <c r="U583" s="14">
        <f>IF($C583="","",$C583&amp;"|"&amp;$T583)</f>
        <v/>
      </c>
      <c r="V583" s="14">
        <f>IF($C583="","",$C583&amp;"|"&amp;$T583&amp;"|"&amp;$G583)</f>
        <v/>
      </c>
      <c r="W583" s="14">
        <f>IF($A583="","",IF(OR($B583="",$F583="",$G583="",$H583="",$I583=""),"Faltam campos básicos",IF(AND(OR($F583="Ponto de atenção",$F583="Incidente"),OR($K583="",$L583="",$O583="",$P583="")),"Faltam campos de sinalização","OK")))</f>
        <v/>
      </c>
      <c r="X583" s="14">
        <f>IF($A583="","",IF(AND(OR($F583="Ponto de atenção",$F583="Incidente"),$L583&lt;&gt;"Sim"),"Não",IF(AND($S583="",$W583&lt;&gt;"OK"),"Não","Sim")))</f>
        <v/>
      </c>
      <c r="Y583" s="14">
        <f>IF($C583="",0,IF(COUNTIFS($C$5:$C583,$C583,$D$5:$D583,$D583)=1,1,0))</f>
        <v/>
      </c>
      <c r="Z583" s="14">
        <f>IF($A583="","",IF(Config!$B$7-$T583&gt;2,"Arquivada",IF(Config!$B$7-$T583&gt;0,"Histórico","Ativa")))</f>
        <v/>
      </c>
      <c r="AA583" s="14">
        <f>IF($A583="",0,IF(AND(OR($F583="Ponto de atenção",$F583="Incidente"),$L583="Sim"),1,0))</f>
        <v/>
      </c>
      <c r="AB583" s="14">
        <f>IF(OR($C583="",$C583&lt;&gt;'1a1'!$B$4,$T583&lt;&gt;Config!$B$7),"",COUNTIFS($C$5:$C583,'1a1'!$B$4,$T$5:$T583,Config!$B$7))</f>
        <v/>
      </c>
    </row>
    <row r="584">
      <c r="A584" s="18" t="n"/>
      <c r="B584" s="19" t="n"/>
      <c r="C584" s="14">
        <f>IFERROR(INDEX(Pessoas!$A$5:$A$64,MATCH($B584,Pessoas!$B$5:$B$64,0)),"")</f>
        <v/>
      </c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8" t="n"/>
      <c r="N584" s="19" t="n"/>
      <c r="O584" s="19" t="n"/>
      <c r="P584" s="19" t="n"/>
      <c r="Q584" s="20">
        <f>IF(OR($M584="",$P584=""),"",$M584+IF($P584="7 dias",7,IF($P584="14 dias",14,90)))</f>
        <v/>
      </c>
      <c r="R584" s="19" t="n"/>
      <c r="S584" s="19" t="n"/>
      <c r="T584" s="14">
        <f>IF($A584="","",YEAR($A584)*4+ROUNDUP(MONTH($A584)/3,0))</f>
        <v/>
      </c>
      <c r="U584" s="14">
        <f>IF($C584="","",$C584&amp;"|"&amp;$T584)</f>
        <v/>
      </c>
      <c r="V584" s="14">
        <f>IF($C584="","",$C584&amp;"|"&amp;$T584&amp;"|"&amp;$G584)</f>
        <v/>
      </c>
      <c r="W584" s="14">
        <f>IF($A584="","",IF(OR($B584="",$F584="",$G584="",$H584="",$I584=""),"Faltam campos básicos",IF(AND(OR($F584="Ponto de atenção",$F584="Incidente"),OR($K584="",$L584="",$O584="",$P584="")),"Faltam campos de sinalização","OK")))</f>
        <v/>
      </c>
      <c r="X584" s="14">
        <f>IF($A584="","",IF(AND(OR($F584="Ponto de atenção",$F584="Incidente"),$L584&lt;&gt;"Sim"),"Não",IF(AND($S584="",$W584&lt;&gt;"OK"),"Não","Sim")))</f>
        <v/>
      </c>
      <c r="Y584" s="14">
        <f>IF($C584="",0,IF(COUNTIFS($C$5:$C584,$C584,$D$5:$D584,$D584)=1,1,0))</f>
        <v/>
      </c>
      <c r="Z584" s="14">
        <f>IF($A584="","",IF(Config!$B$7-$T584&gt;2,"Arquivada",IF(Config!$B$7-$T584&gt;0,"Histórico","Ativa")))</f>
        <v/>
      </c>
      <c r="AA584" s="14">
        <f>IF($A584="",0,IF(AND(OR($F584="Ponto de atenção",$F584="Incidente"),$L584="Sim"),1,0))</f>
        <v/>
      </c>
      <c r="AB584" s="14">
        <f>IF(OR($C584="",$C584&lt;&gt;'1a1'!$B$4,$T584&lt;&gt;Config!$B$7),"",COUNTIFS($C$5:$C584,'1a1'!$B$4,$T$5:$T584,Config!$B$7))</f>
        <v/>
      </c>
    </row>
    <row r="585">
      <c r="A585" s="18" t="n"/>
      <c r="B585" s="19" t="n"/>
      <c r="C585" s="14">
        <f>IFERROR(INDEX(Pessoas!$A$5:$A$64,MATCH($B585,Pessoas!$B$5:$B$64,0)),"")</f>
        <v/>
      </c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8" t="n"/>
      <c r="N585" s="19" t="n"/>
      <c r="O585" s="19" t="n"/>
      <c r="P585" s="19" t="n"/>
      <c r="Q585" s="20">
        <f>IF(OR($M585="",$P585=""),"",$M585+IF($P585="7 dias",7,IF($P585="14 dias",14,90)))</f>
        <v/>
      </c>
      <c r="R585" s="19" t="n"/>
      <c r="S585" s="19" t="n"/>
      <c r="T585" s="14">
        <f>IF($A585="","",YEAR($A585)*4+ROUNDUP(MONTH($A585)/3,0))</f>
        <v/>
      </c>
      <c r="U585" s="14">
        <f>IF($C585="","",$C585&amp;"|"&amp;$T585)</f>
        <v/>
      </c>
      <c r="V585" s="14">
        <f>IF($C585="","",$C585&amp;"|"&amp;$T585&amp;"|"&amp;$G585)</f>
        <v/>
      </c>
      <c r="W585" s="14">
        <f>IF($A585="","",IF(OR($B585="",$F585="",$G585="",$H585="",$I585=""),"Faltam campos básicos",IF(AND(OR($F585="Ponto de atenção",$F585="Incidente"),OR($K585="",$L585="",$O585="",$P585="")),"Faltam campos de sinalização","OK")))</f>
        <v/>
      </c>
      <c r="X585" s="14">
        <f>IF($A585="","",IF(AND(OR($F585="Ponto de atenção",$F585="Incidente"),$L585&lt;&gt;"Sim"),"Não",IF(AND($S585="",$W585&lt;&gt;"OK"),"Não","Sim")))</f>
        <v/>
      </c>
      <c r="Y585" s="14">
        <f>IF($C585="",0,IF(COUNTIFS($C$5:$C585,$C585,$D$5:$D585,$D585)=1,1,0))</f>
        <v/>
      </c>
      <c r="Z585" s="14">
        <f>IF($A585="","",IF(Config!$B$7-$T585&gt;2,"Arquivada",IF(Config!$B$7-$T585&gt;0,"Histórico","Ativa")))</f>
        <v/>
      </c>
      <c r="AA585" s="14">
        <f>IF($A585="",0,IF(AND(OR($F585="Ponto de atenção",$F585="Incidente"),$L585="Sim"),1,0))</f>
        <v/>
      </c>
      <c r="AB585" s="14">
        <f>IF(OR($C585="",$C585&lt;&gt;'1a1'!$B$4,$T585&lt;&gt;Config!$B$7),"",COUNTIFS($C$5:$C585,'1a1'!$B$4,$T$5:$T585,Config!$B$7))</f>
        <v/>
      </c>
    </row>
    <row r="586">
      <c r="A586" s="18" t="n"/>
      <c r="B586" s="19" t="n"/>
      <c r="C586" s="14">
        <f>IFERROR(INDEX(Pessoas!$A$5:$A$64,MATCH($B586,Pessoas!$B$5:$B$64,0)),"")</f>
        <v/>
      </c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8" t="n"/>
      <c r="N586" s="19" t="n"/>
      <c r="O586" s="19" t="n"/>
      <c r="P586" s="19" t="n"/>
      <c r="Q586" s="20">
        <f>IF(OR($M586="",$P586=""),"",$M586+IF($P586="7 dias",7,IF($P586="14 dias",14,90)))</f>
        <v/>
      </c>
      <c r="R586" s="19" t="n"/>
      <c r="S586" s="19" t="n"/>
      <c r="T586" s="14">
        <f>IF($A586="","",YEAR($A586)*4+ROUNDUP(MONTH($A586)/3,0))</f>
        <v/>
      </c>
      <c r="U586" s="14">
        <f>IF($C586="","",$C586&amp;"|"&amp;$T586)</f>
        <v/>
      </c>
      <c r="V586" s="14">
        <f>IF($C586="","",$C586&amp;"|"&amp;$T586&amp;"|"&amp;$G586)</f>
        <v/>
      </c>
      <c r="W586" s="14">
        <f>IF($A586="","",IF(OR($B586="",$F586="",$G586="",$H586="",$I586=""),"Faltam campos básicos",IF(AND(OR($F586="Ponto de atenção",$F586="Incidente"),OR($K586="",$L586="",$O586="",$P586="")),"Faltam campos de sinalização","OK")))</f>
        <v/>
      </c>
      <c r="X586" s="14">
        <f>IF($A586="","",IF(AND(OR($F586="Ponto de atenção",$F586="Incidente"),$L586&lt;&gt;"Sim"),"Não",IF(AND($S586="",$W586&lt;&gt;"OK"),"Não","Sim")))</f>
        <v/>
      </c>
      <c r="Y586" s="14">
        <f>IF($C586="",0,IF(COUNTIFS($C$5:$C586,$C586,$D$5:$D586,$D586)=1,1,0))</f>
        <v/>
      </c>
      <c r="Z586" s="14">
        <f>IF($A586="","",IF(Config!$B$7-$T586&gt;2,"Arquivada",IF(Config!$B$7-$T586&gt;0,"Histórico","Ativa")))</f>
        <v/>
      </c>
      <c r="AA586" s="14">
        <f>IF($A586="",0,IF(AND(OR($F586="Ponto de atenção",$F586="Incidente"),$L586="Sim"),1,0))</f>
        <v/>
      </c>
      <c r="AB586" s="14">
        <f>IF(OR($C586="",$C586&lt;&gt;'1a1'!$B$4,$T586&lt;&gt;Config!$B$7),"",COUNTIFS($C$5:$C586,'1a1'!$B$4,$T$5:$T586,Config!$B$7))</f>
        <v/>
      </c>
    </row>
    <row r="587">
      <c r="A587" s="18" t="n"/>
      <c r="B587" s="19" t="n"/>
      <c r="C587" s="14">
        <f>IFERROR(INDEX(Pessoas!$A$5:$A$64,MATCH($B587,Pessoas!$B$5:$B$64,0)),"")</f>
        <v/>
      </c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8" t="n"/>
      <c r="N587" s="19" t="n"/>
      <c r="O587" s="19" t="n"/>
      <c r="P587" s="19" t="n"/>
      <c r="Q587" s="20">
        <f>IF(OR($M587="",$P587=""),"",$M587+IF($P587="7 dias",7,IF($P587="14 dias",14,90)))</f>
        <v/>
      </c>
      <c r="R587" s="19" t="n"/>
      <c r="S587" s="19" t="n"/>
      <c r="T587" s="14">
        <f>IF($A587="","",YEAR($A587)*4+ROUNDUP(MONTH($A587)/3,0))</f>
        <v/>
      </c>
      <c r="U587" s="14">
        <f>IF($C587="","",$C587&amp;"|"&amp;$T587)</f>
        <v/>
      </c>
      <c r="V587" s="14">
        <f>IF($C587="","",$C587&amp;"|"&amp;$T587&amp;"|"&amp;$G587)</f>
        <v/>
      </c>
      <c r="W587" s="14">
        <f>IF($A587="","",IF(OR($B587="",$F587="",$G587="",$H587="",$I587=""),"Faltam campos básicos",IF(AND(OR($F587="Ponto de atenção",$F587="Incidente"),OR($K587="",$L587="",$O587="",$P587="")),"Faltam campos de sinalização","OK")))</f>
        <v/>
      </c>
      <c r="X587" s="14">
        <f>IF($A587="","",IF(AND(OR($F587="Ponto de atenção",$F587="Incidente"),$L587&lt;&gt;"Sim"),"Não",IF(AND($S587="",$W587&lt;&gt;"OK"),"Não","Sim")))</f>
        <v/>
      </c>
      <c r="Y587" s="14">
        <f>IF($C587="",0,IF(COUNTIFS($C$5:$C587,$C587,$D$5:$D587,$D587)=1,1,0))</f>
        <v/>
      </c>
      <c r="Z587" s="14">
        <f>IF($A587="","",IF(Config!$B$7-$T587&gt;2,"Arquivada",IF(Config!$B$7-$T587&gt;0,"Histórico","Ativa")))</f>
        <v/>
      </c>
      <c r="AA587" s="14">
        <f>IF($A587="",0,IF(AND(OR($F587="Ponto de atenção",$F587="Incidente"),$L587="Sim"),1,0))</f>
        <v/>
      </c>
      <c r="AB587" s="14">
        <f>IF(OR($C587="",$C587&lt;&gt;'1a1'!$B$4,$T587&lt;&gt;Config!$B$7),"",COUNTIFS($C$5:$C587,'1a1'!$B$4,$T$5:$T587,Config!$B$7))</f>
        <v/>
      </c>
    </row>
    <row r="588">
      <c r="A588" s="18" t="n"/>
      <c r="B588" s="19" t="n"/>
      <c r="C588" s="14">
        <f>IFERROR(INDEX(Pessoas!$A$5:$A$64,MATCH($B588,Pessoas!$B$5:$B$64,0)),"")</f>
        <v/>
      </c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8" t="n"/>
      <c r="N588" s="19" t="n"/>
      <c r="O588" s="19" t="n"/>
      <c r="P588" s="19" t="n"/>
      <c r="Q588" s="20">
        <f>IF(OR($M588="",$P588=""),"",$M588+IF($P588="7 dias",7,IF($P588="14 dias",14,90)))</f>
        <v/>
      </c>
      <c r="R588" s="19" t="n"/>
      <c r="S588" s="19" t="n"/>
      <c r="T588" s="14">
        <f>IF($A588="","",YEAR($A588)*4+ROUNDUP(MONTH($A588)/3,0))</f>
        <v/>
      </c>
      <c r="U588" s="14">
        <f>IF($C588="","",$C588&amp;"|"&amp;$T588)</f>
        <v/>
      </c>
      <c r="V588" s="14">
        <f>IF($C588="","",$C588&amp;"|"&amp;$T588&amp;"|"&amp;$G588)</f>
        <v/>
      </c>
      <c r="W588" s="14">
        <f>IF($A588="","",IF(OR($B588="",$F588="",$G588="",$H588="",$I588=""),"Faltam campos básicos",IF(AND(OR($F588="Ponto de atenção",$F588="Incidente"),OR($K588="",$L588="",$O588="",$P588="")),"Faltam campos de sinalização","OK")))</f>
        <v/>
      </c>
      <c r="X588" s="14">
        <f>IF($A588="","",IF(AND(OR($F588="Ponto de atenção",$F588="Incidente"),$L588&lt;&gt;"Sim"),"Não",IF(AND($S588="",$W588&lt;&gt;"OK"),"Não","Sim")))</f>
        <v/>
      </c>
      <c r="Y588" s="14">
        <f>IF($C588="",0,IF(COUNTIFS($C$5:$C588,$C588,$D$5:$D588,$D588)=1,1,0))</f>
        <v/>
      </c>
      <c r="Z588" s="14">
        <f>IF($A588="","",IF(Config!$B$7-$T588&gt;2,"Arquivada",IF(Config!$B$7-$T588&gt;0,"Histórico","Ativa")))</f>
        <v/>
      </c>
      <c r="AA588" s="14">
        <f>IF($A588="",0,IF(AND(OR($F588="Ponto de atenção",$F588="Incidente"),$L588="Sim"),1,0))</f>
        <v/>
      </c>
      <c r="AB588" s="14">
        <f>IF(OR($C588="",$C588&lt;&gt;'1a1'!$B$4,$T588&lt;&gt;Config!$B$7),"",COUNTIFS($C$5:$C588,'1a1'!$B$4,$T$5:$T588,Config!$B$7))</f>
        <v/>
      </c>
    </row>
    <row r="589">
      <c r="A589" s="18" t="n"/>
      <c r="B589" s="19" t="n"/>
      <c r="C589" s="14">
        <f>IFERROR(INDEX(Pessoas!$A$5:$A$64,MATCH($B589,Pessoas!$B$5:$B$64,0)),"")</f>
        <v/>
      </c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8" t="n"/>
      <c r="N589" s="19" t="n"/>
      <c r="O589" s="19" t="n"/>
      <c r="P589" s="19" t="n"/>
      <c r="Q589" s="20">
        <f>IF(OR($M589="",$P589=""),"",$M589+IF($P589="7 dias",7,IF($P589="14 dias",14,90)))</f>
        <v/>
      </c>
      <c r="R589" s="19" t="n"/>
      <c r="S589" s="19" t="n"/>
      <c r="T589" s="14">
        <f>IF($A589="","",YEAR($A589)*4+ROUNDUP(MONTH($A589)/3,0))</f>
        <v/>
      </c>
      <c r="U589" s="14">
        <f>IF($C589="","",$C589&amp;"|"&amp;$T589)</f>
        <v/>
      </c>
      <c r="V589" s="14">
        <f>IF($C589="","",$C589&amp;"|"&amp;$T589&amp;"|"&amp;$G589)</f>
        <v/>
      </c>
      <c r="W589" s="14">
        <f>IF($A589="","",IF(OR($B589="",$F589="",$G589="",$H589="",$I589=""),"Faltam campos básicos",IF(AND(OR($F589="Ponto de atenção",$F589="Incidente"),OR($K589="",$L589="",$O589="",$P589="")),"Faltam campos de sinalização","OK")))</f>
        <v/>
      </c>
      <c r="X589" s="14">
        <f>IF($A589="","",IF(AND(OR($F589="Ponto de atenção",$F589="Incidente"),$L589&lt;&gt;"Sim"),"Não",IF(AND($S589="",$W589&lt;&gt;"OK"),"Não","Sim")))</f>
        <v/>
      </c>
      <c r="Y589" s="14">
        <f>IF($C589="",0,IF(COUNTIFS($C$5:$C589,$C589,$D$5:$D589,$D589)=1,1,0))</f>
        <v/>
      </c>
      <c r="Z589" s="14">
        <f>IF($A589="","",IF(Config!$B$7-$T589&gt;2,"Arquivada",IF(Config!$B$7-$T589&gt;0,"Histórico","Ativa")))</f>
        <v/>
      </c>
      <c r="AA589" s="14">
        <f>IF($A589="",0,IF(AND(OR($F589="Ponto de atenção",$F589="Incidente"),$L589="Sim"),1,0))</f>
        <v/>
      </c>
      <c r="AB589" s="14">
        <f>IF(OR($C589="",$C589&lt;&gt;'1a1'!$B$4,$T589&lt;&gt;Config!$B$7),"",COUNTIFS($C$5:$C589,'1a1'!$B$4,$T$5:$T589,Config!$B$7))</f>
        <v/>
      </c>
    </row>
    <row r="590">
      <c r="A590" s="18" t="n"/>
      <c r="B590" s="19" t="n"/>
      <c r="C590" s="14">
        <f>IFERROR(INDEX(Pessoas!$A$5:$A$64,MATCH($B590,Pessoas!$B$5:$B$64,0)),"")</f>
        <v/>
      </c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8" t="n"/>
      <c r="N590" s="19" t="n"/>
      <c r="O590" s="19" t="n"/>
      <c r="P590" s="19" t="n"/>
      <c r="Q590" s="20">
        <f>IF(OR($M590="",$P590=""),"",$M590+IF($P590="7 dias",7,IF($P590="14 dias",14,90)))</f>
        <v/>
      </c>
      <c r="R590" s="19" t="n"/>
      <c r="S590" s="19" t="n"/>
      <c r="T590" s="14">
        <f>IF($A590="","",YEAR($A590)*4+ROUNDUP(MONTH($A590)/3,0))</f>
        <v/>
      </c>
      <c r="U590" s="14">
        <f>IF($C590="","",$C590&amp;"|"&amp;$T590)</f>
        <v/>
      </c>
      <c r="V590" s="14">
        <f>IF($C590="","",$C590&amp;"|"&amp;$T590&amp;"|"&amp;$G590)</f>
        <v/>
      </c>
      <c r="W590" s="14">
        <f>IF($A590="","",IF(OR($B590="",$F590="",$G590="",$H590="",$I590=""),"Faltam campos básicos",IF(AND(OR($F590="Ponto de atenção",$F590="Incidente"),OR($K590="",$L590="",$O590="",$P590="")),"Faltam campos de sinalização","OK")))</f>
        <v/>
      </c>
      <c r="X590" s="14">
        <f>IF($A590="","",IF(AND(OR($F590="Ponto de atenção",$F590="Incidente"),$L590&lt;&gt;"Sim"),"Não",IF(AND($S590="",$W590&lt;&gt;"OK"),"Não","Sim")))</f>
        <v/>
      </c>
      <c r="Y590" s="14">
        <f>IF($C590="",0,IF(COUNTIFS($C$5:$C590,$C590,$D$5:$D590,$D590)=1,1,0))</f>
        <v/>
      </c>
      <c r="Z590" s="14">
        <f>IF($A590="","",IF(Config!$B$7-$T590&gt;2,"Arquivada",IF(Config!$B$7-$T590&gt;0,"Histórico","Ativa")))</f>
        <v/>
      </c>
      <c r="AA590" s="14">
        <f>IF($A590="",0,IF(AND(OR($F590="Ponto de atenção",$F590="Incidente"),$L590="Sim"),1,0))</f>
        <v/>
      </c>
      <c r="AB590" s="14">
        <f>IF(OR($C590="",$C590&lt;&gt;'1a1'!$B$4,$T590&lt;&gt;Config!$B$7),"",COUNTIFS($C$5:$C590,'1a1'!$B$4,$T$5:$T590,Config!$B$7))</f>
        <v/>
      </c>
    </row>
    <row r="591">
      <c r="A591" s="18" t="n"/>
      <c r="B591" s="19" t="n"/>
      <c r="C591" s="14">
        <f>IFERROR(INDEX(Pessoas!$A$5:$A$64,MATCH($B591,Pessoas!$B$5:$B$64,0)),"")</f>
        <v/>
      </c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8" t="n"/>
      <c r="N591" s="19" t="n"/>
      <c r="O591" s="19" t="n"/>
      <c r="P591" s="19" t="n"/>
      <c r="Q591" s="20">
        <f>IF(OR($M591="",$P591=""),"",$M591+IF($P591="7 dias",7,IF($P591="14 dias",14,90)))</f>
        <v/>
      </c>
      <c r="R591" s="19" t="n"/>
      <c r="S591" s="19" t="n"/>
      <c r="T591" s="14">
        <f>IF($A591="","",YEAR($A591)*4+ROUNDUP(MONTH($A591)/3,0))</f>
        <v/>
      </c>
      <c r="U591" s="14">
        <f>IF($C591="","",$C591&amp;"|"&amp;$T591)</f>
        <v/>
      </c>
      <c r="V591" s="14">
        <f>IF($C591="","",$C591&amp;"|"&amp;$T591&amp;"|"&amp;$G591)</f>
        <v/>
      </c>
      <c r="W591" s="14">
        <f>IF($A591="","",IF(OR($B591="",$F591="",$G591="",$H591="",$I591=""),"Faltam campos básicos",IF(AND(OR($F591="Ponto de atenção",$F591="Incidente"),OR($K591="",$L591="",$O591="",$P591="")),"Faltam campos de sinalização","OK")))</f>
        <v/>
      </c>
      <c r="X591" s="14">
        <f>IF($A591="","",IF(AND(OR($F591="Ponto de atenção",$F591="Incidente"),$L591&lt;&gt;"Sim"),"Não",IF(AND($S591="",$W591&lt;&gt;"OK"),"Não","Sim")))</f>
        <v/>
      </c>
      <c r="Y591" s="14">
        <f>IF($C591="",0,IF(COUNTIFS($C$5:$C591,$C591,$D$5:$D591,$D591)=1,1,0))</f>
        <v/>
      </c>
      <c r="Z591" s="14">
        <f>IF($A591="","",IF(Config!$B$7-$T591&gt;2,"Arquivada",IF(Config!$B$7-$T591&gt;0,"Histórico","Ativa")))</f>
        <v/>
      </c>
      <c r="AA591" s="14">
        <f>IF($A591="",0,IF(AND(OR($F591="Ponto de atenção",$F591="Incidente"),$L591="Sim"),1,0))</f>
        <v/>
      </c>
      <c r="AB591" s="14">
        <f>IF(OR($C591="",$C591&lt;&gt;'1a1'!$B$4,$T591&lt;&gt;Config!$B$7),"",COUNTIFS($C$5:$C591,'1a1'!$B$4,$T$5:$T591,Config!$B$7))</f>
        <v/>
      </c>
    </row>
    <row r="592">
      <c r="A592" s="18" t="n"/>
      <c r="B592" s="19" t="n"/>
      <c r="C592" s="14">
        <f>IFERROR(INDEX(Pessoas!$A$5:$A$64,MATCH($B592,Pessoas!$B$5:$B$64,0)),"")</f>
        <v/>
      </c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8" t="n"/>
      <c r="N592" s="19" t="n"/>
      <c r="O592" s="19" t="n"/>
      <c r="P592" s="19" t="n"/>
      <c r="Q592" s="20">
        <f>IF(OR($M592="",$P592=""),"",$M592+IF($P592="7 dias",7,IF($P592="14 dias",14,90)))</f>
        <v/>
      </c>
      <c r="R592" s="19" t="n"/>
      <c r="S592" s="19" t="n"/>
      <c r="T592" s="14">
        <f>IF($A592="","",YEAR($A592)*4+ROUNDUP(MONTH($A592)/3,0))</f>
        <v/>
      </c>
      <c r="U592" s="14">
        <f>IF($C592="","",$C592&amp;"|"&amp;$T592)</f>
        <v/>
      </c>
      <c r="V592" s="14">
        <f>IF($C592="","",$C592&amp;"|"&amp;$T592&amp;"|"&amp;$G592)</f>
        <v/>
      </c>
      <c r="W592" s="14">
        <f>IF($A592="","",IF(OR($B592="",$F592="",$G592="",$H592="",$I592=""),"Faltam campos básicos",IF(AND(OR($F592="Ponto de atenção",$F592="Incidente"),OR($K592="",$L592="",$O592="",$P592="")),"Faltam campos de sinalização","OK")))</f>
        <v/>
      </c>
      <c r="X592" s="14">
        <f>IF($A592="","",IF(AND(OR($F592="Ponto de atenção",$F592="Incidente"),$L592&lt;&gt;"Sim"),"Não",IF(AND($S592="",$W592&lt;&gt;"OK"),"Não","Sim")))</f>
        <v/>
      </c>
      <c r="Y592" s="14">
        <f>IF($C592="",0,IF(COUNTIFS($C$5:$C592,$C592,$D$5:$D592,$D592)=1,1,0))</f>
        <v/>
      </c>
      <c r="Z592" s="14">
        <f>IF($A592="","",IF(Config!$B$7-$T592&gt;2,"Arquivada",IF(Config!$B$7-$T592&gt;0,"Histórico","Ativa")))</f>
        <v/>
      </c>
      <c r="AA592" s="14">
        <f>IF($A592="",0,IF(AND(OR($F592="Ponto de atenção",$F592="Incidente"),$L592="Sim"),1,0))</f>
        <v/>
      </c>
      <c r="AB592" s="14">
        <f>IF(OR($C592="",$C592&lt;&gt;'1a1'!$B$4,$T592&lt;&gt;Config!$B$7),"",COUNTIFS($C$5:$C592,'1a1'!$B$4,$T$5:$T592,Config!$B$7))</f>
        <v/>
      </c>
    </row>
    <row r="593">
      <c r="A593" s="18" t="n"/>
      <c r="B593" s="19" t="n"/>
      <c r="C593" s="14">
        <f>IFERROR(INDEX(Pessoas!$A$5:$A$64,MATCH($B593,Pessoas!$B$5:$B$64,0)),"")</f>
        <v/>
      </c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8" t="n"/>
      <c r="N593" s="19" t="n"/>
      <c r="O593" s="19" t="n"/>
      <c r="P593" s="19" t="n"/>
      <c r="Q593" s="20">
        <f>IF(OR($M593="",$P593=""),"",$M593+IF($P593="7 dias",7,IF($P593="14 dias",14,90)))</f>
        <v/>
      </c>
      <c r="R593" s="19" t="n"/>
      <c r="S593" s="19" t="n"/>
      <c r="T593" s="14">
        <f>IF($A593="","",YEAR($A593)*4+ROUNDUP(MONTH($A593)/3,0))</f>
        <v/>
      </c>
      <c r="U593" s="14">
        <f>IF($C593="","",$C593&amp;"|"&amp;$T593)</f>
        <v/>
      </c>
      <c r="V593" s="14">
        <f>IF($C593="","",$C593&amp;"|"&amp;$T593&amp;"|"&amp;$G593)</f>
        <v/>
      </c>
      <c r="W593" s="14">
        <f>IF($A593="","",IF(OR($B593="",$F593="",$G593="",$H593="",$I593=""),"Faltam campos básicos",IF(AND(OR($F593="Ponto de atenção",$F593="Incidente"),OR($K593="",$L593="",$O593="",$P593="")),"Faltam campos de sinalização","OK")))</f>
        <v/>
      </c>
      <c r="X593" s="14">
        <f>IF($A593="","",IF(AND(OR($F593="Ponto de atenção",$F593="Incidente"),$L593&lt;&gt;"Sim"),"Não",IF(AND($S593="",$W593&lt;&gt;"OK"),"Não","Sim")))</f>
        <v/>
      </c>
      <c r="Y593" s="14">
        <f>IF($C593="",0,IF(COUNTIFS($C$5:$C593,$C593,$D$5:$D593,$D593)=1,1,0))</f>
        <v/>
      </c>
      <c r="Z593" s="14">
        <f>IF($A593="","",IF(Config!$B$7-$T593&gt;2,"Arquivada",IF(Config!$B$7-$T593&gt;0,"Histórico","Ativa")))</f>
        <v/>
      </c>
      <c r="AA593" s="14">
        <f>IF($A593="",0,IF(AND(OR($F593="Ponto de atenção",$F593="Incidente"),$L593="Sim"),1,0))</f>
        <v/>
      </c>
      <c r="AB593" s="14">
        <f>IF(OR($C593="",$C593&lt;&gt;'1a1'!$B$4,$T593&lt;&gt;Config!$B$7),"",COUNTIFS($C$5:$C593,'1a1'!$B$4,$T$5:$T593,Config!$B$7))</f>
        <v/>
      </c>
    </row>
    <row r="594">
      <c r="A594" s="18" t="n"/>
      <c r="B594" s="19" t="n"/>
      <c r="C594" s="14">
        <f>IFERROR(INDEX(Pessoas!$A$5:$A$64,MATCH($B594,Pessoas!$B$5:$B$64,0)),"")</f>
        <v/>
      </c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8" t="n"/>
      <c r="N594" s="19" t="n"/>
      <c r="O594" s="19" t="n"/>
      <c r="P594" s="19" t="n"/>
      <c r="Q594" s="20">
        <f>IF(OR($M594="",$P594=""),"",$M594+IF($P594="7 dias",7,IF($P594="14 dias",14,90)))</f>
        <v/>
      </c>
      <c r="R594" s="19" t="n"/>
      <c r="S594" s="19" t="n"/>
      <c r="T594" s="14">
        <f>IF($A594="","",YEAR($A594)*4+ROUNDUP(MONTH($A594)/3,0))</f>
        <v/>
      </c>
      <c r="U594" s="14">
        <f>IF($C594="","",$C594&amp;"|"&amp;$T594)</f>
        <v/>
      </c>
      <c r="V594" s="14">
        <f>IF($C594="","",$C594&amp;"|"&amp;$T594&amp;"|"&amp;$G594)</f>
        <v/>
      </c>
      <c r="W594" s="14">
        <f>IF($A594="","",IF(OR($B594="",$F594="",$G594="",$H594="",$I594=""),"Faltam campos básicos",IF(AND(OR($F594="Ponto de atenção",$F594="Incidente"),OR($K594="",$L594="",$O594="",$P594="")),"Faltam campos de sinalização","OK")))</f>
        <v/>
      </c>
      <c r="X594" s="14">
        <f>IF($A594="","",IF(AND(OR($F594="Ponto de atenção",$F594="Incidente"),$L594&lt;&gt;"Sim"),"Não",IF(AND($S594="",$W594&lt;&gt;"OK"),"Não","Sim")))</f>
        <v/>
      </c>
      <c r="Y594" s="14">
        <f>IF($C594="",0,IF(COUNTIFS($C$5:$C594,$C594,$D$5:$D594,$D594)=1,1,0))</f>
        <v/>
      </c>
      <c r="Z594" s="14">
        <f>IF($A594="","",IF(Config!$B$7-$T594&gt;2,"Arquivada",IF(Config!$B$7-$T594&gt;0,"Histórico","Ativa")))</f>
        <v/>
      </c>
      <c r="AA594" s="14">
        <f>IF($A594="",0,IF(AND(OR($F594="Ponto de atenção",$F594="Incidente"),$L594="Sim"),1,0))</f>
        <v/>
      </c>
      <c r="AB594" s="14">
        <f>IF(OR($C594="",$C594&lt;&gt;'1a1'!$B$4,$T594&lt;&gt;Config!$B$7),"",COUNTIFS($C$5:$C594,'1a1'!$B$4,$T$5:$T594,Config!$B$7))</f>
        <v/>
      </c>
    </row>
    <row r="595">
      <c r="A595" s="18" t="n"/>
      <c r="B595" s="19" t="n"/>
      <c r="C595" s="14">
        <f>IFERROR(INDEX(Pessoas!$A$5:$A$64,MATCH($B595,Pessoas!$B$5:$B$64,0)),"")</f>
        <v/>
      </c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8" t="n"/>
      <c r="N595" s="19" t="n"/>
      <c r="O595" s="19" t="n"/>
      <c r="P595" s="19" t="n"/>
      <c r="Q595" s="20">
        <f>IF(OR($M595="",$P595=""),"",$M595+IF($P595="7 dias",7,IF($P595="14 dias",14,90)))</f>
        <v/>
      </c>
      <c r="R595" s="19" t="n"/>
      <c r="S595" s="19" t="n"/>
      <c r="T595" s="14">
        <f>IF($A595="","",YEAR($A595)*4+ROUNDUP(MONTH($A595)/3,0))</f>
        <v/>
      </c>
      <c r="U595" s="14">
        <f>IF($C595="","",$C595&amp;"|"&amp;$T595)</f>
        <v/>
      </c>
      <c r="V595" s="14">
        <f>IF($C595="","",$C595&amp;"|"&amp;$T595&amp;"|"&amp;$G595)</f>
        <v/>
      </c>
      <c r="W595" s="14">
        <f>IF($A595="","",IF(OR($B595="",$F595="",$G595="",$H595="",$I595=""),"Faltam campos básicos",IF(AND(OR($F595="Ponto de atenção",$F595="Incidente"),OR($K595="",$L595="",$O595="",$P595="")),"Faltam campos de sinalização","OK")))</f>
        <v/>
      </c>
      <c r="X595" s="14">
        <f>IF($A595="","",IF(AND(OR($F595="Ponto de atenção",$F595="Incidente"),$L595&lt;&gt;"Sim"),"Não",IF(AND($S595="",$W595&lt;&gt;"OK"),"Não","Sim")))</f>
        <v/>
      </c>
      <c r="Y595" s="14">
        <f>IF($C595="",0,IF(COUNTIFS($C$5:$C595,$C595,$D$5:$D595,$D595)=1,1,0))</f>
        <v/>
      </c>
      <c r="Z595" s="14">
        <f>IF($A595="","",IF(Config!$B$7-$T595&gt;2,"Arquivada",IF(Config!$B$7-$T595&gt;0,"Histórico","Ativa")))</f>
        <v/>
      </c>
      <c r="AA595" s="14">
        <f>IF($A595="",0,IF(AND(OR($F595="Ponto de atenção",$F595="Incidente"),$L595="Sim"),1,0))</f>
        <v/>
      </c>
      <c r="AB595" s="14">
        <f>IF(OR($C595="",$C595&lt;&gt;'1a1'!$B$4,$T595&lt;&gt;Config!$B$7),"",COUNTIFS($C$5:$C595,'1a1'!$B$4,$T$5:$T595,Config!$B$7))</f>
        <v/>
      </c>
    </row>
    <row r="596">
      <c r="A596" s="18" t="n"/>
      <c r="B596" s="19" t="n"/>
      <c r="C596" s="14">
        <f>IFERROR(INDEX(Pessoas!$A$5:$A$64,MATCH($B596,Pessoas!$B$5:$B$64,0)),"")</f>
        <v/>
      </c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8" t="n"/>
      <c r="N596" s="19" t="n"/>
      <c r="O596" s="19" t="n"/>
      <c r="P596" s="19" t="n"/>
      <c r="Q596" s="20">
        <f>IF(OR($M596="",$P596=""),"",$M596+IF($P596="7 dias",7,IF($P596="14 dias",14,90)))</f>
        <v/>
      </c>
      <c r="R596" s="19" t="n"/>
      <c r="S596" s="19" t="n"/>
      <c r="T596" s="14">
        <f>IF($A596="","",YEAR($A596)*4+ROUNDUP(MONTH($A596)/3,0))</f>
        <v/>
      </c>
      <c r="U596" s="14">
        <f>IF($C596="","",$C596&amp;"|"&amp;$T596)</f>
        <v/>
      </c>
      <c r="V596" s="14">
        <f>IF($C596="","",$C596&amp;"|"&amp;$T596&amp;"|"&amp;$G596)</f>
        <v/>
      </c>
      <c r="W596" s="14">
        <f>IF($A596="","",IF(OR($B596="",$F596="",$G596="",$H596="",$I596=""),"Faltam campos básicos",IF(AND(OR($F596="Ponto de atenção",$F596="Incidente"),OR($K596="",$L596="",$O596="",$P596="")),"Faltam campos de sinalização","OK")))</f>
        <v/>
      </c>
      <c r="X596" s="14">
        <f>IF($A596="","",IF(AND(OR($F596="Ponto de atenção",$F596="Incidente"),$L596&lt;&gt;"Sim"),"Não",IF(AND($S596="",$W596&lt;&gt;"OK"),"Não","Sim")))</f>
        <v/>
      </c>
      <c r="Y596" s="14">
        <f>IF($C596="",0,IF(COUNTIFS($C$5:$C596,$C596,$D$5:$D596,$D596)=1,1,0))</f>
        <v/>
      </c>
      <c r="Z596" s="14">
        <f>IF($A596="","",IF(Config!$B$7-$T596&gt;2,"Arquivada",IF(Config!$B$7-$T596&gt;0,"Histórico","Ativa")))</f>
        <v/>
      </c>
      <c r="AA596" s="14">
        <f>IF($A596="",0,IF(AND(OR($F596="Ponto de atenção",$F596="Incidente"),$L596="Sim"),1,0))</f>
        <v/>
      </c>
      <c r="AB596" s="14">
        <f>IF(OR($C596="",$C596&lt;&gt;'1a1'!$B$4,$T596&lt;&gt;Config!$B$7),"",COUNTIFS($C$5:$C596,'1a1'!$B$4,$T$5:$T596,Config!$B$7))</f>
        <v/>
      </c>
    </row>
    <row r="597">
      <c r="A597" s="18" t="n"/>
      <c r="B597" s="19" t="n"/>
      <c r="C597" s="14">
        <f>IFERROR(INDEX(Pessoas!$A$5:$A$64,MATCH($B597,Pessoas!$B$5:$B$64,0)),"")</f>
        <v/>
      </c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8" t="n"/>
      <c r="N597" s="19" t="n"/>
      <c r="O597" s="19" t="n"/>
      <c r="P597" s="19" t="n"/>
      <c r="Q597" s="20">
        <f>IF(OR($M597="",$P597=""),"",$M597+IF($P597="7 dias",7,IF($P597="14 dias",14,90)))</f>
        <v/>
      </c>
      <c r="R597" s="19" t="n"/>
      <c r="S597" s="19" t="n"/>
      <c r="T597" s="14">
        <f>IF($A597="","",YEAR($A597)*4+ROUNDUP(MONTH($A597)/3,0))</f>
        <v/>
      </c>
      <c r="U597" s="14">
        <f>IF($C597="","",$C597&amp;"|"&amp;$T597)</f>
        <v/>
      </c>
      <c r="V597" s="14">
        <f>IF($C597="","",$C597&amp;"|"&amp;$T597&amp;"|"&amp;$G597)</f>
        <v/>
      </c>
      <c r="W597" s="14">
        <f>IF($A597="","",IF(OR($B597="",$F597="",$G597="",$H597="",$I597=""),"Faltam campos básicos",IF(AND(OR($F597="Ponto de atenção",$F597="Incidente"),OR($K597="",$L597="",$O597="",$P597="")),"Faltam campos de sinalização","OK")))</f>
        <v/>
      </c>
      <c r="X597" s="14">
        <f>IF($A597="","",IF(AND(OR($F597="Ponto de atenção",$F597="Incidente"),$L597&lt;&gt;"Sim"),"Não",IF(AND($S597="",$W597&lt;&gt;"OK"),"Não","Sim")))</f>
        <v/>
      </c>
      <c r="Y597" s="14">
        <f>IF($C597="",0,IF(COUNTIFS($C$5:$C597,$C597,$D$5:$D597,$D597)=1,1,0))</f>
        <v/>
      </c>
      <c r="Z597" s="14">
        <f>IF($A597="","",IF(Config!$B$7-$T597&gt;2,"Arquivada",IF(Config!$B$7-$T597&gt;0,"Histórico","Ativa")))</f>
        <v/>
      </c>
      <c r="AA597" s="14">
        <f>IF($A597="",0,IF(AND(OR($F597="Ponto de atenção",$F597="Incidente"),$L597="Sim"),1,0))</f>
        <v/>
      </c>
      <c r="AB597" s="14">
        <f>IF(OR($C597="",$C597&lt;&gt;'1a1'!$B$4,$T597&lt;&gt;Config!$B$7),"",COUNTIFS($C$5:$C597,'1a1'!$B$4,$T$5:$T597,Config!$B$7))</f>
        <v/>
      </c>
    </row>
    <row r="598">
      <c r="A598" s="18" t="n"/>
      <c r="B598" s="19" t="n"/>
      <c r="C598" s="14">
        <f>IFERROR(INDEX(Pessoas!$A$5:$A$64,MATCH($B598,Pessoas!$B$5:$B$64,0)),"")</f>
        <v/>
      </c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8" t="n"/>
      <c r="N598" s="19" t="n"/>
      <c r="O598" s="19" t="n"/>
      <c r="P598" s="19" t="n"/>
      <c r="Q598" s="20">
        <f>IF(OR($M598="",$P598=""),"",$M598+IF($P598="7 dias",7,IF($P598="14 dias",14,90)))</f>
        <v/>
      </c>
      <c r="R598" s="19" t="n"/>
      <c r="S598" s="19" t="n"/>
      <c r="T598" s="14">
        <f>IF($A598="","",YEAR($A598)*4+ROUNDUP(MONTH($A598)/3,0))</f>
        <v/>
      </c>
      <c r="U598" s="14">
        <f>IF($C598="","",$C598&amp;"|"&amp;$T598)</f>
        <v/>
      </c>
      <c r="V598" s="14">
        <f>IF($C598="","",$C598&amp;"|"&amp;$T598&amp;"|"&amp;$G598)</f>
        <v/>
      </c>
      <c r="W598" s="14">
        <f>IF($A598="","",IF(OR($B598="",$F598="",$G598="",$H598="",$I598=""),"Faltam campos básicos",IF(AND(OR($F598="Ponto de atenção",$F598="Incidente"),OR($K598="",$L598="",$O598="",$P598="")),"Faltam campos de sinalização","OK")))</f>
        <v/>
      </c>
      <c r="X598" s="14">
        <f>IF($A598="","",IF(AND(OR($F598="Ponto de atenção",$F598="Incidente"),$L598&lt;&gt;"Sim"),"Não",IF(AND($S598="",$W598&lt;&gt;"OK"),"Não","Sim")))</f>
        <v/>
      </c>
      <c r="Y598" s="14">
        <f>IF($C598="",0,IF(COUNTIFS($C$5:$C598,$C598,$D$5:$D598,$D598)=1,1,0))</f>
        <v/>
      </c>
      <c r="Z598" s="14">
        <f>IF($A598="","",IF(Config!$B$7-$T598&gt;2,"Arquivada",IF(Config!$B$7-$T598&gt;0,"Histórico","Ativa")))</f>
        <v/>
      </c>
      <c r="AA598" s="14">
        <f>IF($A598="",0,IF(AND(OR($F598="Ponto de atenção",$F598="Incidente"),$L598="Sim"),1,0))</f>
        <v/>
      </c>
      <c r="AB598" s="14">
        <f>IF(OR($C598="",$C598&lt;&gt;'1a1'!$B$4,$T598&lt;&gt;Config!$B$7),"",COUNTIFS($C$5:$C598,'1a1'!$B$4,$T$5:$T598,Config!$B$7))</f>
        <v/>
      </c>
    </row>
    <row r="599">
      <c r="A599" s="18" t="n"/>
      <c r="B599" s="19" t="n"/>
      <c r="C599" s="14">
        <f>IFERROR(INDEX(Pessoas!$A$5:$A$64,MATCH($B599,Pessoas!$B$5:$B$64,0)),"")</f>
        <v/>
      </c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8" t="n"/>
      <c r="N599" s="19" t="n"/>
      <c r="O599" s="19" t="n"/>
      <c r="P599" s="19" t="n"/>
      <c r="Q599" s="20">
        <f>IF(OR($M599="",$P599=""),"",$M599+IF($P599="7 dias",7,IF($P599="14 dias",14,90)))</f>
        <v/>
      </c>
      <c r="R599" s="19" t="n"/>
      <c r="S599" s="19" t="n"/>
      <c r="T599" s="14">
        <f>IF($A599="","",YEAR($A599)*4+ROUNDUP(MONTH($A599)/3,0))</f>
        <v/>
      </c>
      <c r="U599" s="14">
        <f>IF($C599="","",$C599&amp;"|"&amp;$T599)</f>
        <v/>
      </c>
      <c r="V599" s="14">
        <f>IF($C599="","",$C599&amp;"|"&amp;$T599&amp;"|"&amp;$G599)</f>
        <v/>
      </c>
      <c r="W599" s="14">
        <f>IF($A599="","",IF(OR($B599="",$F599="",$G599="",$H599="",$I599=""),"Faltam campos básicos",IF(AND(OR($F599="Ponto de atenção",$F599="Incidente"),OR($K599="",$L599="",$O599="",$P599="")),"Faltam campos de sinalização","OK")))</f>
        <v/>
      </c>
      <c r="X599" s="14">
        <f>IF($A599="","",IF(AND(OR($F599="Ponto de atenção",$F599="Incidente"),$L599&lt;&gt;"Sim"),"Não",IF(AND($S599="",$W599&lt;&gt;"OK"),"Não","Sim")))</f>
        <v/>
      </c>
      <c r="Y599" s="14">
        <f>IF($C599="",0,IF(COUNTIFS($C$5:$C599,$C599,$D$5:$D599,$D599)=1,1,0))</f>
        <v/>
      </c>
      <c r="Z599" s="14">
        <f>IF($A599="","",IF(Config!$B$7-$T599&gt;2,"Arquivada",IF(Config!$B$7-$T599&gt;0,"Histórico","Ativa")))</f>
        <v/>
      </c>
      <c r="AA599" s="14">
        <f>IF($A599="",0,IF(AND(OR($F599="Ponto de atenção",$F599="Incidente"),$L599="Sim"),1,0))</f>
        <v/>
      </c>
      <c r="AB599" s="14">
        <f>IF(OR($C599="",$C599&lt;&gt;'1a1'!$B$4,$T599&lt;&gt;Config!$B$7),"",COUNTIFS($C$5:$C599,'1a1'!$B$4,$T$5:$T599,Config!$B$7))</f>
        <v/>
      </c>
    </row>
    <row r="600">
      <c r="A600" s="18" t="n"/>
      <c r="B600" s="19" t="n"/>
      <c r="C600" s="14">
        <f>IFERROR(INDEX(Pessoas!$A$5:$A$64,MATCH($B600,Pessoas!$B$5:$B$64,0)),"")</f>
        <v/>
      </c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8" t="n"/>
      <c r="N600" s="19" t="n"/>
      <c r="O600" s="19" t="n"/>
      <c r="P600" s="19" t="n"/>
      <c r="Q600" s="20">
        <f>IF(OR($M600="",$P600=""),"",$M600+IF($P600="7 dias",7,IF($P600="14 dias",14,90)))</f>
        <v/>
      </c>
      <c r="R600" s="19" t="n"/>
      <c r="S600" s="19" t="n"/>
      <c r="T600" s="14">
        <f>IF($A600="","",YEAR($A600)*4+ROUNDUP(MONTH($A600)/3,0))</f>
        <v/>
      </c>
      <c r="U600" s="14">
        <f>IF($C600="","",$C600&amp;"|"&amp;$T600)</f>
        <v/>
      </c>
      <c r="V600" s="14">
        <f>IF($C600="","",$C600&amp;"|"&amp;$T600&amp;"|"&amp;$G600)</f>
        <v/>
      </c>
      <c r="W600" s="14">
        <f>IF($A600="","",IF(OR($B600="",$F600="",$G600="",$H600="",$I600=""),"Faltam campos básicos",IF(AND(OR($F600="Ponto de atenção",$F600="Incidente"),OR($K600="",$L600="",$O600="",$P600="")),"Faltam campos de sinalização","OK")))</f>
        <v/>
      </c>
      <c r="X600" s="14">
        <f>IF($A600="","",IF(AND(OR($F600="Ponto de atenção",$F600="Incidente"),$L600&lt;&gt;"Sim"),"Não",IF(AND($S600="",$W600&lt;&gt;"OK"),"Não","Sim")))</f>
        <v/>
      </c>
      <c r="Y600" s="14">
        <f>IF($C600="",0,IF(COUNTIFS($C$5:$C600,$C600,$D$5:$D600,$D600)=1,1,0))</f>
        <v/>
      </c>
      <c r="Z600" s="14">
        <f>IF($A600="","",IF(Config!$B$7-$T600&gt;2,"Arquivada",IF(Config!$B$7-$T600&gt;0,"Histórico","Ativa")))</f>
        <v/>
      </c>
      <c r="AA600" s="14">
        <f>IF($A600="",0,IF(AND(OR($F600="Ponto de atenção",$F600="Incidente"),$L600="Sim"),1,0))</f>
        <v/>
      </c>
      <c r="AB600" s="14">
        <f>IF(OR($C600="",$C600&lt;&gt;'1a1'!$B$4,$T600&lt;&gt;Config!$B$7),"",COUNTIFS($C$5:$C600,'1a1'!$B$4,$T$5:$T600,Config!$B$7))</f>
        <v/>
      </c>
    </row>
    <row r="601">
      <c r="A601" s="18" t="n"/>
      <c r="B601" s="19" t="n"/>
      <c r="C601" s="14">
        <f>IFERROR(INDEX(Pessoas!$A$5:$A$64,MATCH($B601,Pessoas!$B$5:$B$64,0)),"")</f>
        <v/>
      </c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8" t="n"/>
      <c r="N601" s="19" t="n"/>
      <c r="O601" s="19" t="n"/>
      <c r="P601" s="19" t="n"/>
      <c r="Q601" s="20">
        <f>IF(OR($M601="",$P601=""),"",$M601+IF($P601="7 dias",7,IF($P601="14 dias",14,90)))</f>
        <v/>
      </c>
      <c r="R601" s="19" t="n"/>
      <c r="S601" s="19" t="n"/>
      <c r="T601" s="14">
        <f>IF($A601="","",YEAR($A601)*4+ROUNDUP(MONTH($A601)/3,0))</f>
        <v/>
      </c>
      <c r="U601" s="14">
        <f>IF($C601="","",$C601&amp;"|"&amp;$T601)</f>
        <v/>
      </c>
      <c r="V601" s="14">
        <f>IF($C601="","",$C601&amp;"|"&amp;$T601&amp;"|"&amp;$G601)</f>
        <v/>
      </c>
      <c r="W601" s="14">
        <f>IF($A601="","",IF(OR($B601="",$F601="",$G601="",$H601="",$I601=""),"Faltam campos básicos",IF(AND(OR($F601="Ponto de atenção",$F601="Incidente"),OR($K601="",$L601="",$O601="",$P601="")),"Faltam campos de sinalização","OK")))</f>
        <v/>
      </c>
      <c r="X601" s="14">
        <f>IF($A601="","",IF(AND(OR($F601="Ponto de atenção",$F601="Incidente"),$L601&lt;&gt;"Sim"),"Não",IF(AND($S601="",$W601&lt;&gt;"OK"),"Não","Sim")))</f>
        <v/>
      </c>
      <c r="Y601" s="14">
        <f>IF($C601="",0,IF(COUNTIFS($C$5:$C601,$C601,$D$5:$D601,$D601)=1,1,0))</f>
        <v/>
      </c>
      <c r="Z601" s="14">
        <f>IF($A601="","",IF(Config!$B$7-$T601&gt;2,"Arquivada",IF(Config!$B$7-$T601&gt;0,"Histórico","Ativa")))</f>
        <v/>
      </c>
      <c r="AA601" s="14">
        <f>IF($A601="",0,IF(AND(OR($F601="Ponto de atenção",$F601="Incidente"),$L601="Sim"),1,0))</f>
        <v/>
      </c>
      <c r="AB601" s="14">
        <f>IF(OR($C601="",$C601&lt;&gt;'1a1'!$B$4,$T601&lt;&gt;Config!$B$7),"",COUNTIFS($C$5:$C601,'1a1'!$B$4,$T$5:$T601,Config!$B$7))</f>
        <v/>
      </c>
    </row>
    <row r="602">
      <c r="A602" s="18" t="n"/>
      <c r="B602" s="19" t="n"/>
      <c r="C602" s="14">
        <f>IFERROR(INDEX(Pessoas!$A$5:$A$64,MATCH($B602,Pessoas!$B$5:$B$64,0)),"")</f>
        <v/>
      </c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8" t="n"/>
      <c r="N602" s="19" t="n"/>
      <c r="O602" s="19" t="n"/>
      <c r="P602" s="19" t="n"/>
      <c r="Q602" s="20">
        <f>IF(OR($M602="",$P602=""),"",$M602+IF($P602="7 dias",7,IF($P602="14 dias",14,90)))</f>
        <v/>
      </c>
      <c r="R602" s="19" t="n"/>
      <c r="S602" s="19" t="n"/>
      <c r="T602" s="14">
        <f>IF($A602="","",YEAR($A602)*4+ROUNDUP(MONTH($A602)/3,0))</f>
        <v/>
      </c>
      <c r="U602" s="14">
        <f>IF($C602="","",$C602&amp;"|"&amp;$T602)</f>
        <v/>
      </c>
      <c r="V602" s="14">
        <f>IF($C602="","",$C602&amp;"|"&amp;$T602&amp;"|"&amp;$G602)</f>
        <v/>
      </c>
      <c r="W602" s="14">
        <f>IF($A602="","",IF(OR($B602="",$F602="",$G602="",$H602="",$I602=""),"Faltam campos básicos",IF(AND(OR($F602="Ponto de atenção",$F602="Incidente"),OR($K602="",$L602="",$O602="",$P602="")),"Faltam campos de sinalização","OK")))</f>
        <v/>
      </c>
      <c r="X602" s="14">
        <f>IF($A602="","",IF(AND(OR($F602="Ponto de atenção",$F602="Incidente"),$L602&lt;&gt;"Sim"),"Não",IF(AND($S602="",$W602&lt;&gt;"OK"),"Não","Sim")))</f>
        <v/>
      </c>
      <c r="Y602" s="14">
        <f>IF($C602="",0,IF(COUNTIFS($C$5:$C602,$C602,$D$5:$D602,$D602)=1,1,0))</f>
        <v/>
      </c>
      <c r="Z602" s="14">
        <f>IF($A602="","",IF(Config!$B$7-$T602&gt;2,"Arquivada",IF(Config!$B$7-$T602&gt;0,"Histórico","Ativa")))</f>
        <v/>
      </c>
      <c r="AA602" s="14">
        <f>IF($A602="",0,IF(AND(OR($F602="Ponto de atenção",$F602="Incidente"),$L602="Sim"),1,0))</f>
        <v/>
      </c>
      <c r="AB602" s="14">
        <f>IF(OR($C602="",$C602&lt;&gt;'1a1'!$B$4,$T602&lt;&gt;Config!$B$7),"",COUNTIFS($C$5:$C602,'1a1'!$B$4,$T$5:$T602,Config!$B$7))</f>
        <v/>
      </c>
    </row>
    <row r="603">
      <c r="A603" s="18" t="n"/>
      <c r="B603" s="19" t="n"/>
      <c r="C603" s="14">
        <f>IFERROR(INDEX(Pessoas!$A$5:$A$64,MATCH($B603,Pessoas!$B$5:$B$64,0)),"")</f>
        <v/>
      </c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8" t="n"/>
      <c r="N603" s="19" t="n"/>
      <c r="O603" s="19" t="n"/>
      <c r="P603" s="19" t="n"/>
      <c r="Q603" s="20">
        <f>IF(OR($M603="",$P603=""),"",$M603+IF($P603="7 dias",7,IF($P603="14 dias",14,90)))</f>
        <v/>
      </c>
      <c r="R603" s="19" t="n"/>
      <c r="S603" s="19" t="n"/>
      <c r="T603" s="14">
        <f>IF($A603="","",YEAR($A603)*4+ROUNDUP(MONTH($A603)/3,0))</f>
        <v/>
      </c>
      <c r="U603" s="14">
        <f>IF($C603="","",$C603&amp;"|"&amp;$T603)</f>
        <v/>
      </c>
      <c r="V603" s="14">
        <f>IF($C603="","",$C603&amp;"|"&amp;$T603&amp;"|"&amp;$G603)</f>
        <v/>
      </c>
      <c r="W603" s="14">
        <f>IF($A603="","",IF(OR($B603="",$F603="",$G603="",$H603="",$I603=""),"Faltam campos básicos",IF(AND(OR($F603="Ponto de atenção",$F603="Incidente"),OR($K603="",$L603="",$O603="",$P603="")),"Faltam campos de sinalização","OK")))</f>
        <v/>
      </c>
      <c r="X603" s="14">
        <f>IF($A603="","",IF(AND(OR($F603="Ponto de atenção",$F603="Incidente"),$L603&lt;&gt;"Sim"),"Não",IF(AND($S603="",$W603&lt;&gt;"OK"),"Não","Sim")))</f>
        <v/>
      </c>
      <c r="Y603" s="14">
        <f>IF($C603="",0,IF(COUNTIFS($C$5:$C603,$C603,$D$5:$D603,$D603)=1,1,0))</f>
        <v/>
      </c>
      <c r="Z603" s="14">
        <f>IF($A603="","",IF(Config!$B$7-$T603&gt;2,"Arquivada",IF(Config!$B$7-$T603&gt;0,"Histórico","Ativa")))</f>
        <v/>
      </c>
      <c r="AA603" s="14">
        <f>IF($A603="",0,IF(AND(OR($F603="Ponto de atenção",$F603="Incidente"),$L603="Sim"),1,0))</f>
        <v/>
      </c>
      <c r="AB603" s="14">
        <f>IF(OR($C603="",$C603&lt;&gt;'1a1'!$B$4,$T603&lt;&gt;Config!$B$7),"",COUNTIFS($C$5:$C603,'1a1'!$B$4,$T$5:$T603,Config!$B$7))</f>
        <v/>
      </c>
    </row>
    <row r="604">
      <c r="A604" s="18" t="n"/>
      <c r="B604" s="19" t="n"/>
      <c r="C604" s="14">
        <f>IFERROR(INDEX(Pessoas!$A$5:$A$64,MATCH($B604,Pessoas!$B$5:$B$64,0)),"")</f>
        <v/>
      </c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8" t="n"/>
      <c r="N604" s="19" t="n"/>
      <c r="O604" s="19" t="n"/>
      <c r="P604" s="19" t="n"/>
      <c r="Q604" s="20">
        <f>IF(OR($M604="",$P604=""),"",$M604+IF($P604="7 dias",7,IF($P604="14 dias",14,90)))</f>
        <v/>
      </c>
      <c r="R604" s="19" t="n"/>
      <c r="S604" s="19" t="n"/>
      <c r="T604" s="14">
        <f>IF($A604="","",YEAR($A604)*4+ROUNDUP(MONTH($A604)/3,0))</f>
        <v/>
      </c>
      <c r="U604" s="14">
        <f>IF($C604="","",$C604&amp;"|"&amp;$T604)</f>
        <v/>
      </c>
      <c r="V604" s="14">
        <f>IF($C604="","",$C604&amp;"|"&amp;$T604&amp;"|"&amp;$G604)</f>
        <v/>
      </c>
      <c r="W604" s="14">
        <f>IF($A604="","",IF(OR($B604="",$F604="",$G604="",$H604="",$I604=""),"Faltam campos básicos",IF(AND(OR($F604="Ponto de atenção",$F604="Incidente"),OR($K604="",$L604="",$O604="",$P604="")),"Faltam campos de sinalização","OK")))</f>
        <v/>
      </c>
      <c r="X604" s="14">
        <f>IF($A604="","",IF(AND(OR($F604="Ponto de atenção",$F604="Incidente"),$L604&lt;&gt;"Sim"),"Não",IF(AND($S604="",$W604&lt;&gt;"OK"),"Não","Sim")))</f>
        <v/>
      </c>
      <c r="Y604" s="14">
        <f>IF($C604="",0,IF(COUNTIFS($C$5:$C604,$C604,$D$5:$D604,$D604)=1,1,0))</f>
        <v/>
      </c>
      <c r="Z604" s="14">
        <f>IF($A604="","",IF(Config!$B$7-$T604&gt;2,"Arquivada",IF(Config!$B$7-$T604&gt;0,"Histórico","Ativa")))</f>
        <v/>
      </c>
      <c r="AA604" s="14">
        <f>IF($A604="",0,IF(AND(OR($F604="Ponto de atenção",$F604="Incidente"),$L604="Sim"),1,0))</f>
        <v/>
      </c>
      <c r="AB604" s="14">
        <f>IF(OR($C604="",$C604&lt;&gt;'1a1'!$B$4,$T604&lt;&gt;Config!$B$7),"",COUNTIFS($C$5:$C604,'1a1'!$B$4,$T$5:$T604,Config!$B$7))</f>
        <v/>
      </c>
    </row>
  </sheetData>
  <autoFilter ref="A4:AB604"/>
  <conditionalFormatting sqref="A5:S604">
    <cfRule type="expression" priority="1" dxfId="1">
      <formula>LEFT($W5,5)="Falta"</formula>
    </cfRule>
    <cfRule type="expression" priority="3" dxfId="4">
      <formula>$Z5="Arquivada"</formula>
    </cfRule>
  </conditionalFormatting>
  <conditionalFormatting sqref="K5:S604">
    <cfRule type="expression" priority="2" dxfId="0">
      <formula>AND(OR($F5="Ponto de atenção",$F5="Incidente"),K5="")</formula>
    </cfRule>
  </conditionalFormatting>
  <dataValidations count="10">
    <dataValidation sqref="B5:B604" showDropDown="0" showInputMessage="0" showErrorMessage="0" allowBlank="1" type="list">
      <formula1>=Pessoas!$B$5:$B$64</formula1>
    </dataValidation>
    <dataValidation sqref="E5:E604" showDropDown="0" showInputMessage="0" showErrorMessage="0" allowBlank="1" type="list">
      <formula1>=Config!$S$13:$S$14</formula1>
    </dataValidation>
    <dataValidation sqref="F5:F604" showDropDown="0" showInputMessage="0" showErrorMessage="0" allowBlank="1" type="list">
      <formula1>=Config!$O$13:$O$18</formula1>
    </dataValidation>
    <dataValidation sqref="G5:G604" showDropDown="0" showInputMessage="0" showErrorMessage="0" allowBlank="1" type="list">
      <formula1>=Config!$Y$13:$Y$18</formula1>
    </dataValidation>
    <dataValidation sqref="I5:I604" showDropDown="0" showInputMessage="0" showErrorMessage="0" allowBlank="1" type="list">
      <formula1>=Config!$P$13:$P$16</formula1>
    </dataValidation>
    <dataValidation sqref="J5:J604" showDropDown="0" showInputMessage="0" showErrorMessage="0" allowBlank="1" type="list">
      <formula1>=Config!$Q$13:$Q$14</formula1>
    </dataValidation>
    <dataValidation sqref="L5:L604" showDropDown="0" showInputMessage="0" showErrorMessage="0" allowBlank="1" type="list">
      <formula1>=Config!$R$13:$R$15</formula1>
    </dataValidation>
    <dataValidation sqref="P5:P604" showDropDown="0" showInputMessage="0" showErrorMessage="0" allowBlank="1" type="list">
      <formula1>=Config!$V$13:$V$15</formula1>
    </dataValidation>
    <dataValidation sqref="R5:R604" showDropDown="0" showInputMessage="0" showErrorMessage="0" allowBlank="1" type="list">
      <formula1>=Config!$U$13:$U$15</formula1>
    </dataValidation>
    <dataValidation sqref="A5:A604" showDropDown="0" showInputMessage="0" showErrorMessage="0" allowBlank="1" errorTitle="Data inválida" error="A data do fato não pode ser futura." type="date" operator="lessThanOrEqual">
      <formula1>TODAY()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9" customWidth="1" min="4" max="4"/>
    <col width="10" customWidth="1" min="5" max="5"/>
    <col width="12" customWidth="1" min="6" max="6"/>
    <col width="22" customWidth="1" min="7" max="7"/>
    <col width="17" customWidth="1" min="8" max="8"/>
    <col width="15" customWidth="1" min="9" max="9"/>
    <col width="9" customWidth="1" min="10" max="10"/>
    <col width="9" customWidth="1" min="11" max="11"/>
    <col width="12" customWidth="1" min="12" max="12"/>
    <col width="12" customWidth="1" min="13" max="13"/>
    <col width="11" customWidth="1" min="14" max="14"/>
    <col width="11" customWidth="1" min="15" max="15"/>
    <col width="10" customWidth="1" min="16" max="16"/>
    <col width="15" customWidth="1" min="17" max="17"/>
    <col width="18" customWidth="1" min="18" max="18"/>
    <col width="42" customWidth="1" min="19" max="19"/>
    <col width="13" customWidth="1" min="20" max="20"/>
    <col width="12" customWidth="1" min="21" max="21"/>
    <col width="13" customWidth="1" min="22" max="22"/>
    <col width="46" customWidth="1" min="23" max="23"/>
    <col width="13" customWidth="1" min="24" max="24"/>
    <col width="15" customWidth="1" min="25" max="25"/>
    <col width="22" customWidth="1" min="26" max="26"/>
    <col width="24" customWidth="1" min="27" max="27"/>
  </cols>
  <sheetData>
    <row r="1" ht="22" customHeight="1">
      <c r="A1" s="1" t="inlineStr">
        <is>
          <t>Avaliação e calibração</t>
        </is>
      </c>
    </row>
    <row r="2">
      <c r="A2" s="2" t="inlineStr">
        <is>
          <t>Chave: pessoa + ciclo + competência + ALOCAÇÃO. Sem a alocação na chave, quem tem dois contratos colide na mesma célula e a média silenciosa volta pela porta dos fundos.</t>
        </is>
      </c>
    </row>
    <row r="3">
      <c r="A3" s="16" t="inlineStr">
        <is>
          <t>Nunca a média entre avaliadores — nem GP × LT, nem GP × GP. Divergência é informação: cada lado traz uma ocorrência; se só um tem evidência, a nota dele prevalece.</t>
        </is>
      </c>
    </row>
    <row r="4" ht="32" customHeight="1">
      <c r="A4" s="12" t="inlineStr">
        <is>
          <t>Ciclo</t>
        </is>
      </c>
      <c r="B4" s="12" t="inlineStr">
        <is>
          <t>Idx ciclo</t>
        </is>
      </c>
      <c r="C4" s="12" t="inlineStr">
        <is>
          <t>ID_PESSOA</t>
        </is>
      </c>
      <c r="D4" s="12" t="inlineStr">
        <is>
          <t>Pessoa</t>
        </is>
      </c>
      <c r="E4" s="12" t="inlineStr">
        <is>
          <t>ID_ALOC</t>
        </is>
      </c>
      <c r="F4" s="12" t="inlineStr">
        <is>
          <t>Senioridade</t>
        </is>
      </c>
      <c r="G4" s="12" t="inlineStr">
        <is>
          <t>Competência</t>
        </is>
      </c>
      <c r="H4" s="12" t="inlineStr">
        <is>
          <t>Eixo</t>
        </is>
      </c>
      <c r="I4" s="12" t="inlineStr">
        <is>
          <t>Avaliador dono</t>
        </is>
      </c>
      <c r="J4" s="12" t="inlineStr">
        <is>
          <t>Nota GP</t>
        </is>
      </c>
      <c r="K4" s="12" t="inlineStr">
        <is>
          <t>Nota LT</t>
        </is>
      </c>
      <c r="L4" s="12" t="inlineStr">
        <is>
          <t>Base obs. GP</t>
        </is>
      </c>
      <c r="M4" s="12" t="inlineStr">
        <is>
          <t>Base obs. LT</t>
        </is>
      </c>
      <c r="N4" s="12" t="inlineStr">
        <is>
          <t>Divergência</t>
        </is>
      </c>
      <c r="O4" s="12" t="inlineStr">
        <is>
          <t>Sugestão</t>
        </is>
      </c>
      <c r="P4" s="12" t="inlineStr">
        <is>
          <t>Nota final</t>
        </is>
      </c>
      <c r="Q4" s="12" t="inlineStr">
        <is>
          <t>Decisor</t>
        </is>
      </c>
      <c r="R4" s="12" t="inlineStr">
        <is>
          <t>Origem da nota final</t>
        </is>
      </c>
      <c r="S4" s="12" t="inlineStr">
        <is>
          <t>Motivo do desempate</t>
        </is>
      </c>
      <c r="T4" s="12" t="inlineStr">
        <is>
          <t>Papel acumulado</t>
        </is>
      </c>
      <c r="U4" s="12" t="inlineStr">
        <is>
          <t>Ocorr. vinculadas</t>
        </is>
      </c>
      <c r="V4" s="12" t="inlineStr">
        <is>
          <t>Lastro</t>
        </is>
      </c>
      <c r="W4" s="12" t="inlineStr">
        <is>
          <t>Justificativa (1 frase)</t>
        </is>
      </c>
      <c r="X4" s="12" t="inlineStr">
        <is>
          <t>Data calibração</t>
        </is>
      </c>
      <c r="Y4" s="12" t="inlineStr">
        <is>
          <t>chave ID|ciclo</t>
        </is>
      </c>
      <c r="Z4" s="12" t="inlineStr">
        <is>
          <t>chave ID|ciclo|eixo</t>
        </is>
      </c>
      <c r="AA4" s="12" t="inlineStr">
        <is>
          <t>chave ID|ciclo|comp</t>
        </is>
      </c>
    </row>
    <row r="5">
      <c r="A5" s="19" t="inlineStr">
        <is>
          <t>2026-Q3</t>
        </is>
      </c>
      <c r="B5" s="14">
        <f>IF($A5="","",VALUE(LEFT($A5,4))*4+VALUE(RIGHT($A5,1)))</f>
        <v/>
      </c>
      <c r="C5" s="19" t="inlineStr">
        <is>
          <t>P001</t>
        </is>
      </c>
      <c r="D5" s="14">
        <f>IFERROR(INDEX(Pessoas!$B$5:$B$64,MATCH($C5,Pessoas!$A$5:$A$64,0)),"")</f>
        <v/>
      </c>
      <c r="E5" s="19" t="inlineStr">
        <is>
          <t>A001</t>
        </is>
      </c>
      <c r="F5" s="14">
        <f>IFERROR(INDEX(Pessoas!$D$5:$D$64,MATCH($C5,Pessoas!$A$5:$A$64,0)),"")</f>
        <v/>
      </c>
      <c r="G5" s="19" t="inlineStr">
        <is>
          <t>Previsibilidade</t>
        </is>
      </c>
      <c r="H5" s="14">
        <f>IFERROR(INDEX(Config!$B$40:$B$45,MATCH($G5,Config!$C$40:$C$45,0)),"")</f>
        <v/>
      </c>
      <c r="I5" s="14">
        <f>IFERROR(INDEX(Config!$D$40:$D$45,MATCH($G5,Config!$C$40:$C$45,0)),"")</f>
        <v/>
      </c>
      <c r="J5" s="19" t="n">
        <v>3</v>
      </c>
      <c r="K5" s="19" t="n"/>
      <c r="L5" s="19" t="inlineStr">
        <is>
          <t>Cerimônias</t>
        </is>
      </c>
      <c r="M5" s="19" t="inlineStr">
        <is>
          <t>Esporádica</t>
        </is>
      </c>
      <c r="N5" s="14">
        <f>IF(AND(ISNUMBER($J5),ISNUMBER($K5)),ABS($J5-$K5),"")</f>
        <v/>
      </c>
      <c r="O5" s="14">
        <f>IF(AND(NOT(ISNUMBER($J5)),NOT(ISNUMBER($K5))),"",IF(NOT(ISNUMBER($K5)),$J5,IF(NOT(ISNUMBER($J5)),$K5,IF($N5=0,$J5,IF(AND($N5=1,$T5&lt;&gt;"Sim"),IF($I5="Líder Técnico",$K5,IF($I5="GP",$J5,"CALIBRAR")),"CALIBRAR")))))</f>
        <v/>
      </c>
      <c r="P5" s="19" t="n">
        <v>3</v>
      </c>
      <c r="Q5" s="19" t="inlineStr">
        <is>
          <t>Marcos Lima</t>
        </is>
      </c>
      <c r="R5" s="14">
        <f>IF($P5="","",IF(AND(ISNUMBER($J5),$P5=$J5,ISNUMBER($K5),$P5=$K5),"= ambos",IF(AND(ISNUMBER($J5),$P5=$J5),"= GP",IF(AND(ISNUMBER($K5),$P5=$K5),"= LT","nenhuma das duas"))))</f>
        <v/>
      </c>
      <c r="S5" s="19" t="n"/>
      <c r="T5" s="19" t="inlineStr">
        <is>
          <t>Não</t>
        </is>
      </c>
      <c r="U5" s="14">
        <f>IF($C5="","",COUNTIFS('Ocorrências'!$V$5:$V$604,$C5&amp;"|"&amp;$B5&amp;"|"&amp;$G5,'Ocorrências'!$X$5:$X$604,"Sim"))</f>
        <v/>
      </c>
      <c r="V5" s="14">
        <f>IF($P5="","",IF(OR($P5=1,$P5=2,$P5=5),IF($U5&gt;0,"OK","SEM LASTRO"),"OK"))</f>
        <v/>
      </c>
      <c r="W5" s="19" t="n"/>
      <c r="X5" s="18" t="n">
        <v>46295</v>
      </c>
      <c r="Y5" s="14">
        <f>IF($C5="","",$C5&amp;"|"&amp;$B5)</f>
        <v/>
      </c>
      <c r="Z5" s="14">
        <f>IF($C5="","",$C5&amp;"|"&amp;$B5&amp;"|"&amp;$H5)</f>
        <v/>
      </c>
      <c r="AA5" s="14">
        <f>IF($C5="","",$C5&amp;"|"&amp;$B5&amp;"|"&amp;$G5)</f>
        <v/>
      </c>
    </row>
    <row r="6">
      <c r="A6" s="19" t="inlineStr">
        <is>
          <t>2026-Q3</t>
        </is>
      </c>
      <c r="B6" s="14">
        <f>IF($A6="","",VALUE(LEFT($A6,4))*4+VALUE(RIGHT($A6,1)))</f>
        <v/>
      </c>
      <c r="C6" s="19" t="inlineStr">
        <is>
          <t>P001</t>
        </is>
      </c>
      <c r="D6" s="14">
        <f>IFERROR(INDEX(Pessoas!$B$5:$B$64,MATCH($C6,Pessoas!$A$5:$A$64,0)),"")</f>
        <v/>
      </c>
      <c r="E6" s="19" t="inlineStr">
        <is>
          <t>A001</t>
        </is>
      </c>
      <c r="F6" s="14">
        <f>IFERROR(INDEX(Pessoas!$D$5:$D$64,MATCH($C6,Pessoas!$A$5:$A$64,0)),"")</f>
        <v/>
      </c>
      <c r="G6" s="19" t="inlineStr">
        <is>
          <t>Qualidade da entrega</t>
        </is>
      </c>
      <c r="H6" s="14">
        <f>IFERROR(INDEX(Config!$B$40:$B$45,MATCH($G6,Config!$C$40:$C$45,0)),"")</f>
        <v/>
      </c>
      <c r="I6" s="14">
        <f>IFERROR(INDEX(Config!$D$40:$D$45,MATCH($G6,Config!$C$40:$C$45,0)),"")</f>
        <v/>
      </c>
      <c r="J6" s="19" t="n"/>
      <c r="K6" s="19" t="n">
        <v>2</v>
      </c>
      <c r="L6" s="19" t="inlineStr">
        <is>
          <t>Insuficiente</t>
        </is>
      </c>
      <c r="M6" s="19" t="inlineStr">
        <is>
          <t>Diária</t>
        </is>
      </c>
      <c r="N6" s="14">
        <f>IF(AND(ISNUMBER($J6),ISNUMBER($K6)),ABS($J6-$K6),"")</f>
        <v/>
      </c>
      <c r="O6" s="14">
        <f>IF(AND(NOT(ISNUMBER($J6)),NOT(ISNUMBER($K6))),"",IF(NOT(ISNUMBER($K6)),$J6,IF(NOT(ISNUMBER($J6)),$K6,IF($N6=0,$J6,IF(AND($N6=1,$T6&lt;&gt;"Sim"),IF($I6="Líder Técnico",$K6,IF($I6="GP",$J6,"CALIBRAR")),"CALIBRAR")))))</f>
        <v/>
      </c>
      <c r="P6" s="19" t="n">
        <v>2</v>
      </c>
      <c r="Q6" s="19" t="inlineStr">
        <is>
          <t>Marcos Lima</t>
        </is>
      </c>
      <c r="R6" s="14">
        <f>IF($P6="","",IF(AND(ISNUMBER($J6),$P6=$J6,ISNUMBER($K6),$P6=$K6),"= ambos",IF(AND(ISNUMBER($J6),$P6=$J6),"= GP",IF(AND(ISNUMBER($K6),$P6=$K6),"= LT","nenhuma das duas"))))</f>
        <v/>
      </c>
      <c r="S6" s="19" t="inlineStr">
        <is>
          <t>Evidência do Líder Técnico, competência de dono técnico.</t>
        </is>
      </c>
      <c r="T6" s="19" t="inlineStr">
        <is>
          <t>Não</t>
        </is>
      </c>
      <c r="U6" s="14">
        <f>IF($C6="","",COUNTIFS('Ocorrências'!$V$5:$V$604,$C6&amp;"|"&amp;$B6&amp;"|"&amp;$G6,'Ocorrências'!$X$5:$X$604,"Sim"))</f>
        <v/>
      </c>
      <c r="V6" s="14">
        <f>IF($P6="","",IF(OR($P6=1,$P6=2,$P6=5),IF($U6&gt;0,"OK","SEM LASTRO"),"OK"))</f>
        <v/>
      </c>
      <c r="W6" s="19" t="inlineStr">
        <is>
          <t>PR #857 voltou 3 rodadas por teste de erro ausente; é o padrão do ciclo, não um caso isolado.</t>
        </is>
      </c>
      <c r="X6" s="18" t="n">
        <v>46295</v>
      </c>
      <c r="Y6" s="14">
        <f>IF($C6="","",$C6&amp;"|"&amp;$B6)</f>
        <v/>
      </c>
      <c r="Z6" s="14">
        <f>IF($C6="","",$C6&amp;"|"&amp;$B6&amp;"|"&amp;$H6)</f>
        <v/>
      </c>
      <c r="AA6" s="14">
        <f>IF($C6="","",$C6&amp;"|"&amp;$B6&amp;"|"&amp;$G6)</f>
        <v/>
      </c>
    </row>
    <row r="7">
      <c r="A7" s="19" t="inlineStr">
        <is>
          <t>2026-Q3</t>
        </is>
      </c>
      <c r="B7" s="14">
        <f>IF($A7="","",VALUE(LEFT($A7,4))*4+VALUE(RIGHT($A7,1)))</f>
        <v/>
      </c>
      <c r="C7" s="19" t="inlineStr">
        <is>
          <t>P001</t>
        </is>
      </c>
      <c r="D7" s="14">
        <f>IFERROR(INDEX(Pessoas!$B$5:$B$64,MATCH($C7,Pessoas!$A$5:$A$64,0)),"")</f>
        <v/>
      </c>
      <c r="E7" s="19" t="inlineStr">
        <is>
          <t>A001</t>
        </is>
      </c>
      <c r="F7" s="14">
        <f>IFERROR(INDEX(Pessoas!$D$5:$D$64,MATCH($C7,Pessoas!$A$5:$A$64,0)),"")</f>
        <v/>
      </c>
      <c r="G7" s="19" t="inlineStr">
        <is>
          <t>Domínio técnico</t>
        </is>
      </c>
      <c r="H7" s="14">
        <f>IFERROR(INDEX(Config!$B$40:$B$45,MATCH($G7,Config!$C$40:$C$45,0)),"")</f>
        <v/>
      </c>
      <c r="I7" s="14">
        <f>IFERROR(INDEX(Config!$D$40:$D$45,MATCH($G7,Config!$C$40:$C$45,0)),"")</f>
        <v/>
      </c>
      <c r="J7" s="19" t="n"/>
      <c r="K7" s="19" t="n">
        <v>3</v>
      </c>
      <c r="L7" s="19" t="inlineStr">
        <is>
          <t>Insuficiente</t>
        </is>
      </c>
      <c r="M7" s="19" t="inlineStr">
        <is>
          <t>Diária</t>
        </is>
      </c>
      <c r="N7" s="14">
        <f>IF(AND(ISNUMBER($J7),ISNUMBER($K7)),ABS($J7-$K7),"")</f>
        <v/>
      </c>
      <c r="O7" s="14">
        <f>IF(AND(NOT(ISNUMBER($J7)),NOT(ISNUMBER($K7))),"",IF(NOT(ISNUMBER($K7)),$J7,IF(NOT(ISNUMBER($J7)),$K7,IF($N7=0,$J7,IF(AND($N7=1,$T7&lt;&gt;"Sim"),IF($I7="Líder Técnico",$K7,IF($I7="GP",$J7,"CALIBRAR")),"CALIBRAR")))))</f>
        <v/>
      </c>
      <c r="P7" s="19" t="n">
        <v>3</v>
      </c>
      <c r="Q7" s="19" t="inlineStr">
        <is>
          <t>Marcos Lima</t>
        </is>
      </c>
      <c r="R7" s="14">
        <f>IF($P7="","",IF(AND(ISNUMBER($J7),$P7=$J7,ISNUMBER($K7),$P7=$K7),"= ambos",IF(AND(ISNUMBER($J7),$P7=$J7),"= GP",IF(AND(ISNUMBER($K7),$P7=$K7),"= LT","nenhuma das duas"))))</f>
        <v/>
      </c>
      <c r="S7" s="19" t="n"/>
      <c r="T7" s="19" t="inlineStr">
        <is>
          <t>Não</t>
        </is>
      </c>
      <c r="U7" s="14">
        <f>IF($C7="","",COUNTIFS('Ocorrências'!$V$5:$V$604,$C7&amp;"|"&amp;$B7&amp;"|"&amp;$G7,'Ocorrências'!$X$5:$X$604,"Sim"))</f>
        <v/>
      </c>
      <c r="V7" s="14">
        <f>IF($P7="","",IF(OR($P7=1,$P7=2,$P7=5),IF($U7&gt;0,"OK","SEM LASTRO"),"OK"))</f>
        <v/>
      </c>
      <c r="W7" s="19" t="n"/>
      <c r="X7" s="18" t="n">
        <v>46295</v>
      </c>
      <c r="Y7" s="14">
        <f>IF($C7="","",$C7&amp;"|"&amp;$B7)</f>
        <v/>
      </c>
      <c r="Z7" s="14">
        <f>IF($C7="","",$C7&amp;"|"&amp;$B7&amp;"|"&amp;$H7)</f>
        <v/>
      </c>
      <c r="AA7" s="14">
        <f>IF($C7="","",$C7&amp;"|"&amp;$B7&amp;"|"&amp;$G7)</f>
        <v/>
      </c>
    </row>
    <row r="8">
      <c r="A8" s="19" t="inlineStr">
        <is>
          <t>2026-Q3</t>
        </is>
      </c>
      <c r="B8" s="14">
        <f>IF($A8="","",VALUE(LEFT($A8,4))*4+VALUE(RIGHT($A8,1)))</f>
        <v/>
      </c>
      <c r="C8" s="19" t="inlineStr">
        <is>
          <t>P001</t>
        </is>
      </c>
      <c r="D8" s="14">
        <f>IFERROR(INDEX(Pessoas!$B$5:$B$64,MATCH($C8,Pessoas!$A$5:$A$64,0)),"")</f>
        <v/>
      </c>
      <c r="E8" s="19" t="inlineStr">
        <is>
          <t>A001</t>
        </is>
      </c>
      <c r="F8" s="14">
        <f>IFERROR(INDEX(Pessoas!$D$5:$D$64,MATCH($C8,Pessoas!$A$5:$A$64,0)),"")</f>
        <v/>
      </c>
      <c r="G8" s="19" t="inlineStr">
        <is>
          <t>Design de solução</t>
        </is>
      </c>
      <c r="H8" s="14">
        <f>IFERROR(INDEX(Config!$B$40:$B$45,MATCH($G8,Config!$C$40:$C$45,0)),"")</f>
        <v/>
      </c>
      <c r="I8" s="14">
        <f>IFERROR(INDEX(Config!$D$40:$D$45,MATCH($G8,Config!$C$40:$C$45,0)),"")</f>
        <v/>
      </c>
      <c r="J8" s="19" t="n"/>
      <c r="K8" s="19" t="n">
        <v>3</v>
      </c>
      <c r="L8" s="19" t="inlineStr">
        <is>
          <t>Insuficiente</t>
        </is>
      </c>
      <c r="M8" s="19" t="inlineStr">
        <is>
          <t>Diária</t>
        </is>
      </c>
      <c r="N8" s="14">
        <f>IF(AND(ISNUMBER($J8),ISNUMBER($K8)),ABS($J8-$K8),"")</f>
        <v/>
      </c>
      <c r="O8" s="14">
        <f>IF(AND(NOT(ISNUMBER($J8)),NOT(ISNUMBER($K8))),"",IF(NOT(ISNUMBER($K8)),$J8,IF(NOT(ISNUMBER($J8)),$K8,IF($N8=0,$J8,IF(AND($N8=1,$T8&lt;&gt;"Sim"),IF($I8="Líder Técnico",$K8,IF($I8="GP",$J8,"CALIBRAR")),"CALIBRAR")))))</f>
        <v/>
      </c>
      <c r="P8" s="19" t="n">
        <v>3</v>
      </c>
      <c r="Q8" s="19" t="inlineStr">
        <is>
          <t>Marcos Lima</t>
        </is>
      </c>
      <c r="R8" s="14">
        <f>IF($P8="","",IF(AND(ISNUMBER($J8),$P8=$J8,ISNUMBER($K8),$P8=$K8),"= ambos",IF(AND(ISNUMBER($J8),$P8=$J8),"= GP",IF(AND(ISNUMBER($K8),$P8=$K8),"= LT","nenhuma das duas"))))</f>
        <v/>
      </c>
      <c r="S8" s="19" t="n"/>
      <c r="T8" s="19" t="inlineStr">
        <is>
          <t>Não</t>
        </is>
      </c>
      <c r="U8" s="14">
        <f>IF($C8="","",COUNTIFS('Ocorrências'!$V$5:$V$604,$C8&amp;"|"&amp;$B8&amp;"|"&amp;$G8,'Ocorrências'!$X$5:$X$604,"Sim"))</f>
        <v/>
      </c>
      <c r="V8" s="14">
        <f>IF($P8="","",IF(OR($P8=1,$P8=2,$P8=5),IF($U8&gt;0,"OK","SEM LASTRO"),"OK"))</f>
        <v/>
      </c>
      <c r="W8" s="19" t="n"/>
      <c r="X8" s="18" t="n">
        <v>46295</v>
      </c>
      <c r="Y8" s="14">
        <f>IF($C8="","",$C8&amp;"|"&amp;$B8)</f>
        <v/>
      </c>
      <c r="Z8" s="14">
        <f>IF($C8="","",$C8&amp;"|"&amp;$B8&amp;"|"&amp;$H8)</f>
        <v/>
      </c>
      <c r="AA8" s="14">
        <f>IF($C8="","",$C8&amp;"|"&amp;$B8&amp;"|"&amp;$G8)</f>
        <v/>
      </c>
    </row>
    <row r="9">
      <c r="A9" s="19" t="inlineStr">
        <is>
          <t>2026-Q3</t>
        </is>
      </c>
      <c r="B9" s="14">
        <f>IF($A9="","",VALUE(LEFT($A9,4))*4+VALUE(RIGHT($A9,1)))</f>
        <v/>
      </c>
      <c r="C9" s="19" t="inlineStr">
        <is>
          <t>P001</t>
        </is>
      </c>
      <c r="D9" s="14">
        <f>IFERROR(INDEX(Pessoas!$B$5:$B$64,MATCH($C9,Pessoas!$A$5:$A$64,0)),"")</f>
        <v/>
      </c>
      <c r="E9" s="19" t="inlineStr">
        <is>
          <t>A001</t>
        </is>
      </c>
      <c r="F9" s="14">
        <f>IFERROR(INDEX(Pessoas!$D$5:$D$64,MATCH($C9,Pessoas!$A$5:$A$64,0)),"")</f>
        <v/>
      </c>
      <c r="G9" s="19" t="inlineStr">
        <is>
          <t>Comunicação e colaboração</t>
        </is>
      </c>
      <c r="H9" s="14">
        <f>IFERROR(INDEX(Config!$B$40:$B$45,MATCH($G9,Config!$C$40:$C$45,0)),"")</f>
        <v/>
      </c>
      <c r="I9" s="14">
        <f>IFERROR(INDEX(Config!$D$40:$D$45,MATCH($G9,Config!$C$40:$C$45,0)),"")</f>
        <v/>
      </c>
      <c r="J9" s="19" t="n">
        <v>4</v>
      </c>
      <c r="K9" s="19" t="n">
        <v>5</v>
      </c>
      <c r="L9" s="19" t="inlineStr">
        <is>
          <t>Cerimônias</t>
        </is>
      </c>
      <c r="M9" s="19" t="inlineStr">
        <is>
          <t>Diária</t>
        </is>
      </c>
      <c r="N9" s="14">
        <f>IF(AND(ISNUMBER($J9),ISNUMBER($K9)),ABS($J9-$K9),"")</f>
        <v/>
      </c>
      <c r="O9" s="14">
        <f>IF(AND(NOT(ISNUMBER($J9)),NOT(ISNUMBER($K9))),"",IF(NOT(ISNUMBER($K9)),$J9,IF(NOT(ISNUMBER($J9)),$K9,IF($N9=0,$J9,IF(AND($N9=1,$T9&lt;&gt;"Sim"),IF($I9="Líder Técnico",$K9,IF($I9="GP",$J9,"CALIBRAR")),"CALIBRAR")))))</f>
        <v/>
      </c>
      <c r="P9" s="19" t="n">
        <v>5</v>
      </c>
      <c r="Q9" s="19" t="inlineStr">
        <is>
          <t>Marcos Lima</t>
        </is>
      </c>
      <c r="R9" s="14">
        <f>IF($P9="","",IF(AND(ISNUMBER($J9),$P9=$J9,ISNUMBER($K9),$P9=$K9),"= ambos",IF(AND(ISNUMBER($J9),$P9=$J9),"= GP",IF(AND(ISNUMBER($K9),$P9=$K9),"= LT","nenhuma das duas"))))</f>
        <v/>
      </c>
      <c r="S9" s="19" t="inlineStr">
        <is>
          <t>Evidência do Líder Técnico, competência de dono técnico.</t>
        </is>
      </c>
      <c r="T9" s="19" t="inlineStr">
        <is>
          <t>Não</t>
        </is>
      </c>
      <c r="U9" s="14">
        <f>IF($C9="","",COUNTIFS('Ocorrências'!$V$5:$V$604,$C9&amp;"|"&amp;$B9&amp;"|"&amp;$G9,'Ocorrências'!$X$5:$X$604,"Sim"))</f>
        <v/>
      </c>
      <c r="V9" s="14">
        <f>IF($P9="","",IF(OR($P9=1,$P9=2,$P9=5),IF($U9&gt;0,"OK","SEM LASTRO"),"OK"))</f>
        <v/>
      </c>
      <c r="W9" s="19" t="inlineStr">
        <is>
          <t>GP viu 4, LT viu 5. O review do PR #812 pegou uma condição de corrida antes do merge — evidência do LT desempatou.</t>
        </is>
      </c>
      <c r="X9" s="18" t="n">
        <v>46295</v>
      </c>
      <c r="Y9" s="14">
        <f>IF($C9="","",$C9&amp;"|"&amp;$B9)</f>
        <v/>
      </c>
      <c r="Z9" s="14">
        <f>IF($C9="","",$C9&amp;"|"&amp;$B9&amp;"|"&amp;$H9)</f>
        <v/>
      </c>
      <c r="AA9" s="14">
        <f>IF($C9="","",$C9&amp;"|"&amp;$B9&amp;"|"&amp;$G9)</f>
        <v/>
      </c>
    </row>
    <row r="10">
      <c r="A10" s="19" t="inlineStr">
        <is>
          <t>2026-Q3</t>
        </is>
      </c>
      <c r="B10" s="14">
        <f>IF($A10="","",VALUE(LEFT($A10,4))*4+VALUE(RIGHT($A10,1)))</f>
        <v/>
      </c>
      <c r="C10" s="19" t="inlineStr">
        <is>
          <t>P001</t>
        </is>
      </c>
      <c r="D10" s="14">
        <f>IFERROR(INDEX(Pessoas!$B$5:$B$64,MATCH($C10,Pessoas!$A$5:$A$64,0)),"")</f>
        <v/>
      </c>
      <c r="E10" s="19" t="inlineStr">
        <is>
          <t>A001</t>
        </is>
      </c>
      <c r="F10" s="14">
        <f>IFERROR(INDEX(Pessoas!$D$5:$D$64,MATCH($C10,Pessoas!$A$5:$A$64,0)),"")</f>
        <v/>
      </c>
      <c r="G10" s="19" t="inlineStr">
        <is>
          <t>Autonomia e ownership</t>
        </is>
      </c>
      <c r="H10" s="14">
        <f>IFERROR(INDEX(Config!$B$40:$B$45,MATCH($G10,Config!$C$40:$C$45,0)),"")</f>
        <v/>
      </c>
      <c r="I10" s="14">
        <f>IFERROR(INDEX(Config!$D$40:$D$45,MATCH($G10,Config!$C$40:$C$45,0)),"")</f>
        <v/>
      </c>
      <c r="J10" s="19" t="n">
        <v>3</v>
      </c>
      <c r="K10" s="19" t="n">
        <v>4</v>
      </c>
      <c r="L10" s="19" t="inlineStr">
        <is>
          <t>Cerimônias</t>
        </is>
      </c>
      <c r="M10" s="19" t="inlineStr">
        <is>
          <t>Diária</t>
        </is>
      </c>
      <c r="N10" s="14">
        <f>IF(AND(ISNUMBER($J10),ISNUMBER($K10)),ABS($J10-$K10),"")</f>
        <v/>
      </c>
      <c r="O10" s="14">
        <f>IF(AND(NOT(ISNUMBER($J10)),NOT(ISNUMBER($K10))),"",IF(NOT(ISNUMBER($K10)),$J10,IF(NOT(ISNUMBER($J10)),$K10,IF($N10=0,$J10,IF(AND($N10=1,$T10&lt;&gt;"Sim"),IF($I10="Líder Técnico",$K10,IF($I10="GP",$J10,"CALIBRAR")),"CALIBRAR")))))</f>
        <v/>
      </c>
      <c r="P10" s="19" t="n">
        <v>4</v>
      </c>
      <c r="Q10" s="19" t="inlineStr">
        <is>
          <t>Marcos Lima</t>
        </is>
      </c>
      <c r="R10" s="14">
        <f>IF($P10="","",IF(AND(ISNUMBER($J10),$P10=$J10,ISNUMBER($K10),$P10=$K10),"= ambos",IF(AND(ISNUMBER($J10),$P10=$J10),"= GP",IF(AND(ISNUMBER($K10),$P10=$K10),"= LT","nenhuma das duas"))))</f>
        <v/>
      </c>
      <c r="S10" s="19" t="inlineStr">
        <is>
          <t>Evidência do Líder Técnico, competência de dono técnico.</t>
        </is>
      </c>
      <c r="T10" s="19" t="inlineStr">
        <is>
          <t>Não</t>
        </is>
      </c>
      <c r="U10" s="14">
        <f>IF($C10="","",COUNTIFS('Ocorrências'!$V$5:$V$604,$C10&amp;"|"&amp;$B10&amp;"|"&amp;$G10,'Ocorrências'!$X$5:$X$604,"Sim"))</f>
        <v/>
      </c>
      <c r="V10" s="14">
        <f>IF($P10="","",IF(OR($P10=1,$P10=2,$P10=5),IF($U10&gt;0,"OK","SEM LASTRO"),"OK"))</f>
        <v/>
      </c>
      <c r="W10" s="19" t="inlineStr">
        <is>
          <t>GP viu 3, LT viu 4; a evidência do LT (assumiu o tema de resgate ponta a ponta) desempatou.</t>
        </is>
      </c>
      <c r="X10" s="18" t="n">
        <v>46295</v>
      </c>
      <c r="Y10" s="14">
        <f>IF($C10="","",$C10&amp;"|"&amp;$B10)</f>
        <v/>
      </c>
      <c r="Z10" s="14">
        <f>IF($C10="","",$C10&amp;"|"&amp;$B10&amp;"|"&amp;$H10)</f>
        <v/>
      </c>
      <c r="AA10" s="14">
        <f>IF($C10="","",$C10&amp;"|"&amp;$B10&amp;"|"&amp;$G10)</f>
        <v/>
      </c>
    </row>
    <row r="11">
      <c r="A11" s="19" t="inlineStr">
        <is>
          <t>2026-Q3</t>
        </is>
      </c>
      <c r="B11" s="14">
        <f>IF($A11="","",VALUE(LEFT($A11,4))*4+VALUE(RIGHT($A11,1)))</f>
        <v/>
      </c>
      <c r="C11" s="19" t="inlineStr">
        <is>
          <t>P002</t>
        </is>
      </c>
      <c r="D11" s="14">
        <f>IFERROR(INDEX(Pessoas!$B$5:$B$64,MATCH($C11,Pessoas!$A$5:$A$64,0)),"")</f>
        <v/>
      </c>
      <c r="E11" s="19" t="inlineStr">
        <is>
          <t>A002</t>
        </is>
      </c>
      <c r="F11" s="14">
        <f>IFERROR(INDEX(Pessoas!$D$5:$D$64,MATCH($C11,Pessoas!$A$5:$A$64,0)),"")</f>
        <v/>
      </c>
      <c r="G11" s="19" t="inlineStr">
        <is>
          <t>Previsibilidade</t>
        </is>
      </c>
      <c r="H11" s="14">
        <f>IFERROR(INDEX(Config!$B$40:$B$45,MATCH($G11,Config!$C$40:$C$45,0)),"")</f>
        <v/>
      </c>
      <c r="I11" s="14">
        <f>IFERROR(INDEX(Config!$D$40:$D$45,MATCH($G11,Config!$C$40:$C$45,0)),"")</f>
        <v/>
      </c>
      <c r="J11" s="19" t="n"/>
      <c r="K11" s="19" t="n"/>
      <c r="L11" s="19" t="n"/>
      <c r="M11" s="19" t="n"/>
      <c r="N11" s="14">
        <f>IF(AND(ISNUMBER($J11),ISNUMBER($K11)),ABS($J11-$K11),"")</f>
        <v/>
      </c>
      <c r="O11" s="14">
        <f>IF(AND(NOT(ISNUMBER($J11)),NOT(ISNUMBER($K11))),"",IF(NOT(ISNUMBER($K11)),$J11,IF(NOT(ISNUMBER($J11)),$K11,IF($N11=0,$J11,IF(AND($N11=1,$T11&lt;&gt;"Sim"),IF($I11="Líder Técnico",$K11,IF($I11="GP",$J11,"CALIBRAR")),"CALIBRAR")))))</f>
        <v/>
      </c>
      <c r="P11" s="19" t="n"/>
      <c r="Q11" s="19" t="n"/>
      <c r="R11" s="14">
        <f>IF($P11="","",IF(AND(ISNUMBER($J11),$P11=$J11,ISNUMBER($K11),$P11=$K11),"= ambos",IF(AND(ISNUMBER($J11),$P11=$J11),"= GP",IF(AND(ISNUMBER($K11),$P11=$K11),"= LT","nenhuma das duas"))))</f>
        <v/>
      </c>
      <c r="S11" s="19" t="n"/>
      <c r="T11" s="19" t="n"/>
      <c r="U11" s="14">
        <f>IF($C11="","",COUNTIFS('Ocorrências'!$V$5:$V$604,$C11&amp;"|"&amp;$B11&amp;"|"&amp;$G11,'Ocorrências'!$X$5:$X$604,"Sim"))</f>
        <v/>
      </c>
      <c r="V11" s="14">
        <f>IF($P11="","",IF(OR($P11=1,$P11=2,$P11=5),IF($U11&gt;0,"OK","SEM LASTRO"),"OK"))</f>
        <v/>
      </c>
      <c r="W11" s="19" t="n"/>
      <c r="X11" s="18" t="n"/>
      <c r="Y11" s="14">
        <f>IF($C11="","",$C11&amp;"|"&amp;$B11)</f>
        <v/>
      </c>
      <c r="Z11" s="14">
        <f>IF($C11="","",$C11&amp;"|"&amp;$B11&amp;"|"&amp;$H11)</f>
        <v/>
      </c>
      <c r="AA11" s="14">
        <f>IF($C11="","",$C11&amp;"|"&amp;$B11&amp;"|"&amp;$G11)</f>
        <v/>
      </c>
    </row>
    <row r="12">
      <c r="A12" s="19" t="inlineStr">
        <is>
          <t>2026-Q3</t>
        </is>
      </c>
      <c r="B12" s="14">
        <f>IF($A12="","",VALUE(LEFT($A12,4))*4+VALUE(RIGHT($A12,1)))</f>
        <v/>
      </c>
      <c r="C12" s="19" t="inlineStr">
        <is>
          <t>P002</t>
        </is>
      </c>
      <c r="D12" s="14">
        <f>IFERROR(INDEX(Pessoas!$B$5:$B$64,MATCH($C12,Pessoas!$A$5:$A$64,0)),"")</f>
        <v/>
      </c>
      <c r="E12" s="19" t="inlineStr">
        <is>
          <t>A002</t>
        </is>
      </c>
      <c r="F12" s="14">
        <f>IFERROR(INDEX(Pessoas!$D$5:$D$64,MATCH($C12,Pessoas!$A$5:$A$64,0)),"")</f>
        <v/>
      </c>
      <c r="G12" s="19" t="inlineStr">
        <is>
          <t>Qualidade da entrega</t>
        </is>
      </c>
      <c r="H12" s="14">
        <f>IFERROR(INDEX(Config!$B$40:$B$45,MATCH($G12,Config!$C$40:$C$45,0)),"")</f>
        <v/>
      </c>
      <c r="I12" s="14">
        <f>IFERROR(INDEX(Config!$D$40:$D$45,MATCH($G12,Config!$C$40:$C$45,0)),"")</f>
        <v/>
      </c>
      <c r="J12" s="19" t="n"/>
      <c r="K12" s="19" t="n"/>
      <c r="L12" s="19" t="n"/>
      <c r="M12" s="19" t="n"/>
      <c r="N12" s="14">
        <f>IF(AND(ISNUMBER($J12),ISNUMBER($K12)),ABS($J12-$K12),"")</f>
        <v/>
      </c>
      <c r="O12" s="14">
        <f>IF(AND(NOT(ISNUMBER($J12)),NOT(ISNUMBER($K12))),"",IF(NOT(ISNUMBER($K12)),$J12,IF(NOT(ISNUMBER($J12)),$K12,IF($N12=0,$J12,IF(AND($N12=1,$T12&lt;&gt;"Sim"),IF($I12="Líder Técnico",$K12,IF($I12="GP",$J12,"CALIBRAR")),"CALIBRAR")))))</f>
        <v/>
      </c>
      <c r="P12" s="19" t="n"/>
      <c r="Q12" s="19" t="n"/>
      <c r="R12" s="14">
        <f>IF($P12="","",IF(AND(ISNUMBER($J12),$P12=$J12,ISNUMBER($K12),$P12=$K12),"= ambos",IF(AND(ISNUMBER($J12),$P12=$J12),"= GP",IF(AND(ISNUMBER($K12),$P12=$K12),"= LT","nenhuma das duas"))))</f>
        <v/>
      </c>
      <c r="S12" s="19" t="n"/>
      <c r="T12" s="19" t="n"/>
      <c r="U12" s="14">
        <f>IF($C12="","",COUNTIFS('Ocorrências'!$V$5:$V$604,$C12&amp;"|"&amp;$B12&amp;"|"&amp;$G12,'Ocorrências'!$X$5:$X$604,"Sim"))</f>
        <v/>
      </c>
      <c r="V12" s="14">
        <f>IF($P12="","",IF(OR($P12=1,$P12=2,$P12=5),IF($U12&gt;0,"OK","SEM LASTRO"),"OK"))</f>
        <v/>
      </c>
      <c r="W12" s="19" t="n"/>
      <c r="X12" s="18" t="n"/>
      <c r="Y12" s="14">
        <f>IF($C12="","",$C12&amp;"|"&amp;$B12)</f>
        <v/>
      </c>
      <c r="Z12" s="14">
        <f>IF($C12="","",$C12&amp;"|"&amp;$B12&amp;"|"&amp;$H12)</f>
        <v/>
      </c>
      <c r="AA12" s="14">
        <f>IF($C12="","",$C12&amp;"|"&amp;$B12&amp;"|"&amp;$G12)</f>
        <v/>
      </c>
    </row>
    <row r="13">
      <c r="A13" s="19" t="inlineStr">
        <is>
          <t>2026-Q3</t>
        </is>
      </c>
      <c r="B13" s="14">
        <f>IF($A13="","",VALUE(LEFT($A13,4))*4+VALUE(RIGHT($A13,1)))</f>
        <v/>
      </c>
      <c r="C13" s="19" t="inlineStr">
        <is>
          <t>P002</t>
        </is>
      </c>
      <c r="D13" s="14">
        <f>IFERROR(INDEX(Pessoas!$B$5:$B$64,MATCH($C13,Pessoas!$A$5:$A$64,0)),"")</f>
        <v/>
      </c>
      <c r="E13" s="19" t="inlineStr">
        <is>
          <t>A002</t>
        </is>
      </c>
      <c r="F13" s="14">
        <f>IFERROR(INDEX(Pessoas!$D$5:$D$64,MATCH($C13,Pessoas!$A$5:$A$64,0)),"")</f>
        <v/>
      </c>
      <c r="G13" s="19" t="inlineStr">
        <is>
          <t>Domínio técnico</t>
        </is>
      </c>
      <c r="H13" s="14">
        <f>IFERROR(INDEX(Config!$B$40:$B$45,MATCH($G13,Config!$C$40:$C$45,0)),"")</f>
        <v/>
      </c>
      <c r="I13" s="14">
        <f>IFERROR(INDEX(Config!$D$40:$D$45,MATCH($G13,Config!$C$40:$C$45,0)),"")</f>
        <v/>
      </c>
      <c r="J13" s="19" t="n"/>
      <c r="K13" s="19" t="n"/>
      <c r="L13" s="19" t="n"/>
      <c r="M13" s="19" t="n"/>
      <c r="N13" s="14">
        <f>IF(AND(ISNUMBER($J13),ISNUMBER($K13)),ABS($J13-$K13),"")</f>
        <v/>
      </c>
      <c r="O13" s="14">
        <f>IF(AND(NOT(ISNUMBER($J13)),NOT(ISNUMBER($K13))),"",IF(NOT(ISNUMBER($K13)),$J13,IF(NOT(ISNUMBER($J13)),$K13,IF($N13=0,$J13,IF(AND($N13=1,$T13&lt;&gt;"Sim"),IF($I13="Líder Técnico",$K13,IF($I13="GP",$J13,"CALIBRAR")),"CALIBRAR")))))</f>
        <v/>
      </c>
      <c r="P13" s="19" t="n"/>
      <c r="Q13" s="19" t="n"/>
      <c r="R13" s="14">
        <f>IF($P13="","",IF(AND(ISNUMBER($J13),$P13=$J13,ISNUMBER($K13),$P13=$K13),"= ambos",IF(AND(ISNUMBER($J13),$P13=$J13),"= GP",IF(AND(ISNUMBER($K13),$P13=$K13),"= LT","nenhuma das duas"))))</f>
        <v/>
      </c>
      <c r="S13" s="19" t="n"/>
      <c r="T13" s="19" t="n"/>
      <c r="U13" s="14">
        <f>IF($C13="","",COUNTIFS('Ocorrências'!$V$5:$V$604,$C13&amp;"|"&amp;$B13&amp;"|"&amp;$G13,'Ocorrências'!$X$5:$X$604,"Sim"))</f>
        <v/>
      </c>
      <c r="V13" s="14">
        <f>IF($P13="","",IF(OR($P13=1,$P13=2,$P13=5),IF($U13&gt;0,"OK","SEM LASTRO"),"OK"))</f>
        <v/>
      </c>
      <c r="W13" s="19" t="n"/>
      <c r="X13" s="18" t="n"/>
      <c r="Y13" s="14">
        <f>IF($C13="","",$C13&amp;"|"&amp;$B13)</f>
        <v/>
      </c>
      <c r="Z13" s="14">
        <f>IF($C13="","",$C13&amp;"|"&amp;$B13&amp;"|"&amp;$H13)</f>
        <v/>
      </c>
      <c r="AA13" s="14">
        <f>IF($C13="","",$C13&amp;"|"&amp;$B13&amp;"|"&amp;$G13)</f>
        <v/>
      </c>
    </row>
    <row r="14">
      <c r="A14" s="19" t="inlineStr">
        <is>
          <t>2026-Q3</t>
        </is>
      </c>
      <c r="B14" s="14">
        <f>IF($A14="","",VALUE(LEFT($A14,4))*4+VALUE(RIGHT($A14,1)))</f>
        <v/>
      </c>
      <c r="C14" s="19" t="inlineStr">
        <is>
          <t>P002</t>
        </is>
      </c>
      <c r="D14" s="14">
        <f>IFERROR(INDEX(Pessoas!$B$5:$B$64,MATCH($C14,Pessoas!$A$5:$A$64,0)),"")</f>
        <v/>
      </c>
      <c r="E14" s="19" t="inlineStr">
        <is>
          <t>A002</t>
        </is>
      </c>
      <c r="F14" s="14">
        <f>IFERROR(INDEX(Pessoas!$D$5:$D$64,MATCH($C14,Pessoas!$A$5:$A$64,0)),"")</f>
        <v/>
      </c>
      <c r="G14" s="19" t="inlineStr">
        <is>
          <t>Design de solução</t>
        </is>
      </c>
      <c r="H14" s="14">
        <f>IFERROR(INDEX(Config!$B$40:$B$45,MATCH($G14,Config!$C$40:$C$45,0)),"")</f>
        <v/>
      </c>
      <c r="I14" s="14">
        <f>IFERROR(INDEX(Config!$D$40:$D$45,MATCH($G14,Config!$C$40:$C$45,0)),"")</f>
        <v/>
      </c>
      <c r="J14" s="19" t="n"/>
      <c r="K14" s="19" t="n"/>
      <c r="L14" s="19" t="n"/>
      <c r="M14" s="19" t="n"/>
      <c r="N14" s="14">
        <f>IF(AND(ISNUMBER($J14),ISNUMBER($K14)),ABS($J14-$K14),"")</f>
        <v/>
      </c>
      <c r="O14" s="14">
        <f>IF(AND(NOT(ISNUMBER($J14)),NOT(ISNUMBER($K14))),"",IF(NOT(ISNUMBER($K14)),$J14,IF(NOT(ISNUMBER($J14)),$K14,IF($N14=0,$J14,IF(AND($N14=1,$T14&lt;&gt;"Sim"),IF($I14="Líder Técnico",$K14,IF($I14="GP",$J14,"CALIBRAR")),"CALIBRAR")))))</f>
        <v/>
      </c>
      <c r="P14" s="19" t="n"/>
      <c r="Q14" s="19" t="n"/>
      <c r="R14" s="14">
        <f>IF($P14="","",IF(AND(ISNUMBER($J14),$P14=$J14,ISNUMBER($K14),$P14=$K14),"= ambos",IF(AND(ISNUMBER($J14),$P14=$J14),"= GP",IF(AND(ISNUMBER($K14),$P14=$K14),"= LT","nenhuma das duas"))))</f>
        <v/>
      </c>
      <c r="S14" s="19" t="n"/>
      <c r="T14" s="19" t="n"/>
      <c r="U14" s="14">
        <f>IF($C14="","",COUNTIFS('Ocorrências'!$V$5:$V$604,$C14&amp;"|"&amp;$B14&amp;"|"&amp;$G14,'Ocorrências'!$X$5:$X$604,"Sim"))</f>
        <v/>
      </c>
      <c r="V14" s="14">
        <f>IF($P14="","",IF(OR($P14=1,$P14=2,$P14=5),IF($U14&gt;0,"OK","SEM LASTRO"),"OK"))</f>
        <v/>
      </c>
      <c r="W14" s="19" t="n"/>
      <c r="X14" s="18" t="n"/>
      <c r="Y14" s="14">
        <f>IF($C14="","",$C14&amp;"|"&amp;$B14)</f>
        <v/>
      </c>
      <c r="Z14" s="14">
        <f>IF($C14="","",$C14&amp;"|"&amp;$B14&amp;"|"&amp;$H14)</f>
        <v/>
      </c>
      <c r="AA14" s="14">
        <f>IF($C14="","",$C14&amp;"|"&amp;$B14&amp;"|"&amp;$G14)</f>
        <v/>
      </c>
    </row>
    <row r="15">
      <c r="A15" s="19" t="inlineStr">
        <is>
          <t>2026-Q3</t>
        </is>
      </c>
      <c r="B15" s="14">
        <f>IF($A15="","",VALUE(LEFT($A15,4))*4+VALUE(RIGHT($A15,1)))</f>
        <v/>
      </c>
      <c r="C15" s="19" t="inlineStr">
        <is>
          <t>P002</t>
        </is>
      </c>
      <c r="D15" s="14">
        <f>IFERROR(INDEX(Pessoas!$B$5:$B$64,MATCH($C15,Pessoas!$A$5:$A$64,0)),"")</f>
        <v/>
      </c>
      <c r="E15" s="19" t="inlineStr">
        <is>
          <t>A002</t>
        </is>
      </c>
      <c r="F15" s="14">
        <f>IFERROR(INDEX(Pessoas!$D$5:$D$64,MATCH($C15,Pessoas!$A$5:$A$64,0)),"")</f>
        <v/>
      </c>
      <c r="G15" s="19" t="inlineStr">
        <is>
          <t>Comunicação e colaboração</t>
        </is>
      </c>
      <c r="H15" s="14">
        <f>IFERROR(INDEX(Config!$B$40:$B$45,MATCH($G15,Config!$C$40:$C$45,0)),"")</f>
        <v/>
      </c>
      <c r="I15" s="14">
        <f>IFERROR(INDEX(Config!$D$40:$D$45,MATCH($G15,Config!$C$40:$C$45,0)),"")</f>
        <v/>
      </c>
      <c r="J15" s="19" t="n"/>
      <c r="K15" s="19" t="n"/>
      <c r="L15" s="19" t="n"/>
      <c r="M15" s="19" t="n"/>
      <c r="N15" s="14">
        <f>IF(AND(ISNUMBER($J15),ISNUMBER($K15)),ABS($J15-$K15),"")</f>
        <v/>
      </c>
      <c r="O15" s="14">
        <f>IF(AND(NOT(ISNUMBER($J15)),NOT(ISNUMBER($K15))),"",IF(NOT(ISNUMBER($K15)),$J15,IF(NOT(ISNUMBER($J15)),$K15,IF($N15=0,$J15,IF(AND($N15=1,$T15&lt;&gt;"Sim"),IF($I15="Líder Técnico",$K15,IF($I15="GP",$J15,"CALIBRAR")),"CALIBRAR")))))</f>
        <v/>
      </c>
      <c r="P15" s="19" t="n"/>
      <c r="Q15" s="19" t="n"/>
      <c r="R15" s="14">
        <f>IF($P15="","",IF(AND(ISNUMBER($J15),$P15=$J15,ISNUMBER($K15),$P15=$K15),"= ambos",IF(AND(ISNUMBER($J15),$P15=$J15),"= GP",IF(AND(ISNUMBER($K15),$P15=$K15),"= LT","nenhuma das duas"))))</f>
        <v/>
      </c>
      <c r="S15" s="19" t="n"/>
      <c r="T15" s="19" t="n"/>
      <c r="U15" s="14">
        <f>IF($C15="","",COUNTIFS('Ocorrências'!$V$5:$V$604,$C15&amp;"|"&amp;$B15&amp;"|"&amp;$G15,'Ocorrências'!$X$5:$X$604,"Sim"))</f>
        <v/>
      </c>
      <c r="V15" s="14">
        <f>IF($P15="","",IF(OR($P15=1,$P15=2,$P15=5),IF($U15&gt;0,"OK","SEM LASTRO"),"OK"))</f>
        <v/>
      </c>
      <c r="W15" s="19" t="n"/>
      <c r="X15" s="18" t="n"/>
      <c r="Y15" s="14">
        <f>IF($C15="","",$C15&amp;"|"&amp;$B15)</f>
        <v/>
      </c>
      <c r="Z15" s="14">
        <f>IF($C15="","",$C15&amp;"|"&amp;$B15&amp;"|"&amp;$H15)</f>
        <v/>
      </c>
      <c r="AA15" s="14">
        <f>IF($C15="","",$C15&amp;"|"&amp;$B15&amp;"|"&amp;$G15)</f>
        <v/>
      </c>
    </row>
    <row r="16">
      <c r="A16" s="19" t="inlineStr">
        <is>
          <t>2026-Q3</t>
        </is>
      </c>
      <c r="B16" s="14">
        <f>IF($A16="","",VALUE(LEFT($A16,4))*4+VALUE(RIGHT($A16,1)))</f>
        <v/>
      </c>
      <c r="C16" s="19" t="inlineStr">
        <is>
          <t>P002</t>
        </is>
      </c>
      <c r="D16" s="14">
        <f>IFERROR(INDEX(Pessoas!$B$5:$B$64,MATCH($C16,Pessoas!$A$5:$A$64,0)),"")</f>
        <v/>
      </c>
      <c r="E16" s="19" t="inlineStr">
        <is>
          <t>A002</t>
        </is>
      </c>
      <c r="F16" s="14">
        <f>IFERROR(INDEX(Pessoas!$D$5:$D$64,MATCH($C16,Pessoas!$A$5:$A$64,0)),"")</f>
        <v/>
      </c>
      <c r="G16" s="19" t="inlineStr">
        <is>
          <t>Autonomia e ownership</t>
        </is>
      </c>
      <c r="H16" s="14">
        <f>IFERROR(INDEX(Config!$B$40:$B$45,MATCH($G16,Config!$C$40:$C$45,0)),"")</f>
        <v/>
      </c>
      <c r="I16" s="14">
        <f>IFERROR(INDEX(Config!$D$40:$D$45,MATCH($G16,Config!$C$40:$C$45,0)),"")</f>
        <v/>
      </c>
      <c r="J16" s="19" t="n"/>
      <c r="K16" s="19" t="n"/>
      <c r="L16" s="19" t="n"/>
      <c r="M16" s="19" t="n"/>
      <c r="N16" s="14">
        <f>IF(AND(ISNUMBER($J16),ISNUMBER($K16)),ABS($J16-$K16),"")</f>
        <v/>
      </c>
      <c r="O16" s="14">
        <f>IF(AND(NOT(ISNUMBER($J16)),NOT(ISNUMBER($K16))),"",IF(NOT(ISNUMBER($K16)),$J16,IF(NOT(ISNUMBER($J16)),$K16,IF($N16=0,$J16,IF(AND($N16=1,$T16&lt;&gt;"Sim"),IF($I16="Líder Técnico",$K16,IF($I16="GP",$J16,"CALIBRAR")),"CALIBRAR")))))</f>
        <v/>
      </c>
      <c r="P16" s="19" t="n"/>
      <c r="Q16" s="19" t="n"/>
      <c r="R16" s="14">
        <f>IF($P16="","",IF(AND(ISNUMBER($J16),$P16=$J16,ISNUMBER($K16),$P16=$K16),"= ambos",IF(AND(ISNUMBER($J16),$P16=$J16),"= GP",IF(AND(ISNUMBER($K16),$P16=$K16),"= LT","nenhuma das duas"))))</f>
        <v/>
      </c>
      <c r="S16" s="19" t="n"/>
      <c r="T16" s="19" t="n"/>
      <c r="U16" s="14">
        <f>IF($C16="","",COUNTIFS('Ocorrências'!$V$5:$V$604,$C16&amp;"|"&amp;$B16&amp;"|"&amp;$G16,'Ocorrências'!$X$5:$X$604,"Sim"))</f>
        <v/>
      </c>
      <c r="V16" s="14">
        <f>IF($P16="","",IF(OR($P16=1,$P16=2,$P16=5),IF($U16&gt;0,"OK","SEM LASTRO"),"OK"))</f>
        <v/>
      </c>
      <c r="W16" s="19" t="n"/>
      <c r="X16" s="18" t="n"/>
      <c r="Y16" s="14">
        <f>IF($C16="","",$C16&amp;"|"&amp;$B16)</f>
        <v/>
      </c>
      <c r="Z16" s="14">
        <f>IF($C16="","",$C16&amp;"|"&amp;$B16&amp;"|"&amp;$H16)</f>
        <v/>
      </c>
      <c r="AA16" s="14">
        <f>IF($C16="","",$C16&amp;"|"&amp;$B16&amp;"|"&amp;$G16)</f>
        <v/>
      </c>
    </row>
    <row r="17">
      <c r="A17" s="19" t="inlineStr">
        <is>
          <t>2026-Q3</t>
        </is>
      </c>
      <c r="B17" s="14">
        <f>IF($A17="","",VALUE(LEFT($A17,4))*4+VALUE(RIGHT($A17,1)))</f>
        <v/>
      </c>
      <c r="C17" s="19" t="inlineStr">
        <is>
          <t>P003</t>
        </is>
      </c>
      <c r="D17" s="14">
        <f>IFERROR(INDEX(Pessoas!$B$5:$B$64,MATCH($C17,Pessoas!$A$5:$A$64,0)),"")</f>
        <v/>
      </c>
      <c r="E17" s="19" t="inlineStr">
        <is>
          <t>A003</t>
        </is>
      </c>
      <c r="F17" s="14">
        <f>IFERROR(INDEX(Pessoas!$D$5:$D$64,MATCH($C17,Pessoas!$A$5:$A$64,0)),"")</f>
        <v/>
      </c>
      <c r="G17" s="19" t="inlineStr">
        <is>
          <t>Previsibilidade</t>
        </is>
      </c>
      <c r="H17" s="14">
        <f>IFERROR(INDEX(Config!$B$40:$B$45,MATCH($G17,Config!$C$40:$C$45,0)),"")</f>
        <v/>
      </c>
      <c r="I17" s="14">
        <f>IFERROR(INDEX(Config!$D$40:$D$45,MATCH($G17,Config!$C$40:$C$45,0)),"")</f>
        <v/>
      </c>
      <c r="J17" s="19" t="n"/>
      <c r="K17" s="19" t="n"/>
      <c r="L17" s="19" t="n"/>
      <c r="M17" s="19" t="n"/>
      <c r="N17" s="14">
        <f>IF(AND(ISNUMBER($J17),ISNUMBER($K17)),ABS($J17-$K17),"")</f>
        <v/>
      </c>
      <c r="O17" s="14">
        <f>IF(AND(NOT(ISNUMBER($J17)),NOT(ISNUMBER($K17))),"",IF(NOT(ISNUMBER($K17)),$J17,IF(NOT(ISNUMBER($J17)),$K17,IF($N17=0,$J17,IF(AND($N17=1,$T17&lt;&gt;"Sim"),IF($I17="Líder Técnico",$K17,IF($I17="GP",$J17,"CALIBRAR")),"CALIBRAR")))))</f>
        <v/>
      </c>
      <c r="P17" s="19" t="n"/>
      <c r="Q17" s="19" t="n"/>
      <c r="R17" s="14">
        <f>IF($P17="","",IF(AND(ISNUMBER($J17),$P17=$J17,ISNUMBER($K17),$P17=$K17),"= ambos",IF(AND(ISNUMBER($J17),$P17=$J17),"= GP",IF(AND(ISNUMBER($K17),$P17=$K17),"= LT","nenhuma das duas"))))</f>
        <v/>
      </c>
      <c r="S17" s="19" t="n"/>
      <c r="T17" s="19" t="n"/>
      <c r="U17" s="14">
        <f>IF($C17="","",COUNTIFS('Ocorrências'!$V$5:$V$604,$C17&amp;"|"&amp;$B17&amp;"|"&amp;$G17,'Ocorrências'!$X$5:$X$604,"Sim"))</f>
        <v/>
      </c>
      <c r="V17" s="14">
        <f>IF($P17="","",IF(OR($P17=1,$P17=2,$P17=5),IF($U17&gt;0,"OK","SEM LASTRO"),"OK"))</f>
        <v/>
      </c>
      <c r="W17" s="19" t="n"/>
      <c r="X17" s="18" t="n"/>
      <c r="Y17" s="14">
        <f>IF($C17="","",$C17&amp;"|"&amp;$B17)</f>
        <v/>
      </c>
      <c r="Z17" s="14">
        <f>IF($C17="","",$C17&amp;"|"&amp;$B17&amp;"|"&amp;$H17)</f>
        <v/>
      </c>
      <c r="AA17" s="14">
        <f>IF($C17="","",$C17&amp;"|"&amp;$B17&amp;"|"&amp;$G17)</f>
        <v/>
      </c>
    </row>
    <row r="18">
      <c r="A18" s="19" t="inlineStr">
        <is>
          <t>2026-Q3</t>
        </is>
      </c>
      <c r="B18" s="14">
        <f>IF($A18="","",VALUE(LEFT($A18,4))*4+VALUE(RIGHT($A18,1)))</f>
        <v/>
      </c>
      <c r="C18" s="19" t="inlineStr">
        <is>
          <t>P003</t>
        </is>
      </c>
      <c r="D18" s="14">
        <f>IFERROR(INDEX(Pessoas!$B$5:$B$64,MATCH($C18,Pessoas!$A$5:$A$64,0)),"")</f>
        <v/>
      </c>
      <c r="E18" s="19" t="inlineStr">
        <is>
          <t>A003</t>
        </is>
      </c>
      <c r="F18" s="14">
        <f>IFERROR(INDEX(Pessoas!$D$5:$D$64,MATCH($C18,Pessoas!$A$5:$A$64,0)),"")</f>
        <v/>
      </c>
      <c r="G18" s="19" t="inlineStr">
        <is>
          <t>Qualidade da entrega</t>
        </is>
      </c>
      <c r="H18" s="14">
        <f>IFERROR(INDEX(Config!$B$40:$B$45,MATCH($G18,Config!$C$40:$C$45,0)),"")</f>
        <v/>
      </c>
      <c r="I18" s="14">
        <f>IFERROR(INDEX(Config!$D$40:$D$45,MATCH($G18,Config!$C$40:$C$45,0)),"")</f>
        <v/>
      </c>
      <c r="J18" s="19" t="n"/>
      <c r="K18" s="19" t="n"/>
      <c r="L18" s="19" t="n"/>
      <c r="M18" s="19" t="n"/>
      <c r="N18" s="14">
        <f>IF(AND(ISNUMBER($J18),ISNUMBER($K18)),ABS($J18-$K18),"")</f>
        <v/>
      </c>
      <c r="O18" s="14">
        <f>IF(AND(NOT(ISNUMBER($J18)),NOT(ISNUMBER($K18))),"",IF(NOT(ISNUMBER($K18)),$J18,IF(NOT(ISNUMBER($J18)),$K18,IF($N18=0,$J18,IF(AND($N18=1,$T18&lt;&gt;"Sim"),IF($I18="Líder Técnico",$K18,IF($I18="GP",$J18,"CALIBRAR")),"CALIBRAR")))))</f>
        <v/>
      </c>
      <c r="P18" s="19" t="n"/>
      <c r="Q18" s="19" t="n"/>
      <c r="R18" s="14">
        <f>IF($P18="","",IF(AND(ISNUMBER($J18),$P18=$J18,ISNUMBER($K18),$P18=$K18),"= ambos",IF(AND(ISNUMBER($J18),$P18=$J18),"= GP",IF(AND(ISNUMBER($K18),$P18=$K18),"= LT","nenhuma das duas"))))</f>
        <v/>
      </c>
      <c r="S18" s="19" t="n"/>
      <c r="T18" s="19" t="n"/>
      <c r="U18" s="14">
        <f>IF($C18="","",COUNTIFS('Ocorrências'!$V$5:$V$604,$C18&amp;"|"&amp;$B18&amp;"|"&amp;$G18,'Ocorrências'!$X$5:$X$604,"Sim"))</f>
        <v/>
      </c>
      <c r="V18" s="14">
        <f>IF($P18="","",IF(OR($P18=1,$P18=2,$P18=5),IF($U18&gt;0,"OK","SEM LASTRO"),"OK"))</f>
        <v/>
      </c>
      <c r="W18" s="19" t="n"/>
      <c r="X18" s="18" t="n"/>
      <c r="Y18" s="14">
        <f>IF($C18="","",$C18&amp;"|"&amp;$B18)</f>
        <v/>
      </c>
      <c r="Z18" s="14">
        <f>IF($C18="","",$C18&amp;"|"&amp;$B18&amp;"|"&amp;$H18)</f>
        <v/>
      </c>
      <c r="AA18" s="14">
        <f>IF($C18="","",$C18&amp;"|"&amp;$B18&amp;"|"&amp;$G18)</f>
        <v/>
      </c>
    </row>
    <row r="19">
      <c r="A19" s="19" t="inlineStr">
        <is>
          <t>2026-Q3</t>
        </is>
      </c>
      <c r="B19" s="14">
        <f>IF($A19="","",VALUE(LEFT($A19,4))*4+VALUE(RIGHT($A19,1)))</f>
        <v/>
      </c>
      <c r="C19" s="19" t="inlineStr">
        <is>
          <t>P003</t>
        </is>
      </c>
      <c r="D19" s="14">
        <f>IFERROR(INDEX(Pessoas!$B$5:$B$64,MATCH($C19,Pessoas!$A$5:$A$64,0)),"")</f>
        <v/>
      </c>
      <c r="E19" s="19" t="inlineStr">
        <is>
          <t>A003</t>
        </is>
      </c>
      <c r="F19" s="14">
        <f>IFERROR(INDEX(Pessoas!$D$5:$D$64,MATCH($C19,Pessoas!$A$5:$A$64,0)),"")</f>
        <v/>
      </c>
      <c r="G19" s="19" t="inlineStr">
        <is>
          <t>Domínio técnico</t>
        </is>
      </c>
      <c r="H19" s="14">
        <f>IFERROR(INDEX(Config!$B$40:$B$45,MATCH($G19,Config!$C$40:$C$45,0)),"")</f>
        <v/>
      </c>
      <c r="I19" s="14">
        <f>IFERROR(INDEX(Config!$D$40:$D$45,MATCH($G19,Config!$C$40:$C$45,0)),"")</f>
        <v/>
      </c>
      <c r="J19" s="19" t="n"/>
      <c r="K19" s="19" t="n"/>
      <c r="L19" s="19" t="n"/>
      <c r="M19" s="19" t="n"/>
      <c r="N19" s="14">
        <f>IF(AND(ISNUMBER($J19),ISNUMBER($K19)),ABS($J19-$K19),"")</f>
        <v/>
      </c>
      <c r="O19" s="14">
        <f>IF(AND(NOT(ISNUMBER($J19)),NOT(ISNUMBER($K19))),"",IF(NOT(ISNUMBER($K19)),$J19,IF(NOT(ISNUMBER($J19)),$K19,IF($N19=0,$J19,IF(AND($N19=1,$T19&lt;&gt;"Sim"),IF($I19="Líder Técnico",$K19,IF($I19="GP",$J19,"CALIBRAR")),"CALIBRAR")))))</f>
        <v/>
      </c>
      <c r="P19" s="19" t="n"/>
      <c r="Q19" s="19" t="n"/>
      <c r="R19" s="14">
        <f>IF($P19="","",IF(AND(ISNUMBER($J19),$P19=$J19,ISNUMBER($K19),$P19=$K19),"= ambos",IF(AND(ISNUMBER($J19),$P19=$J19),"= GP",IF(AND(ISNUMBER($K19),$P19=$K19),"= LT","nenhuma das duas"))))</f>
        <v/>
      </c>
      <c r="S19" s="19" t="n"/>
      <c r="T19" s="19" t="n"/>
      <c r="U19" s="14">
        <f>IF($C19="","",COUNTIFS('Ocorrências'!$V$5:$V$604,$C19&amp;"|"&amp;$B19&amp;"|"&amp;$G19,'Ocorrências'!$X$5:$X$604,"Sim"))</f>
        <v/>
      </c>
      <c r="V19" s="14">
        <f>IF($P19="","",IF(OR($P19=1,$P19=2,$P19=5),IF($U19&gt;0,"OK","SEM LASTRO"),"OK"))</f>
        <v/>
      </c>
      <c r="W19" s="19" t="n"/>
      <c r="X19" s="18" t="n"/>
      <c r="Y19" s="14">
        <f>IF($C19="","",$C19&amp;"|"&amp;$B19)</f>
        <v/>
      </c>
      <c r="Z19" s="14">
        <f>IF($C19="","",$C19&amp;"|"&amp;$B19&amp;"|"&amp;$H19)</f>
        <v/>
      </c>
      <c r="AA19" s="14">
        <f>IF($C19="","",$C19&amp;"|"&amp;$B19&amp;"|"&amp;$G19)</f>
        <v/>
      </c>
    </row>
    <row r="20">
      <c r="A20" s="19" t="inlineStr">
        <is>
          <t>2026-Q3</t>
        </is>
      </c>
      <c r="B20" s="14">
        <f>IF($A20="","",VALUE(LEFT($A20,4))*4+VALUE(RIGHT($A20,1)))</f>
        <v/>
      </c>
      <c r="C20" s="19" t="inlineStr">
        <is>
          <t>P003</t>
        </is>
      </c>
      <c r="D20" s="14">
        <f>IFERROR(INDEX(Pessoas!$B$5:$B$64,MATCH($C20,Pessoas!$A$5:$A$64,0)),"")</f>
        <v/>
      </c>
      <c r="E20" s="19" t="inlineStr">
        <is>
          <t>A003</t>
        </is>
      </c>
      <c r="F20" s="14">
        <f>IFERROR(INDEX(Pessoas!$D$5:$D$64,MATCH($C20,Pessoas!$A$5:$A$64,0)),"")</f>
        <v/>
      </c>
      <c r="G20" s="19" t="inlineStr">
        <is>
          <t>Design de solução</t>
        </is>
      </c>
      <c r="H20" s="14">
        <f>IFERROR(INDEX(Config!$B$40:$B$45,MATCH($G20,Config!$C$40:$C$45,0)),"")</f>
        <v/>
      </c>
      <c r="I20" s="14">
        <f>IFERROR(INDEX(Config!$D$40:$D$45,MATCH($G20,Config!$C$40:$C$45,0)),"")</f>
        <v/>
      </c>
      <c r="J20" s="19" t="n"/>
      <c r="K20" s="19" t="n"/>
      <c r="L20" s="19" t="n"/>
      <c r="M20" s="19" t="n"/>
      <c r="N20" s="14">
        <f>IF(AND(ISNUMBER($J20),ISNUMBER($K20)),ABS($J20-$K20),"")</f>
        <v/>
      </c>
      <c r="O20" s="14">
        <f>IF(AND(NOT(ISNUMBER($J20)),NOT(ISNUMBER($K20))),"",IF(NOT(ISNUMBER($K20)),$J20,IF(NOT(ISNUMBER($J20)),$K20,IF($N20=0,$J20,IF(AND($N20=1,$T20&lt;&gt;"Sim"),IF($I20="Líder Técnico",$K20,IF($I20="GP",$J20,"CALIBRAR")),"CALIBRAR")))))</f>
        <v/>
      </c>
      <c r="P20" s="19" t="n"/>
      <c r="Q20" s="19" t="n"/>
      <c r="R20" s="14">
        <f>IF($P20="","",IF(AND(ISNUMBER($J20),$P20=$J20,ISNUMBER($K20),$P20=$K20),"= ambos",IF(AND(ISNUMBER($J20),$P20=$J20),"= GP",IF(AND(ISNUMBER($K20),$P20=$K20),"= LT","nenhuma das duas"))))</f>
        <v/>
      </c>
      <c r="S20" s="19" t="n"/>
      <c r="T20" s="19" t="n"/>
      <c r="U20" s="14">
        <f>IF($C20="","",COUNTIFS('Ocorrências'!$V$5:$V$604,$C20&amp;"|"&amp;$B20&amp;"|"&amp;$G20,'Ocorrências'!$X$5:$X$604,"Sim"))</f>
        <v/>
      </c>
      <c r="V20" s="14">
        <f>IF($P20="","",IF(OR($P20=1,$P20=2,$P20=5),IF($U20&gt;0,"OK","SEM LASTRO"),"OK"))</f>
        <v/>
      </c>
      <c r="W20" s="19" t="n"/>
      <c r="X20" s="18" t="n"/>
      <c r="Y20" s="14">
        <f>IF($C20="","",$C20&amp;"|"&amp;$B20)</f>
        <v/>
      </c>
      <c r="Z20" s="14">
        <f>IF($C20="","",$C20&amp;"|"&amp;$B20&amp;"|"&amp;$H20)</f>
        <v/>
      </c>
      <c r="AA20" s="14">
        <f>IF($C20="","",$C20&amp;"|"&amp;$B20&amp;"|"&amp;$G20)</f>
        <v/>
      </c>
    </row>
    <row r="21">
      <c r="A21" s="19" t="inlineStr">
        <is>
          <t>2026-Q3</t>
        </is>
      </c>
      <c r="B21" s="14">
        <f>IF($A21="","",VALUE(LEFT($A21,4))*4+VALUE(RIGHT($A21,1)))</f>
        <v/>
      </c>
      <c r="C21" s="19" t="inlineStr">
        <is>
          <t>P003</t>
        </is>
      </c>
      <c r="D21" s="14">
        <f>IFERROR(INDEX(Pessoas!$B$5:$B$64,MATCH($C21,Pessoas!$A$5:$A$64,0)),"")</f>
        <v/>
      </c>
      <c r="E21" s="19" t="inlineStr">
        <is>
          <t>A003</t>
        </is>
      </c>
      <c r="F21" s="14">
        <f>IFERROR(INDEX(Pessoas!$D$5:$D$64,MATCH($C21,Pessoas!$A$5:$A$64,0)),"")</f>
        <v/>
      </c>
      <c r="G21" s="19" t="inlineStr">
        <is>
          <t>Comunicação e colaboração</t>
        </is>
      </c>
      <c r="H21" s="14">
        <f>IFERROR(INDEX(Config!$B$40:$B$45,MATCH($G21,Config!$C$40:$C$45,0)),"")</f>
        <v/>
      </c>
      <c r="I21" s="14">
        <f>IFERROR(INDEX(Config!$D$40:$D$45,MATCH($G21,Config!$C$40:$C$45,0)),"")</f>
        <v/>
      </c>
      <c r="J21" s="19" t="n"/>
      <c r="K21" s="19" t="n"/>
      <c r="L21" s="19" t="n"/>
      <c r="M21" s="19" t="n"/>
      <c r="N21" s="14">
        <f>IF(AND(ISNUMBER($J21),ISNUMBER($K21)),ABS($J21-$K21),"")</f>
        <v/>
      </c>
      <c r="O21" s="14">
        <f>IF(AND(NOT(ISNUMBER($J21)),NOT(ISNUMBER($K21))),"",IF(NOT(ISNUMBER($K21)),$J21,IF(NOT(ISNUMBER($J21)),$K21,IF($N21=0,$J21,IF(AND($N21=1,$T21&lt;&gt;"Sim"),IF($I21="Líder Técnico",$K21,IF($I21="GP",$J21,"CALIBRAR")),"CALIBRAR")))))</f>
        <v/>
      </c>
      <c r="P21" s="19" t="n"/>
      <c r="Q21" s="19" t="n"/>
      <c r="R21" s="14">
        <f>IF($P21="","",IF(AND(ISNUMBER($J21),$P21=$J21,ISNUMBER($K21),$P21=$K21),"= ambos",IF(AND(ISNUMBER($J21),$P21=$J21),"= GP",IF(AND(ISNUMBER($K21),$P21=$K21),"= LT","nenhuma das duas"))))</f>
        <v/>
      </c>
      <c r="S21" s="19" t="n"/>
      <c r="T21" s="19" t="n"/>
      <c r="U21" s="14">
        <f>IF($C21="","",COUNTIFS('Ocorrências'!$V$5:$V$604,$C21&amp;"|"&amp;$B21&amp;"|"&amp;$G21,'Ocorrências'!$X$5:$X$604,"Sim"))</f>
        <v/>
      </c>
      <c r="V21" s="14">
        <f>IF($P21="","",IF(OR($P21=1,$P21=2,$P21=5),IF($U21&gt;0,"OK","SEM LASTRO"),"OK"))</f>
        <v/>
      </c>
      <c r="W21" s="19" t="n"/>
      <c r="X21" s="18" t="n"/>
      <c r="Y21" s="14">
        <f>IF($C21="","",$C21&amp;"|"&amp;$B21)</f>
        <v/>
      </c>
      <c r="Z21" s="14">
        <f>IF($C21="","",$C21&amp;"|"&amp;$B21&amp;"|"&amp;$H21)</f>
        <v/>
      </c>
      <c r="AA21" s="14">
        <f>IF($C21="","",$C21&amp;"|"&amp;$B21&amp;"|"&amp;$G21)</f>
        <v/>
      </c>
    </row>
    <row r="22">
      <c r="A22" s="19" t="inlineStr">
        <is>
          <t>2026-Q3</t>
        </is>
      </c>
      <c r="B22" s="14">
        <f>IF($A22="","",VALUE(LEFT($A22,4))*4+VALUE(RIGHT($A22,1)))</f>
        <v/>
      </c>
      <c r="C22" s="19" t="inlineStr">
        <is>
          <t>P003</t>
        </is>
      </c>
      <c r="D22" s="14">
        <f>IFERROR(INDEX(Pessoas!$B$5:$B$64,MATCH($C22,Pessoas!$A$5:$A$64,0)),"")</f>
        <v/>
      </c>
      <c r="E22" s="19" t="inlineStr">
        <is>
          <t>A003</t>
        </is>
      </c>
      <c r="F22" s="14">
        <f>IFERROR(INDEX(Pessoas!$D$5:$D$64,MATCH($C22,Pessoas!$A$5:$A$64,0)),"")</f>
        <v/>
      </c>
      <c r="G22" s="19" t="inlineStr">
        <is>
          <t>Autonomia e ownership</t>
        </is>
      </c>
      <c r="H22" s="14">
        <f>IFERROR(INDEX(Config!$B$40:$B$45,MATCH($G22,Config!$C$40:$C$45,0)),"")</f>
        <v/>
      </c>
      <c r="I22" s="14">
        <f>IFERROR(INDEX(Config!$D$40:$D$45,MATCH($G22,Config!$C$40:$C$45,0)),"")</f>
        <v/>
      </c>
      <c r="J22" s="19" t="n"/>
      <c r="K22" s="19" t="n"/>
      <c r="L22" s="19" t="n"/>
      <c r="M22" s="19" t="n"/>
      <c r="N22" s="14">
        <f>IF(AND(ISNUMBER($J22),ISNUMBER($K22)),ABS($J22-$K22),"")</f>
        <v/>
      </c>
      <c r="O22" s="14">
        <f>IF(AND(NOT(ISNUMBER($J22)),NOT(ISNUMBER($K22))),"",IF(NOT(ISNUMBER($K22)),$J22,IF(NOT(ISNUMBER($J22)),$K22,IF($N22=0,$J22,IF(AND($N22=1,$T22&lt;&gt;"Sim"),IF($I22="Líder Técnico",$K22,IF($I22="GP",$J22,"CALIBRAR")),"CALIBRAR")))))</f>
        <v/>
      </c>
      <c r="P22" s="19" t="n"/>
      <c r="Q22" s="19" t="n"/>
      <c r="R22" s="14">
        <f>IF($P22="","",IF(AND(ISNUMBER($J22),$P22=$J22,ISNUMBER($K22),$P22=$K22),"= ambos",IF(AND(ISNUMBER($J22),$P22=$J22),"= GP",IF(AND(ISNUMBER($K22),$P22=$K22),"= LT","nenhuma das duas"))))</f>
        <v/>
      </c>
      <c r="S22" s="19" t="n"/>
      <c r="T22" s="19" t="n"/>
      <c r="U22" s="14">
        <f>IF($C22="","",COUNTIFS('Ocorrências'!$V$5:$V$604,$C22&amp;"|"&amp;$B22&amp;"|"&amp;$G22,'Ocorrências'!$X$5:$X$604,"Sim"))</f>
        <v/>
      </c>
      <c r="V22" s="14">
        <f>IF($P22="","",IF(OR($P22=1,$P22=2,$P22=5),IF($U22&gt;0,"OK","SEM LASTRO"),"OK"))</f>
        <v/>
      </c>
      <c r="W22" s="19" t="n"/>
      <c r="X22" s="18" t="n"/>
      <c r="Y22" s="14">
        <f>IF($C22="","",$C22&amp;"|"&amp;$B22)</f>
        <v/>
      </c>
      <c r="Z22" s="14">
        <f>IF($C22="","",$C22&amp;"|"&amp;$B22&amp;"|"&amp;$H22)</f>
        <v/>
      </c>
      <c r="AA22" s="14">
        <f>IF($C22="","",$C22&amp;"|"&amp;$B22&amp;"|"&amp;$G22)</f>
        <v/>
      </c>
    </row>
    <row r="23">
      <c r="A23" s="19" t="inlineStr">
        <is>
          <t>2026-Q3</t>
        </is>
      </c>
      <c r="B23" s="14">
        <f>IF($A23="","",VALUE(LEFT($A23,4))*4+VALUE(RIGHT($A23,1)))</f>
        <v/>
      </c>
      <c r="C23" s="19" t="inlineStr">
        <is>
          <t>P003</t>
        </is>
      </c>
      <c r="D23" s="14">
        <f>IFERROR(INDEX(Pessoas!$B$5:$B$64,MATCH($C23,Pessoas!$A$5:$A$64,0)),"")</f>
        <v/>
      </c>
      <c r="E23" s="19" t="inlineStr">
        <is>
          <t>A004</t>
        </is>
      </c>
      <c r="F23" s="14">
        <f>IFERROR(INDEX(Pessoas!$D$5:$D$64,MATCH($C23,Pessoas!$A$5:$A$64,0)),"")</f>
        <v/>
      </c>
      <c r="G23" s="19" t="inlineStr">
        <is>
          <t>Previsibilidade</t>
        </is>
      </c>
      <c r="H23" s="14">
        <f>IFERROR(INDEX(Config!$B$40:$B$45,MATCH($G23,Config!$C$40:$C$45,0)),"")</f>
        <v/>
      </c>
      <c r="I23" s="14">
        <f>IFERROR(INDEX(Config!$D$40:$D$45,MATCH($G23,Config!$C$40:$C$45,0)),"")</f>
        <v/>
      </c>
      <c r="J23" s="19" t="n"/>
      <c r="K23" s="19" t="n"/>
      <c r="L23" s="19" t="n"/>
      <c r="M23" s="19" t="n"/>
      <c r="N23" s="14">
        <f>IF(AND(ISNUMBER($J23),ISNUMBER($K23)),ABS($J23-$K23),"")</f>
        <v/>
      </c>
      <c r="O23" s="14">
        <f>IF(AND(NOT(ISNUMBER($J23)),NOT(ISNUMBER($K23))),"",IF(NOT(ISNUMBER($K23)),$J23,IF(NOT(ISNUMBER($J23)),$K23,IF($N23=0,$J23,IF(AND($N23=1,$T23&lt;&gt;"Sim"),IF($I23="Líder Técnico",$K23,IF($I23="GP",$J23,"CALIBRAR")),"CALIBRAR")))))</f>
        <v/>
      </c>
      <c r="P23" s="19" t="n"/>
      <c r="Q23" s="19" t="n"/>
      <c r="R23" s="14">
        <f>IF($P23="","",IF(AND(ISNUMBER($J23),$P23=$J23,ISNUMBER($K23),$P23=$K23),"= ambos",IF(AND(ISNUMBER($J23),$P23=$J23),"= GP",IF(AND(ISNUMBER($K23),$P23=$K23),"= LT","nenhuma das duas"))))</f>
        <v/>
      </c>
      <c r="S23" s="19" t="n"/>
      <c r="T23" s="19" t="n"/>
      <c r="U23" s="14">
        <f>IF($C23="","",COUNTIFS('Ocorrências'!$V$5:$V$604,$C23&amp;"|"&amp;$B23&amp;"|"&amp;$G23,'Ocorrências'!$X$5:$X$604,"Sim"))</f>
        <v/>
      </c>
      <c r="V23" s="14">
        <f>IF($P23="","",IF(OR($P23=1,$P23=2,$P23=5),IF($U23&gt;0,"OK","SEM LASTRO"),"OK"))</f>
        <v/>
      </c>
      <c r="W23" s="19" t="n"/>
      <c r="X23" s="18" t="n"/>
      <c r="Y23" s="14">
        <f>IF($C23="","",$C23&amp;"|"&amp;$B23)</f>
        <v/>
      </c>
      <c r="Z23" s="14">
        <f>IF($C23="","",$C23&amp;"|"&amp;$B23&amp;"|"&amp;$H23)</f>
        <v/>
      </c>
      <c r="AA23" s="14">
        <f>IF($C23="","",$C23&amp;"|"&amp;$B23&amp;"|"&amp;$G23)</f>
        <v/>
      </c>
    </row>
    <row r="24">
      <c r="A24" s="19" t="inlineStr">
        <is>
          <t>2026-Q3</t>
        </is>
      </c>
      <c r="B24" s="14">
        <f>IF($A24="","",VALUE(LEFT($A24,4))*4+VALUE(RIGHT($A24,1)))</f>
        <v/>
      </c>
      <c r="C24" s="19" t="inlineStr">
        <is>
          <t>P003</t>
        </is>
      </c>
      <c r="D24" s="14">
        <f>IFERROR(INDEX(Pessoas!$B$5:$B$64,MATCH($C24,Pessoas!$A$5:$A$64,0)),"")</f>
        <v/>
      </c>
      <c r="E24" s="19" t="inlineStr">
        <is>
          <t>A004</t>
        </is>
      </c>
      <c r="F24" s="14">
        <f>IFERROR(INDEX(Pessoas!$D$5:$D$64,MATCH($C24,Pessoas!$A$5:$A$64,0)),"")</f>
        <v/>
      </c>
      <c r="G24" s="19" t="inlineStr">
        <is>
          <t>Qualidade da entrega</t>
        </is>
      </c>
      <c r="H24" s="14">
        <f>IFERROR(INDEX(Config!$B$40:$B$45,MATCH($G24,Config!$C$40:$C$45,0)),"")</f>
        <v/>
      </c>
      <c r="I24" s="14">
        <f>IFERROR(INDEX(Config!$D$40:$D$45,MATCH($G24,Config!$C$40:$C$45,0)),"")</f>
        <v/>
      </c>
      <c r="J24" s="19" t="n"/>
      <c r="K24" s="19" t="n"/>
      <c r="L24" s="19" t="n"/>
      <c r="M24" s="19" t="n"/>
      <c r="N24" s="14">
        <f>IF(AND(ISNUMBER($J24),ISNUMBER($K24)),ABS($J24-$K24),"")</f>
        <v/>
      </c>
      <c r="O24" s="14">
        <f>IF(AND(NOT(ISNUMBER($J24)),NOT(ISNUMBER($K24))),"",IF(NOT(ISNUMBER($K24)),$J24,IF(NOT(ISNUMBER($J24)),$K24,IF($N24=0,$J24,IF(AND($N24=1,$T24&lt;&gt;"Sim"),IF($I24="Líder Técnico",$K24,IF($I24="GP",$J24,"CALIBRAR")),"CALIBRAR")))))</f>
        <v/>
      </c>
      <c r="P24" s="19" t="n"/>
      <c r="Q24" s="19" t="n"/>
      <c r="R24" s="14">
        <f>IF($P24="","",IF(AND(ISNUMBER($J24),$P24=$J24,ISNUMBER($K24),$P24=$K24),"= ambos",IF(AND(ISNUMBER($J24),$P24=$J24),"= GP",IF(AND(ISNUMBER($K24),$P24=$K24),"= LT","nenhuma das duas"))))</f>
        <v/>
      </c>
      <c r="S24" s="19" t="n"/>
      <c r="T24" s="19" t="n"/>
      <c r="U24" s="14">
        <f>IF($C24="","",COUNTIFS('Ocorrências'!$V$5:$V$604,$C24&amp;"|"&amp;$B24&amp;"|"&amp;$G24,'Ocorrências'!$X$5:$X$604,"Sim"))</f>
        <v/>
      </c>
      <c r="V24" s="14">
        <f>IF($P24="","",IF(OR($P24=1,$P24=2,$P24=5),IF($U24&gt;0,"OK","SEM LASTRO"),"OK"))</f>
        <v/>
      </c>
      <c r="W24" s="19" t="n"/>
      <c r="X24" s="18" t="n"/>
      <c r="Y24" s="14">
        <f>IF($C24="","",$C24&amp;"|"&amp;$B24)</f>
        <v/>
      </c>
      <c r="Z24" s="14">
        <f>IF($C24="","",$C24&amp;"|"&amp;$B24&amp;"|"&amp;$H24)</f>
        <v/>
      </c>
      <c r="AA24" s="14">
        <f>IF($C24="","",$C24&amp;"|"&amp;$B24&amp;"|"&amp;$G24)</f>
        <v/>
      </c>
    </row>
    <row r="25">
      <c r="A25" s="19" t="inlineStr">
        <is>
          <t>2026-Q3</t>
        </is>
      </c>
      <c r="B25" s="14">
        <f>IF($A25="","",VALUE(LEFT($A25,4))*4+VALUE(RIGHT($A25,1)))</f>
        <v/>
      </c>
      <c r="C25" s="19" t="inlineStr">
        <is>
          <t>P003</t>
        </is>
      </c>
      <c r="D25" s="14">
        <f>IFERROR(INDEX(Pessoas!$B$5:$B$64,MATCH($C25,Pessoas!$A$5:$A$64,0)),"")</f>
        <v/>
      </c>
      <c r="E25" s="19" t="inlineStr">
        <is>
          <t>A004</t>
        </is>
      </c>
      <c r="F25" s="14">
        <f>IFERROR(INDEX(Pessoas!$D$5:$D$64,MATCH($C25,Pessoas!$A$5:$A$64,0)),"")</f>
        <v/>
      </c>
      <c r="G25" s="19" t="inlineStr">
        <is>
          <t>Domínio técnico</t>
        </is>
      </c>
      <c r="H25" s="14">
        <f>IFERROR(INDEX(Config!$B$40:$B$45,MATCH($G25,Config!$C$40:$C$45,0)),"")</f>
        <v/>
      </c>
      <c r="I25" s="14">
        <f>IFERROR(INDEX(Config!$D$40:$D$45,MATCH($G25,Config!$C$40:$C$45,0)),"")</f>
        <v/>
      </c>
      <c r="J25" s="19" t="n"/>
      <c r="K25" s="19" t="n"/>
      <c r="L25" s="19" t="n"/>
      <c r="M25" s="19" t="n"/>
      <c r="N25" s="14">
        <f>IF(AND(ISNUMBER($J25),ISNUMBER($K25)),ABS($J25-$K25),"")</f>
        <v/>
      </c>
      <c r="O25" s="14">
        <f>IF(AND(NOT(ISNUMBER($J25)),NOT(ISNUMBER($K25))),"",IF(NOT(ISNUMBER($K25)),$J25,IF(NOT(ISNUMBER($J25)),$K25,IF($N25=0,$J25,IF(AND($N25=1,$T25&lt;&gt;"Sim"),IF($I25="Líder Técnico",$K25,IF($I25="GP",$J25,"CALIBRAR")),"CALIBRAR")))))</f>
        <v/>
      </c>
      <c r="P25" s="19" t="n"/>
      <c r="Q25" s="19" t="n"/>
      <c r="R25" s="14">
        <f>IF($P25="","",IF(AND(ISNUMBER($J25),$P25=$J25,ISNUMBER($K25),$P25=$K25),"= ambos",IF(AND(ISNUMBER($J25),$P25=$J25),"= GP",IF(AND(ISNUMBER($K25),$P25=$K25),"= LT","nenhuma das duas"))))</f>
        <v/>
      </c>
      <c r="S25" s="19" t="n"/>
      <c r="T25" s="19" t="n"/>
      <c r="U25" s="14">
        <f>IF($C25="","",COUNTIFS('Ocorrências'!$V$5:$V$604,$C25&amp;"|"&amp;$B25&amp;"|"&amp;$G25,'Ocorrências'!$X$5:$X$604,"Sim"))</f>
        <v/>
      </c>
      <c r="V25" s="14">
        <f>IF($P25="","",IF(OR($P25=1,$P25=2,$P25=5),IF($U25&gt;0,"OK","SEM LASTRO"),"OK"))</f>
        <v/>
      </c>
      <c r="W25" s="19" t="n"/>
      <c r="X25" s="18" t="n"/>
      <c r="Y25" s="14">
        <f>IF($C25="","",$C25&amp;"|"&amp;$B25)</f>
        <v/>
      </c>
      <c r="Z25" s="14">
        <f>IF($C25="","",$C25&amp;"|"&amp;$B25&amp;"|"&amp;$H25)</f>
        <v/>
      </c>
      <c r="AA25" s="14">
        <f>IF($C25="","",$C25&amp;"|"&amp;$B25&amp;"|"&amp;$G25)</f>
        <v/>
      </c>
    </row>
    <row r="26">
      <c r="A26" s="19" t="inlineStr">
        <is>
          <t>2026-Q3</t>
        </is>
      </c>
      <c r="B26" s="14">
        <f>IF($A26="","",VALUE(LEFT($A26,4))*4+VALUE(RIGHT($A26,1)))</f>
        <v/>
      </c>
      <c r="C26" s="19" t="inlineStr">
        <is>
          <t>P003</t>
        </is>
      </c>
      <c r="D26" s="14">
        <f>IFERROR(INDEX(Pessoas!$B$5:$B$64,MATCH($C26,Pessoas!$A$5:$A$64,0)),"")</f>
        <v/>
      </c>
      <c r="E26" s="19" t="inlineStr">
        <is>
          <t>A004</t>
        </is>
      </c>
      <c r="F26" s="14">
        <f>IFERROR(INDEX(Pessoas!$D$5:$D$64,MATCH($C26,Pessoas!$A$5:$A$64,0)),"")</f>
        <v/>
      </c>
      <c r="G26" s="19" t="inlineStr">
        <is>
          <t>Design de solução</t>
        </is>
      </c>
      <c r="H26" s="14">
        <f>IFERROR(INDEX(Config!$B$40:$B$45,MATCH($G26,Config!$C$40:$C$45,0)),"")</f>
        <v/>
      </c>
      <c r="I26" s="14">
        <f>IFERROR(INDEX(Config!$D$40:$D$45,MATCH($G26,Config!$C$40:$C$45,0)),"")</f>
        <v/>
      </c>
      <c r="J26" s="19" t="n"/>
      <c r="K26" s="19" t="n"/>
      <c r="L26" s="19" t="n"/>
      <c r="M26" s="19" t="n"/>
      <c r="N26" s="14">
        <f>IF(AND(ISNUMBER($J26),ISNUMBER($K26)),ABS($J26-$K26),"")</f>
        <v/>
      </c>
      <c r="O26" s="14">
        <f>IF(AND(NOT(ISNUMBER($J26)),NOT(ISNUMBER($K26))),"",IF(NOT(ISNUMBER($K26)),$J26,IF(NOT(ISNUMBER($J26)),$K26,IF($N26=0,$J26,IF(AND($N26=1,$T26&lt;&gt;"Sim"),IF($I26="Líder Técnico",$K26,IF($I26="GP",$J26,"CALIBRAR")),"CALIBRAR")))))</f>
        <v/>
      </c>
      <c r="P26" s="19" t="n"/>
      <c r="Q26" s="19" t="n"/>
      <c r="R26" s="14">
        <f>IF($P26="","",IF(AND(ISNUMBER($J26),$P26=$J26,ISNUMBER($K26),$P26=$K26),"= ambos",IF(AND(ISNUMBER($J26),$P26=$J26),"= GP",IF(AND(ISNUMBER($K26),$P26=$K26),"= LT","nenhuma das duas"))))</f>
        <v/>
      </c>
      <c r="S26" s="19" t="n"/>
      <c r="T26" s="19" t="n"/>
      <c r="U26" s="14">
        <f>IF($C26="","",COUNTIFS('Ocorrências'!$V$5:$V$604,$C26&amp;"|"&amp;$B26&amp;"|"&amp;$G26,'Ocorrências'!$X$5:$X$604,"Sim"))</f>
        <v/>
      </c>
      <c r="V26" s="14">
        <f>IF($P26="","",IF(OR($P26=1,$P26=2,$P26=5),IF($U26&gt;0,"OK","SEM LASTRO"),"OK"))</f>
        <v/>
      </c>
      <c r="W26" s="19" t="n"/>
      <c r="X26" s="18" t="n"/>
      <c r="Y26" s="14">
        <f>IF($C26="","",$C26&amp;"|"&amp;$B26)</f>
        <v/>
      </c>
      <c r="Z26" s="14">
        <f>IF($C26="","",$C26&amp;"|"&amp;$B26&amp;"|"&amp;$H26)</f>
        <v/>
      </c>
      <c r="AA26" s="14">
        <f>IF($C26="","",$C26&amp;"|"&amp;$B26&amp;"|"&amp;$G26)</f>
        <v/>
      </c>
    </row>
    <row r="27">
      <c r="A27" s="19" t="inlineStr">
        <is>
          <t>2026-Q3</t>
        </is>
      </c>
      <c r="B27" s="14">
        <f>IF($A27="","",VALUE(LEFT($A27,4))*4+VALUE(RIGHT($A27,1)))</f>
        <v/>
      </c>
      <c r="C27" s="19" t="inlineStr">
        <is>
          <t>P003</t>
        </is>
      </c>
      <c r="D27" s="14">
        <f>IFERROR(INDEX(Pessoas!$B$5:$B$64,MATCH($C27,Pessoas!$A$5:$A$64,0)),"")</f>
        <v/>
      </c>
      <c r="E27" s="19" t="inlineStr">
        <is>
          <t>A004</t>
        </is>
      </c>
      <c r="F27" s="14">
        <f>IFERROR(INDEX(Pessoas!$D$5:$D$64,MATCH($C27,Pessoas!$A$5:$A$64,0)),"")</f>
        <v/>
      </c>
      <c r="G27" s="19" t="inlineStr">
        <is>
          <t>Comunicação e colaboração</t>
        </is>
      </c>
      <c r="H27" s="14">
        <f>IFERROR(INDEX(Config!$B$40:$B$45,MATCH($G27,Config!$C$40:$C$45,0)),"")</f>
        <v/>
      </c>
      <c r="I27" s="14">
        <f>IFERROR(INDEX(Config!$D$40:$D$45,MATCH($G27,Config!$C$40:$C$45,0)),"")</f>
        <v/>
      </c>
      <c r="J27" s="19" t="n"/>
      <c r="K27" s="19" t="n"/>
      <c r="L27" s="19" t="n"/>
      <c r="M27" s="19" t="n"/>
      <c r="N27" s="14">
        <f>IF(AND(ISNUMBER($J27),ISNUMBER($K27)),ABS($J27-$K27),"")</f>
        <v/>
      </c>
      <c r="O27" s="14">
        <f>IF(AND(NOT(ISNUMBER($J27)),NOT(ISNUMBER($K27))),"",IF(NOT(ISNUMBER($K27)),$J27,IF(NOT(ISNUMBER($J27)),$K27,IF($N27=0,$J27,IF(AND($N27=1,$T27&lt;&gt;"Sim"),IF($I27="Líder Técnico",$K27,IF($I27="GP",$J27,"CALIBRAR")),"CALIBRAR")))))</f>
        <v/>
      </c>
      <c r="P27" s="19" t="n"/>
      <c r="Q27" s="19" t="n"/>
      <c r="R27" s="14">
        <f>IF($P27="","",IF(AND(ISNUMBER($J27),$P27=$J27,ISNUMBER($K27),$P27=$K27),"= ambos",IF(AND(ISNUMBER($J27),$P27=$J27),"= GP",IF(AND(ISNUMBER($K27),$P27=$K27),"= LT","nenhuma das duas"))))</f>
        <v/>
      </c>
      <c r="S27" s="19" t="n"/>
      <c r="T27" s="19" t="n"/>
      <c r="U27" s="14">
        <f>IF($C27="","",COUNTIFS('Ocorrências'!$V$5:$V$604,$C27&amp;"|"&amp;$B27&amp;"|"&amp;$G27,'Ocorrências'!$X$5:$X$604,"Sim"))</f>
        <v/>
      </c>
      <c r="V27" s="14">
        <f>IF($P27="","",IF(OR($P27=1,$P27=2,$P27=5),IF($U27&gt;0,"OK","SEM LASTRO"),"OK"))</f>
        <v/>
      </c>
      <c r="W27" s="19" t="n"/>
      <c r="X27" s="18" t="n"/>
      <c r="Y27" s="14">
        <f>IF($C27="","",$C27&amp;"|"&amp;$B27)</f>
        <v/>
      </c>
      <c r="Z27" s="14">
        <f>IF($C27="","",$C27&amp;"|"&amp;$B27&amp;"|"&amp;$H27)</f>
        <v/>
      </c>
      <c r="AA27" s="14">
        <f>IF($C27="","",$C27&amp;"|"&amp;$B27&amp;"|"&amp;$G27)</f>
        <v/>
      </c>
    </row>
    <row r="28">
      <c r="A28" s="19" t="inlineStr">
        <is>
          <t>2026-Q3</t>
        </is>
      </c>
      <c r="B28" s="14">
        <f>IF($A28="","",VALUE(LEFT($A28,4))*4+VALUE(RIGHT($A28,1)))</f>
        <v/>
      </c>
      <c r="C28" s="19" t="inlineStr">
        <is>
          <t>P003</t>
        </is>
      </c>
      <c r="D28" s="14">
        <f>IFERROR(INDEX(Pessoas!$B$5:$B$64,MATCH($C28,Pessoas!$A$5:$A$64,0)),"")</f>
        <v/>
      </c>
      <c r="E28" s="19" t="inlineStr">
        <is>
          <t>A004</t>
        </is>
      </c>
      <c r="F28" s="14">
        <f>IFERROR(INDEX(Pessoas!$D$5:$D$64,MATCH($C28,Pessoas!$A$5:$A$64,0)),"")</f>
        <v/>
      </c>
      <c r="G28" s="19" t="inlineStr">
        <is>
          <t>Autonomia e ownership</t>
        </is>
      </c>
      <c r="H28" s="14">
        <f>IFERROR(INDEX(Config!$B$40:$B$45,MATCH($G28,Config!$C$40:$C$45,0)),"")</f>
        <v/>
      </c>
      <c r="I28" s="14">
        <f>IFERROR(INDEX(Config!$D$40:$D$45,MATCH($G28,Config!$C$40:$C$45,0)),"")</f>
        <v/>
      </c>
      <c r="J28" s="19" t="n"/>
      <c r="K28" s="19" t="n"/>
      <c r="L28" s="19" t="n"/>
      <c r="M28" s="19" t="n"/>
      <c r="N28" s="14">
        <f>IF(AND(ISNUMBER($J28),ISNUMBER($K28)),ABS($J28-$K28),"")</f>
        <v/>
      </c>
      <c r="O28" s="14">
        <f>IF(AND(NOT(ISNUMBER($J28)),NOT(ISNUMBER($K28))),"",IF(NOT(ISNUMBER($K28)),$J28,IF(NOT(ISNUMBER($J28)),$K28,IF($N28=0,$J28,IF(AND($N28=1,$T28&lt;&gt;"Sim"),IF($I28="Líder Técnico",$K28,IF($I28="GP",$J28,"CALIBRAR")),"CALIBRAR")))))</f>
        <v/>
      </c>
      <c r="P28" s="19" t="n"/>
      <c r="Q28" s="19" t="n"/>
      <c r="R28" s="14">
        <f>IF($P28="","",IF(AND(ISNUMBER($J28),$P28=$J28,ISNUMBER($K28),$P28=$K28),"= ambos",IF(AND(ISNUMBER($J28),$P28=$J28),"= GP",IF(AND(ISNUMBER($K28),$P28=$K28),"= LT","nenhuma das duas"))))</f>
        <v/>
      </c>
      <c r="S28" s="19" t="n"/>
      <c r="T28" s="19" t="n"/>
      <c r="U28" s="14">
        <f>IF($C28="","",COUNTIFS('Ocorrências'!$V$5:$V$604,$C28&amp;"|"&amp;$B28&amp;"|"&amp;$G28,'Ocorrências'!$X$5:$X$604,"Sim"))</f>
        <v/>
      </c>
      <c r="V28" s="14">
        <f>IF($P28="","",IF(OR($P28=1,$P28=2,$P28=5),IF($U28&gt;0,"OK","SEM LASTRO"),"OK"))</f>
        <v/>
      </c>
      <c r="W28" s="19" t="n"/>
      <c r="X28" s="18" t="n"/>
      <c r="Y28" s="14">
        <f>IF($C28="","",$C28&amp;"|"&amp;$B28)</f>
        <v/>
      </c>
      <c r="Z28" s="14">
        <f>IF($C28="","",$C28&amp;"|"&amp;$B28&amp;"|"&amp;$H28)</f>
        <v/>
      </c>
      <c r="AA28" s="14">
        <f>IF($C28="","",$C28&amp;"|"&amp;$B28&amp;"|"&amp;$G28)</f>
        <v/>
      </c>
    </row>
    <row r="29">
      <c r="A29" s="19" t="n"/>
      <c r="B29" s="14">
        <f>IF($A29="","",VALUE(LEFT($A29,4))*4+VALUE(RIGHT($A29,1)))</f>
        <v/>
      </c>
      <c r="C29" s="19" t="n"/>
      <c r="D29" s="14">
        <f>IFERROR(INDEX(Pessoas!$B$5:$B$64,MATCH($C29,Pessoas!$A$5:$A$64,0)),"")</f>
        <v/>
      </c>
      <c r="E29" s="19" t="n"/>
      <c r="F29" s="14">
        <f>IFERROR(INDEX(Pessoas!$D$5:$D$64,MATCH($C29,Pessoas!$A$5:$A$64,0)),"")</f>
        <v/>
      </c>
      <c r="G29" s="19" t="n"/>
      <c r="H29" s="14">
        <f>IFERROR(INDEX(Config!$B$40:$B$45,MATCH($G29,Config!$C$40:$C$45,0)),"")</f>
        <v/>
      </c>
      <c r="I29" s="14">
        <f>IFERROR(INDEX(Config!$D$40:$D$45,MATCH($G29,Config!$C$40:$C$45,0)),"")</f>
        <v/>
      </c>
      <c r="J29" s="19" t="n"/>
      <c r="K29" s="19" t="n"/>
      <c r="L29" s="19" t="n"/>
      <c r="M29" s="19" t="n"/>
      <c r="N29" s="14">
        <f>IF(AND(ISNUMBER($J29),ISNUMBER($K29)),ABS($J29-$K29),"")</f>
        <v/>
      </c>
      <c r="O29" s="14">
        <f>IF(AND(NOT(ISNUMBER($J29)),NOT(ISNUMBER($K29))),"",IF(NOT(ISNUMBER($K29)),$J29,IF(NOT(ISNUMBER($J29)),$K29,IF($N29=0,$J29,IF(AND($N29=1,$T29&lt;&gt;"Sim"),IF($I29="Líder Técnico",$K29,IF($I29="GP",$J29,"CALIBRAR")),"CALIBRAR")))))</f>
        <v/>
      </c>
      <c r="P29" s="19" t="n"/>
      <c r="Q29" s="19" t="n"/>
      <c r="R29" s="14">
        <f>IF($P29="","",IF(AND(ISNUMBER($J29),$P29=$J29,ISNUMBER($K29),$P29=$K29),"= ambos",IF(AND(ISNUMBER($J29),$P29=$J29),"= GP",IF(AND(ISNUMBER($K29),$P29=$K29),"= LT","nenhuma das duas"))))</f>
        <v/>
      </c>
      <c r="S29" s="19" t="n"/>
      <c r="T29" s="19" t="n"/>
      <c r="U29" s="14">
        <f>IF($C29="","",COUNTIFS('Ocorrências'!$V$5:$V$604,$C29&amp;"|"&amp;$B29&amp;"|"&amp;$G29,'Ocorrências'!$X$5:$X$604,"Sim"))</f>
        <v/>
      </c>
      <c r="V29" s="14">
        <f>IF($P29="","",IF(OR($P29=1,$P29=2,$P29=5),IF($U29&gt;0,"OK","SEM LASTRO"),"OK"))</f>
        <v/>
      </c>
      <c r="W29" s="19" t="n"/>
      <c r="X29" s="18" t="n"/>
      <c r="Y29" s="14">
        <f>IF($C29="","",$C29&amp;"|"&amp;$B29)</f>
        <v/>
      </c>
      <c r="Z29" s="14">
        <f>IF($C29="","",$C29&amp;"|"&amp;$B29&amp;"|"&amp;$H29)</f>
        <v/>
      </c>
      <c r="AA29" s="14">
        <f>IF($C29="","",$C29&amp;"|"&amp;$B29&amp;"|"&amp;$G29)</f>
        <v/>
      </c>
    </row>
    <row r="30">
      <c r="A30" s="19" t="n"/>
      <c r="B30" s="14">
        <f>IF($A30="","",VALUE(LEFT($A30,4))*4+VALUE(RIGHT($A30,1)))</f>
        <v/>
      </c>
      <c r="C30" s="19" t="n"/>
      <c r="D30" s="14">
        <f>IFERROR(INDEX(Pessoas!$B$5:$B$64,MATCH($C30,Pessoas!$A$5:$A$64,0)),"")</f>
        <v/>
      </c>
      <c r="E30" s="19" t="n"/>
      <c r="F30" s="14">
        <f>IFERROR(INDEX(Pessoas!$D$5:$D$64,MATCH($C30,Pessoas!$A$5:$A$64,0)),"")</f>
        <v/>
      </c>
      <c r="G30" s="19" t="n"/>
      <c r="H30" s="14">
        <f>IFERROR(INDEX(Config!$B$40:$B$45,MATCH($G30,Config!$C$40:$C$45,0)),"")</f>
        <v/>
      </c>
      <c r="I30" s="14">
        <f>IFERROR(INDEX(Config!$D$40:$D$45,MATCH($G30,Config!$C$40:$C$45,0)),"")</f>
        <v/>
      </c>
      <c r="J30" s="19" t="n"/>
      <c r="K30" s="19" t="n"/>
      <c r="L30" s="19" t="n"/>
      <c r="M30" s="19" t="n"/>
      <c r="N30" s="14">
        <f>IF(AND(ISNUMBER($J30),ISNUMBER($K30)),ABS($J30-$K30),"")</f>
        <v/>
      </c>
      <c r="O30" s="14">
        <f>IF(AND(NOT(ISNUMBER($J30)),NOT(ISNUMBER($K30))),"",IF(NOT(ISNUMBER($K30)),$J30,IF(NOT(ISNUMBER($J30)),$K30,IF($N30=0,$J30,IF(AND($N30=1,$T30&lt;&gt;"Sim"),IF($I30="Líder Técnico",$K30,IF($I30="GP",$J30,"CALIBRAR")),"CALIBRAR")))))</f>
        <v/>
      </c>
      <c r="P30" s="19" t="n"/>
      <c r="Q30" s="19" t="n"/>
      <c r="R30" s="14">
        <f>IF($P30="","",IF(AND(ISNUMBER($J30),$P30=$J30,ISNUMBER($K30),$P30=$K30),"= ambos",IF(AND(ISNUMBER($J30),$P30=$J30),"= GP",IF(AND(ISNUMBER($K30),$P30=$K30),"= LT","nenhuma das duas"))))</f>
        <v/>
      </c>
      <c r="S30" s="19" t="n"/>
      <c r="T30" s="19" t="n"/>
      <c r="U30" s="14">
        <f>IF($C30="","",COUNTIFS('Ocorrências'!$V$5:$V$604,$C30&amp;"|"&amp;$B30&amp;"|"&amp;$G30,'Ocorrências'!$X$5:$X$604,"Sim"))</f>
        <v/>
      </c>
      <c r="V30" s="14">
        <f>IF($P30="","",IF(OR($P30=1,$P30=2,$P30=5),IF($U30&gt;0,"OK","SEM LASTRO"),"OK"))</f>
        <v/>
      </c>
      <c r="W30" s="19" t="n"/>
      <c r="X30" s="18" t="n"/>
      <c r="Y30" s="14">
        <f>IF($C30="","",$C30&amp;"|"&amp;$B30)</f>
        <v/>
      </c>
      <c r="Z30" s="14">
        <f>IF($C30="","",$C30&amp;"|"&amp;$B30&amp;"|"&amp;$H30)</f>
        <v/>
      </c>
      <c r="AA30" s="14">
        <f>IF($C30="","",$C30&amp;"|"&amp;$B30&amp;"|"&amp;$G30)</f>
        <v/>
      </c>
    </row>
    <row r="31">
      <c r="A31" s="19" t="n"/>
      <c r="B31" s="14">
        <f>IF($A31="","",VALUE(LEFT($A31,4))*4+VALUE(RIGHT($A31,1)))</f>
        <v/>
      </c>
      <c r="C31" s="19" t="n"/>
      <c r="D31" s="14">
        <f>IFERROR(INDEX(Pessoas!$B$5:$B$64,MATCH($C31,Pessoas!$A$5:$A$64,0)),"")</f>
        <v/>
      </c>
      <c r="E31" s="19" t="n"/>
      <c r="F31" s="14">
        <f>IFERROR(INDEX(Pessoas!$D$5:$D$64,MATCH($C31,Pessoas!$A$5:$A$64,0)),"")</f>
        <v/>
      </c>
      <c r="G31" s="19" t="n"/>
      <c r="H31" s="14">
        <f>IFERROR(INDEX(Config!$B$40:$B$45,MATCH($G31,Config!$C$40:$C$45,0)),"")</f>
        <v/>
      </c>
      <c r="I31" s="14">
        <f>IFERROR(INDEX(Config!$D$40:$D$45,MATCH($G31,Config!$C$40:$C$45,0)),"")</f>
        <v/>
      </c>
      <c r="J31" s="19" t="n"/>
      <c r="K31" s="19" t="n"/>
      <c r="L31" s="19" t="n"/>
      <c r="M31" s="19" t="n"/>
      <c r="N31" s="14">
        <f>IF(AND(ISNUMBER($J31),ISNUMBER($K31)),ABS($J31-$K31),"")</f>
        <v/>
      </c>
      <c r="O31" s="14">
        <f>IF(AND(NOT(ISNUMBER($J31)),NOT(ISNUMBER($K31))),"",IF(NOT(ISNUMBER($K31)),$J31,IF(NOT(ISNUMBER($J31)),$K31,IF($N31=0,$J31,IF(AND($N31=1,$T31&lt;&gt;"Sim"),IF($I31="Líder Técnico",$K31,IF($I31="GP",$J31,"CALIBRAR")),"CALIBRAR")))))</f>
        <v/>
      </c>
      <c r="P31" s="19" t="n"/>
      <c r="Q31" s="19" t="n"/>
      <c r="R31" s="14">
        <f>IF($P31="","",IF(AND(ISNUMBER($J31),$P31=$J31,ISNUMBER($K31),$P31=$K31),"= ambos",IF(AND(ISNUMBER($J31),$P31=$J31),"= GP",IF(AND(ISNUMBER($K31),$P31=$K31),"= LT","nenhuma das duas"))))</f>
        <v/>
      </c>
      <c r="S31" s="19" t="n"/>
      <c r="T31" s="19" t="n"/>
      <c r="U31" s="14">
        <f>IF($C31="","",COUNTIFS('Ocorrências'!$V$5:$V$604,$C31&amp;"|"&amp;$B31&amp;"|"&amp;$G31,'Ocorrências'!$X$5:$X$604,"Sim"))</f>
        <v/>
      </c>
      <c r="V31" s="14">
        <f>IF($P31="","",IF(OR($P31=1,$P31=2,$P31=5),IF($U31&gt;0,"OK","SEM LASTRO"),"OK"))</f>
        <v/>
      </c>
      <c r="W31" s="19" t="n"/>
      <c r="X31" s="18" t="n"/>
      <c r="Y31" s="14">
        <f>IF($C31="","",$C31&amp;"|"&amp;$B31)</f>
        <v/>
      </c>
      <c r="Z31" s="14">
        <f>IF($C31="","",$C31&amp;"|"&amp;$B31&amp;"|"&amp;$H31)</f>
        <v/>
      </c>
      <c r="AA31" s="14">
        <f>IF($C31="","",$C31&amp;"|"&amp;$B31&amp;"|"&amp;$G31)</f>
        <v/>
      </c>
    </row>
    <row r="32">
      <c r="A32" s="19" t="n"/>
      <c r="B32" s="14">
        <f>IF($A32="","",VALUE(LEFT($A32,4))*4+VALUE(RIGHT($A32,1)))</f>
        <v/>
      </c>
      <c r="C32" s="19" t="n"/>
      <c r="D32" s="14">
        <f>IFERROR(INDEX(Pessoas!$B$5:$B$64,MATCH($C32,Pessoas!$A$5:$A$64,0)),"")</f>
        <v/>
      </c>
      <c r="E32" s="19" t="n"/>
      <c r="F32" s="14">
        <f>IFERROR(INDEX(Pessoas!$D$5:$D$64,MATCH($C32,Pessoas!$A$5:$A$64,0)),"")</f>
        <v/>
      </c>
      <c r="G32" s="19" t="n"/>
      <c r="H32" s="14">
        <f>IFERROR(INDEX(Config!$B$40:$B$45,MATCH($G32,Config!$C$40:$C$45,0)),"")</f>
        <v/>
      </c>
      <c r="I32" s="14">
        <f>IFERROR(INDEX(Config!$D$40:$D$45,MATCH($G32,Config!$C$40:$C$45,0)),"")</f>
        <v/>
      </c>
      <c r="J32" s="19" t="n"/>
      <c r="K32" s="19" t="n"/>
      <c r="L32" s="19" t="n"/>
      <c r="M32" s="19" t="n"/>
      <c r="N32" s="14">
        <f>IF(AND(ISNUMBER($J32),ISNUMBER($K32)),ABS($J32-$K32),"")</f>
        <v/>
      </c>
      <c r="O32" s="14">
        <f>IF(AND(NOT(ISNUMBER($J32)),NOT(ISNUMBER($K32))),"",IF(NOT(ISNUMBER($K32)),$J32,IF(NOT(ISNUMBER($J32)),$K32,IF($N32=0,$J32,IF(AND($N32=1,$T32&lt;&gt;"Sim"),IF($I32="Líder Técnico",$K32,IF($I32="GP",$J32,"CALIBRAR")),"CALIBRAR")))))</f>
        <v/>
      </c>
      <c r="P32" s="19" t="n"/>
      <c r="Q32" s="19" t="n"/>
      <c r="R32" s="14">
        <f>IF($P32="","",IF(AND(ISNUMBER($J32),$P32=$J32,ISNUMBER($K32),$P32=$K32),"= ambos",IF(AND(ISNUMBER($J32),$P32=$J32),"= GP",IF(AND(ISNUMBER($K32),$P32=$K32),"= LT","nenhuma das duas"))))</f>
        <v/>
      </c>
      <c r="S32" s="19" t="n"/>
      <c r="T32" s="19" t="n"/>
      <c r="U32" s="14">
        <f>IF($C32="","",COUNTIFS('Ocorrências'!$V$5:$V$604,$C32&amp;"|"&amp;$B32&amp;"|"&amp;$G32,'Ocorrências'!$X$5:$X$604,"Sim"))</f>
        <v/>
      </c>
      <c r="V32" s="14">
        <f>IF($P32="","",IF(OR($P32=1,$P32=2,$P32=5),IF($U32&gt;0,"OK","SEM LASTRO"),"OK"))</f>
        <v/>
      </c>
      <c r="W32" s="19" t="n"/>
      <c r="X32" s="18" t="n"/>
      <c r="Y32" s="14">
        <f>IF($C32="","",$C32&amp;"|"&amp;$B32)</f>
        <v/>
      </c>
      <c r="Z32" s="14">
        <f>IF($C32="","",$C32&amp;"|"&amp;$B32&amp;"|"&amp;$H32)</f>
        <v/>
      </c>
      <c r="AA32" s="14">
        <f>IF($C32="","",$C32&amp;"|"&amp;$B32&amp;"|"&amp;$G32)</f>
        <v/>
      </c>
    </row>
    <row r="33">
      <c r="A33" s="19" t="n"/>
      <c r="B33" s="14">
        <f>IF($A33="","",VALUE(LEFT($A33,4))*4+VALUE(RIGHT($A33,1)))</f>
        <v/>
      </c>
      <c r="C33" s="19" t="n"/>
      <c r="D33" s="14">
        <f>IFERROR(INDEX(Pessoas!$B$5:$B$64,MATCH($C33,Pessoas!$A$5:$A$64,0)),"")</f>
        <v/>
      </c>
      <c r="E33" s="19" t="n"/>
      <c r="F33" s="14">
        <f>IFERROR(INDEX(Pessoas!$D$5:$D$64,MATCH($C33,Pessoas!$A$5:$A$64,0)),"")</f>
        <v/>
      </c>
      <c r="G33" s="19" t="n"/>
      <c r="H33" s="14">
        <f>IFERROR(INDEX(Config!$B$40:$B$45,MATCH($G33,Config!$C$40:$C$45,0)),"")</f>
        <v/>
      </c>
      <c r="I33" s="14">
        <f>IFERROR(INDEX(Config!$D$40:$D$45,MATCH($G33,Config!$C$40:$C$45,0)),"")</f>
        <v/>
      </c>
      <c r="J33" s="19" t="n"/>
      <c r="K33" s="19" t="n"/>
      <c r="L33" s="19" t="n"/>
      <c r="M33" s="19" t="n"/>
      <c r="N33" s="14">
        <f>IF(AND(ISNUMBER($J33),ISNUMBER($K33)),ABS($J33-$K33),"")</f>
        <v/>
      </c>
      <c r="O33" s="14">
        <f>IF(AND(NOT(ISNUMBER($J33)),NOT(ISNUMBER($K33))),"",IF(NOT(ISNUMBER($K33)),$J33,IF(NOT(ISNUMBER($J33)),$K33,IF($N33=0,$J33,IF(AND($N33=1,$T33&lt;&gt;"Sim"),IF($I33="Líder Técnico",$K33,IF($I33="GP",$J33,"CALIBRAR")),"CALIBRAR")))))</f>
        <v/>
      </c>
      <c r="P33" s="19" t="n"/>
      <c r="Q33" s="19" t="n"/>
      <c r="R33" s="14">
        <f>IF($P33="","",IF(AND(ISNUMBER($J33),$P33=$J33,ISNUMBER($K33),$P33=$K33),"= ambos",IF(AND(ISNUMBER($J33),$P33=$J33),"= GP",IF(AND(ISNUMBER($K33),$P33=$K33),"= LT","nenhuma das duas"))))</f>
        <v/>
      </c>
      <c r="S33" s="19" t="n"/>
      <c r="T33" s="19" t="n"/>
      <c r="U33" s="14">
        <f>IF($C33="","",COUNTIFS('Ocorrências'!$V$5:$V$604,$C33&amp;"|"&amp;$B33&amp;"|"&amp;$G33,'Ocorrências'!$X$5:$X$604,"Sim"))</f>
        <v/>
      </c>
      <c r="V33" s="14">
        <f>IF($P33="","",IF(OR($P33=1,$P33=2,$P33=5),IF($U33&gt;0,"OK","SEM LASTRO"),"OK"))</f>
        <v/>
      </c>
      <c r="W33" s="19" t="n"/>
      <c r="X33" s="18" t="n"/>
      <c r="Y33" s="14">
        <f>IF($C33="","",$C33&amp;"|"&amp;$B33)</f>
        <v/>
      </c>
      <c r="Z33" s="14">
        <f>IF($C33="","",$C33&amp;"|"&amp;$B33&amp;"|"&amp;$H33)</f>
        <v/>
      </c>
      <c r="AA33" s="14">
        <f>IF($C33="","",$C33&amp;"|"&amp;$B33&amp;"|"&amp;$G33)</f>
        <v/>
      </c>
    </row>
    <row r="34">
      <c r="A34" s="19" t="n"/>
      <c r="B34" s="14">
        <f>IF($A34="","",VALUE(LEFT($A34,4))*4+VALUE(RIGHT($A34,1)))</f>
        <v/>
      </c>
      <c r="C34" s="19" t="n"/>
      <c r="D34" s="14">
        <f>IFERROR(INDEX(Pessoas!$B$5:$B$64,MATCH($C34,Pessoas!$A$5:$A$64,0)),"")</f>
        <v/>
      </c>
      <c r="E34" s="19" t="n"/>
      <c r="F34" s="14">
        <f>IFERROR(INDEX(Pessoas!$D$5:$D$64,MATCH($C34,Pessoas!$A$5:$A$64,0)),"")</f>
        <v/>
      </c>
      <c r="G34" s="19" t="n"/>
      <c r="H34" s="14">
        <f>IFERROR(INDEX(Config!$B$40:$B$45,MATCH($G34,Config!$C$40:$C$45,0)),"")</f>
        <v/>
      </c>
      <c r="I34" s="14">
        <f>IFERROR(INDEX(Config!$D$40:$D$45,MATCH($G34,Config!$C$40:$C$45,0)),"")</f>
        <v/>
      </c>
      <c r="J34" s="19" t="n"/>
      <c r="K34" s="19" t="n"/>
      <c r="L34" s="19" t="n"/>
      <c r="M34" s="19" t="n"/>
      <c r="N34" s="14">
        <f>IF(AND(ISNUMBER($J34),ISNUMBER($K34)),ABS($J34-$K34),"")</f>
        <v/>
      </c>
      <c r="O34" s="14">
        <f>IF(AND(NOT(ISNUMBER($J34)),NOT(ISNUMBER($K34))),"",IF(NOT(ISNUMBER($K34)),$J34,IF(NOT(ISNUMBER($J34)),$K34,IF($N34=0,$J34,IF(AND($N34=1,$T34&lt;&gt;"Sim"),IF($I34="Líder Técnico",$K34,IF($I34="GP",$J34,"CALIBRAR")),"CALIBRAR")))))</f>
        <v/>
      </c>
      <c r="P34" s="19" t="n"/>
      <c r="Q34" s="19" t="n"/>
      <c r="R34" s="14">
        <f>IF($P34="","",IF(AND(ISNUMBER($J34),$P34=$J34,ISNUMBER($K34),$P34=$K34),"= ambos",IF(AND(ISNUMBER($J34),$P34=$J34),"= GP",IF(AND(ISNUMBER($K34),$P34=$K34),"= LT","nenhuma das duas"))))</f>
        <v/>
      </c>
      <c r="S34" s="19" t="n"/>
      <c r="T34" s="19" t="n"/>
      <c r="U34" s="14">
        <f>IF($C34="","",COUNTIFS('Ocorrências'!$V$5:$V$604,$C34&amp;"|"&amp;$B34&amp;"|"&amp;$G34,'Ocorrências'!$X$5:$X$604,"Sim"))</f>
        <v/>
      </c>
      <c r="V34" s="14">
        <f>IF($P34="","",IF(OR($P34=1,$P34=2,$P34=5),IF($U34&gt;0,"OK","SEM LASTRO"),"OK"))</f>
        <v/>
      </c>
      <c r="W34" s="19" t="n"/>
      <c r="X34" s="18" t="n"/>
      <c r="Y34" s="14">
        <f>IF($C34="","",$C34&amp;"|"&amp;$B34)</f>
        <v/>
      </c>
      <c r="Z34" s="14">
        <f>IF($C34="","",$C34&amp;"|"&amp;$B34&amp;"|"&amp;$H34)</f>
        <v/>
      </c>
      <c r="AA34" s="14">
        <f>IF($C34="","",$C34&amp;"|"&amp;$B34&amp;"|"&amp;$G34)</f>
        <v/>
      </c>
    </row>
    <row r="35">
      <c r="A35" s="19" t="n"/>
      <c r="B35" s="14">
        <f>IF($A35="","",VALUE(LEFT($A35,4))*4+VALUE(RIGHT($A35,1)))</f>
        <v/>
      </c>
      <c r="C35" s="19" t="n"/>
      <c r="D35" s="14">
        <f>IFERROR(INDEX(Pessoas!$B$5:$B$64,MATCH($C35,Pessoas!$A$5:$A$64,0)),"")</f>
        <v/>
      </c>
      <c r="E35" s="19" t="n"/>
      <c r="F35" s="14">
        <f>IFERROR(INDEX(Pessoas!$D$5:$D$64,MATCH($C35,Pessoas!$A$5:$A$64,0)),"")</f>
        <v/>
      </c>
      <c r="G35" s="19" t="n"/>
      <c r="H35" s="14">
        <f>IFERROR(INDEX(Config!$B$40:$B$45,MATCH($G35,Config!$C$40:$C$45,0)),"")</f>
        <v/>
      </c>
      <c r="I35" s="14">
        <f>IFERROR(INDEX(Config!$D$40:$D$45,MATCH($G35,Config!$C$40:$C$45,0)),"")</f>
        <v/>
      </c>
      <c r="J35" s="19" t="n"/>
      <c r="K35" s="19" t="n"/>
      <c r="L35" s="19" t="n"/>
      <c r="M35" s="19" t="n"/>
      <c r="N35" s="14">
        <f>IF(AND(ISNUMBER($J35),ISNUMBER($K35)),ABS($J35-$K35),"")</f>
        <v/>
      </c>
      <c r="O35" s="14">
        <f>IF(AND(NOT(ISNUMBER($J35)),NOT(ISNUMBER($K35))),"",IF(NOT(ISNUMBER($K35)),$J35,IF(NOT(ISNUMBER($J35)),$K35,IF($N35=0,$J35,IF(AND($N35=1,$T35&lt;&gt;"Sim"),IF($I35="Líder Técnico",$K35,IF($I35="GP",$J35,"CALIBRAR")),"CALIBRAR")))))</f>
        <v/>
      </c>
      <c r="P35" s="19" t="n"/>
      <c r="Q35" s="19" t="n"/>
      <c r="R35" s="14">
        <f>IF($P35="","",IF(AND(ISNUMBER($J35),$P35=$J35,ISNUMBER($K35),$P35=$K35),"= ambos",IF(AND(ISNUMBER($J35),$P35=$J35),"= GP",IF(AND(ISNUMBER($K35),$P35=$K35),"= LT","nenhuma das duas"))))</f>
        <v/>
      </c>
      <c r="S35" s="19" t="n"/>
      <c r="T35" s="19" t="n"/>
      <c r="U35" s="14">
        <f>IF($C35="","",COUNTIFS('Ocorrências'!$V$5:$V$604,$C35&amp;"|"&amp;$B35&amp;"|"&amp;$G35,'Ocorrências'!$X$5:$X$604,"Sim"))</f>
        <v/>
      </c>
      <c r="V35" s="14">
        <f>IF($P35="","",IF(OR($P35=1,$P35=2,$P35=5),IF($U35&gt;0,"OK","SEM LASTRO"),"OK"))</f>
        <v/>
      </c>
      <c r="W35" s="19" t="n"/>
      <c r="X35" s="18" t="n"/>
      <c r="Y35" s="14">
        <f>IF($C35="","",$C35&amp;"|"&amp;$B35)</f>
        <v/>
      </c>
      <c r="Z35" s="14">
        <f>IF($C35="","",$C35&amp;"|"&amp;$B35&amp;"|"&amp;$H35)</f>
        <v/>
      </c>
      <c r="AA35" s="14">
        <f>IF($C35="","",$C35&amp;"|"&amp;$B35&amp;"|"&amp;$G35)</f>
        <v/>
      </c>
    </row>
    <row r="36">
      <c r="A36" s="19" t="n"/>
      <c r="B36" s="14">
        <f>IF($A36="","",VALUE(LEFT($A36,4))*4+VALUE(RIGHT($A36,1)))</f>
        <v/>
      </c>
      <c r="C36" s="19" t="n"/>
      <c r="D36" s="14">
        <f>IFERROR(INDEX(Pessoas!$B$5:$B$64,MATCH($C36,Pessoas!$A$5:$A$64,0)),"")</f>
        <v/>
      </c>
      <c r="E36" s="19" t="n"/>
      <c r="F36" s="14">
        <f>IFERROR(INDEX(Pessoas!$D$5:$D$64,MATCH($C36,Pessoas!$A$5:$A$64,0)),"")</f>
        <v/>
      </c>
      <c r="G36" s="19" t="n"/>
      <c r="H36" s="14">
        <f>IFERROR(INDEX(Config!$B$40:$B$45,MATCH($G36,Config!$C$40:$C$45,0)),"")</f>
        <v/>
      </c>
      <c r="I36" s="14">
        <f>IFERROR(INDEX(Config!$D$40:$D$45,MATCH($G36,Config!$C$40:$C$45,0)),"")</f>
        <v/>
      </c>
      <c r="J36" s="19" t="n"/>
      <c r="K36" s="19" t="n"/>
      <c r="L36" s="19" t="n"/>
      <c r="M36" s="19" t="n"/>
      <c r="N36" s="14">
        <f>IF(AND(ISNUMBER($J36),ISNUMBER($K36)),ABS($J36-$K36),"")</f>
        <v/>
      </c>
      <c r="O36" s="14">
        <f>IF(AND(NOT(ISNUMBER($J36)),NOT(ISNUMBER($K36))),"",IF(NOT(ISNUMBER($K36)),$J36,IF(NOT(ISNUMBER($J36)),$K36,IF($N36=0,$J36,IF(AND($N36=1,$T36&lt;&gt;"Sim"),IF($I36="Líder Técnico",$K36,IF($I36="GP",$J36,"CALIBRAR")),"CALIBRAR")))))</f>
        <v/>
      </c>
      <c r="P36" s="19" t="n"/>
      <c r="Q36" s="19" t="n"/>
      <c r="R36" s="14">
        <f>IF($P36="","",IF(AND(ISNUMBER($J36),$P36=$J36,ISNUMBER($K36),$P36=$K36),"= ambos",IF(AND(ISNUMBER($J36),$P36=$J36),"= GP",IF(AND(ISNUMBER($K36),$P36=$K36),"= LT","nenhuma das duas"))))</f>
        <v/>
      </c>
      <c r="S36" s="19" t="n"/>
      <c r="T36" s="19" t="n"/>
      <c r="U36" s="14">
        <f>IF($C36="","",COUNTIFS('Ocorrências'!$V$5:$V$604,$C36&amp;"|"&amp;$B36&amp;"|"&amp;$G36,'Ocorrências'!$X$5:$X$604,"Sim"))</f>
        <v/>
      </c>
      <c r="V36" s="14">
        <f>IF($P36="","",IF(OR($P36=1,$P36=2,$P36=5),IF($U36&gt;0,"OK","SEM LASTRO"),"OK"))</f>
        <v/>
      </c>
      <c r="W36" s="19" t="n"/>
      <c r="X36" s="18" t="n"/>
      <c r="Y36" s="14">
        <f>IF($C36="","",$C36&amp;"|"&amp;$B36)</f>
        <v/>
      </c>
      <c r="Z36" s="14">
        <f>IF($C36="","",$C36&amp;"|"&amp;$B36&amp;"|"&amp;$H36)</f>
        <v/>
      </c>
      <c r="AA36" s="14">
        <f>IF($C36="","",$C36&amp;"|"&amp;$B36&amp;"|"&amp;$G36)</f>
        <v/>
      </c>
    </row>
    <row r="37">
      <c r="A37" s="19" t="n"/>
      <c r="B37" s="14">
        <f>IF($A37="","",VALUE(LEFT($A37,4))*4+VALUE(RIGHT($A37,1)))</f>
        <v/>
      </c>
      <c r="C37" s="19" t="n"/>
      <c r="D37" s="14">
        <f>IFERROR(INDEX(Pessoas!$B$5:$B$64,MATCH($C37,Pessoas!$A$5:$A$64,0)),"")</f>
        <v/>
      </c>
      <c r="E37" s="19" t="n"/>
      <c r="F37" s="14">
        <f>IFERROR(INDEX(Pessoas!$D$5:$D$64,MATCH($C37,Pessoas!$A$5:$A$64,0)),"")</f>
        <v/>
      </c>
      <c r="G37" s="19" t="n"/>
      <c r="H37" s="14">
        <f>IFERROR(INDEX(Config!$B$40:$B$45,MATCH($G37,Config!$C$40:$C$45,0)),"")</f>
        <v/>
      </c>
      <c r="I37" s="14">
        <f>IFERROR(INDEX(Config!$D$40:$D$45,MATCH($G37,Config!$C$40:$C$45,0)),"")</f>
        <v/>
      </c>
      <c r="J37" s="19" t="n"/>
      <c r="K37" s="19" t="n"/>
      <c r="L37" s="19" t="n"/>
      <c r="M37" s="19" t="n"/>
      <c r="N37" s="14">
        <f>IF(AND(ISNUMBER($J37),ISNUMBER($K37)),ABS($J37-$K37),"")</f>
        <v/>
      </c>
      <c r="O37" s="14">
        <f>IF(AND(NOT(ISNUMBER($J37)),NOT(ISNUMBER($K37))),"",IF(NOT(ISNUMBER($K37)),$J37,IF(NOT(ISNUMBER($J37)),$K37,IF($N37=0,$J37,IF(AND($N37=1,$T37&lt;&gt;"Sim"),IF($I37="Líder Técnico",$K37,IF($I37="GP",$J37,"CALIBRAR")),"CALIBRAR")))))</f>
        <v/>
      </c>
      <c r="P37" s="19" t="n"/>
      <c r="Q37" s="19" t="n"/>
      <c r="R37" s="14">
        <f>IF($P37="","",IF(AND(ISNUMBER($J37),$P37=$J37,ISNUMBER($K37),$P37=$K37),"= ambos",IF(AND(ISNUMBER($J37),$P37=$J37),"= GP",IF(AND(ISNUMBER($K37),$P37=$K37),"= LT","nenhuma das duas"))))</f>
        <v/>
      </c>
      <c r="S37" s="19" t="n"/>
      <c r="T37" s="19" t="n"/>
      <c r="U37" s="14">
        <f>IF($C37="","",COUNTIFS('Ocorrências'!$V$5:$V$604,$C37&amp;"|"&amp;$B37&amp;"|"&amp;$G37,'Ocorrências'!$X$5:$X$604,"Sim"))</f>
        <v/>
      </c>
      <c r="V37" s="14">
        <f>IF($P37="","",IF(OR($P37=1,$P37=2,$P37=5),IF($U37&gt;0,"OK","SEM LASTRO"),"OK"))</f>
        <v/>
      </c>
      <c r="W37" s="19" t="n"/>
      <c r="X37" s="18" t="n"/>
      <c r="Y37" s="14">
        <f>IF($C37="","",$C37&amp;"|"&amp;$B37)</f>
        <v/>
      </c>
      <c r="Z37" s="14">
        <f>IF($C37="","",$C37&amp;"|"&amp;$B37&amp;"|"&amp;$H37)</f>
        <v/>
      </c>
      <c r="AA37" s="14">
        <f>IF($C37="","",$C37&amp;"|"&amp;$B37&amp;"|"&amp;$G37)</f>
        <v/>
      </c>
    </row>
    <row r="38">
      <c r="A38" s="19" t="n"/>
      <c r="B38" s="14">
        <f>IF($A38="","",VALUE(LEFT($A38,4))*4+VALUE(RIGHT($A38,1)))</f>
        <v/>
      </c>
      <c r="C38" s="19" t="n"/>
      <c r="D38" s="14">
        <f>IFERROR(INDEX(Pessoas!$B$5:$B$64,MATCH($C38,Pessoas!$A$5:$A$64,0)),"")</f>
        <v/>
      </c>
      <c r="E38" s="19" t="n"/>
      <c r="F38" s="14">
        <f>IFERROR(INDEX(Pessoas!$D$5:$D$64,MATCH($C38,Pessoas!$A$5:$A$64,0)),"")</f>
        <v/>
      </c>
      <c r="G38" s="19" t="n"/>
      <c r="H38" s="14">
        <f>IFERROR(INDEX(Config!$B$40:$B$45,MATCH($G38,Config!$C$40:$C$45,0)),"")</f>
        <v/>
      </c>
      <c r="I38" s="14">
        <f>IFERROR(INDEX(Config!$D$40:$D$45,MATCH($G38,Config!$C$40:$C$45,0)),"")</f>
        <v/>
      </c>
      <c r="J38" s="19" t="n"/>
      <c r="K38" s="19" t="n"/>
      <c r="L38" s="19" t="n"/>
      <c r="M38" s="19" t="n"/>
      <c r="N38" s="14">
        <f>IF(AND(ISNUMBER($J38),ISNUMBER($K38)),ABS($J38-$K38),"")</f>
        <v/>
      </c>
      <c r="O38" s="14">
        <f>IF(AND(NOT(ISNUMBER($J38)),NOT(ISNUMBER($K38))),"",IF(NOT(ISNUMBER($K38)),$J38,IF(NOT(ISNUMBER($J38)),$K38,IF($N38=0,$J38,IF(AND($N38=1,$T38&lt;&gt;"Sim"),IF($I38="Líder Técnico",$K38,IF($I38="GP",$J38,"CALIBRAR")),"CALIBRAR")))))</f>
        <v/>
      </c>
      <c r="P38" s="19" t="n"/>
      <c r="Q38" s="19" t="n"/>
      <c r="R38" s="14">
        <f>IF($P38="","",IF(AND(ISNUMBER($J38),$P38=$J38,ISNUMBER($K38),$P38=$K38),"= ambos",IF(AND(ISNUMBER($J38),$P38=$J38),"= GP",IF(AND(ISNUMBER($K38),$P38=$K38),"= LT","nenhuma das duas"))))</f>
        <v/>
      </c>
      <c r="S38" s="19" t="n"/>
      <c r="T38" s="19" t="n"/>
      <c r="U38" s="14">
        <f>IF($C38="","",COUNTIFS('Ocorrências'!$V$5:$V$604,$C38&amp;"|"&amp;$B38&amp;"|"&amp;$G38,'Ocorrências'!$X$5:$X$604,"Sim"))</f>
        <v/>
      </c>
      <c r="V38" s="14">
        <f>IF($P38="","",IF(OR($P38=1,$P38=2,$P38=5),IF($U38&gt;0,"OK","SEM LASTRO"),"OK"))</f>
        <v/>
      </c>
      <c r="W38" s="19" t="n"/>
      <c r="X38" s="18" t="n"/>
      <c r="Y38" s="14">
        <f>IF($C38="","",$C38&amp;"|"&amp;$B38)</f>
        <v/>
      </c>
      <c r="Z38" s="14">
        <f>IF($C38="","",$C38&amp;"|"&amp;$B38&amp;"|"&amp;$H38)</f>
        <v/>
      </c>
      <c r="AA38" s="14">
        <f>IF($C38="","",$C38&amp;"|"&amp;$B38&amp;"|"&amp;$G38)</f>
        <v/>
      </c>
    </row>
    <row r="39">
      <c r="A39" s="19" t="n"/>
      <c r="B39" s="14">
        <f>IF($A39="","",VALUE(LEFT($A39,4))*4+VALUE(RIGHT($A39,1)))</f>
        <v/>
      </c>
      <c r="C39" s="19" t="n"/>
      <c r="D39" s="14">
        <f>IFERROR(INDEX(Pessoas!$B$5:$B$64,MATCH($C39,Pessoas!$A$5:$A$64,0)),"")</f>
        <v/>
      </c>
      <c r="E39" s="19" t="n"/>
      <c r="F39" s="14">
        <f>IFERROR(INDEX(Pessoas!$D$5:$D$64,MATCH($C39,Pessoas!$A$5:$A$64,0)),"")</f>
        <v/>
      </c>
      <c r="G39" s="19" t="n"/>
      <c r="H39" s="14">
        <f>IFERROR(INDEX(Config!$B$40:$B$45,MATCH($G39,Config!$C$40:$C$45,0)),"")</f>
        <v/>
      </c>
      <c r="I39" s="14">
        <f>IFERROR(INDEX(Config!$D$40:$D$45,MATCH($G39,Config!$C$40:$C$45,0)),"")</f>
        <v/>
      </c>
      <c r="J39" s="19" t="n"/>
      <c r="K39" s="19" t="n"/>
      <c r="L39" s="19" t="n"/>
      <c r="M39" s="19" t="n"/>
      <c r="N39" s="14">
        <f>IF(AND(ISNUMBER($J39),ISNUMBER($K39)),ABS($J39-$K39),"")</f>
        <v/>
      </c>
      <c r="O39" s="14">
        <f>IF(AND(NOT(ISNUMBER($J39)),NOT(ISNUMBER($K39))),"",IF(NOT(ISNUMBER($K39)),$J39,IF(NOT(ISNUMBER($J39)),$K39,IF($N39=0,$J39,IF(AND($N39=1,$T39&lt;&gt;"Sim"),IF($I39="Líder Técnico",$K39,IF($I39="GP",$J39,"CALIBRAR")),"CALIBRAR")))))</f>
        <v/>
      </c>
      <c r="P39" s="19" t="n"/>
      <c r="Q39" s="19" t="n"/>
      <c r="R39" s="14">
        <f>IF($P39="","",IF(AND(ISNUMBER($J39),$P39=$J39,ISNUMBER($K39),$P39=$K39),"= ambos",IF(AND(ISNUMBER($J39),$P39=$J39),"= GP",IF(AND(ISNUMBER($K39),$P39=$K39),"= LT","nenhuma das duas"))))</f>
        <v/>
      </c>
      <c r="S39" s="19" t="n"/>
      <c r="T39" s="19" t="n"/>
      <c r="U39" s="14">
        <f>IF($C39="","",COUNTIFS('Ocorrências'!$V$5:$V$604,$C39&amp;"|"&amp;$B39&amp;"|"&amp;$G39,'Ocorrências'!$X$5:$X$604,"Sim"))</f>
        <v/>
      </c>
      <c r="V39" s="14">
        <f>IF($P39="","",IF(OR($P39=1,$P39=2,$P39=5),IF($U39&gt;0,"OK","SEM LASTRO"),"OK"))</f>
        <v/>
      </c>
      <c r="W39" s="19" t="n"/>
      <c r="X39" s="18" t="n"/>
      <c r="Y39" s="14">
        <f>IF($C39="","",$C39&amp;"|"&amp;$B39)</f>
        <v/>
      </c>
      <c r="Z39" s="14">
        <f>IF($C39="","",$C39&amp;"|"&amp;$B39&amp;"|"&amp;$H39)</f>
        <v/>
      </c>
      <c r="AA39" s="14">
        <f>IF($C39="","",$C39&amp;"|"&amp;$B39&amp;"|"&amp;$G39)</f>
        <v/>
      </c>
    </row>
    <row r="40">
      <c r="A40" s="19" t="n"/>
      <c r="B40" s="14">
        <f>IF($A40="","",VALUE(LEFT($A40,4))*4+VALUE(RIGHT($A40,1)))</f>
        <v/>
      </c>
      <c r="C40" s="19" t="n"/>
      <c r="D40" s="14">
        <f>IFERROR(INDEX(Pessoas!$B$5:$B$64,MATCH($C40,Pessoas!$A$5:$A$64,0)),"")</f>
        <v/>
      </c>
      <c r="E40" s="19" t="n"/>
      <c r="F40" s="14">
        <f>IFERROR(INDEX(Pessoas!$D$5:$D$64,MATCH($C40,Pessoas!$A$5:$A$64,0)),"")</f>
        <v/>
      </c>
      <c r="G40" s="19" t="n"/>
      <c r="H40" s="14">
        <f>IFERROR(INDEX(Config!$B$40:$B$45,MATCH($G40,Config!$C$40:$C$45,0)),"")</f>
        <v/>
      </c>
      <c r="I40" s="14">
        <f>IFERROR(INDEX(Config!$D$40:$D$45,MATCH($G40,Config!$C$40:$C$45,0)),"")</f>
        <v/>
      </c>
      <c r="J40" s="19" t="n"/>
      <c r="K40" s="19" t="n"/>
      <c r="L40" s="19" t="n"/>
      <c r="M40" s="19" t="n"/>
      <c r="N40" s="14">
        <f>IF(AND(ISNUMBER($J40),ISNUMBER($K40)),ABS($J40-$K40),"")</f>
        <v/>
      </c>
      <c r="O40" s="14">
        <f>IF(AND(NOT(ISNUMBER($J40)),NOT(ISNUMBER($K40))),"",IF(NOT(ISNUMBER($K40)),$J40,IF(NOT(ISNUMBER($J40)),$K40,IF($N40=0,$J40,IF(AND($N40=1,$T40&lt;&gt;"Sim"),IF($I40="Líder Técnico",$K40,IF($I40="GP",$J40,"CALIBRAR")),"CALIBRAR")))))</f>
        <v/>
      </c>
      <c r="P40" s="19" t="n"/>
      <c r="Q40" s="19" t="n"/>
      <c r="R40" s="14">
        <f>IF($P40="","",IF(AND(ISNUMBER($J40),$P40=$J40,ISNUMBER($K40),$P40=$K40),"= ambos",IF(AND(ISNUMBER($J40),$P40=$J40),"= GP",IF(AND(ISNUMBER($K40),$P40=$K40),"= LT","nenhuma das duas"))))</f>
        <v/>
      </c>
      <c r="S40" s="19" t="n"/>
      <c r="T40" s="19" t="n"/>
      <c r="U40" s="14">
        <f>IF($C40="","",COUNTIFS('Ocorrências'!$V$5:$V$604,$C40&amp;"|"&amp;$B40&amp;"|"&amp;$G40,'Ocorrências'!$X$5:$X$604,"Sim"))</f>
        <v/>
      </c>
      <c r="V40" s="14">
        <f>IF($P40="","",IF(OR($P40=1,$P40=2,$P40=5),IF($U40&gt;0,"OK","SEM LASTRO"),"OK"))</f>
        <v/>
      </c>
      <c r="W40" s="19" t="n"/>
      <c r="X40" s="18" t="n"/>
      <c r="Y40" s="14">
        <f>IF($C40="","",$C40&amp;"|"&amp;$B40)</f>
        <v/>
      </c>
      <c r="Z40" s="14">
        <f>IF($C40="","",$C40&amp;"|"&amp;$B40&amp;"|"&amp;$H40)</f>
        <v/>
      </c>
      <c r="AA40" s="14">
        <f>IF($C40="","",$C40&amp;"|"&amp;$B40&amp;"|"&amp;$G40)</f>
        <v/>
      </c>
    </row>
    <row r="41">
      <c r="A41" s="19" t="n"/>
      <c r="B41" s="14">
        <f>IF($A41="","",VALUE(LEFT($A41,4))*4+VALUE(RIGHT($A41,1)))</f>
        <v/>
      </c>
      <c r="C41" s="19" t="n"/>
      <c r="D41" s="14">
        <f>IFERROR(INDEX(Pessoas!$B$5:$B$64,MATCH($C41,Pessoas!$A$5:$A$64,0)),"")</f>
        <v/>
      </c>
      <c r="E41" s="19" t="n"/>
      <c r="F41" s="14">
        <f>IFERROR(INDEX(Pessoas!$D$5:$D$64,MATCH($C41,Pessoas!$A$5:$A$64,0)),"")</f>
        <v/>
      </c>
      <c r="G41" s="19" t="n"/>
      <c r="H41" s="14">
        <f>IFERROR(INDEX(Config!$B$40:$B$45,MATCH($G41,Config!$C$40:$C$45,0)),"")</f>
        <v/>
      </c>
      <c r="I41" s="14">
        <f>IFERROR(INDEX(Config!$D$40:$D$45,MATCH($G41,Config!$C$40:$C$45,0)),"")</f>
        <v/>
      </c>
      <c r="J41" s="19" t="n"/>
      <c r="K41" s="19" t="n"/>
      <c r="L41" s="19" t="n"/>
      <c r="M41" s="19" t="n"/>
      <c r="N41" s="14">
        <f>IF(AND(ISNUMBER($J41),ISNUMBER($K41)),ABS($J41-$K41),"")</f>
        <v/>
      </c>
      <c r="O41" s="14">
        <f>IF(AND(NOT(ISNUMBER($J41)),NOT(ISNUMBER($K41))),"",IF(NOT(ISNUMBER($K41)),$J41,IF(NOT(ISNUMBER($J41)),$K41,IF($N41=0,$J41,IF(AND($N41=1,$T41&lt;&gt;"Sim"),IF($I41="Líder Técnico",$K41,IF($I41="GP",$J41,"CALIBRAR")),"CALIBRAR")))))</f>
        <v/>
      </c>
      <c r="P41" s="19" t="n"/>
      <c r="Q41" s="19" t="n"/>
      <c r="R41" s="14">
        <f>IF($P41="","",IF(AND(ISNUMBER($J41),$P41=$J41,ISNUMBER($K41),$P41=$K41),"= ambos",IF(AND(ISNUMBER($J41),$P41=$J41),"= GP",IF(AND(ISNUMBER($K41),$P41=$K41),"= LT","nenhuma das duas"))))</f>
        <v/>
      </c>
      <c r="S41" s="19" t="n"/>
      <c r="T41" s="19" t="n"/>
      <c r="U41" s="14">
        <f>IF($C41="","",COUNTIFS('Ocorrências'!$V$5:$V$604,$C41&amp;"|"&amp;$B41&amp;"|"&amp;$G41,'Ocorrências'!$X$5:$X$604,"Sim"))</f>
        <v/>
      </c>
      <c r="V41" s="14">
        <f>IF($P41="","",IF(OR($P41=1,$P41=2,$P41=5),IF($U41&gt;0,"OK","SEM LASTRO"),"OK"))</f>
        <v/>
      </c>
      <c r="W41" s="19" t="n"/>
      <c r="X41" s="18" t="n"/>
      <c r="Y41" s="14">
        <f>IF($C41="","",$C41&amp;"|"&amp;$B41)</f>
        <v/>
      </c>
      <c r="Z41" s="14">
        <f>IF($C41="","",$C41&amp;"|"&amp;$B41&amp;"|"&amp;$H41)</f>
        <v/>
      </c>
      <c r="AA41" s="14">
        <f>IF($C41="","",$C41&amp;"|"&amp;$B41&amp;"|"&amp;$G41)</f>
        <v/>
      </c>
    </row>
    <row r="42">
      <c r="A42" s="19" t="n"/>
      <c r="B42" s="14">
        <f>IF($A42="","",VALUE(LEFT($A42,4))*4+VALUE(RIGHT($A42,1)))</f>
        <v/>
      </c>
      <c r="C42" s="19" t="n"/>
      <c r="D42" s="14">
        <f>IFERROR(INDEX(Pessoas!$B$5:$B$64,MATCH($C42,Pessoas!$A$5:$A$64,0)),"")</f>
        <v/>
      </c>
      <c r="E42" s="19" t="n"/>
      <c r="F42" s="14">
        <f>IFERROR(INDEX(Pessoas!$D$5:$D$64,MATCH($C42,Pessoas!$A$5:$A$64,0)),"")</f>
        <v/>
      </c>
      <c r="G42" s="19" t="n"/>
      <c r="H42" s="14">
        <f>IFERROR(INDEX(Config!$B$40:$B$45,MATCH($G42,Config!$C$40:$C$45,0)),"")</f>
        <v/>
      </c>
      <c r="I42" s="14">
        <f>IFERROR(INDEX(Config!$D$40:$D$45,MATCH($G42,Config!$C$40:$C$45,0)),"")</f>
        <v/>
      </c>
      <c r="J42" s="19" t="n"/>
      <c r="K42" s="19" t="n"/>
      <c r="L42" s="19" t="n"/>
      <c r="M42" s="19" t="n"/>
      <c r="N42" s="14">
        <f>IF(AND(ISNUMBER($J42),ISNUMBER($K42)),ABS($J42-$K42),"")</f>
        <v/>
      </c>
      <c r="O42" s="14">
        <f>IF(AND(NOT(ISNUMBER($J42)),NOT(ISNUMBER($K42))),"",IF(NOT(ISNUMBER($K42)),$J42,IF(NOT(ISNUMBER($J42)),$K42,IF($N42=0,$J42,IF(AND($N42=1,$T42&lt;&gt;"Sim"),IF($I42="Líder Técnico",$K42,IF($I42="GP",$J42,"CALIBRAR")),"CALIBRAR")))))</f>
        <v/>
      </c>
      <c r="P42" s="19" t="n"/>
      <c r="Q42" s="19" t="n"/>
      <c r="R42" s="14">
        <f>IF($P42="","",IF(AND(ISNUMBER($J42),$P42=$J42,ISNUMBER($K42),$P42=$K42),"= ambos",IF(AND(ISNUMBER($J42),$P42=$J42),"= GP",IF(AND(ISNUMBER($K42),$P42=$K42),"= LT","nenhuma das duas"))))</f>
        <v/>
      </c>
      <c r="S42" s="19" t="n"/>
      <c r="T42" s="19" t="n"/>
      <c r="U42" s="14">
        <f>IF($C42="","",COUNTIFS('Ocorrências'!$V$5:$V$604,$C42&amp;"|"&amp;$B42&amp;"|"&amp;$G42,'Ocorrências'!$X$5:$X$604,"Sim"))</f>
        <v/>
      </c>
      <c r="V42" s="14">
        <f>IF($P42="","",IF(OR($P42=1,$P42=2,$P42=5),IF($U42&gt;0,"OK","SEM LASTRO"),"OK"))</f>
        <v/>
      </c>
      <c r="W42" s="19" t="n"/>
      <c r="X42" s="18" t="n"/>
      <c r="Y42" s="14">
        <f>IF($C42="","",$C42&amp;"|"&amp;$B42)</f>
        <v/>
      </c>
      <c r="Z42" s="14">
        <f>IF($C42="","",$C42&amp;"|"&amp;$B42&amp;"|"&amp;$H42)</f>
        <v/>
      </c>
      <c r="AA42" s="14">
        <f>IF($C42="","",$C42&amp;"|"&amp;$B42&amp;"|"&amp;$G42)</f>
        <v/>
      </c>
    </row>
    <row r="43">
      <c r="A43" s="19" t="n"/>
      <c r="B43" s="14">
        <f>IF($A43="","",VALUE(LEFT($A43,4))*4+VALUE(RIGHT($A43,1)))</f>
        <v/>
      </c>
      <c r="C43" s="19" t="n"/>
      <c r="D43" s="14">
        <f>IFERROR(INDEX(Pessoas!$B$5:$B$64,MATCH($C43,Pessoas!$A$5:$A$64,0)),"")</f>
        <v/>
      </c>
      <c r="E43" s="19" t="n"/>
      <c r="F43" s="14">
        <f>IFERROR(INDEX(Pessoas!$D$5:$D$64,MATCH($C43,Pessoas!$A$5:$A$64,0)),"")</f>
        <v/>
      </c>
      <c r="G43" s="19" t="n"/>
      <c r="H43" s="14">
        <f>IFERROR(INDEX(Config!$B$40:$B$45,MATCH($G43,Config!$C$40:$C$45,0)),"")</f>
        <v/>
      </c>
      <c r="I43" s="14">
        <f>IFERROR(INDEX(Config!$D$40:$D$45,MATCH($G43,Config!$C$40:$C$45,0)),"")</f>
        <v/>
      </c>
      <c r="J43" s="19" t="n"/>
      <c r="K43" s="19" t="n"/>
      <c r="L43" s="19" t="n"/>
      <c r="M43" s="19" t="n"/>
      <c r="N43" s="14">
        <f>IF(AND(ISNUMBER($J43),ISNUMBER($K43)),ABS($J43-$K43),"")</f>
        <v/>
      </c>
      <c r="O43" s="14">
        <f>IF(AND(NOT(ISNUMBER($J43)),NOT(ISNUMBER($K43))),"",IF(NOT(ISNUMBER($K43)),$J43,IF(NOT(ISNUMBER($J43)),$K43,IF($N43=0,$J43,IF(AND($N43=1,$T43&lt;&gt;"Sim"),IF($I43="Líder Técnico",$K43,IF($I43="GP",$J43,"CALIBRAR")),"CALIBRAR")))))</f>
        <v/>
      </c>
      <c r="P43" s="19" t="n"/>
      <c r="Q43" s="19" t="n"/>
      <c r="R43" s="14">
        <f>IF($P43="","",IF(AND(ISNUMBER($J43),$P43=$J43,ISNUMBER($K43),$P43=$K43),"= ambos",IF(AND(ISNUMBER($J43),$P43=$J43),"= GP",IF(AND(ISNUMBER($K43),$P43=$K43),"= LT","nenhuma das duas"))))</f>
        <v/>
      </c>
      <c r="S43" s="19" t="n"/>
      <c r="T43" s="19" t="n"/>
      <c r="U43" s="14">
        <f>IF($C43="","",COUNTIFS('Ocorrências'!$V$5:$V$604,$C43&amp;"|"&amp;$B43&amp;"|"&amp;$G43,'Ocorrências'!$X$5:$X$604,"Sim"))</f>
        <v/>
      </c>
      <c r="V43" s="14">
        <f>IF($P43="","",IF(OR($P43=1,$P43=2,$P43=5),IF($U43&gt;0,"OK","SEM LASTRO"),"OK"))</f>
        <v/>
      </c>
      <c r="W43" s="19" t="n"/>
      <c r="X43" s="18" t="n"/>
      <c r="Y43" s="14">
        <f>IF($C43="","",$C43&amp;"|"&amp;$B43)</f>
        <v/>
      </c>
      <c r="Z43" s="14">
        <f>IF($C43="","",$C43&amp;"|"&amp;$B43&amp;"|"&amp;$H43)</f>
        <v/>
      </c>
      <c r="AA43" s="14">
        <f>IF($C43="","",$C43&amp;"|"&amp;$B43&amp;"|"&amp;$G43)</f>
        <v/>
      </c>
    </row>
    <row r="44">
      <c r="A44" s="19" t="n"/>
      <c r="B44" s="14">
        <f>IF($A44="","",VALUE(LEFT($A44,4))*4+VALUE(RIGHT($A44,1)))</f>
        <v/>
      </c>
      <c r="C44" s="19" t="n"/>
      <c r="D44" s="14">
        <f>IFERROR(INDEX(Pessoas!$B$5:$B$64,MATCH($C44,Pessoas!$A$5:$A$64,0)),"")</f>
        <v/>
      </c>
      <c r="E44" s="19" t="n"/>
      <c r="F44" s="14">
        <f>IFERROR(INDEX(Pessoas!$D$5:$D$64,MATCH($C44,Pessoas!$A$5:$A$64,0)),"")</f>
        <v/>
      </c>
      <c r="G44" s="19" t="n"/>
      <c r="H44" s="14">
        <f>IFERROR(INDEX(Config!$B$40:$B$45,MATCH($G44,Config!$C$40:$C$45,0)),"")</f>
        <v/>
      </c>
      <c r="I44" s="14">
        <f>IFERROR(INDEX(Config!$D$40:$D$45,MATCH($G44,Config!$C$40:$C$45,0)),"")</f>
        <v/>
      </c>
      <c r="J44" s="19" t="n"/>
      <c r="K44" s="19" t="n"/>
      <c r="L44" s="19" t="n"/>
      <c r="M44" s="19" t="n"/>
      <c r="N44" s="14">
        <f>IF(AND(ISNUMBER($J44),ISNUMBER($K44)),ABS($J44-$K44),"")</f>
        <v/>
      </c>
      <c r="O44" s="14">
        <f>IF(AND(NOT(ISNUMBER($J44)),NOT(ISNUMBER($K44))),"",IF(NOT(ISNUMBER($K44)),$J44,IF(NOT(ISNUMBER($J44)),$K44,IF($N44=0,$J44,IF(AND($N44=1,$T44&lt;&gt;"Sim"),IF($I44="Líder Técnico",$K44,IF($I44="GP",$J44,"CALIBRAR")),"CALIBRAR")))))</f>
        <v/>
      </c>
      <c r="P44" s="19" t="n"/>
      <c r="Q44" s="19" t="n"/>
      <c r="R44" s="14">
        <f>IF($P44="","",IF(AND(ISNUMBER($J44),$P44=$J44,ISNUMBER($K44),$P44=$K44),"= ambos",IF(AND(ISNUMBER($J44),$P44=$J44),"= GP",IF(AND(ISNUMBER($K44),$P44=$K44),"= LT","nenhuma das duas"))))</f>
        <v/>
      </c>
      <c r="S44" s="19" t="n"/>
      <c r="T44" s="19" t="n"/>
      <c r="U44" s="14">
        <f>IF($C44="","",COUNTIFS('Ocorrências'!$V$5:$V$604,$C44&amp;"|"&amp;$B44&amp;"|"&amp;$G44,'Ocorrências'!$X$5:$X$604,"Sim"))</f>
        <v/>
      </c>
      <c r="V44" s="14">
        <f>IF($P44="","",IF(OR($P44=1,$P44=2,$P44=5),IF($U44&gt;0,"OK","SEM LASTRO"),"OK"))</f>
        <v/>
      </c>
      <c r="W44" s="19" t="n"/>
      <c r="X44" s="18" t="n"/>
      <c r="Y44" s="14">
        <f>IF($C44="","",$C44&amp;"|"&amp;$B44)</f>
        <v/>
      </c>
      <c r="Z44" s="14">
        <f>IF($C44="","",$C44&amp;"|"&amp;$B44&amp;"|"&amp;$H44)</f>
        <v/>
      </c>
      <c r="AA44" s="14">
        <f>IF($C44="","",$C44&amp;"|"&amp;$B44&amp;"|"&amp;$G44)</f>
        <v/>
      </c>
    </row>
    <row r="45">
      <c r="A45" s="19" t="n"/>
      <c r="B45" s="14">
        <f>IF($A45="","",VALUE(LEFT($A45,4))*4+VALUE(RIGHT($A45,1)))</f>
        <v/>
      </c>
      <c r="C45" s="19" t="n"/>
      <c r="D45" s="14">
        <f>IFERROR(INDEX(Pessoas!$B$5:$B$64,MATCH($C45,Pessoas!$A$5:$A$64,0)),"")</f>
        <v/>
      </c>
      <c r="E45" s="19" t="n"/>
      <c r="F45" s="14">
        <f>IFERROR(INDEX(Pessoas!$D$5:$D$64,MATCH($C45,Pessoas!$A$5:$A$64,0)),"")</f>
        <v/>
      </c>
      <c r="G45" s="19" t="n"/>
      <c r="H45" s="14">
        <f>IFERROR(INDEX(Config!$B$40:$B$45,MATCH($G45,Config!$C$40:$C$45,0)),"")</f>
        <v/>
      </c>
      <c r="I45" s="14">
        <f>IFERROR(INDEX(Config!$D$40:$D$45,MATCH($G45,Config!$C$40:$C$45,0)),"")</f>
        <v/>
      </c>
      <c r="J45" s="19" t="n"/>
      <c r="K45" s="19" t="n"/>
      <c r="L45" s="19" t="n"/>
      <c r="M45" s="19" t="n"/>
      <c r="N45" s="14">
        <f>IF(AND(ISNUMBER($J45),ISNUMBER($K45)),ABS($J45-$K45),"")</f>
        <v/>
      </c>
      <c r="O45" s="14">
        <f>IF(AND(NOT(ISNUMBER($J45)),NOT(ISNUMBER($K45))),"",IF(NOT(ISNUMBER($K45)),$J45,IF(NOT(ISNUMBER($J45)),$K45,IF($N45=0,$J45,IF(AND($N45=1,$T45&lt;&gt;"Sim"),IF($I45="Líder Técnico",$K45,IF($I45="GP",$J45,"CALIBRAR")),"CALIBRAR")))))</f>
        <v/>
      </c>
      <c r="P45" s="19" t="n"/>
      <c r="Q45" s="19" t="n"/>
      <c r="R45" s="14">
        <f>IF($P45="","",IF(AND(ISNUMBER($J45),$P45=$J45,ISNUMBER($K45),$P45=$K45),"= ambos",IF(AND(ISNUMBER($J45),$P45=$J45),"= GP",IF(AND(ISNUMBER($K45),$P45=$K45),"= LT","nenhuma das duas"))))</f>
        <v/>
      </c>
      <c r="S45" s="19" t="n"/>
      <c r="T45" s="19" t="n"/>
      <c r="U45" s="14">
        <f>IF($C45="","",COUNTIFS('Ocorrências'!$V$5:$V$604,$C45&amp;"|"&amp;$B45&amp;"|"&amp;$G45,'Ocorrências'!$X$5:$X$604,"Sim"))</f>
        <v/>
      </c>
      <c r="V45" s="14">
        <f>IF($P45="","",IF(OR($P45=1,$P45=2,$P45=5),IF($U45&gt;0,"OK","SEM LASTRO"),"OK"))</f>
        <v/>
      </c>
      <c r="W45" s="19" t="n"/>
      <c r="X45" s="18" t="n"/>
      <c r="Y45" s="14">
        <f>IF($C45="","",$C45&amp;"|"&amp;$B45)</f>
        <v/>
      </c>
      <c r="Z45" s="14">
        <f>IF($C45="","",$C45&amp;"|"&amp;$B45&amp;"|"&amp;$H45)</f>
        <v/>
      </c>
      <c r="AA45" s="14">
        <f>IF($C45="","",$C45&amp;"|"&amp;$B45&amp;"|"&amp;$G45)</f>
        <v/>
      </c>
    </row>
    <row r="46">
      <c r="A46" s="19" t="n"/>
      <c r="B46" s="14">
        <f>IF($A46="","",VALUE(LEFT($A46,4))*4+VALUE(RIGHT($A46,1)))</f>
        <v/>
      </c>
      <c r="C46" s="19" t="n"/>
      <c r="D46" s="14">
        <f>IFERROR(INDEX(Pessoas!$B$5:$B$64,MATCH($C46,Pessoas!$A$5:$A$64,0)),"")</f>
        <v/>
      </c>
      <c r="E46" s="19" t="n"/>
      <c r="F46" s="14">
        <f>IFERROR(INDEX(Pessoas!$D$5:$D$64,MATCH($C46,Pessoas!$A$5:$A$64,0)),"")</f>
        <v/>
      </c>
      <c r="G46" s="19" t="n"/>
      <c r="H46" s="14">
        <f>IFERROR(INDEX(Config!$B$40:$B$45,MATCH($G46,Config!$C$40:$C$45,0)),"")</f>
        <v/>
      </c>
      <c r="I46" s="14">
        <f>IFERROR(INDEX(Config!$D$40:$D$45,MATCH($G46,Config!$C$40:$C$45,0)),"")</f>
        <v/>
      </c>
      <c r="J46" s="19" t="n"/>
      <c r="K46" s="19" t="n"/>
      <c r="L46" s="19" t="n"/>
      <c r="M46" s="19" t="n"/>
      <c r="N46" s="14">
        <f>IF(AND(ISNUMBER($J46),ISNUMBER($K46)),ABS($J46-$K46),"")</f>
        <v/>
      </c>
      <c r="O46" s="14">
        <f>IF(AND(NOT(ISNUMBER($J46)),NOT(ISNUMBER($K46))),"",IF(NOT(ISNUMBER($K46)),$J46,IF(NOT(ISNUMBER($J46)),$K46,IF($N46=0,$J46,IF(AND($N46=1,$T46&lt;&gt;"Sim"),IF($I46="Líder Técnico",$K46,IF($I46="GP",$J46,"CALIBRAR")),"CALIBRAR")))))</f>
        <v/>
      </c>
      <c r="P46" s="19" t="n"/>
      <c r="Q46" s="19" t="n"/>
      <c r="R46" s="14">
        <f>IF($P46="","",IF(AND(ISNUMBER($J46),$P46=$J46,ISNUMBER($K46),$P46=$K46),"= ambos",IF(AND(ISNUMBER($J46),$P46=$J46),"= GP",IF(AND(ISNUMBER($K46),$P46=$K46),"= LT","nenhuma das duas"))))</f>
        <v/>
      </c>
      <c r="S46" s="19" t="n"/>
      <c r="T46" s="19" t="n"/>
      <c r="U46" s="14">
        <f>IF($C46="","",COUNTIFS('Ocorrências'!$V$5:$V$604,$C46&amp;"|"&amp;$B46&amp;"|"&amp;$G46,'Ocorrências'!$X$5:$X$604,"Sim"))</f>
        <v/>
      </c>
      <c r="V46" s="14">
        <f>IF($P46="","",IF(OR($P46=1,$P46=2,$P46=5),IF($U46&gt;0,"OK","SEM LASTRO"),"OK"))</f>
        <v/>
      </c>
      <c r="W46" s="19" t="n"/>
      <c r="X46" s="18" t="n"/>
      <c r="Y46" s="14">
        <f>IF($C46="","",$C46&amp;"|"&amp;$B46)</f>
        <v/>
      </c>
      <c r="Z46" s="14">
        <f>IF($C46="","",$C46&amp;"|"&amp;$B46&amp;"|"&amp;$H46)</f>
        <v/>
      </c>
      <c r="AA46" s="14">
        <f>IF($C46="","",$C46&amp;"|"&amp;$B46&amp;"|"&amp;$G46)</f>
        <v/>
      </c>
    </row>
    <row r="47">
      <c r="A47" s="19" t="n"/>
      <c r="B47" s="14">
        <f>IF($A47="","",VALUE(LEFT($A47,4))*4+VALUE(RIGHT($A47,1)))</f>
        <v/>
      </c>
      <c r="C47" s="19" t="n"/>
      <c r="D47" s="14">
        <f>IFERROR(INDEX(Pessoas!$B$5:$B$64,MATCH($C47,Pessoas!$A$5:$A$64,0)),"")</f>
        <v/>
      </c>
      <c r="E47" s="19" t="n"/>
      <c r="F47" s="14">
        <f>IFERROR(INDEX(Pessoas!$D$5:$D$64,MATCH($C47,Pessoas!$A$5:$A$64,0)),"")</f>
        <v/>
      </c>
      <c r="G47" s="19" t="n"/>
      <c r="H47" s="14">
        <f>IFERROR(INDEX(Config!$B$40:$B$45,MATCH($G47,Config!$C$40:$C$45,0)),"")</f>
        <v/>
      </c>
      <c r="I47" s="14">
        <f>IFERROR(INDEX(Config!$D$40:$D$45,MATCH($G47,Config!$C$40:$C$45,0)),"")</f>
        <v/>
      </c>
      <c r="J47" s="19" t="n"/>
      <c r="K47" s="19" t="n"/>
      <c r="L47" s="19" t="n"/>
      <c r="M47" s="19" t="n"/>
      <c r="N47" s="14">
        <f>IF(AND(ISNUMBER($J47),ISNUMBER($K47)),ABS($J47-$K47),"")</f>
        <v/>
      </c>
      <c r="O47" s="14">
        <f>IF(AND(NOT(ISNUMBER($J47)),NOT(ISNUMBER($K47))),"",IF(NOT(ISNUMBER($K47)),$J47,IF(NOT(ISNUMBER($J47)),$K47,IF($N47=0,$J47,IF(AND($N47=1,$T47&lt;&gt;"Sim"),IF($I47="Líder Técnico",$K47,IF($I47="GP",$J47,"CALIBRAR")),"CALIBRAR")))))</f>
        <v/>
      </c>
      <c r="P47" s="19" t="n"/>
      <c r="Q47" s="19" t="n"/>
      <c r="R47" s="14">
        <f>IF($P47="","",IF(AND(ISNUMBER($J47),$P47=$J47,ISNUMBER($K47),$P47=$K47),"= ambos",IF(AND(ISNUMBER($J47),$P47=$J47),"= GP",IF(AND(ISNUMBER($K47),$P47=$K47),"= LT","nenhuma das duas"))))</f>
        <v/>
      </c>
      <c r="S47" s="19" t="n"/>
      <c r="T47" s="19" t="n"/>
      <c r="U47" s="14">
        <f>IF($C47="","",COUNTIFS('Ocorrências'!$V$5:$V$604,$C47&amp;"|"&amp;$B47&amp;"|"&amp;$G47,'Ocorrências'!$X$5:$X$604,"Sim"))</f>
        <v/>
      </c>
      <c r="V47" s="14">
        <f>IF($P47="","",IF(OR($P47=1,$P47=2,$P47=5),IF($U47&gt;0,"OK","SEM LASTRO"),"OK"))</f>
        <v/>
      </c>
      <c r="W47" s="19" t="n"/>
      <c r="X47" s="18" t="n"/>
      <c r="Y47" s="14">
        <f>IF($C47="","",$C47&amp;"|"&amp;$B47)</f>
        <v/>
      </c>
      <c r="Z47" s="14">
        <f>IF($C47="","",$C47&amp;"|"&amp;$B47&amp;"|"&amp;$H47)</f>
        <v/>
      </c>
      <c r="AA47" s="14">
        <f>IF($C47="","",$C47&amp;"|"&amp;$B47&amp;"|"&amp;$G47)</f>
        <v/>
      </c>
    </row>
    <row r="48">
      <c r="A48" s="19" t="n"/>
      <c r="B48" s="14">
        <f>IF($A48="","",VALUE(LEFT($A48,4))*4+VALUE(RIGHT($A48,1)))</f>
        <v/>
      </c>
      <c r="C48" s="19" t="n"/>
      <c r="D48" s="14">
        <f>IFERROR(INDEX(Pessoas!$B$5:$B$64,MATCH($C48,Pessoas!$A$5:$A$64,0)),"")</f>
        <v/>
      </c>
      <c r="E48" s="19" t="n"/>
      <c r="F48" s="14">
        <f>IFERROR(INDEX(Pessoas!$D$5:$D$64,MATCH($C48,Pessoas!$A$5:$A$64,0)),"")</f>
        <v/>
      </c>
      <c r="G48" s="19" t="n"/>
      <c r="H48" s="14">
        <f>IFERROR(INDEX(Config!$B$40:$B$45,MATCH($G48,Config!$C$40:$C$45,0)),"")</f>
        <v/>
      </c>
      <c r="I48" s="14">
        <f>IFERROR(INDEX(Config!$D$40:$D$45,MATCH($G48,Config!$C$40:$C$45,0)),"")</f>
        <v/>
      </c>
      <c r="J48" s="19" t="n"/>
      <c r="K48" s="19" t="n"/>
      <c r="L48" s="19" t="n"/>
      <c r="M48" s="19" t="n"/>
      <c r="N48" s="14">
        <f>IF(AND(ISNUMBER($J48),ISNUMBER($K48)),ABS($J48-$K48),"")</f>
        <v/>
      </c>
      <c r="O48" s="14">
        <f>IF(AND(NOT(ISNUMBER($J48)),NOT(ISNUMBER($K48))),"",IF(NOT(ISNUMBER($K48)),$J48,IF(NOT(ISNUMBER($J48)),$K48,IF($N48=0,$J48,IF(AND($N48=1,$T48&lt;&gt;"Sim"),IF($I48="Líder Técnico",$K48,IF($I48="GP",$J48,"CALIBRAR")),"CALIBRAR")))))</f>
        <v/>
      </c>
      <c r="P48" s="19" t="n"/>
      <c r="Q48" s="19" t="n"/>
      <c r="R48" s="14">
        <f>IF($P48="","",IF(AND(ISNUMBER($J48),$P48=$J48,ISNUMBER($K48),$P48=$K48),"= ambos",IF(AND(ISNUMBER($J48),$P48=$J48),"= GP",IF(AND(ISNUMBER($K48),$P48=$K48),"= LT","nenhuma das duas"))))</f>
        <v/>
      </c>
      <c r="S48" s="19" t="n"/>
      <c r="T48" s="19" t="n"/>
      <c r="U48" s="14">
        <f>IF($C48="","",COUNTIFS('Ocorrências'!$V$5:$V$604,$C48&amp;"|"&amp;$B48&amp;"|"&amp;$G48,'Ocorrências'!$X$5:$X$604,"Sim"))</f>
        <v/>
      </c>
      <c r="V48" s="14">
        <f>IF($P48="","",IF(OR($P48=1,$P48=2,$P48=5),IF($U48&gt;0,"OK","SEM LASTRO"),"OK"))</f>
        <v/>
      </c>
      <c r="W48" s="19" t="n"/>
      <c r="X48" s="18" t="n"/>
      <c r="Y48" s="14">
        <f>IF($C48="","",$C48&amp;"|"&amp;$B48)</f>
        <v/>
      </c>
      <c r="Z48" s="14">
        <f>IF($C48="","",$C48&amp;"|"&amp;$B48&amp;"|"&amp;$H48)</f>
        <v/>
      </c>
      <c r="AA48" s="14">
        <f>IF($C48="","",$C48&amp;"|"&amp;$B48&amp;"|"&amp;$G48)</f>
        <v/>
      </c>
    </row>
    <row r="49">
      <c r="A49" s="19" t="n"/>
      <c r="B49" s="14">
        <f>IF($A49="","",VALUE(LEFT($A49,4))*4+VALUE(RIGHT($A49,1)))</f>
        <v/>
      </c>
      <c r="C49" s="19" t="n"/>
      <c r="D49" s="14">
        <f>IFERROR(INDEX(Pessoas!$B$5:$B$64,MATCH($C49,Pessoas!$A$5:$A$64,0)),"")</f>
        <v/>
      </c>
      <c r="E49" s="19" t="n"/>
      <c r="F49" s="14">
        <f>IFERROR(INDEX(Pessoas!$D$5:$D$64,MATCH($C49,Pessoas!$A$5:$A$64,0)),"")</f>
        <v/>
      </c>
      <c r="G49" s="19" t="n"/>
      <c r="H49" s="14">
        <f>IFERROR(INDEX(Config!$B$40:$B$45,MATCH($G49,Config!$C$40:$C$45,0)),"")</f>
        <v/>
      </c>
      <c r="I49" s="14">
        <f>IFERROR(INDEX(Config!$D$40:$D$45,MATCH($G49,Config!$C$40:$C$45,0)),"")</f>
        <v/>
      </c>
      <c r="J49" s="19" t="n"/>
      <c r="K49" s="19" t="n"/>
      <c r="L49" s="19" t="n"/>
      <c r="M49" s="19" t="n"/>
      <c r="N49" s="14">
        <f>IF(AND(ISNUMBER($J49),ISNUMBER($K49)),ABS($J49-$K49),"")</f>
        <v/>
      </c>
      <c r="O49" s="14">
        <f>IF(AND(NOT(ISNUMBER($J49)),NOT(ISNUMBER($K49))),"",IF(NOT(ISNUMBER($K49)),$J49,IF(NOT(ISNUMBER($J49)),$K49,IF($N49=0,$J49,IF(AND($N49=1,$T49&lt;&gt;"Sim"),IF($I49="Líder Técnico",$K49,IF($I49="GP",$J49,"CALIBRAR")),"CALIBRAR")))))</f>
        <v/>
      </c>
      <c r="P49" s="19" t="n"/>
      <c r="Q49" s="19" t="n"/>
      <c r="R49" s="14">
        <f>IF($P49="","",IF(AND(ISNUMBER($J49),$P49=$J49,ISNUMBER($K49),$P49=$K49),"= ambos",IF(AND(ISNUMBER($J49),$P49=$J49),"= GP",IF(AND(ISNUMBER($K49),$P49=$K49),"= LT","nenhuma das duas"))))</f>
        <v/>
      </c>
      <c r="S49" s="19" t="n"/>
      <c r="T49" s="19" t="n"/>
      <c r="U49" s="14">
        <f>IF($C49="","",COUNTIFS('Ocorrências'!$V$5:$V$604,$C49&amp;"|"&amp;$B49&amp;"|"&amp;$G49,'Ocorrências'!$X$5:$X$604,"Sim"))</f>
        <v/>
      </c>
      <c r="V49" s="14">
        <f>IF($P49="","",IF(OR($P49=1,$P49=2,$P49=5),IF($U49&gt;0,"OK","SEM LASTRO"),"OK"))</f>
        <v/>
      </c>
      <c r="W49" s="19" t="n"/>
      <c r="X49" s="18" t="n"/>
      <c r="Y49" s="14">
        <f>IF($C49="","",$C49&amp;"|"&amp;$B49)</f>
        <v/>
      </c>
      <c r="Z49" s="14">
        <f>IF($C49="","",$C49&amp;"|"&amp;$B49&amp;"|"&amp;$H49)</f>
        <v/>
      </c>
      <c r="AA49" s="14">
        <f>IF($C49="","",$C49&amp;"|"&amp;$B49&amp;"|"&amp;$G49)</f>
        <v/>
      </c>
    </row>
    <row r="50">
      <c r="A50" s="19" t="n"/>
      <c r="B50" s="14">
        <f>IF($A50="","",VALUE(LEFT($A50,4))*4+VALUE(RIGHT($A50,1)))</f>
        <v/>
      </c>
      <c r="C50" s="19" t="n"/>
      <c r="D50" s="14">
        <f>IFERROR(INDEX(Pessoas!$B$5:$B$64,MATCH($C50,Pessoas!$A$5:$A$64,0)),"")</f>
        <v/>
      </c>
      <c r="E50" s="19" t="n"/>
      <c r="F50" s="14">
        <f>IFERROR(INDEX(Pessoas!$D$5:$D$64,MATCH($C50,Pessoas!$A$5:$A$64,0)),"")</f>
        <v/>
      </c>
      <c r="G50" s="19" t="n"/>
      <c r="H50" s="14">
        <f>IFERROR(INDEX(Config!$B$40:$B$45,MATCH($G50,Config!$C$40:$C$45,0)),"")</f>
        <v/>
      </c>
      <c r="I50" s="14">
        <f>IFERROR(INDEX(Config!$D$40:$D$45,MATCH($G50,Config!$C$40:$C$45,0)),"")</f>
        <v/>
      </c>
      <c r="J50" s="19" t="n"/>
      <c r="K50" s="19" t="n"/>
      <c r="L50" s="19" t="n"/>
      <c r="M50" s="19" t="n"/>
      <c r="N50" s="14">
        <f>IF(AND(ISNUMBER($J50),ISNUMBER($K50)),ABS($J50-$K50),"")</f>
        <v/>
      </c>
      <c r="O50" s="14">
        <f>IF(AND(NOT(ISNUMBER($J50)),NOT(ISNUMBER($K50))),"",IF(NOT(ISNUMBER($K50)),$J50,IF(NOT(ISNUMBER($J50)),$K50,IF($N50=0,$J50,IF(AND($N50=1,$T50&lt;&gt;"Sim"),IF($I50="Líder Técnico",$K50,IF($I50="GP",$J50,"CALIBRAR")),"CALIBRAR")))))</f>
        <v/>
      </c>
      <c r="P50" s="19" t="n"/>
      <c r="Q50" s="19" t="n"/>
      <c r="R50" s="14">
        <f>IF($P50="","",IF(AND(ISNUMBER($J50),$P50=$J50,ISNUMBER($K50),$P50=$K50),"= ambos",IF(AND(ISNUMBER($J50),$P50=$J50),"= GP",IF(AND(ISNUMBER($K50),$P50=$K50),"= LT","nenhuma das duas"))))</f>
        <v/>
      </c>
      <c r="S50" s="19" t="n"/>
      <c r="T50" s="19" t="n"/>
      <c r="U50" s="14">
        <f>IF($C50="","",COUNTIFS('Ocorrências'!$V$5:$V$604,$C50&amp;"|"&amp;$B50&amp;"|"&amp;$G50,'Ocorrências'!$X$5:$X$604,"Sim"))</f>
        <v/>
      </c>
      <c r="V50" s="14">
        <f>IF($P50="","",IF(OR($P50=1,$P50=2,$P50=5),IF($U50&gt;0,"OK","SEM LASTRO"),"OK"))</f>
        <v/>
      </c>
      <c r="W50" s="19" t="n"/>
      <c r="X50" s="18" t="n"/>
      <c r="Y50" s="14">
        <f>IF($C50="","",$C50&amp;"|"&amp;$B50)</f>
        <v/>
      </c>
      <c r="Z50" s="14">
        <f>IF($C50="","",$C50&amp;"|"&amp;$B50&amp;"|"&amp;$H50)</f>
        <v/>
      </c>
      <c r="AA50" s="14">
        <f>IF($C50="","",$C50&amp;"|"&amp;$B50&amp;"|"&amp;$G50)</f>
        <v/>
      </c>
    </row>
    <row r="51">
      <c r="A51" s="19" t="n"/>
      <c r="B51" s="14">
        <f>IF($A51="","",VALUE(LEFT($A51,4))*4+VALUE(RIGHT($A51,1)))</f>
        <v/>
      </c>
      <c r="C51" s="19" t="n"/>
      <c r="D51" s="14">
        <f>IFERROR(INDEX(Pessoas!$B$5:$B$64,MATCH($C51,Pessoas!$A$5:$A$64,0)),"")</f>
        <v/>
      </c>
      <c r="E51" s="19" t="n"/>
      <c r="F51" s="14">
        <f>IFERROR(INDEX(Pessoas!$D$5:$D$64,MATCH($C51,Pessoas!$A$5:$A$64,0)),"")</f>
        <v/>
      </c>
      <c r="G51" s="19" t="n"/>
      <c r="H51" s="14">
        <f>IFERROR(INDEX(Config!$B$40:$B$45,MATCH($G51,Config!$C$40:$C$45,0)),"")</f>
        <v/>
      </c>
      <c r="I51" s="14">
        <f>IFERROR(INDEX(Config!$D$40:$D$45,MATCH($G51,Config!$C$40:$C$45,0)),"")</f>
        <v/>
      </c>
      <c r="J51" s="19" t="n"/>
      <c r="K51" s="19" t="n"/>
      <c r="L51" s="19" t="n"/>
      <c r="M51" s="19" t="n"/>
      <c r="N51" s="14">
        <f>IF(AND(ISNUMBER($J51),ISNUMBER($K51)),ABS($J51-$K51),"")</f>
        <v/>
      </c>
      <c r="O51" s="14">
        <f>IF(AND(NOT(ISNUMBER($J51)),NOT(ISNUMBER($K51))),"",IF(NOT(ISNUMBER($K51)),$J51,IF(NOT(ISNUMBER($J51)),$K51,IF($N51=0,$J51,IF(AND($N51=1,$T51&lt;&gt;"Sim"),IF($I51="Líder Técnico",$K51,IF($I51="GP",$J51,"CALIBRAR")),"CALIBRAR")))))</f>
        <v/>
      </c>
      <c r="P51" s="19" t="n"/>
      <c r="Q51" s="19" t="n"/>
      <c r="R51" s="14">
        <f>IF($P51="","",IF(AND(ISNUMBER($J51),$P51=$J51,ISNUMBER($K51),$P51=$K51),"= ambos",IF(AND(ISNUMBER($J51),$P51=$J51),"= GP",IF(AND(ISNUMBER($K51),$P51=$K51),"= LT","nenhuma das duas"))))</f>
        <v/>
      </c>
      <c r="S51" s="19" t="n"/>
      <c r="T51" s="19" t="n"/>
      <c r="U51" s="14">
        <f>IF($C51="","",COUNTIFS('Ocorrências'!$V$5:$V$604,$C51&amp;"|"&amp;$B51&amp;"|"&amp;$G51,'Ocorrências'!$X$5:$X$604,"Sim"))</f>
        <v/>
      </c>
      <c r="V51" s="14">
        <f>IF($P51="","",IF(OR($P51=1,$P51=2,$P51=5),IF($U51&gt;0,"OK","SEM LASTRO"),"OK"))</f>
        <v/>
      </c>
      <c r="W51" s="19" t="n"/>
      <c r="X51" s="18" t="n"/>
      <c r="Y51" s="14">
        <f>IF($C51="","",$C51&amp;"|"&amp;$B51)</f>
        <v/>
      </c>
      <c r="Z51" s="14">
        <f>IF($C51="","",$C51&amp;"|"&amp;$B51&amp;"|"&amp;$H51)</f>
        <v/>
      </c>
      <c r="AA51" s="14">
        <f>IF($C51="","",$C51&amp;"|"&amp;$B51&amp;"|"&amp;$G51)</f>
        <v/>
      </c>
    </row>
    <row r="52">
      <c r="A52" s="19" t="n"/>
      <c r="B52" s="14">
        <f>IF($A52="","",VALUE(LEFT($A52,4))*4+VALUE(RIGHT($A52,1)))</f>
        <v/>
      </c>
      <c r="C52" s="19" t="n"/>
      <c r="D52" s="14">
        <f>IFERROR(INDEX(Pessoas!$B$5:$B$64,MATCH($C52,Pessoas!$A$5:$A$64,0)),"")</f>
        <v/>
      </c>
      <c r="E52" s="19" t="n"/>
      <c r="F52" s="14">
        <f>IFERROR(INDEX(Pessoas!$D$5:$D$64,MATCH($C52,Pessoas!$A$5:$A$64,0)),"")</f>
        <v/>
      </c>
      <c r="G52" s="19" t="n"/>
      <c r="H52" s="14">
        <f>IFERROR(INDEX(Config!$B$40:$B$45,MATCH($G52,Config!$C$40:$C$45,0)),"")</f>
        <v/>
      </c>
      <c r="I52" s="14">
        <f>IFERROR(INDEX(Config!$D$40:$D$45,MATCH($G52,Config!$C$40:$C$45,0)),"")</f>
        <v/>
      </c>
      <c r="J52" s="19" t="n"/>
      <c r="K52" s="19" t="n"/>
      <c r="L52" s="19" t="n"/>
      <c r="M52" s="19" t="n"/>
      <c r="N52" s="14">
        <f>IF(AND(ISNUMBER($J52),ISNUMBER($K52)),ABS($J52-$K52),"")</f>
        <v/>
      </c>
      <c r="O52" s="14">
        <f>IF(AND(NOT(ISNUMBER($J52)),NOT(ISNUMBER($K52))),"",IF(NOT(ISNUMBER($K52)),$J52,IF(NOT(ISNUMBER($J52)),$K52,IF($N52=0,$J52,IF(AND($N52=1,$T52&lt;&gt;"Sim"),IF($I52="Líder Técnico",$K52,IF($I52="GP",$J52,"CALIBRAR")),"CALIBRAR")))))</f>
        <v/>
      </c>
      <c r="P52" s="19" t="n"/>
      <c r="Q52" s="19" t="n"/>
      <c r="R52" s="14">
        <f>IF($P52="","",IF(AND(ISNUMBER($J52),$P52=$J52,ISNUMBER($K52),$P52=$K52),"= ambos",IF(AND(ISNUMBER($J52),$P52=$J52),"= GP",IF(AND(ISNUMBER($K52),$P52=$K52),"= LT","nenhuma das duas"))))</f>
        <v/>
      </c>
      <c r="S52" s="19" t="n"/>
      <c r="T52" s="19" t="n"/>
      <c r="U52" s="14">
        <f>IF($C52="","",COUNTIFS('Ocorrências'!$V$5:$V$604,$C52&amp;"|"&amp;$B52&amp;"|"&amp;$G52,'Ocorrências'!$X$5:$X$604,"Sim"))</f>
        <v/>
      </c>
      <c r="V52" s="14">
        <f>IF($P52="","",IF(OR($P52=1,$P52=2,$P52=5),IF($U52&gt;0,"OK","SEM LASTRO"),"OK"))</f>
        <v/>
      </c>
      <c r="W52" s="19" t="n"/>
      <c r="X52" s="18" t="n"/>
      <c r="Y52" s="14">
        <f>IF($C52="","",$C52&amp;"|"&amp;$B52)</f>
        <v/>
      </c>
      <c r="Z52" s="14">
        <f>IF($C52="","",$C52&amp;"|"&amp;$B52&amp;"|"&amp;$H52)</f>
        <v/>
      </c>
      <c r="AA52" s="14">
        <f>IF($C52="","",$C52&amp;"|"&amp;$B52&amp;"|"&amp;$G52)</f>
        <v/>
      </c>
    </row>
    <row r="53">
      <c r="A53" s="19" t="n"/>
      <c r="B53" s="14">
        <f>IF($A53="","",VALUE(LEFT($A53,4))*4+VALUE(RIGHT($A53,1)))</f>
        <v/>
      </c>
      <c r="C53" s="19" t="n"/>
      <c r="D53" s="14">
        <f>IFERROR(INDEX(Pessoas!$B$5:$B$64,MATCH($C53,Pessoas!$A$5:$A$64,0)),"")</f>
        <v/>
      </c>
      <c r="E53" s="19" t="n"/>
      <c r="F53" s="14">
        <f>IFERROR(INDEX(Pessoas!$D$5:$D$64,MATCH($C53,Pessoas!$A$5:$A$64,0)),"")</f>
        <v/>
      </c>
      <c r="G53" s="19" t="n"/>
      <c r="H53" s="14">
        <f>IFERROR(INDEX(Config!$B$40:$B$45,MATCH($G53,Config!$C$40:$C$45,0)),"")</f>
        <v/>
      </c>
      <c r="I53" s="14">
        <f>IFERROR(INDEX(Config!$D$40:$D$45,MATCH($G53,Config!$C$40:$C$45,0)),"")</f>
        <v/>
      </c>
      <c r="J53" s="19" t="n"/>
      <c r="K53" s="19" t="n"/>
      <c r="L53" s="19" t="n"/>
      <c r="M53" s="19" t="n"/>
      <c r="N53" s="14">
        <f>IF(AND(ISNUMBER($J53),ISNUMBER($K53)),ABS($J53-$K53),"")</f>
        <v/>
      </c>
      <c r="O53" s="14">
        <f>IF(AND(NOT(ISNUMBER($J53)),NOT(ISNUMBER($K53))),"",IF(NOT(ISNUMBER($K53)),$J53,IF(NOT(ISNUMBER($J53)),$K53,IF($N53=0,$J53,IF(AND($N53=1,$T53&lt;&gt;"Sim"),IF($I53="Líder Técnico",$K53,IF($I53="GP",$J53,"CALIBRAR")),"CALIBRAR")))))</f>
        <v/>
      </c>
      <c r="P53" s="19" t="n"/>
      <c r="Q53" s="19" t="n"/>
      <c r="R53" s="14">
        <f>IF($P53="","",IF(AND(ISNUMBER($J53),$P53=$J53,ISNUMBER($K53),$P53=$K53),"= ambos",IF(AND(ISNUMBER($J53),$P53=$J53),"= GP",IF(AND(ISNUMBER($K53),$P53=$K53),"= LT","nenhuma das duas"))))</f>
        <v/>
      </c>
      <c r="S53" s="19" t="n"/>
      <c r="T53" s="19" t="n"/>
      <c r="U53" s="14">
        <f>IF($C53="","",COUNTIFS('Ocorrências'!$V$5:$V$604,$C53&amp;"|"&amp;$B53&amp;"|"&amp;$G53,'Ocorrências'!$X$5:$X$604,"Sim"))</f>
        <v/>
      </c>
      <c r="V53" s="14">
        <f>IF($P53="","",IF(OR($P53=1,$P53=2,$P53=5),IF($U53&gt;0,"OK","SEM LASTRO"),"OK"))</f>
        <v/>
      </c>
      <c r="W53" s="19" t="n"/>
      <c r="X53" s="18" t="n"/>
      <c r="Y53" s="14">
        <f>IF($C53="","",$C53&amp;"|"&amp;$B53)</f>
        <v/>
      </c>
      <c r="Z53" s="14">
        <f>IF($C53="","",$C53&amp;"|"&amp;$B53&amp;"|"&amp;$H53)</f>
        <v/>
      </c>
      <c r="AA53" s="14">
        <f>IF($C53="","",$C53&amp;"|"&amp;$B53&amp;"|"&amp;$G53)</f>
        <v/>
      </c>
    </row>
    <row r="54">
      <c r="A54" s="19" t="n"/>
      <c r="B54" s="14">
        <f>IF($A54="","",VALUE(LEFT($A54,4))*4+VALUE(RIGHT($A54,1)))</f>
        <v/>
      </c>
      <c r="C54" s="19" t="n"/>
      <c r="D54" s="14">
        <f>IFERROR(INDEX(Pessoas!$B$5:$B$64,MATCH($C54,Pessoas!$A$5:$A$64,0)),"")</f>
        <v/>
      </c>
      <c r="E54" s="19" t="n"/>
      <c r="F54" s="14">
        <f>IFERROR(INDEX(Pessoas!$D$5:$D$64,MATCH($C54,Pessoas!$A$5:$A$64,0)),"")</f>
        <v/>
      </c>
      <c r="G54" s="19" t="n"/>
      <c r="H54" s="14">
        <f>IFERROR(INDEX(Config!$B$40:$B$45,MATCH($G54,Config!$C$40:$C$45,0)),"")</f>
        <v/>
      </c>
      <c r="I54" s="14">
        <f>IFERROR(INDEX(Config!$D$40:$D$45,MATCH($G54,Config!$C$40:$C$45,0)),"")</f>
        <v/>
      </c>
      <c r="J54" s="19" t="n"/>
      <c r="K54" s="19" t="n"/>
      <c r="L54" s="19" t="n"/>
      <c r="M54" s="19" t="n"/>
      <c r="N54" s="14">
        <f>IF(AND(ISNUMBER($J54),ISNUMBER($K54)),ABS($J54-$K54),"")</f>
        <v/>
      </c>
      <c r="O54" s="14">
        <f>IF(AND(NOT(ISNUMBER($J54)),NOT(ISNUMBER($K54))),"",IF(NOT(ISNUMBER($K54)),$J54,IF(NOT(ISNUMBER($J54)),$K54,IF($N54=0,$J54,IF(AND($N54=1,$T54&lt;&gt;"Sim"),IF($I54="Líder Técnico",$K54,IF($I54="GP",$J54,"CALIBRAR")),"CALIBRAR")))))</f>
        <v/>
      </c>
      <c r="P54" s="19" t="n"/>
      <c r="Q54" s="19" t="n"/>
      <c r="R54" s="14">
        <f>IF($P54="","",IF(AND(ISNUMBER($J54),$P54=$J54,ISNUMBER($K54),$P54=$K54),"= ambos",IF(AND(ISNUMBER($J54),$P54=$J54),"= GP",IF(AND(ISNUMBER($K54),$P54=$K54),"= LT","nenhuma das duas"))))</f>
        <v/>
      </c>
      <c r="S54" s="19" t="n"/>
      <c r="T54" s="19" t="n"/>
      <c r="U54" s="14">
        <f>IF($C54="","",COUNTIFS('Ocorrências'!$V$5:$V$604,$C54&amp;"|"&amp;$B54&amp;"|"&amp;$G54,'Ocorrências'!$X$5:$X$604,"Sim"))</f>
        <v/>
      </c>
      <c r="V54" s="14">
        <f>IF($P54="","",IF(OR($P54=1,$P54=2,$P54=5),IF($U54&gt;0,"OK","SEM LASTRO"),"OK"))</f>
        <v/>
      </c>
      <c r="W54" s="19" t="n"/>
      <c r="X54" s="18" t="n"/>
      <c r="Y54" s="14">
        <f>IF($C54="","",$C54&amp;"|"&amp;$B54)</f>
        <v/>
      </c>
      <c r="Z54" s="14">
        <f>IF($C54="","",$C54&amp;"|"&amp;$B54&amp;"|"&amp;$H54)</f>
        <v/>
      </c>
      <c r="AA54" s="14">
        <f>IF($C54="","",$C54&amp;"|"&amp;$B54&amp;"|"&amp;$G54)</f>
        <v/>
      </c>
    </row>
    <row r="55">
      <c r="A55" s="19" t="n"/>
      <c r="B55" s="14">
        <f>IF($A55="","",VALUE(LEFT($A55,4))*4+VALUE(RIGHT($A55,1)))</f>
        <v/>
      </c>
      <c r="C55" s="19" t="n"/>
      <c r="D55" s="14">
        <f>IFERROR(INDEX(Pessoas!$B$5:$B$64,MATCH($C55,Pessoas!$A$5:$A$64,0)),"")</f>
        <v/>
      </c>
      <c r="E55" s="19" t="n"/>
      <c r="F55" s="14">
        <f>IFERROR(INDEX(Pessoas!$D$5:$D$64,MATCH($C55,Pessoas!$A$5:$A$64,0)),"")</f>
        <v/>
      </c>
      <c r="G55" s="19" t="n"/>
      <c r="H55" s="14">
        <f>IFERROR(INDEX(Config!$B$40:$B$45,MATCH($G55,Config!$C$40:$C$45,0)),"")</f>
        <v/>
      </c>
      <c r="I55" s="14">
        <f>IFERROR(INDEX(Config!$D$40:$D$45,MATCH($G55,Config!$C$40:$C$45,0)),"")</f>
        <v/>
      </c>
      <c r="J55" s="19" t="n"/>
      <c r="K55" s="19" t="n"/>
      <c r="L55" s="19" t="n"/>
      <c r="M55" s="19" t="n"/>
      <c r="N55" s="14">
        <f>IF(AND(ISNUMBER($J55),ISNUMBER($K55)),ABS($J55-$K55),"")</f>
        <v/>
      </c>
      <c r="O55" s="14">
        <f>IF(AND(NOT(ISNUMBER($J55)),NOT(ISNUMBER($K55))),"",IF(NOT(ISNUMBER($K55)),$J55,IF(NOT(ISNUMBER($J55)),$K55,IF($N55=0,$J55,IF(AND($N55=1,$T55&lt;&gt;"Sim"),IF($I55="Líder Técnico",$K55,IF($I55="GP",$J55,"CALIBRAR")),"CALIBRAR")))))</f>
        <v/>
      </c>
      <c r="P55" s="19" t="n"/>
      <c r="Q55" s="19" t="n"/>
      <c r="R55" s="14">
        <f>IF($P55="","",IF(AND(ISNUMBER($J55),$P55=$J55,ISNUMBER($K55),$P55=$K55),"= ambos",IF(AND(ISNUMBER($J55),$P55=$J55),"= GP",IF(AND(ISNUMBER($K55),$P55=$K55),"= LT","nenhuma das duas"))))</f>
        <v/>
      </c>
      <c r="S55" s="19" t="n"/>
      <c r="T55" s="19" t="n"/>
      <c r="U55" s="14">
        <f>IF($C55="","",COUNTIFS('Ocorrências'!$V$5:$V$604,$C55&amp;"|"&amp;$B55&amp;"|"&amp;$G55,'Ocorrências'!$X$5:$X$604,"Sim"))</f>
        <v/>
      </c>
      <c r="V55" s="14">
        <f>IF($P55="","",IF(OR($P55=1,$P55=2,$P55=5),IF($U55&gt;0,"OK","SEM LASTRO"),"OK"))</f>
        <v/>
      </c>
      <c r="W55" s="19" t="n"/>
      <c r="X55" s="18" t="n"/>
      <c r="Y55" s="14">
        <f>IF($C55="","",$C55&amp;"|"&amp;$B55)</f>
        <v/>
      </c>
      <c r="Z55" s="14">
        <f>IF($C55="","",$C55&amp;"|"&amp;$B55&amp;"|"&amp;$H55)</f>
        <v/>
      </c>
      <c r="AA55" s="14">
        <f>IF($C55="","",$C55&amp;"|"&amp;$B55&amp;"|"&amp;$G55)</f>
        <v/>
      </c>
    </row>
    <row r="56">
      <c r="A56" s="19" t="n"/>
      <c r="B56" s="14">
        <f>IF($A56="","",VALUE(LEFT($A56,4))*4+VALUE(RIGHT($A56,1)))</f>
        <v/>
      </c>
      <c r="C56" s="19" t="n"/>
      <c r="D56" s="14">
        <f>IFERROR(INDEX(Pessoas!$B$5:$B$64,MATCH($C56,Pessoas!$A$5:$A$64,0)),"")</f>
        <v/>
      </c>
      <c r="E56" s="19" t="n"/>
      <c r="F56" s="14">
        <f>IFERROR(INDEX(Pessoas!$D$5:$D$64,MATCH($C56,Pessoas!$A$5:$A$64,0)),"")</f>
        <v/>
      </c>
      <c r="G56" s="19" t="n"/>
      <c r="H56" s="14">
        <f>IFERROR(INDEX(Config!$B$40:$B$45,MATCH($G56,Config!$C$40:$C$45,0)),"")</f>
        <v/>
      </c>
      <c r="I56" s="14">
        <f>IFERROR(INDEX(Config!$D$40:$D$45,MATCH($G56,Config!$C$40:$C$45,0)),"")</f>
        <v/>
      </c>
      <c r="J56" s="19" t="n"/>
      <c r="K56" s="19" t="n"/>
      <c r="L56" s="19" t="n"/>
      <c r="M56" s="19" t="n"/>
      <c r="N56" s="14">
        <f>IF(AND(ISNUMBER($J56),ISNUMBER($K56)),ABS($J56-$K56),"")</f>
        <v/>
      </c>
      <c r="O56" s="14">
        <f>IF(AND(NOT(ISNUMBER($J56)),NOT(ISNUMBER($K56))),"",IF(NOT(ISNUMBER($K56)),$J56,IF(NOT(ISNUMBER($J56)),$K56,IF($N56=0,$J56,IF(AND($N56=1,$T56&lt;&gt;"Sim"),IF($I56="Líder Técnico",$K56,IF($I56="GP",$J56,"CALIBRAR")),"CALIBRAR")))))</f>
        <v/>
      </c>
      <c r="P56" s="19" t="n"/>
      <c r="Q56" s="19" t="n"/>
      <c r="R56" s="14">
        <f>IF($P56="","",IF(AND(ISNUMBER($J56),$P56=$J56,ISNUMBER($K56),$P56=$K56),"= ambos",IF(AND(ISNUMBER($J56),$P56=$J56),"= GP",IF(AND(ISNUMBER($K56),$P56=$K56),"= LT","nenhuma das duas"))))</f>
        <v/>
      </c>
      <c r="S56" s="19" t="n"/>
      <c r="T56" s="19" t="n"/>
      <c r="U56" s="14">
        <f>IF($C56="","",COUNTIFS('Ocorrências'!$V$5:$V$604,$C56&amp;"|"&amp;$B56&amp;"|"&amp;$G56,'Ocorrências'!$X$5:$X$604,"Sim"))</f>
        <v/>
      </c>
      <c r="V56" s="14">
        <f>IF($P56="","",IF(OR($P56=1,$P56=2,$P56=5),IF($U56&gt;0,"OK","SEM LASTRO"),"OK"))</f>
        <v/>
      </c>
      <c r="W56" s="19" t="n"/>
      <c r="X56" s="18" t="n"/>
      <c r="Y56" s="14">
        <f>IF($C56="","",$C56&amp;"|"&amp;$B56)</f>
        <v/>
      </c>
      <c r="Z56" s="14">
        <f>IF($C56="","",$C56&amp;"|"&amp;$B56&amp;"|"&amp;$H56)</f>
        <v/>
      </c>
      <c r="AA56" s="14">
        <f>IF($C56="","",$C56&amp;"|"&amp;$B56&amp;"|"&amp;$G56)</f>
        <v/>
      </c>
    </row>
    <row r="57">
      <c r="A57" s="19" t="n"/>
      <c r="B57" s="14">
        <f>IF($A57="","",VALUE(LEFT($A57,4))*4+VALUE(RIGHT($A57,1)))</f>
        <v/>
      </c>
      <c r="C57" s="19" t="n"/>
      <c r="D57" s="14">
        <f>IFERROR(INDEX(Pessoas!$B$5:$B$64,MATCH($C57,Pessoas!$A$5:$A$64,0)),"")</f>
        <v/>
      </c>
      <c r="E57" s="19" t="n"/>
      <c r="F57" s="14">
        <f>IFERROR(INDEX(Pessoas!$D$5:$D$64,MATCH($C57,Pessoas!$A$5:$A$64,0)),"")</f>
        <v/>
      </c>
      <c r="G57" s="19" t="n"/>
      <c r="H57" s="14">
        <f>IFERROR(INDEX(Config!$B$40:$B$45,MATCH($G57,Config!$C$40:$C$45,0)),"")</f>
        <v/>
      </c>
      <c r="I57" s="14">
        <f>IFERROR(INDEX(Config!$D$40:$D$45,MATCH($G57,Config!$C$40:$C$45,0)),"")</f>
        <v/>
      </c>
      <c r="J57" s="19" t="n"/>
      <c r="K57" s="19" t="n"/>
      <c r="L57" s="19" t="n"/>
      <c r="M57" s="19" t="n"/>
      <c r="N57" s="14">
        <f>IF(AND(ISNUMBER($J57),ISNUMBER($K57)),ABS($J57-$K57),"")</f>
        <v/>
      </c>
      <c r="O57" s="14">
        <f>IF(AND(NOT(ISNUMBER($J57)),NOT(ISNUMBER($K57))),"",IF(NOT(ISNUMBER($K57)),$J57,IF(NOT(ISNUMBER($J57)),$K57,IF($N57=0,$J57,IF(AND($N57=1,$T57&lt;&gt;"Sim"),IF($I57="Líder Técnico",$K57,IF($I57="GP",$J57,"CALIBRAR")),"CALIBRAR")))))</f>
        <v/>
      </c>
      <c r="P57" s="19" t="n"/>
      <c r="Q57" s="19" t="n"/>
      <c r="R57" s="14">
        <f>IF($P57="","",IF(AND(ISNUMBER($J57),$P57=$J57,ISNUMBER($K57),$P57=$K57),"= ambos",IF(AND(ISNUMBER($J57),$P57=$J57),"= GP",IF(AND(ISNUMBER($K57),$P57=$K57),"= LT","nenhuma das duas"))))</f>
        <v/>
      </c>
      <c r="S57" s="19" t="n"/>
      <c r="T57" s="19" t="n"/>
      <c r="U57" s="14">
        <f>IF($C57="","",COUNTIFS('Ocorrências'!$V$5:$V$604,$C57&amp;"|"&amp;$B57&amp;"|"&amp;$G57,'Ocorrências'!$X$5:$X$604,"Sim"))</f>
        <v/>
      </c>
      <c r="V57" s="14">
        <f>IF($P57="","",IF(OR($P57=1,$P57=2,$P57=5),IF($U57&gt;0,"OK","SEM LASTRO"),"OK"))</f>
        <v/>
      </c>
      <c r="W57" s="19" t="n"/>
      <c r="X57" s="18" t="n"/>
      <c r="Y57" s="14">
        <f>IF($C57="","",$C57&amp;"|"&amp;$B57)</f>
        <v/>
      </c>
      <c r="Z57" s="14">
        <f>IF($C57="","",$C57&amp;"|"&amp;$B57&amp;"|"&amp;$H57)</f>
        <v/>
      </c>
      <c r="AA57" s="14">
        <f>IF($C57="","",$C57&amp;"|"&amp;$B57&amp;"|"&amp;$G57)</f>
        <v/>
      </c>
    </row>
    <row r="58">
      <c r="A58" s="19" t="n"/>
      <c r="B58" s="14">
        <f>IF($A58="","",VALUE(LEFT($A58,4))*4+VALUE(RIGHT($A58,1)))</f>
        <v/>
      </c>
      <c r="C58" s="19" t="n"/>
      <c r="D58" s="14">
        <f>IFERROR(INDEX(Pessoas!$B$5:$B$64,MATCH($C58,Pessoas!$A$5:$A$64,0)),"")</f>
        <v/>
      </c>
      <c r="E58" s="19" t="n"/>
      <c r="F58" s="14">
        <f>IFERROR(INDEX(Pessoas!$D$5:$D$64,MATCH($C58,Pessoas!$A$5:$A$64,0)),"")</f>
        <v/>
      </c>
      <c r="G58" s="19" t="n"/>
      <c r="H58" s="14">
        <f>IFERROR(INDEX(Config!$B$40:$B$45,MATCH($G58,Config!$C$40:$C$45,0)),"")</f>
        <v/>
      </c>
      <c r="I58" s="14">
        <f>IFERROR(INDEX(Config!$D$40:$D$45,MATCH($G58,Config!$C$40:$C$45,0)),"")</f>
        <v/>
      </c>
      <c r="J58" s="19" t="n"/>
      <c r="K58" s="19" t="n"/>
      <c r="L58" s="19" t="n"/>
      <c r="M58" s="19" t="n"/>
      <c r="N58" s="14">
        <f>IF(AND(ISNUMBER($J58),ISNUMBER($K58)),ABS($J58-$K58),"")</f>
        <v/>
      </c>
      <c r="O58" s="14">
        <f>IF(AND(NOT(ISNUMBER($J58)),NOT(ISNUMBER($K58))),"",IF(NOT(ISNUMBER($K58)),$J58,IF(NOT(ISNUMBER($J58)),$K58,IF($N58=0,$J58,IF(AND($N58=1,$T58&lt;&gt;"Sim"),IF($I58="Líder Técnico",$K58,IF($I58="GP",$J58,"CALIBRAR")),"CALIBRAR")))))</f>
        <v/>
      </c>
      <c r="P58" s="19" t="n"/>
      <c r="Q58" s="19" t="n"/>
      <c r="R58" s="14">
        <f>IF($P58="","",IF(AND(ISNUMBER($J58),$P58=$J58,ISNUMBER($K58),$P58=$K58),"= ambos",IF(AND(ISNUMBER($J58),$P58=$J58),"= GP",IF(AND(ISNUMBER($K58),$P58=$K58),"= LT","nenhuma das duas"))))</f>
        <v/>
      </c>
      <c r="S58" s="19" t="n"/>
      <c r="T58" s="19" t="n"/>
      <c r="U58" s="14">
        <f>IF($C58="","",COUNTIFS('Ocorrências'!$V$5:$V$604,$C58&amp;"|"&amp;$B58&amp;"|"&amp;$G58,'Ocorrências'!$X$5:$X$604,"Sim"))</f>
        <v/>
      </c>
      <c r="V58" s="14">
        <f>IF($P58="","",IF(OR($P58=1,$P58=2,$P58=5),IF($U58&gt;0,"OK","SEM LASTRO"),"OK"))</f>
        <v/>
      </c>
      <c r="W58" s="19" t="n"/>
      <c r="X58" s="18" t="n"/>
      <c r="Y58" s="14">
        <f>IF($C58="","",$C58&amp;"|"&amp;$B58)</f>
        <v/>
      </c>
      <c r="Z58" s="14">
        <f>IF($C58="","",$C58&amp;"|"&amp;$B58&amp;"|"&amp;$H58)</f>
        <v/>
      </c>
      <c r="AA58" s="14">
        <f>IF($C58="","",$C58&amp;"|"&amp;$B58&amp;"|"&amp;$G58)</f>
        <v/>
      </c>
    </row>
    <row r="59">
      <c r="A59" s="19" t="n"/>
      <c r="B59" s="14">
        <f>IF($A59="","",VALUE(LEFT($A59,4))*4+VALUE(RIGHT($A59,1)))</f>
        <v/>
      </c>
      <c r="C59" s="19" t="n"/>
      <c r="D59" s="14">
        <f>IFERROR(INDEX(Pessoas!$B$5:$B$64,MATCH($C59,Pessoas!$A$5:$A$64,0)),"")</f>
        <v/>
      </c>
      <c r="E59" s="19" t="n"/>
      <c r="F59" s="14">
        <f>IFERROR(INDEX(Pessoas!$D$5:$D$64,MATCH($C59,Pessoas!$A$5:$A$64,0)),"")</f>
        <v/>
      </c>
      <c r="G59" s="19" t="n"/>
      <c r="H59" s="14">
        <f>IFERROR(INDEX(Config!$B$40:$B$45,MATCH($G59,Config!$C$40:$C$45,0)),"")</f>
        <v/>
      </c>
      <c r="I59" s="14">
        <f>IFERROR(INDEX(Config!$D$40:$D$45,MATCH($G59,Config!$C$40:$C$45,0)),"")</f>
        <v/>
      </c>
      <c r="J59" s="19" t="n"/>
      <c r="K59" s="19" t="n"/>
      <c r="L59" s="19" t="n"/>
      <c r="M59" s="19" t="n"/>
      <c r="N59" s="14">
        <f>IF(AND(ISNUMBER($J59),ISNUMBER($K59)),ABS($J59-$K59),"")</f>
        <v/>
      </c>
      <c r="O59" s="14">
        <f>IF(AND(NOT(ISNUMBER($J59)),NOT(ISNUMBER($K59))),"",IF(NOT(ISNUMBER($K59)),$J59,IF(NOT(ISNUMBER($J59)),$K59,IF($N59=0,$J59,IF(AND($N59=1,$T59&lt;&gt;"Sim"),IF($I59="Líder Técnico",$K59,IF($I59="GP",$J59,"CALIBRAR")),"CALIBRAR")))))</f>
        <v/>
      </c>
      <c r="P59" s="19" t="n"/>
      <c r="Q59" s="19" t="n"/>
      <c r="R59" s="14">
        <f>IF($P59="","",IF(AND(ISNUMBER($J59),$P59=$J59,ISNUMBER($K59),$P59=$K59),"= ambos",IF(AND(ISNUMBER($J59),$P59=$J59),"= GP",IF(AND(ISNUMBER($K59),$P59=$K59),"= LT","nenhuma das duas"))))</f>
        <v/>
      </c>
      <c r="S59" s="19" t="n"/>
      <c r="T59" s="19" t="n"/>
      <c r="U59" s="14">
        <f>IF($C59="","",COUNTIFS('Ocorrências'!$V$5:$V$604,$C59&amp;"|"&amp;$B59&amp;"|"&amp;$G59,'Ocorrências'!$X$5:$X$604,"Sim"))</f>
        <v/>
      </c>
      <c r="V59" s="14">
        <f>IF($P59="","",IF(OR($P59=1,$P59=2,$P59=5),IF($U59&gt;0,"OK","SEM LASTRO"),"OK"))</f>
        <v/>
      </c>
      <c r="W59" s="19" t="n"/>
      <c r="X59" s="18" t="n"/>
      <c r="Y59" s="14">
        <f>IF($C59="","",$C59&amp;"|"&amp;$B59)</f>
        <v/>
      </c>
      <c r="Z59" s="14">
        <f>IF($C59="","",$C59&amp;"|"&amp;$B59&amp;"|"&amp;$H59)</f>
        <v/>
      </c>
      <c r="AA59" s="14">
        <f>IF($C59="","",$C59&amp;"|"&amp;$B59&amp;"|"&amp;$G59)</f>
        <v/>
      </c>
    </row>
    <row r="60">
      <c r="A60" s="19" t="n"/>
      <c r="B60" s="14">
        <f>IF($A60="","",VALUE(LEFT($A60,4))*4+VALUE(RIGHT($A60,1)))</f>
        <v/>
      </c>
      <c r="C60" s="19" t="n"/>
      <c r="D60" s="14">
        <f>IFERROR(INDEX(Pessoas!$B$5:$B$64,MATCH($C60,Pessoas!$A$5:$A$64,0)),"")</f>
        <v/>
      </c>
      <c r="E60" s="19" t="n"/>
      <c r="F60" s="14">
        <f>IFERROR(INDEX(Pessoas!$D$5:$D$64,MATCH($C60,Pessoas!$A$5:$A$64,0)),"")</f>
        <v/>
      </c>
      <c r="G60" s="19" t="n"/>
      <c r="H60" s="14">
        <f>IFERROR(INDEX(Config!$B$40:$B$45,MATCH($G60,Config!$C$40:$C$45,0)),"")</f>
        <v/>
      </c>
      <c r="I60" s="14">
        <f>IFERROR(INDEX(Config!$D$40:$D$45,MATCH($G60,Config!$C$40:$C$45,0)),"")</f>
        <v/>
      </c>
      <c r="J60" s="19" t="n"/>
      <c r="K60" s="19" t="n"/>
      <c r="L60" s="19" t="n"/>
      <c r="M60" s="19" t="n"/>
      <c r="N60" s="14">
        <f>IF(AND(ISNUMBER($J60),ISNUMBER($K60)),ABS($J60-$K60),"")</f>
        <v/>
      </c>
      <c r="O60" s="14">
        <f>IF(AND(NOT(ISNUMBER($J60)),NOT(ISNUMBER($K60))),"",IF(NOT(ISNUMBER($K60)),$J60,IF(NOT(ISNUMBER($J60)),$K60,IF($N60=0,$J60,IF(AND($N60=1,$T60&lt;&gt;"Sim"),IF($I60="Líder Técnico",$K60,IF($I60="GP",$J60,"CALIBRAR")),"CALIBRAR")))))</f>
        <v/>
      </c>
      <c r="P60" s="19" t="n"/>
      <c r="Q60" s="19" t="n"/>
      <c r="R60" s="14">
        <f>IF($P60="","",IF(AND(ISNUMBER($J60),$P60=$J60,ISNUMBER($K60),$P60=$K60),"= ambos",IF(AND(ISNUMBER($J60),$P60=$J60),"= GP",IF(AND(ISNUMBER($K60),$P60=$K60),"= LT","nenhuma das duas"))))</f>
        <v/>
      </c>
      <c r="S60" s="19" t="n"/>
      <c r="T60" s="19" t="n"/>
      <c r="U60" s="14">
        <f>IF($C60="","",COUNTIFS('Ocorrências'!$V$5:$V$604,$C60&amp;"|"&amp;$B60&amp;"|"&amp;$G60,'Ocorrências'!$X$5:$X$604,"Sim"))</f>
        <v/>
      </c>
      <c r="V60" s="14">
        <f>IF($P60="","",IF(OR($P60=1,$P60=2,$P60=5),IF($U60&gt;0,"OK","SEM LASTRO"),"OK"))</f>
        <v/>
      </c>
      <c r="W60" s="19" t="n"/>
      <c r="X60" s="18" t="n"/>
      <c r="Y60" s="14">
        <f>IF($C60="","",$C60&amp;"|"&amp;$B60)</f>
        <v/>
      </c>
      <c r="Z60" s="14">
        <f>IF($C60="","",$C60&amp;"|"&amp;$B60&amp;"|"&amp;$H60)</f>
        <v/>
      </c>
      <c r="AA60" s="14">
        <f>IF($C60="","",$C60&amp;"|"&amp;$B60&amp;"|"&amp;$G60)</f>
        <v/>
      </c>
    </row>
    <row r="61">
      <c r="A61" s="19" t="n"/>
      <c r="B61" s="14">
        <f>IF($A61="","",VALUE(LEFT($A61,4))*4+VALUE(RIGHT($A61,1)))</f>
        <v/>
      </c>
      <c r="C61" s="19" t="n"/>
      <c r="D61" s="14">
        <f>IFERROR(INDEX(Pessoas!$B$5:$B$64,MATCH($C61,Pessoas!$A$5:$A$64,0)),"")</f>
        <v/>
      </c>
      <c r="E61" s="19" t="n"/>
      <c r="F61" s="14">
        <f>IFERROR(INDEX(Pessoas!$D$5:$D$64,MATCH($C61,Pessoas!$A$5:$A$64,0)),"")</f>
        <v/>
      </c>
      <c r="G61" s="19" t="n"/>
      <c r="H61" s="14">
        <f>IFERROR(INDEX(Config!$B$40:$B$45,MATCH($G61,Config!$C$40:$C$45,0)),"")</f>
        <v/>
      </c>
      <c r="I61" s="14">
        <f>IFERROR(INDEX(Config!$D$40:$D$45,MATCH($G61,Config!$C$40:$C$45,0)),"")</f>
        <v/>
      </c>
      <c r="J61" s="19" t="n"/>
      <c r="K61" s="19" t="n"/>
      <c r="L61" s="19" t="n"/>
      <c r="M61" s="19" t="n"/>
      <c r="N61" s="14">
        <f>IF(AND(ISNUMBER($J61),ISNUMBER($K61)),ABS($J61-$K61),"")</f>
        <v/>
      </c>
      <c r="O61" s="14">
        <f>IF(AND(NOT(ISNUMBER($J61)),NOT(ISNUMBER($K61))),"",IF(NOT(ISNUMBER($K61)),$J61,IF(NOT(ISNUMBER($J61)),$K61,IF($N61=0,$J61,IF(AND($N61=1,$T61&lt;&gt;"Sim"),IF($I61="Líder Técnico",$K61,IF($I61="GP",$J61,"CALIBRAR")),"CALIBRAR")))))</f>
        <v/>
      </c>
      <c r="P61" s="19" t="n"/>
      <c r="Q61" s="19" t="n"/>
      <c r="R61" s="14">
        <f>IF($P61="","",IF(AND(ISNUMBER($J61),$P61=$J61,ISNUMBER($K61),$P61=$K61),"= ambos",IF(AND(ISNUMBER($J61),$P61=$J61),"= GP",IF(AND(ISNUMBER($K61),$P61=$K61),"= LT","nenhuma das duas"))))</f>
        <v/>
      </c>
      <c r="S61" s="19" t="n"/>
      <c r="T61" s="19" t="n"/>
      <c r="U61" s="14">
        <f>IF($C61="","",COUNTIFS('Ocorrências'!$V$5:$V$604,$C61&amp;"|"&amp;$B61&amp;"|"&amp;$G61,'Ocorrências'!$X$5:$X$604,"Sim"))</f>
        <v/>
      </c>
      <c r="V61" s="14">
        <f>IF($P61="","",IF(OR($P61=1,$P61=2,$P61=5),IF($U61&gt;0,"OK","SEM LASTRO"),"OK"))</f>
        <v/>
      </c>
      <c r="W61" s="19" t="n"/>
      <c r="X61" s="18" t="n"/>
      <c r="Y61" s="14">
        <f>IF($C61="","",$C61&amp;"|"&amp;$B61)</f>
        <v/>
      </c>
      <c r="Z61" s="14">
        <f>IF($C61="","",$C61&amp;"|"&amp;$B61&amp;"|"&amp;$H61)</f>
        <v/>
      </c>
      <c r="AA61" s="14">
        <f>IF($C61="","",$C61&amp;"|"&amp;$B61&amp;"|"&amp;$G61)</f>
        <v/>
      </c>
    </row>
    <row r="62">
      <c r="A62" s="19" t="n"/>
      <c r="B62" s="14">
        <f>IF($A62="","",VALUE(LEFT($A62,4))*4+VALUE(RIGHT($A62,1)))</f>
        <v/>
      </c>
      <c r="C62" s="19" t="n"/>
      <c r="D62" s="14">
        <f>IFERROR(INDEX(Pessoas!$B$5:$B$64,MATCH($C62,Pessoas!$A$5:$A$64,0)),"")</f>
        <v/>
      </c>
      <c r="E62" s="19" t="n"/>
      <c r="F62" s="14">
        <f>IFERROR(INDEX(Pessoas!$D$5:$D$64,MATCH($C62,Pessoas!$A$5:$A$64,0)),"")</f>
        <v/>
      </c>
      <c r="G62" s="19" t="n"/>
      <c r="H62" s="14">
        <f>IFERROR(INDEX(Config!$B$40:$B$45,MATCH($G62,Config!$C$40:$C$45,0)),"")</f>
        <v/>
      </c>
      <c r="I62" s="14">
        <f>IFERROR(INDEX(Config!$D$40:$D$45,MATCH($G62,Config!$C$40:$C$45,0)),"")</f>
        <v/>
      </c>
      <c r="J62" s="19" t="n"/>
      <c r="K62" s="19" t="n"/>
      <c r="L62" s="19" t="n"/>
      <c r="M62" s="19" t="n"/>
      <c r="N62" s="14">
        <f>IF(AND(ISNUMBER($J62),ISNUMBER($K62)),ABS($J62-$K62),"")</f>
        <v/>
      </c>
      <c r="O62" s="14">
        <f>IF(AND(NOT(ISNUMBER($J62)),NOT(ISNUMBER($K62))),"",IF(NOT(ISNUMBER($K62)),$J62,IF(NOT(ISNUMBER($J62)),$K62,IF($N62=0,$J62,IF(AND($N62=1,$T62&lt;&gt;"Sim"),IF($I62="Líder Técnico",$K62,IF($I62="GP",$J62,"CALIBRAR")),"CALIBRAR")))))</f>
        <v/>
      </c>
      <c r="P62" s="19" t="n"/>
      <c r="Q62" s="19" t="n"/>
      <c r="R62" s="14">
        <f>IF($P62="","",IF(AND(ISNUMBER($J62),$P62=$J62,ISNUMBER($K62),$P62=$K62),"= ambos",IF(AND(ISNUMBER($J62),$P62=$J62),"= GP",IF(AND(ISNUMBER($K62),$P62=$K62),"= LT","nenhuma das duas"))))</f>
        <v/>
      </c>
      <c r="S62" s="19" t="n"/>
      <c r="T62" s="19" t="n"/>
      <c r="U62" s="14">
        <f>IF($C62="","",COUNTIFS('Ocorrências'!$V$5:$V$604,$C62&amp;"|"&amp;$B62&amp;"|"&amp;$G62,'Ocorrências'!$X$5:$X$604,"Sim"))</f>
        <v/>
      </c>
      <c r="V62" s="14">
        <f>IF($P62="","",IF(OR($P62=1,$P62=2,$P62=5),IF($U62&gt;0,"OK","SEM LASTRO"),"OK"))</f>
        <v/>
      </c>
      <c r="W62" s="19" t="n"/>
      <c r="X62" s="18" t="n"/>
      <c r="Y62" s="14">
        <f>IF($C62="","",$C62&amp;"|"&amp;$B62)</f>
        <v/>
      </c>
      <c r="Z62" s="14">
        <f>IF($C62="","",$C62&amp;"|"&amp;$B62&amp;"|"&amp;$H62)</f>
        <v/>
      </c>
      <c r="AA62" s="14">
        <f>IF($C62="","",$C62&amp;"|"&amp;$B62&amp;"|"&amp;$G62)</f>
        <v/>
      </c>
    </row>
    <row r="63">
      <c r="A63" s="19" t="n"/>
      <c r="B63" s="14">
        <f>IF($A63="","",VALUE(LEFT($A63,4))*4+VALUE(RIGHT($A63,1)))</f>
        <v/>
      </c>
      <c r="C63" s="19" t="n"/>
      <c r="D63" s="14">
        <f>IFERROR(INDEX(Pessoas!$B$5:$B$64,MATCH($C63,Pessoas!$A$5:$A$64,0)),"")</f>
        <v/>
      </c>
      <c r="E63" s="19" t="n"/>
      <c r="F63" s="14">
        <f>IFERROR(INDEX(Pessoas!$D$5:$D$64,MATCH($C63,Pessoas!$A$5:$A$64,0)),"")</f>
        <v/>
      </c>
      <c r="G63" s="19" t="n"/>
      <c r="H63" s="14">
        <f>IFERROR(INDEX(Config!$B$40:$B$45,MATCH($G63,Config!$C$40:$C$45,0)),"")</f>
        <v/>
      </c>
      <c r="I63" s="14">
        <f>IFERROR(INDEX(Config!$D$40:$D$45,MATCH($G63,Config!$C$40:$C$45,0)),"")</f>
        <v/>
      </c>
      <c r="J63" s="19" t="n"/>
      <c r="K63" s="19" t="n"/>
      <c r="L63" s="19" t="n"/>
      <c r="M63" s="19" t="n"/>
      <c r="N63" s="14">
        <f>IF(AND(ISNUMBER($J63),ISNUMBER($K63)),ABS($J63-$K63),"")</f>
        <v/>
      </c>
      <c r="O63" s="14">
        <f>IF(AND(NOT(ISNUMBER($J63)),NOT(ISNUMBER($K63))),"",IF(NOT(ISNUMBER($K63)),$J63,IF(NOT(ISNUMBER($J63)),$K63,IF($N63=0,$J63,IF(AND($N63=1,$T63&lt;&gt;"Sim"),IF($I63="Líder Técnico",$K63,IF($I63="GP",$J63,"CALIBRAR")),"CALIBRAR")))))</f>
        <v/>
      </c>
      <c r="P63" s="19" t="n"/>
      <c r="Q63" s="19" t="n"/>
      <c r="R63" s="14">
        <f>IF($P63="","",IF(AND(ISNUMBER($J63),$P63=$J63,ISNUMBER($K63),$P63=$K63),"= ambos",IF(AND(ISNUMBER($J63),$P63=$J63),"= GP",IF(AND(ISNUMBER($K63),$P63=$K63),"= LT","nenhuma das duas"))))</f>
        <v/>
      </c>
      <c r="S63" s="19" t="n"/>
      <c r="T63" s="19" t="n"/>
      <c r="U63" s="14">
        <f>IF($C63="","",COUNTIFS('Ocorrências'!$V$5:$V$604,$C63&amp;"|"&amp;$B63&amp;"|"&amp;$G63,'Ocorrências'!$X$5:$X$604,"Sim"))</f>
        <v/>
      </c>
      <c r="V63" s="14">
        <f>IF($P63="","",IF(OR($P63=1,$P63=2,$P63=5),IF($U63&gt;0,"OK","SEM LASTRO"),"OK"))</f>
        <v/>
      </c>
      <c r="W63" s="19" t="n"/>
      <c r="X63" s="18" t="n"/>
      <c r="Y63" s="14">
        <f>IF($C63="","",$C63&amp;"|"&amp;$B63)</f>
        <v/>
      </c>
      <c r="Z63" s="14">
        <f>IF($C63="","",$C63&amp;"|"&amp;$B63&amp;"|"&amp;$H63)</f>
        <v/>
      </c>
      <c r="AA63" s="14">
        <f>IF($C63="","",$C63&amp;"|"&amp;$B63&amp;"|"&amp;$G63)</f>
        <v/>
      </c>
    </row>
    <row r="64">
      <c r="A64" s="19" t="n"/>
      <c r="B64" s="14">
        <f>IF($A64="","",VALUE(LEFT($A64,4))*4+VALUE(RIGHT($A64,1)))</f>
        <v/>
      </c>
      <c r="C64" s="19" t="n"/>
      <c r="D64" s="14">
        <f>IFERROR(INDEX(Pessoas!$B$5:$B$64,MATCH($C64,Pessoas!$A$5:$A$64,0)),"")</f>
        <v/>
      </c>
      <c r="E64" s="19" t="n"/>
      <c r="F64" s="14">
        <f>IFERROR(INDEX(Pessoas!$D$5:$D$64,MATCH($C64,Pessoas!$A$5:$A$64,0)),"")</f>
        <v/>
      </c>
      <c r="G64" s="19" t="n"/>
      <c r="H64" s="14">
        <f>IFERROR(INDEX(Config!$B$40:$B$45,MATCH($G64,Config!$C$40:$C$45,0)),"")</f>
        <v/>
      </c>
      <c r="I64" s="14">
        <f>IFERROR(INDEX(Config!$D$40:$D$45,MATCH($G64,Config!$C$40:$C$45,0)),"")</f>
        <v/>
      </c>
      <c r="J64" s="19" t="n"/>
      <c r="K64" s="19" t="n"/>
      <c r="L64" s="19" t="n"/>
      <c r="M64" s="19" t="n"/>
      <c r="N64" s="14">
        <f>IF(AND(ISNUMBER($J64),ISNUMBER($K64)),ABS($J64-$K64),"")</f>
        <v/>
      </c>
      <c r="O64" s="14">
        <f>IF(AND(NOT(ISNUMBER($J64)),NOT(ISNUMBER($K64))),"",IF(NOT(ISNUMBER($K64)),$J64,IF(NOT(ISNUMBER($J64)),$K64,IF($N64=0,$J64,IF(AND($N64=1,$T64&lt;&gt;"Sim"),IF($I64="Líder Técnico",$K64,IF($I64="GP",$J64,"CALIBRAR")),"CALIBRAR")))))</f>
        <v/>
      </c>
      <c r="P64" s="19" t="n"/>
      <c r="Q64" s="19" t="n"/>
      <c r="R64" s="14">
        <f>IF($P64="","",IF(AND(ISNUMBER($J64),$P64=$J64,ISNUMBER($K64),$P64=$K64),"= ambos",IF(AND(ISNUMBER($J64),$P64=$J64),"= GP",IF(AND(ISNUMBER($K64),$P64=$K64),"= LT","nenhuma das duas"))))</f>
        <v/>
      </c>
      <c r="S64" s="19" t="n"/>
      <c r="T64" s="19" t="n"/>
      <c r="U64" s="14">
        <f>IF($C64="","",COUNTIFS('Ocorrências'!$V$5:$V$604,$C64&amp;"|"&amp;$B64&amp;"|"&amp;$G64,'Ocorrências'!$X$5:$X$604,"Sim"))</f>
        <v/>
      </c>
      <c r="V64" s="14">
        <f>IF($P64="","",IF(OR($P64=1,$P64=2,$P64=5),IF($U64&gt;0,"OK","SEM LASTRO"),"OK"))</f>
        <v/>
      </c>
      <c r="W64" s="19" t="n"/>
      <c r="X64" s="18" t="n"/>
      <c r="Y64" s="14">
        <f>IF($C64="","",$C64&amp;"|"&amp;$B64)</f>
        <v/>
      </c>
      <c r="Z64" s="14">
        <f>IF($C64="","",$C64&amp;"|"&amp;$B64&amp;"|"&amp;$H64)</f>
        <v/>
      </c>
      <c r="AA64" s="14">
        <f>IF($C64="","",$C64&amp;"|"&amp;$B64&amp;"|"&amp;$G64)</f>
        <v/>
      </c>
    </row>
    <row r="65">
      <c r="A65" s="19" t="n"/>
      <c r="B65" s="14">
        <f>IF($A65="","",VALUE(LEFT($A65,4))*4+VALUE(RIGHT($A65,1)))</f>
        <v/>
      </c>
      <c r="C65" s="19" t="n"/>
      <c r="D65" s="14">
        <f>IFERROR(INDEX(Pessoas!$B$5:$B$64,MATCH($C65,Pessoas!$A$5:$A$64,0)),"")</f>
        <v/>
      </c>
      <c r="E65" s="19" t="n"/>
      <c r="F65" s="14">
        <f>IFERROR(INDEX(Pessoas!$D$5:$D$64,MATCH($C65,Pessoas!$A$5:$A$64,0)),"")</f>
        <v/>
      </c>
      <c r="G65" s="19" t="n"/>
      <c r="H65" s="14">
        <f>IFERROR(INDEX(Config!$B$40:$B$45,MATCH($G65,Config!$C$40:$C$45,0)),"")</f>
        <v/>
      </c>
      <c r="I65" s="14">
        <f>IFERROR(INDEX(Config!$D$40:$D$45,MATCH($G65,Config!$C$40:$C$45,0)),"")</f>
        <v/>
      </c>
      <c r="J65" s="19" t="n"/>
      <c r="K65" s="19" t="n"/>
      <c r="L65" s="19" t="n"/>
      <c r="M65" s="19" t="n"/>
      <c r="N65" s="14">
        <f>IF(AND(ISNUMBER($J65),ISNUMBER($K65)),ABS($J65-$K65),"")</f>
        <v/>
      </c>
      <c r="O65" s="14">
        <f>IF(AND(NOT(ISNUMBER($J65)),NOT(ISNUMBER($K65))),"",IF(NOT(ISNUMBER($K65)),$J65,IF(NOT(ISNUMBER($J65)),$K65,IF($N65=0,$J65,IF(AND($N65=1,$T65&lt;&gt;"Sim"),IF($I65="Líder Técnico",$K65,IF($I65="GP",$J65,"CALIBRAR")),"CALIBRAR")))))</f>
        <v/>
      </c>
      <c r="P65" s="19" t="n"/>
      <c r="Q65" s="19" t="n"/>
      <c r="R65" s="14">
        <f>IF($P65="","",IF(AND(ISNUMBER($J65),$P65=$J65,ISNUMBER($K65),$P65=$K65),"= ambos",IF(AND(ISNUMBER($J65),$P65=$J65),"= GP",IF(AND(ISNUMBER($K65),$P65=$K65),"= LT","nenhuma das duas"))))</f>
        <v/>
      </c>
      <c r="S65" s="19" t="n"/>
      <c r="T65" s="19" t="n"/>
      <c r="U65" s="14">
        <f>IF($C65="","",COUNTIFS('Ocorrências'!$V$5:$V$604,$C65&amp;"|"&amp;$B65&amp;"|"&amp;$G65,'Ocorrências'!$X$5:$X$604,"Sim"))</f>
        <v/>
      </c>
      <c r="V65" s="14">
        <f>IF($P65="","",IF(OR($P65=1,$P65=2,$P65=5),IF($U65&gt;0,"OK","SEM LASTRO"),"OK"))</f>
        <v/>
      </c>
      <c r="W65" s="19" t="n"/>
      <c r="X65" s="18" t="n"/>
      <c r="Y65" s="14">
        <f>IF($C65="","",$C65&amp;"|"&amp;$B65)</f>
        <v/>
      </c>
      <c r="Z65" s="14">
        <f>IF($C65="","",$C65&amp;"|"&amp;$B65&amp;"|"&amp;$H65)</f>
        <v/>
      </c>
      <c r="AA65" s="14">
        <f>IF($C65="","",$C65&amp;"|"&amp;$B65&amp;"|"&amp;$G65)</f>
        <v/>
      </c>
    </row>
    <row r="66">
      <c r="A66" s="19" t="n"/>
      <c r="B66" s="14">
        <f>IF($A66="","",VALUE(LEFT($A66,4))*4+VALUE(RIGHT($A66,1)))</f>
        <v/>
      </c>
      <c r="C66" s="19" t="n"/>
      <c r="D66" s="14">
        <f>IFERROR(INDEX(Pessoas!$B$5:$B$64,MATCH($C66,Pessoas!$A$5:$A$64,0)),"")</f>
        <v/>
      </c>
      <c r="E66" s="19" t="n"/>
      <c r="F66" s="14">
        <f>IFERROR(INDEX(Pessoas!$D$5:$D$64,MATCH($C66,Pessoas!$A$5:$A$64,0)),"")</f>
        <v/>
      </c>
      <c r="G66" s="19" t="n"/>
      <c r="H66" s="14">
        <f>IFERROR(INDEX(Config!$B$40:$B$45,MATCH($G66,Config!$C$40:$C$45,0)),"")</f>
        <v/>
      </c>
      <c r="I66" s="14">
        <f>IFERROR(INDEX(Config!$D$40:$D$45,MATCH($G66,Config!$C$40:$C$45,0)),"")</f>
        <v/>
      </c>
      <c r="J66" s="19" t="n"/>
      <c r="K66" s="19" t="n"/>
      <c r="L66" s="19" t="n"/>
      <c r="M66" s="19" t="n"/>
      <c r="N66" s="14">
        <f>IF(AND(ISNUMBER($J66),ISNUMBER($K66)),ABS($J66-$K66),"")</f>
        <v/>
      </c>
      <c r="O66" s="14">
        <f>IF(AND(NOT(ISNUMBER($J66)),NOT(ISNUMBER($K66))),"",IF(NOT(ISNUMBER($K66)),$J66,IF(NOT(ISNUMBER($J66)),$K66,IF($N66=0,$J66,IF(AND($N66=1,$T66&lt;&gt;"Sim"),IF($I66="Líder Técnico",$K66,IF($I66="GP",$J66,"CALIBRAR")),"CALIBRAR")))))</f>
        <v/>
      </c>
      <c r="P66" s="19" t="n"/>
      <c r="Q66" s="19" t="n"/>
      <c r="R66" s="14">
        <f>IF($P66="","",IF(AND(ISNUMBER($J66),$P66=$J66,ISNUMBER($K66),$P66=$K66),"= ambos",IF(AND(ISNUMBER($J66),$P66=$J66),"= GP",IF(AND(ISNUMBER($K66),$P66=$K66),"= LT","nenhuma das duas"))))</f>
        <v/>
      </c>
      <c r="S66" s="19" t="n"/>
      <c r="T66" s="19" t="n"/>
      <c r="U66" s="14">
        <f>IF($C66="","",COUNTIFS('Ocorrências'!$V$5:$V$604,$C66&amp;"|"&amp;$B66&amp;"|"&amp;$G66,'Ocorrências'!$X$5:$X$604,"Sim"))</f>
        <v/>
      </c>
      <c r="V66" s="14">
        <f>IF($P66="","",IF(OR($P66=1,$P66=2,$P66=5),IF($U66&gt;0,"OK","SEM LASTRO"),"OK"))</f>
        <v/>
      </c>
      <c r="W66" s="19" t="n"/>
      <c r="X66" s="18" t="n"/>
      <c r="Y66" s="14">
        <f>IF($C66="","",$C66&amp;"|"&amp;$B66)</f>
        <v/>
      </c>
      <c r="Z66" s="14">
        <f>IF($C66="","",$C66&amp;"|"&amp;$B66&amp;"|"&amp;$H66)</f>
        <v/>
      </c>
      <c r="AA66" s="14">
        <f>IF($C66="","",$C66&amp;"|"&amp;$B66&amp;"|"&amp;$G66)</f>
        <v/>
      </c>
    </row>
    <row r="67">
      <c r="A67" s="19" t="n"/>
      <c r="B67" s="14">
        <f>IF($A67="","",VALUE(LEFT($A67,4))*4+VALUE(RIGHT($A67,1)))</f>
        <v/>
      </c>
      <c r="C67" s="19" t="n"/>
      <c r="D67" s="14">
        <f>IFERROR(INDEX(Pessoas!$B$5:$B$64,MATCH($C67,Pessoas!$A$5:$A$64,0)),"")</f>
        <v/>
      </c>
      <c r="E67" s="19" t="n"/>
      <c r="F67" s="14">
        <f>IFERROR(INDEX(Pessoas!$D$5:$D$64,MATCH($C67,Pessoas!$A$5:$A$64,0)),"")</f>
        <v/>
      </c>
      <c r="G67" s="19" t="n"/>
      <c r="H67" s="14">
        <f>IFERROR(INDEX(Config!$B$40:$B$45,MATCH($G67,Config!$C$40:$C$45,0)),"")</f>
        <v/>
      </c>
      <c r="I67" s="14">
        <f>IFERROR(INDEX(Config!$D$40:$D$45,MATCH($G67,Config!$C$40:$C$45,0)),"")</f>
        <v/>
      </c>
      <c r="J67" s="19" t="n"/>
      <c r="K67" s="19" t="n"/>
      <c r="L67" s="19" t="n"/>
      <c r="M67" s="19" t="n"/>
      <c r="N67" s="14">
        <f>IF(AND(ISNUMBER($J67),ISNUMBER($K67)),ABS($J67-$K67),"")</f>
        <v/>
      </c>
      <c r="O67" s="14">
        <f>IF(AND(NOT(ISNUMBER($J67)),NOT(ISNUMBER($K67))),"",IF(NOT(ISNUMBER($K67)),$J67,IF(NOT(ISNUMBER($J67)),$K67,IF($N67=0,$J67,IF(AND($N67=1,$T67&lt;&gt;"Sim"),IF($I67="Líder Técnico",$K67,IF($I67="GP",$J67,"CALIBRAR")),"CALIBRAR")))))</f>
        <v/>
      </c>
      <c r="P67" s="19" t="n"/>
      <c r="Q67" s="19" t="n"/>
      <c r="R67" s="14">
        <f>IF($P67="","",IF(AND(ISNUMBER($J67),$P67=$J67,ISNUMBER($K67),$P67=$K67),"= ambos",IF(AND(ISNUMBER($J67),$P67=$J67),"= GP",IF(AND(ISNUMBER($K67),$P67=$K67),"= LT","nenhuma das duas"))))</f>
        <v/>
      </c>
      <c r="S67" s="19" t="n"/>
      <c r="T67" s="19" t="n"/>
      <c r="U67" s="14">
        <f>IF($C67="","",COUNTIFS('Ocorrências'!$V$5:$V$604,$C67&amp;"|"&amp;$B67&amp;"|"&amp;$G67,'Ocorrências'!$X$5:$X$604,"Sim"))</f>
        <v/>
      </c>
      <c r="V67" s="14">
        <f>IF($P67="","",IF(OR($P67=1,$P67=2,$P67=5),IF($U67&gt;0,"OK","SEM LASTRO"),"OK"))</f>
        <v/>
      </c>
      <c r="W67" s="19" t="n"/>
      <c r="X67" s="18" t="n"/>
      <c r="Y67" s="14">
        <f>IF($C67="","",$C67&amp;"|"&amp;$B67)</f>
        <v/>
      </c>
      <c r="Z67" s="14">
        <f>IF($C67="","",$C67&amp;"|"&amp;$B67&amp;"|"&amp;$H67)</f>
        <v/>
      </c>
      <c r="AA67" s="14">
        <f>IF($C67="","",$C67&amp;"|"&amp;$B67&amp;"|"&amp;$G67)</f>
        <v/>
      </c>
    </row>
    <row r="68">
      <c r="A68" s="19" t="n"/>
      <c r="B68" s="14">
        <f>IF($A68="","",VALUE(LEFT($A68,4))*4+VALUE(RIGHT($A68,1)))</f>
        <v/>
      </c>
      <c r="C68" s="19" t="n"/>
      <c r="D68" s="14">
        <f>IFERROR(INDEX(Pessoas!$B$5:$B$64,MATCH($C68,Pessoas!$A$5:$A$64,0)),"")</f>
        <v/>
      </c>
      <c r="E68" s="19" t="n"/>
      <c r="F68" s="14">
        <f>IFERROR(INDEX(Pessoas!$D$5:$D$64,MATCH($C68,Pessoas!$A$5:$A$64,0)),"")</f>
        <v/>
      </c>
      <c r="G68" s="19" t="n"/>
      <c r="H68" s="14">
        <f>IFERROR(INDEX(Config!$B$40:$B$45,MATCH($G68,Config!$C$40:$C$45,0)),"")</f>
        <v/>
      </c>
      <c r="I68" s="14">
        <f>IFERROR(INDEX(Config!$D$40:$D$45,MATCH($G68,Config!$C$40:$C$45,0)),"")</f>
        <v/>
      </c>
      <c r="J68" s="19" t="n"/>
      <c r="K68" s="19" t="n"/>
      <c r="L68" s="19" t="n"/>
      <c r="M68" s="19" t="n"/>
      <c r="N68" s="14">
        <f>IF(AND(ISNUMBER($J68),ISNUMBER($K68)),ABS($J68-$K68),"")</f>
        <v/>
      </c>
      <c r="O68" s="14">
        <f>IF(AND(NOT(ISNUMBER($J68)),NOT(ISNUMBER($K68))),"",IF(NOT(ISNUMBER($K68)),$J68,IF(NOT(ISNUMBER($J68)),$K68,IF($N68=0,$J68,IF(AND($N68=1,$T68&lt;&gt;"Sim"),IF($I68="Líder Técnico",$K68,IF($I68="GP",$J68,"CALIBRAR")),"CALIBRAR")))))</f>
        <v/>
      </c>
      <c r="P68" s="19" t="n"/>
      <c r="Q68" s="19" t="n"/>
      <c r="R68" s="14">
        <f>IF($P68="","",IF(AND(ISNUMBER($J68),$P68=$J68,ISNUMBER($K68),$P68=$K68),"= ambos",IF(AND(ISNUMBER($J68),$P68=$J68),"= GP",IF(AND(ISNUMBER($K68),$P68=$K68),"= LT","nenhuma das duas"))))</f>
        <v/>
      </c>
      <c r="S68" s="19" t="n"/>
      <c r="T68" s="19" t="n"/>
      <c r="U68" s="14">
        <f>IF($C68="","",COUNTIFS('Ocorrências'!$V$5:$V$604,$C68&amp;"|"&amp;$B68&amp;"|"&amp;$G68,'Ocorrências'!$X$5:$X$604,"Sim"))</f>
        <v/>
      </c>
      <c r="V68" s="14">
        <f>IF($P68="","",IF(OR($P68=1,$P68=2,$P68=5),IF($U68&gt;0,"OK","SEM LASTRO"),"OK"))</f>
        <v/>
      </c>
      <c r="W68" s="19" t="n"/>
      <c r="X68" s="18" t="n"/>
      <c r="Y68" s="14">
        <f>IF($C68="","",$C68&amp;"|"&amp;$B68)</f>
        <v/>
      </c>
      <c r="Z68" s="14">
        <f>IF($C68="","",$C68&amp;"|"&amp;$B68&amp;"|"&amp;$H68)</f>
        <v/>
      </c>
      <c r="AA68" s="14">
        <f>IF($C68="","",$C68&amp;"|"&amp;$B68&amp;"|"&amp;$G68)</f>
        <v/>
      </c>
    </row>
    <row r="69">
      <c r="A69" s="19" t="n"/>
      <c r="B69" s="14">
        <f>IF($A69="","",VALUE(LEFT($A69,4))*4+VALUE(RIGHT($A69,1)))</f>
        <v/>
      </c>
      <c r="C69" s="19" t="n"/>
      <c r="D69" s="14">
        <f>IFERROR(INDEX(Pessoas!$B$5:$B$64,MATCH($C69,Pessoas!$A$5:$A$64,0)),"")</f>
        <v/>
      </c>
      <c r="E69" s="19" t="n"/>
      <c r="F69" s="14">
        <f>IFERROR(INDEX(Pessoas!$D$5:$D$64,MATCH($C69,Pessoas!$A$5:$A$64,0)),"")</f>
        <v/>
      </c>
      <c r="G69" s="19" t="n"/>
      <c r="H69" s="14">
        <f>IFERROR(INDEX(Config!$B$40:$B$45,MATCH($G69,Config!$C$40:$C$45,0)),"")</f>
        <v/>
      </c>
      <c r="I69" s="14">
        <f>IFERROR(INDEX(Config!$D$40:$D$45,MATCH($G69,Config!$C$40:$C$45,0)),"")</f>
        <v/>
      </c>
      <c r="J69" s="19" t="n"/>
      <c r="K69" s="19" t="n"/>
      <c r="L69" s="19" t="n"/>
      <c r="M69" s="19" t="n"/>
      <c r="N69" s="14">
        <f>IF(AND(ISNUMBER($J69),ISNUMBER($K69)),ABS($J69-$K69),"")</f>
        <v/>
      </c>
      <c r="O69" s="14">
        <f>IF(AND(NOT(ISNUMBER($J69)),NOT(ISNUMBER($K69))),"",IF(NOT(ISNUMBER($K69)),$J69,IF(NOT(ISNUMBER($J69)),$K69,IF($N69=0,$J69,IF(AND($N69=1,$T69&lt;&gt;"Sim"),IF($I69="Líder Técnico",$K69,IF($I69="GP",$J69,"CALIBRAR")),"CALIBRAR")))))</f>
        <v/>
      </c>
      <c r="P69" s="19" t="n"/>
      <c r="Q69" s="19" t="n"/>
      <c r="R69" s="14">
        <f>IF($P69="","",IF(AND(ISNUMBER($J69),$P69=$J69,ISNUMBER($K69),$P69=$K69),"= ambos",IF(AND(ISNUMBER($J69),$P69=$J69),"= GP",IF(AND(ISNUMBER($K69),$P69=$K69),"= LT","nenhuma das duas"))))</f>
        <v/>
      </c>
      <c r="S69" s="19" t="n"/>
      <c r="T69" s="19" t="n"/>
      <c r="U69" s="14">
        <f>IF($C69="","",COUNTIFS('Ocorrências'!$V$5:$V$604,$C69&amp;"|"&amp;$B69&amp;"|"&amp;$G69,'Ocorrências'!$X$5:$X$604,"Sim"))</f>
        <v/>
      </c>
      <c r="V69" s="14">
        <f>IF($P69="","",IF(OR($P69=1,$P69=2,$P69=5),IF($U69&gt;0,"OK","SEM LASTRO"),"OK"))</f>
        <v/>
      </c>
      <c r="W69" s="19" t="n"/>
      <c r="X69" s="18" t="n"/>
      <c r="Y69" s="14">
        <f>IF($C69="","",$C69&amp;"|"&amp;$B69)</f>
        <v/>
      </c>
      <c r="Z69" s="14">
        <f>IF($C69="","",$C69&amp;"|"&amp;$B69&amp;"|"&amp;$H69)</f>
        <v/>
      </c>
      <c r="AA69" s="14">
        <f>IF($C69="","",$C69&amp;"|"&amp;$B69&amp;"|"&amp;$G69)</f>
        <v/>
      </c>
    </row>
    <row r="70">
      <c r="A70" s="19" t="n"/>
      <c r="B70" s="14">
        <f>IF($A70="","",VALUE(LEFT($A70,4))*4+VALUE(RIGHT($A70,1)))</f>
        <v/>
      </c>
      <c r="C70" s="19" t="n"/>
      <c r="D70" s="14">
        <f>IFERROR(INDEX(Pessoas!$B$5:$B$64,MATCH($C70,Pessoas!$A$5:$A$64,0)),"")</f>
        <v/>
      </c>
      <c r="E70" s="19" t="n"/>
      <c r="F70" s="14">
        <f>IFERROR(INDEX(Pessoas!$D$5:$D$64,MATCH($C70,Pessoas!$A$5:$A$64,0)),"")</f>
        <v/>
      </c>
      <c r="G70" s="19" t="n"/>
      <c r="H70" s="14">
        <f>IFERROR(INDEX(Config!$B$40:$B$45,MATCH($G70,Config!$C$40:$C$45,0)),"")</f>
        <v/>
      </c>
      <c r="I70" s="14">
        <f>IFERROR(INDEX(Config!$D$40:$D$45,MATCH($G70,Config!$C$40:$C$45,0)),"")</f>
        <v/>
      </c>
      <c r="J70" s="19" t="n"/>
      <c r="K70" s="19" t="n"/>
      <c r="L70" s="19" t="n"/>
      <c r="M70" s="19" t="n"/>
      <c r="N70" s="14">
        <f>IF(AND(ISNUMBER($J70),ISNUMBER($K70)),ABS($J70-$K70),"")</f>
        <v/>
      </c>
      <c r="O70" s="14">
        <f>IF(AND(NOT(ISNUMBER($J70)),NOT(ISNUMBER($K70))),"",IF(NOT(ISNUMBER($K70)),$J70,IF(NOT(ISNUMBER($J70)),$K70,IF($N70=0,$J70,IF(AND($N70=1,$T70&lt;&gt;"Sim"),IF($I70="Líder Técnico",$K70,IF($I70="GP",$J70,"CALIBRAR")),"CALIBRAR")))))</f>
        <v/>
      </c>
      <c r="P70" s="19" t="n"/>
      <c r="Q70" s="19" t="n"/>
      <c r="R70" s="14">
        <f>IF($P70="","",IF(AND(ISNUMBER($J70),$P70=$J70,ISNUMBER($K70),$P70=$K70),"= ambos",IF(AND(ISNUMBER($J70),$P70=$J70),"= GP",IF(AND(ISNUMBER($K70),$P70=$K70),"= LT","nenhuma das duas"))))</f>
        <v/>
      </c>
      <c r="S70" s="19" t="n"/>
      <c r="T70" s="19" t="n"/>
      <c r="U70" s="14">
        <f>IF($C70="","",COUNTIFS('Ocorrências'!$V$5:$V$604,$C70&amp;"|"&amp;$B70&amp;"|"&amp;$G70,'Ocorrências'!$X$5:$X$604,"Sim"))</f>
        <v/>
      </c>
      <c r="V70" s="14">
        <f>IF($P70="","",IF(OR($P70=1,$P70=2,$P70=5),IF($U70&gt;0,"OK","SEM LASTRO"),"OK"))</f>
        <v/>
      </c>
      <c r="W70" s="19" t="n"/>
      <c r="X70" s="18" t="n"/>
      <c r="Y70" s="14">
        <f>IF($C70="","",$C70&amp;"|"&amp;$B70)</f>
        <v/>
      </c>
      <c r="Z70" s="14">
        <f>IF($C70="","",$C70&amp;"|"&amp;$B70&amp;"|"&amp;$H70)</f>
        <v/>
      </c>
      <c r="AA70" s="14">
        <f>IF($C70="","",$C70&amp;"|"&amp;$B70&amp;"|"&amp;$G70)</f>
        <v/>
      </c>
    </row>
    <row r="71">
      <c r="A71" s="19" t="n"/>
      <c r="B71" s="14">
        <f>IF($A71="","",VALUE(LEFT($A71,4))*4+VALUE(RIGHT($A71,1)))</f>
        <v/>
      </c>
      <c r="C71" s="19" t="n"/>
      <c r="D71" s="14">
        <f>IFERROR(INDEX(Pessoas!$B$5:$B$64,MATCH($C71,Pessoas!$A$5:$A$64,0)),"")</f>
        <v/>
      </c>
      <c r="E71" s="19" t="n"/>
      <c r="F71" s="14">
        <f>IFERROR(INDEX(Pessoas!$D$5:$D$64,MATCH($C71,Pessoas!$A$5:$A$64,0)),"")</f>
        <v/>
      </c>
      <c r="G71" s="19" t="n"/>
      <c r="H71" s="14">
        <f>IFERROR(INDEX(Config!$B$40:$B$45,MATCH($G71,Config!$C$40:$C$45,0)),"")</f>
        <v/>
      </c>
      <c r="I71" s="14">
        <f>IFERROR(INDEX(Config!$D$40:$D$45,MATCH($G71,Config!$C$40:$C$45,0)),"")</f>
        <v/>
      </c>
      <c r="J71" s="19" t="n"/>
      <c r="K71" s="19" t="n"/>
      <c r="L71" s="19" t="n"/>
      <c r="M71" s="19" t="n"/>
      <c r="N71" s="14">
        <f>IF(AND(ISNUMBER($J71),ISNUMBER($K71)),ABS($J71-$K71),"")</f>
        <v/>
      </c>
      <c r="O71" s="14">
        <f>IF(AND(NOT(ISNUMBER($J71)),NOT(ISNUMBER($K71))),"",IF(NOT(ISNUMBER($K71)),$J71,IF(NOT(ISNUMBER($J71)),$K71,IF($N71=0,$J71,IF(AND($N71=1,$T71&lt;&gt;"Sim"),IF($I71="Líder Técnico",$K71,IF($I71="GP",$J71,"CALIBRAR")),"CALIBRAR")))))</f>
        <v/>
      </c>
      <c r="P71" s="19" t="n"/>
      <c r="Q71" s="19" t="n"/>
      <c r="R71" s="14">
        <f>IF($P71="","",IF(AND(ISNUMBER($J71),$P71=$J71,ISNUMBER($K71),$P71=$K71),"= ambos",IF(AND(ISNUMBER($J71),$P71=$J71),"= GP",IF(AND(ISNUMBER($K71),$P71=$K71),"= LT","nenhuma das duas"))))</f>
        <v/>
      </c>
      <c r="S71" s="19" t="n"/>
      <c r="T71" s="19" t="n"/>
      <c r="U71" s="14">
        <f>IF($C71="","",COUNTIFS('Ocorrências'!$V$5:$V$604,$C71&amp;"|"&amp;$B71&amp;"|"&amp;$G71,'Ocorrências'!$X$5:$X$604,"Sim"))</f>
        <v/>
      </c>
      <c r="V71" s="14">
        <f>IF($P71="","",IF(OR($P71=1,$P71=2,$P71=5),IF($U71&gt;0,"OK","SEM LASTRO"),"OK"))</f>
        <v/>
      </c>
      <c r="W71" s="19" t="n"/>
      <c r="X71" s="18" t="n"/>
      <c r="Y71" s="14">
        <f>IF($C71="","",$C71&amp;"|"&amp;$B71)</f>
        <v/>
      </c>
      <c r="Z71" s="14">
        <f>IF($C71="","",$C71&amp;"|"&amp;$B71&amp;"|"&amp;$H71)</f>
        <v/>
      </c>
      <c r="AA71" s="14">
        <f>IF($C71="","",$C71&amp;"|"&amp;$B71&amp;"|"&amp;$G71)</f>
        <v/>
      </c>
    </row>
    <row r="72">
      <c r="A72" s="19" t="n"/>
      <c r="B72" s="14">
        <f>IF($A72="","",VALUE(LEFT($A72,4))*4+VALUE(RIGHT($A72,1)))</f>
        <v/>
      </c>
      <c r="C72" s="19" t="n"/>
      <c r="D72" s="14">
        <f>IFERROR(INDEX(Pessoas!$B$5:$B$64,MATCH($C72,Pessoas!$A$5:$A$64,0)),"")</f>
        <v/>
      </c>
      <c r="E72" s="19" t="n"/>
      <c r="F72" s="14">
        <f>IFERROR(INDEX(Pessoas!$D$5:$D$64,MATCH($C72,Pessoas!$A$5:$A$64,0)),"")</f>
        <v/>
      </c>
      <c r="G72" s="19" t="n"/>
      <c r="H72" s="14">
        <f>IFERROR(INDEX(Config!$B$40:$B$45,MATCH($G72,Config!$C$40:$C$45,0)),"")</f>
        <v/>
      </c>
      <c r="I72" s="14">
        <f>IFERROR(INDEX(Config!$D$40:$D$45,MATCH($G72,Config!$C$40:$C$45,0)),"")</f>
        <v/>
      </c>
      <c r="J72" s="19" t="n"/>
      <c r="K72" s="19" t="n"/>
      <c r="L72" s="19" t="n"/>
      <c r="M72" s="19" t="n"/>
      <c r="N72" s="14">
        <f>IF(AND(ISNUMBER($J72),ISNUMBER($K72)),ABS($J72-$K72),"")</f>
        <v/>
      </c>
      <c r="O72" s="14">
        <f>IF(AND(NOT(ISNUMBER($J72)),NOT(ISNUMBER($K72))),"",IF(NOT(ISNUMBER($K72)),$J72,IF(NOT(ISNUMBER($J72)),$K72,IF($N72=0,$J72,IF(AND($N72=1,$T72&lt;&gt;"Sim"),IF($I72="Líder Técnico",$K72,IF($I72="GP",$J72,"CALIBRAR")),"CALIBRAR")))))</f>
        <v/>
      </c>
      <c r="P72" s="19" t="n"/>
      <c r="Q72" s="19" t="n"/>
      <c r="R72" s="14">
        <f>IF($P72="","",IF(AND(ISNUMBER($J72),$P72=$J72,ISNUMBER($K72),$P72=$K72),"= ambos",IF(AND(ISNUMBER($J72),$P72=$J72),"= GP",IF(AND(ISNUMBER($K72),$P72=$K72),"= LT","nenhuma das duas"))))</f>
        <v/>
      </c>
      <c r="S72" s="19" t="n"/>
      <c r="T72" s="19" t="n"/>
      <c r="U72" s="14">
        <f>IF($C72="","",COUNTIFS('Ocorrências'!$V$5:$V$604,$C72&amp;"|"&amp;$B72&amp;"|"&amp;$G72,'Ocorrências'!$X$5:$X$604,"Sim"))</f>
        <v/>
      </c>
      <c r="V72" s="14">
        <f>IF($P72="","",IF(OR($P72=1,$P72=2,$P72=5),IF($U72&gt;0,"OK","SEM LASTRO"),"OK"))</f>
        <v/>
      </c>
      <c r="W72" s="19" t="n"/>
      <c r="X72" s="18" t="n"/>
      <c r="Y72" s="14">
        <f>IF($C72="","",$C72&amp;"|"&amp;$B72)</f>
        <v/>
      </c>
      <c r="Z72" s="14">
        <f>IF($C72="","",$C72&amp;"|"&amp;$B72&amp;"|"&amp;$H72)</f>
        <v/>
      </c>
      <c r="AA72" s="14">
        <f>IF($C72="","",$C72&amp;"|"&amp;$B72&amp;"|"&amp;$G72)</f>
        <v/>
      </c>
    </row>
    <row r="73">
      <c r="A73" s="19" t="n"/>
      <c r="B73" s="14">
        <f>IF($A73="","",VALUE(LEFT($A73,4))*4+VALUE(RIGHT($A73,1)))</f>
        <v/>
      </c>
      <c r="C73" s="19" t="n"/>
      <c r="D73" s="14">
        <f>IFERROR(INDEX(Pessoas!$B$5:$B$64,MATCH($C73,Pessoas!$A$5:$A$64,0)),"")</f>
        <v/>
      </c>
      <c r="E73" s="19" t="n"/>
      <c r="F73" s="14">
        <f>IFERROR(INDEX(Pessoas!$D$5:$D$64,MATCH($C73,Pessoas!$A$5:$A$64,0)),"")</f>
        <v/>
      </c>
      <c r="G73" s="19" t="n"/>
      <c r="H73" s="14">
        <f>IFERROR(INDEX(Config!$B$40:$B$45,MATCH($G73,Config!$C$40:$C$45,0)),"")</f>
        <v/>
      </c>
      <c r="I73" s="14">
        <f>IFERROR(INDEX(Config!$D$40:$D$45,MATCH($G73,Config!$C$40:$C$45,0)),"")</f>
        <v/>
      </c>
      <c r="J73" s="19" t="n"/>
      <c r="K73" s="19" t="n"/>
      <c r="L73" s="19" t="n"/>
      <c r="M73" s="19" t="n"/>
      <c r="N73" s="14">
        <f>IF(AND(ISNUMBER($J73),ISNUMBER($K73)),ABS($J73-$K73),"")</f>
        <v/>
      </c>
      <c r="O73" s="14">
        <f>IF(AND(NOT(ISNUMBER($J73)),NOT(ISNUMBER($K73))),"",IF(NOT(ISNUMBER($K73)),$J73,IF(NOT(ISNUMBER($J73)),$K73,IF($N73=0,$J73,IF(AND($N73=1,$T73&lt;&gt;"Sim"),IF($I73="Líder Técnico",$K73,IF($I73="GP",$J73,"CALIBRAR")),"CALIBRAR")))))</f>
        <v/>
      </c>
      <c r="P73" s="19" t="n"/>
      <c r="Q73" s="19" t="n"/>
      <c r="R73" s="14">
        <f>IF($P73="","",IF(AND(ISNUMBER($J73),$P73=$J73,ISNUMBER($K73),$P73=$K73),"= ambos",IF(AND(ISNUMBER($J73),$P73=$J73),"= GP",IF(AND(ISNUMBER($K73),$P73=$K73),"= LT","nenhuma das duas"))))</f>
        <v/>
      </c>
      <c r="S73" s="19" t="n"/>
      <c r="T73" s="19" t="n"/>
      <c r="U73" s="14">
        <f>IF($C73="","",COUNTIFS('Ocorrências'!$V$5:$V$604,$C73&amp;"|"&amp;$B73&amp;"|"&amp;$G73,'Ocorrências'!$X$5:$X$604,"Sim"))</f>
        <v/>
      </c>
      <c r="V73" s="14">
        <f>IF($P73="","",IF(OR($P73=1,$P73=2,$P73=5),IF($U73&gt;0,"OK","SEM LASTRO"),"OK"))</f>
        <v/>
      </c>
      <c r="W73" s="19" t="n"/>
      <c r="X73" s="18" t="n"/>
      <c r="Y73" s="14">
        <f>IF($C73="","",$C73&amp;"|"&amp;$B73)</f>
        <v/>
      </c>
      <c r="Z73" s="14">
        <f>IF($C73="","",$C73&amp;"|"&amp;$B73&amp;"|"&amp;$H73)</f>
        <v/>
      </c>
      <c r="AA73" s="14">
        <f>IF($C73="","",$C73&amp;"|"&amp;$B73&amp;"|"&amp;$G73)</f>
        <v/>
      </c>
    </row>
    <row r="74">
      <c r="A74" s="19" t="n"/>
      <c r="B74" s="14">
        <f>IF($A74="","",VALUE(LEFT($A74,4))*4+VALUE(RIGHT($A74,1)))</f>
        <v/>
      </c>
      <c r="C74" s="19" t="n"/>
      <c r="D74" s="14">
        <f>IFERROR(INDEX(Pessoas!$B$5:$B$64,MATCH($C74,Pessoas!$A$5:$A$64,0)),"")</f>
        <v/>
      </c>
      <c r="E74" s="19" t="n"/>
      <c r="F74" s="14">
        <f>IFERROR(INDEX(Pessoas!$D$5:$D$64,MATCH($C74,Pessoas!$A$5:$A$64,0)),"")</f>
        <v/>
      </c>
      <c r="G74" s="19" t="n"/>
      <c r="H74" s="14">
        <f>IFERROR(INDEX(Config!$B$40:$B$45,MATCH($G74,Config!$C$40:$C$45,0)),"")</f>
        <v/>
      </c>
      <c r="I74" s="14">
        <f>IFERROR(INDEX(Config!$D$40:$D$45,MATCH($G74,Config!$C$40:$C$45,0)),"")</f>
        <v/>
      </c>
      <c r="J74" s="19" t="n"/>
      <c r="K74" s="19" t="n"/>
      <c r="L74" s="19" t="n"/>
      <c r="M74" s="19" t="n"/>
      <c r="N74" s="14">
        <f>IF(AND(ISNUMBER($J74),ISNUMBER($K74)),ABS($J74-$K74),"")</f>
        <v/>
      </c>
      <c r="O74" s="14">
        <f>IF(AND(NOT(ISNUMBER($J74)),NOT(ISNUMBER($K74))),"",IF(NOT(ISNUMBER($K74)),$J74,IF(NOT(ISNUMBER($J74)),$K74,IF($N74=0,$J74,IF(AND($N74=1,$T74&lt;&gt;"Sim"),IF($I74="Líder Técnico",$K74,IF($I74="GP",$J74,"CALIBRAR")),"CALIBRAR")))))</f>
        <v/>
      </c>
      <c r="P74" s="19" t="n"/>
      <c r="Q74" s="19" t="n"/>
      <c r="R74" s="14">
        <f>IF($P74="","",IF(AND(ISNUMBER($J74),$P74=$J74,ISNUMBER($K74),$P74=$K74),"= ambos",IF(AND(ISNUMBER($J74),$P74=$J74),"= GP",IF(AND(ISNUMBER($K74),$P74=$K74),"= LT","nenhuma das duas"))))</f>
        <v/>
      </c>
      <c r="S74" s="19" t="n"/>
      <c r="T74" s="19" t="n"/>
      <c r="U74" s="14">
        <f>IF($C74="","",COUNTIFS('Ocorrências'!$V$5:$V$604,$C74&amp;"|"&amp;$B74&amp;"|"&amp;$G74,'Ocorrências'!$X$5:$X$604,"Sim"))</f>
        <v/>
      </c>
      <c r="V74" s="14">
        <f>IF($P74="","",IF(OR($P74=1,$P74=2,$P74=5),IF($U74&gt;0,"OK","SEM LASTRO"),"OK"))</f>
        <v/>
      </c>
      <c r="W74" s="19" t="n"/>
      <c r="X74" s="18" t="n"/>
      <c r="Y74" s="14">
        <f>IF($C74="","",$C74&amp;"|"&amp;$B74)</f>
        <v/>
      </c>
      <c r="Z74" s="14">
        <f>IF($C74="","",$C74&amp;"|"&amp;$B74&amp;"|"&amp;$H74)</f>
        <v/>
      </c>
      <c r="AA74" s="14">
        <f>IF($C74="","",$C74&amp;"|"&amp;$B74&amp;"|"&amp;$G74)</f>
        <v/>
      </c>
    </row>
    <row r="75">
      <c r="A75" s="19" t="n"/>
      <c r="B75" s="14">
        <f>IF($A75="","",VALUE(LEFT($A75,4))*4+VALUE(RIGHT($A75,1)))</f>
        <v/>
      </c>
      <c r="C75" s="19" t="n"/>
      <c r="D75" s="14">
        <f>IFERROR(INDEX(Pessoas!$B$5:$B$64,MATCH($C75,Pessoas!$A$5:$A$64,0)),"")</f>
        <v/>
      </c>
      <c r="E75" s="19" t="n"/>
      <c r="F75" s="14">
        <f>IFERROR(INDEX(Pessoas!$D$5:$D$64,MATCH($C75,Pessoas!$A$5:$A$64,0)),"")</f>
        <v/>
      </c>
      <c r="G75" s="19" t="n"/>
      <c r="H75" s="14">
        <f>IFERROR(INDEX(Config!$B$40:$B$45,MATCH($G75,Config!$C$40:$C$45,0)),"")</f>
        <v/>
      </c>
      <c r="I75" s="14">
        <f>IFERROR(INDEX(Config!$D$40:$D$45,MATCH($G75,Config!$C$40:$C$45,0)),"")</f>
        <v/>
      </c>
      <c r="J75" s="19" t="n"/>
      <c r="K75" s="19" t="n"/>
      <c r="L75" s="19" t="n"/>
      <c r="M75" s="19" t="n"/>
      <c r="N75" s="14">
        <f>IF(AND(ISNUMBER($J75),ISNUMBER($K75)),ABS($J75-$K75),"")</f>
        <v/>
      </c>
      <c r="O75" s="14">
        <f>IF(AND(NOT(ISNUMBER($J75)),NOT(ISNUMBER($K75))),"",IF(NOT(ISNUMBER($K75)),$J75,IF(NOT(ISNUMBER($J75)),$K75,IF($N75=0,$J75,IF(AND($N75=1,$T75&lt;&gt;"Sim"),IF($I75="Líder Técnico",$K75,IF($I75="GP",$J75,"CALIBRAR")),"CALIBRAR")))))</f>
        <v/>
      </c>
      <c r="P75" s="19" t="n"/>
      <c r="Q75" s="19" t="n"/>
      <c r="R75" s="14">
        <f>IF($P75="","",IF(AND(ISNUMBER($J75),$P75=$J75,ISNUMBER($K75),$P75=$K75),"= ambos",IF(AND(ISNUMBER($J75),$P75=$J75),"= GP",IF(AND(ISNUMBER($K75),$P75=$K75),"= LT","nenhuma das duas"))))</f>
        <v/>
      </c>
      <c r="S75" s="19" t="n"/>
      <c r="T75" s="19" t="n"/>
      <c r="U75" s="14">
        <f>IF($C75="","",COUNTIFS('Ocorrências'!$V$5:$V$604,$C75&amp;"|"&amp;$B75&amp;"|"&amp;$G75,'Ocorrências'!$X$5:$X$604,"Sim"))</f>
        <v/>
      </c>
      <c r="V75" s="14">
        <f>IF($P75="","",IF(OR($P75=1,$P75=2,$P75=5),IF($U75&gt;0,"OK","SEM LASTRO"),"OK"))</f>
        <v/>
      </c>
      <c r="W75" s="19" t="n"/>
      <c r="X75" s="18" t="n"/>
      <c r="Y75" s="14">
        <f>IF($C75="","",$C75&amp;"|"&amp;$B75)</f>
        <v/>
      </c>
      <c r="Z75" s="14">
        <f>IF($C75="","",$C75&amp;"|"&amp;$B75&amp;"|"&amp;$H75)</f>
        <v/>
      </c>
      <c r="AA75" s="14">
        <f>IF($C75="","",$C75&amp;"|"&amp;$B75&amp;"|"&amp;$G75)</f>
        <v/>
      </c>
    </row>
    <row r="76">
      <c r="A76" s="19" t="n"/>
      <c r="B76" s="14">
        <f>IF($A76="","",VALUE(LEFT($A76,4))*4+VALUE(RIGHT($A76,1)))</f>
        <v/>
      </c>
      <c r="C76" s="19" t="n"/>
      <c r="D76" s="14">
        <f>IFERROR(INDEX(Pessoas!$B$5:$B$64,MATCH($C76,Pessoas!$A$5:$A$64,0)),"")</f>
        <v/>
      </c>
      <c r="E76" s="19" t="n"/>
      <c r="F76" s="14">
        <f>IFERROR(INDEX(Pessoas!$D$5:$D$64,MATCH($C76,Pessoas!$A$5:$A$64,0)),"")</f>
        <v/>
      </c>
      <c r="G76" s="19" t="n"/>
      <c r="H76" s="14">
        <f>IFERROR(INDEX(Config!$B$40:$B$45,MATCH($G76,Config!$C$40:$C$45,0)),"")</f>
        <v/>
      </c>
      <c r="I76" s="14">
        <f>IFERROR(INDEX(Config!$D$40:$D$45,MATCH($G76,Config!$C$40:$C$45,0)),"")</f>
        <v/>
      </c>
      <c r="J76" s="19" t="n"/>
      <c r="K76" s="19" t="n"/>
      <c r="L76" s="19" t="n"/>
      <c r="M76" s="19" t="n"/>
      <c r="N76" s="14">
        <f>IF(AND(ISNUMBER($J76),ISNUMBER($K76)),ABS($J76-$K76),"")</f>
        <v/>
      </c>
      <c r="O76" s="14">
        <f>IF(AND(NOT(ISNUMBER($J76)),NOT(ISNUMBER($K76))),"",IF(NOT(ISNUMBER($K76)),$J76,IF(NOT(ISNUMBER($J76)),$K76,IF($N76=0,$J76,IF(AND($N76=1,$T76&lt;&gt;"Sim"),IF($I76="Líder Técnico",$K76,IF($I76="GP",$J76,"CALIBRAR")),"CALIBRAR")))))</f>
        <v/>
      </c>
      <c r="P76" s="19" t="n"/>
      <c r="Q76" s="19" t="n"/>
      <c r="R76" s="14">
        <f>IF($P76="","",IF(AND(ISNUMBER($J76),$P76=$J76,ISNUMBER($K76),$P76=$K76),"= ambos",IF(AND(ISNUMBER($J76),$P76=$J76),"= GP",IF(AND(ISNUMBER($K76),$P76=$K76),"= LT","nenhuma das duas"))))</f>
        <v/>
      </c>
      <c r="S76" s="19" t="n"/>
      <c r="T76" s="19" t="n"/>
      <c r="U76" s="14">
        <f>IF($C76="","",COUNTIFS('Ocorrências'!$V$5:$V$604,$C76&amp;"|"&amp;$B76&amp;"|"&amp;$G76,'Ocorrências'!$X$5:$X$604,"Sim"))</f>
        <v/>
      </c>
      <c r="V76" s="14">
        <f>IF($P76="","",IF(OR($P76=1,$P76=2,$P76=5),IF($U76&gt;0,"OK","SEM LASTRO"),"OK"))</f>
        <v/>
      </c>
      <c r="W76" s="19" t="n"/>
      <c r="X76" s="18" t="n"/>
      <c r="Y76" s="14">
        <f>IF($C76="","",$C76&amp;"|"&amp;$B76)</f>
        <v/>
      </c>
      <c r="Z76" s="14">
        <f>IF($C76="","",$C76&amp;"|"&amp;$B76&amp;"|"&amp;$H76)</f>
        <v/>
      </c>
      <c r="AA76" s="14">
        <f>IF($C76="","",$C76&amp;"|"&amp;$B76&amp;"|"&amp;$G76)</f>
        <v/>
      </c>
    </row>
    <row r="77">
      <c r="A77" s="19" t="n"/>
      <c r="B77" s="14">
        <f>IF($A77="","",VALUE(LEFT($A77,4))*4+VALUE(RIGHT($A77,1)))</f>
        <v/>
      </c>
      <c r="C77" s="19" t="n"/>
      <c r="D77" s="14">
        <f>IFERROR(INDEX(Pessoas!$B$5:$B$64,MATCH($C77,Pessoas!$A$5:$A$64,0)),"")</f>
        <v/>
      </c>
      <c r="E77" s="19" t="n"/>
      <c r="F77" s="14">
        <f>IFERROR(INDEX(Pessoas!$D$5:$D$64,MATCH($C77,Pessoas!$A$5:$A$64,0)),"")</f>
        <v/>
      </c>
      <c r="G77" s="19" t="n"/>
      <c r="H77" s="14">
        <f>IFERROR(INDEX(Config!$B$40:$B$45,MATCH($G77,Config!$C$40:$C$45,0)),"")</f>
        <v/>
      </c>
      <c r="I77" s="14">
        <f>IFERROR(INDEX(Config!$D$40:$D$45,MATCH($G77,Config!$C$40:$C$45,0)),"")</f>
        <v/>
      </c>
      <c r="J77" s="19" t="n"/>
      <c r="K77" s="19" t="n"/>
      <c r="L77" s="19" t="n"/>
      <c r="M77" s="19" t="n"/>
      <c r="N77" s="14">
        <f>IF(AND(ISNUMBER($J77),ISNUMBER($K77)),ABS($J77-$K77),"")</f>
        <v/>
      </c>
      <c r="O77" s="14">
        <f>IF(AND(NOT(ISNUMBER($J77)),NOT(ISNUMBER($K77))),"",IF(NOT(ISNUMBER($K77)),$J77,IF(NOT(ISNUMBER($J77)),$K77,IF($N77=0,$J77,IF(AND($N77=1,$T77&lt;&gt;"Sim"),IF($I77="Líder Técnico",$K77,IF($I77="GP",$J77,"CALIBRAR")),"CALIBRAR")))))</f>
        <v/>
      </c>
      <c r="P77" s="19" t="n"/>
      <c r="Q77" s="19" t="n"/>
      <c r="R77" s="14">
        <f>IF($P77="","",IF(AND(ISNUMBER($J77),$P77=$J77,ISNUMBER($K77),$P77=$K77),"= ambos",IF(AND(ISNUMBER($J77),$P77=$J77),"= GP",IF(AND(ISNUMBER($K77),$P77=$K77),"= LT","nenhuma das duas"))))</f>
        <v/>
      </c>
      <c r="S77" s="19" t="n"/>
      <c r="T77" s="19" t="n"/>
      <c r="U77" s="14">
        <f>IF($C77="","",COUNTIFS('Ocorrências'!$V$5:$V$604,$C77&amp;"|"&amp;$B77&amp;"|"&amp;$G77,'Ocorrências'!$X$5:$X$604,"Sim"))</f>
        <v/>
      </c>
      <c r="V77" s="14">
        <f>IF($P77="","",IF(OR($P77=1,$P77=2,$P77=5),IF($U77&gt;0,"OK","SEM LASTRO"),"OK"))</f>
        <v/>
      </c>
      <c r="W77" s="19" t="n"/>
      <c r="X77" s="18" t="n"/>
      <c r="Y77" s="14">
        <f>IF($C77="","",$C77&amp;"|"&amp;$B77)</f>
        <v/>
      </c>
      <c r="Z77" s="14">
        <f>IF($C77="","",$C77&amp;"|"&amp;$B77&amp;"|"&amp;$H77)</f>
        <v/>
      </c>
      <c r="AA77" s="14">
        <f>IF($C77="","",$C77&amp;"|"&amp;$B77&amp;"|"&amp;$G77)</f>
        <v/>
      </c>
    </row>
    <row r="78">
      <c r="A78" s="19" t="n"/>
      <c r="B78" s="14">
        <f>IF($A78="","",VALUE(LEFT($A78,4))*4+VALUE(RIGHT($A78,1)))</f>
        <v/>
      </c>
      <c r="C78" s="19" t="n"/>
      <c r="D78" s="14">
        <f>IFERROR(INDEX(Pessoas!$B$5:$B$64,MATCH($C78,Pessoas!$A$5:$A$64,0)),"")</f>
        <v/>
      </c>
      <c r="E78" s="19" t="n"/>
      <c r="F78" s="14">
        <f>IFERROR(INDEX(Pessoas!$D$5:$D$64,MATCH($C78,Pessoas!$A$5:$A$64,0)),"")</f>
        <v/>
      </c>
      <c r="G78" s="19" t="n"/>
      <c r="H78" s="14">
        <f>IFERROR(INDEX(Config!$B$40:$B$45,MATCH($G78,Config!$C$40:$C$45,0)),"")</f>
        <v/>
      </c>
      <c r="I78" s="14">
        <f>IFERROR(INDEX(Config!$D$40:$D$45,MATCH($G78,Config!$C$40:$C$45,0)),"")</f>
        <v/>
      </c>
      <c r="J78" s="19" t="n"/>
      <c r="K78" s="19" t="n"/>
      <c r="L78" s="19" t="n"/>
      <c r="M78" s="19" t="n"/>
      <c r="N78" s="14">
        <f>IF(AND(ISNUMBER($J78),ISNUMBER($K78)),ABS($J78-$K78),"")</f>
        <v/>
      </c>
      <c r="O78" s="14">
        <f>IF(AND(NOT(ISNUMBER($J78)),NOT(ISNUMBER($K78))),"",IF(NOT(ISNUMBER($K78)),$J78,IF(NOT(ISNUMBER($J78)),$K78,IF($N78=0,$J78,IF(AND($N78=1,$T78&lt;&gt;"Sim"),IF($I78="Líder Técnico",$K78,IF($I78="GP",$J78,"CALIBRAR")),"CALIBRAR")))))</f>
        <v/>
      </c>
      <c r="P78" s="19" t="n"/>
      <c r="Q78" s="19" t="n"/>
      <c r="R78" s="14">
        <f>IF($P78="","",IF(AND(ISNUMBER($J78),$P78=$J78,ISNUMBER($K78),$P78=$K78),"= ambos",IF(AND(ISNUMBER($J78),$P78=$J78),"= GP",IF(AND(ISNUMBER($K78),$P78=$K78),"= LT","nenhuma das duas"))))</f>
        <v/>
      </c>
      <c r="S78" s="19" t="n"/>
      <c r="T78" s="19" t="n"/>
      <c r="U78" s="14">
        <f>IF($C78="","",COUNTIFS('Ocorrências'!$V$5:$V$604,$C78&amp;"|"&amp;$B78&amp;"|"&amp;$G78,'Ocorrências'!$X$5:$X$604,"Sim"))</f>
        <v/>
      </c>
      <c r="V78" s="14">
        <f>IF($P78="","",IF(OR($P78=1,$P78=2,$P78=5),IF($U78&gt;0,"OK","SEM LASTRO"),"OK"))</f>
        <v/>
      </c>
      <c r="W78" s="19" t="n"/>
      <c r="X78" s="18" t="n"/>
      <c r="Y78" s="14">
        <f>IF($C78="","",$C78&amp;"|"&amp;$B78)</f>
        <v/>
      </c>
      <c r="Z78" s="14">
        <f>IF($C78="","",$C78&amp;"|"&amp;$B78&amp;"|"&amp;$H78)</f>
        <v/>
      </c>
      <c r="AA78" s="14">
        <f>IF($C78="","",$C78&amp;"|"&amp;$B78&amp;"|"&amp;$G78)</f>
        <v/>
      </c>
    </row>
    <row r="79">
      <c r="A79" s="19" t="n"/>
      <c r="B79" s="14">
        <f>IF($A79="","",VALUE(LEFT($A79,4))*4+VALUE(RIGHT($A79,1)))</f>
        <v/>
      </c>
      <c r="C79" s="19" t="n"/>
      <c r="D79" s="14">
        <f>IFERROR(INDEX(Pessoas!$B$5:$B$64,MATCH($C79,Pessoas!$A$5:$A$64,0)),"")</f>
        <v/>
      </c>
      <c r="E79" s="19" t="n"/>
      <c r="F79" s="14">
        <f>IFERROR(INDEX(Pessoas!$D$5:$D$64,MATCH($C79,Pessoas!$A$5:$A$64,0)),"")</f>
        <v/>
      </c>
      <c r="G79" s="19" t="n"/>
      <c r="H79" s="14">
        <f>IFERROR(INDEX(Config!$B$40:$B$45,MATCH($G79,Config!$C$40:$C$45,0)),"")</f>
        <v/>
      </c>
      <c r="I79" s="14">
        <f>IFERROR(INDEX(Config!$D$40:$D$45,MATCH($G79,Config!$C$40:$C$45,0)),"")</f>
        <v/>
      </c>
      <c r="J79" s="19" t="n"/>
      <c r="K79" s="19" t="n"/>
      <c r="L79" s="19" t="n"/>
      <c r="M79" s="19" t="n"/>
      <c r="N79" s="14">
        <f>IF(AND(ISNUMBER($J79),ISNUMBER($K79)),ABS($J79-$K79),"")</f>
        <v/>
      </c>
      <c r="O79" s="14">
        <f>IF(AND(NOT(ISNUMBER($J79)),NOT(ISNUMBER($K79))),"",IF(NOT(ISNUMBER($K79)),$J79,IF(NOT(ISNUMBER($J79)),$K79,IF($N79=0,$J79,IF(AND($N79=1,$T79&lt;&gt;"Sim"),IF($I79="Líder Técnico",$K79,IF($I79="GP",$J79,"CALIBRAR")),"CALIBRAR")))))</f>
        <v/>
      </c>
      <c r="P79" s="19" t="n"/>
      <c r="Q79" s="19" t="n"/>
      <c r="R79" s="14">
        <f>IF($P79="","",IF(AND(ISNUMBER($J79),$P79=$J79,ISNUMBER($K79),$P79=$K79),"= ambos",IF(AND(ISNUMBER($J79),$P79=$J79),"= GP",IF(AND(ISNUMBER($K79),$P79=$K79),"= LT","nenhuma das duas"))))</f>
        <v/>
      </c>
      <c r="S79" s="19" t="n"/>
      <c r="T79" s="19" t="n"/>
      <c r="U79" s="14">
        <f>IF($C79="","",COUNTIFS('Ocorrências'!$V$5:$V$604,$C79&amp;"|"&amp;$B79&amp;"|"&amp;$G79,'Ocorrências'!$X$5:$X$604,"Sim"))</f>
        <v/>
      </c>
      <c r="V79" s="14">
        <f>IF($P79="","",IF(OR($P79=1,$P79=2,$P79=5),IF($U79&gt;0,"OK","SEM LASTRO"),"OK"))</f>
        <v/>
      </c>
      <c r="W79" s="19" t="n"/>
      <c r="X79" s="18" t="n"/>
      <c r="Y79" s="14">
        <f>IF($C79="","",$C79&amp;"|"&amp;$B79)</f>
        <v/>
      </c>
      <c r="Z79" s="14">
        <f>IF($C79="","",$C79&amp;"|"&amp;$B79&amp;"|"&amp;$H79)</f>
        <v/>
      </c>
      <c r="AA79" s="14">
        <f>IF($C79="","",$C79&amp;"|"&amp;$B79&amp;"|"&amp;$G79)</f>
        <v/>
      </c>
    </row>
    <row r="80">
      <c r="A80" s="19" t="n"/>
      <c r="B80" s="14">
        <f>IF($A80="","",VALUE(LEFT($A80,4))*4+VALUE(RIGHT($A80,1)))</f>
        <v/>
      </c>
      <c r="C80" s="19" t="n"/>
      <c r="D80" s="14">
        <f>IFERROR(INDEX(Pessoas!$B$5:$B$64,MATCH($C80,Pessoas!$A$5:$A$64,0)),"")</f>
        <v/>
      </c>
      <c r="E80" s="19" t="n"/>
      <c r="F80" s="14">
        <f>IFERROR(INDEX(Pessoas!$D$5:$D$64,MATCH($C80,Pessoas!$A$5:$A$64,0)),"")</f>
        <v/>
      </c>
      <c r="G80" s="19" t="n"/>
      <c r="H80" s="14">
        <f>IFERROR(INDEX(Config!$B$40:$B$45,MATCH($G80,Config!$C$40:$C$45,0)),"")</f>
        <v/>
      </c>
      <c r="I80" s="14">
        <f>IFERROR(INDEX(Config!$D$40:$D$45,MATCH($G80,Config!$C$40:$C$45,0)),"")</f>
        <v/>
      </c>
      <c r="J80" s="19" t="n"/>
      <c r="K80" s="19" t="n"/>
      <c r="L80" s="19" t="n"/>
      <c r="M80" s="19" t="n"/>
      <c r="N80" s="14">
        <f>IF(AND(ISNUMBER($J80),ISNUMBER($K80)),ABS($J80-$K80),"")</f>
        <v/>
      </c>
      <c r="O80" s="14">
        <f>IF(AND(NOT(ISNUMBER($J80)),NOT(ISNUMBER($K80))),"",IF(NOT(ISNUMBER($K80)),$J80,IF(NOT(ISNUMBER($J80)),$K80,IF($N80=0,$J80,IF(AND($N80=1,$T80&lt;&gt;"Sim"),IF($I80="Líder Técnico",$K80,IF($I80="GP",$J80,"CALIBRAR")),"CALIBRAR")))))</f>
        <v/>
      </c>
      <c r="P80" s="19" t="n"/>
      <c r="Q80" s="19" t="n"/>
      <c r="R80" s="14">
        <f>IF($P80="","",IF(AND(ISNUMBER($J80),$P80=$J80,ISNUMBER($K80),$P80=$K80),"= ambos",IF(AND(ISNUMBER($J80),$P80=$J80),"= GP",IF(AND(ISNUMBER($K80),$P80=$K80),"= LT","nenhuma das duas"))))</f>
        <v/>
      </c>
      <c r="S80" s="19" t="n"/>
      <c r="T80" s="19" t="n"/>
      <c r="U80" s="14">
        <f>IF($C80="","",COUNTIFS('Ocorrências'!$V$5:$V$604,$C80&amp;"|"&amp;$B80&amp;"|"&amp;$G80,'Ocorrências'!$X$5:$X$604,"Sim"))</f>
        <v/>
      </c>
      <c r="V80" s="14">
        <f>IF($P80="","",IF(OR($P80=1,$P80=2,$P80=5),IF($U80&gt;0,"OK","SEM LASTRO"),"OK"))</f>
        <v/>
      </c>
      <c r="W80" s="19" t="n"/>
      <c r="X80" s="18" t="n"/>
      <c r="Y80" s="14">
        <f>IF($C80="","",$C80&amp;"|"&amp;$B80)</f>
        <v/>
      </c>
      <c r="Z80" s="14">
        <f>IF($C80="","",$C80&amp;"|"&amp;$B80&amp;"|"&amp;$H80)</f>
        <v/>
      </c>
      <c r="AA80" s="14">
        <f>IF($C80="","",$C80&amp;"|"&amp;$B80&amp;"|"&amp;$G80)</f>
        <v/>
      </c>
    </row>
    <row r="81">
      <c r="A81" s="19" t="n"/>
      <c r="B81" s="14">
        <f>IF($A81="","",VALUE(LEFT($A81,4))*4+VALUE(RIGHT($A81,1)))</f>
        <v/>
      </c>
      <c r="C81" s="19" t="n"/>
      <c r="D81" s="14">
        <f>IFERROR(INDEX(Pessoas!$B$5:$B$64,MATCH($C81,Pessoas!$A$5:$A$64,0)),"")</f>
        <v/>
      </c>
      <c r="E81" s="19" t="n"/>
      <c r="F81" s="14">
        <f>IFERROR(INDEX(Pessoas!$D$5:$D$64,MATCH($C81,Pessoas!$A$5:$A$64,0)),"")</f>
        <v/>
      </c>
      <c r="G81" s="19" t="n"/>
      <c r="H81" s="14">
        <f>IFERROR(INDEX(Config!$B$40:$B$45,MATCH($G81,Config!$C$40:$C$45,0)),"")</f>
        <v/>
      </c>
      <c r="I81" s="14">
        <f>IFERROR(INDEX(Config!$D$40:$D$45,MATCH($G81,Config!$C$40:$C$45,0)),"")</f>
        <v/>
      </c>
      <c r="J81" s="19" t="n"/>
      <c r="K81" s="19" t="n"/>
      <c r="L81" s="19" t="n"/>
      <c r="M81" s="19" t="n"/>
      <c r="N81" s="14">
        <f>IF(AND(ISNUMBER($J81),ISNUMBER($K81)),ABS($J81-$K81),"")</f>
        <v/>
      </c>
      <c r="O81" s="14">
        <f>IF(AND(NOT(ISNUMBER($J81)),NOT(ISNUMBER($K81))),"",IF(NOT(ISNUMBER($K81)),$J81,IF(NOT(ISNUMBER($J81)),$K81,IF($N81=0,$J81,IF(AND($N81=1,$T81&lt;&gt;"Sim"),IF($I81="Líder Técnico",$K81,IF($I81="GP",$J81,"CALIBRAR")),"CALIBRAR")))))</f>
        <v/>
      </c>
      <c r="P81" s="19" t="n"/>
      <c r="Q81" s="19" t="n"/>
      <c r="R81" s="14">
        <f>IF($P81="","",IF(AND(ISNUMBER($J81),$P81=$J81,ISNUMBER($K81),$P81=$K81),"= ambos",IF(AND(ISNUMBER($J81),$P81=$J81),"= GP",IF(AND(ISNUMBER($K81),$P81=$K81),"= LT","nenhuma das duas"))))</f>
        <v/>
      </c>
      <c r="S81" s="19" t="n"/>
      <c r="T81" s="19" t="n"/>
      <c r="U81" s="14">
        <f>IF($C81="","",COUNTIFS('Ocorrências'!$V$5:$V$604,$C81&amp;"|"&amp;$B81&amp;"|"&amp;$G81,'Ocorrências'!$X$5:$X$604,"Sim"))</f>
        <v/>
      </c>
      <c r="V81" s="14">
        <f>IF($P81="","",IF(OR($P81=1,$P81=2,$P81=5),IF($U81&gt;0,"OK","SEM LASTRO"),"OK"))</f>
        <v/>
      </c>
      <c r="W81" s="19" t="n"/>
      <c r="X81" s="18" t="n"/>
      <c r="Y81" s="14">
        <f>IF($C81="","",$C81&amp;"|"&amp;$B81)</f>
        <v/>
      </c>
      <c r="Z81" s="14">
        <f>IF($C81="","",$C81&amp;"|"&amp;$B81&amp;"|"&amp;$H81)</f>
        <v/>
      </c>
      <c r="AA81" s="14">
        <f>IF($C81="","",$C81&amp;"|"&amp;$B81&amp;"|"&amp;$G81)</f>
        <v/>
      </c>
    </row>
    <row r="82">
      <c r="A82" s="19" t="n"/>
      <c r="B82" s="14">
        <f>IF($A82="","",VALUE(LEFT($A82,4))*4+VALUE(RIGHT($A82,1)))</f>
        <v/>
      </c>
      <c r="C82" s="19" t="n"/>
      <c r="D82" s="14">
        <f>IFERROR(INDEX(Pessoas!$B$5:$B$64,MATCH($C82,Pessoas!$A$5:$A$64,0)),"")</f>
        <v/>
      </c>
      <c r="E82" s="19" t="n"/>
      <c r="F82" s="14">
        <f>IFERROR(INDEX(Pessoas!$D$5:$D$64,MATCH($C82,Pessoas!$A$5:$A$64,0)),"")</f>
        <v/>
      </c>
      <c r="G82" s="19" t="n"/>
      <c r="H82" s="14">
        <f>IFERROR(INDEX(Config!$B$40:$B$45,MATCH($G82,Config!$C$40:$C$45,0)),"")</f>
        <v/>
      </c>
      <c r="I82" s="14">
        <f>IFERROR(INDEX(Config!$D$40:$D$45,MATCH($G82,Config!$C$40:$C$45,0)),"")</f>
        <v/>
      </c>
      <c r="J82" s="19" t="n"/>
      <c r="K82" s="19" t="n"/>
      <c r="L82" s="19" t="n"/>
      <c r="M82" s="19" t="n"/>
      <c r="N82" s="14">
        <f>IF(AND(ISNUMBER($J82),ISNUMBER($K82)),ABS($J82-$K82),"")</f>
        <v/>
      </c>
      <c r="O82" s="14">
        <f>IF(AND(NOT(ISNUMBER($J82)),NOT(ISNUMBER($K82))),"",IF(NOT(ISNUMBER($K82)),$J82,IF(NOT(ISNUMBER($J82)),$K82,IF($N82=0,$J82,IF(AND($N82=1,$T82&lt;&gt;"Sim"),IF($I82="Líder Técnico",$K82,IF($I82="GP",$J82,"CALIBRAR")),"CALIBRAR")))))</f>
        <v/>
      </c>
      <c r="P82" s="19" t="n"/>
      <c r="Q82" s="19" t="n"/>
      <c r="R82" s="14">
        <f>IF($P82="","",IF(AND(ISNUMBER($J82),$P82=$J82,ISNUMBER($K82),$P82=$K82),"= ambos",IF(AND(ISNUMBER($J82),$P82=$J82),"= GP",IF(AND(ISNUMBER($K82),$P82=$K82),"= LT","nenhuma das duas"))))</f>
        <v/>
      </c>
      <c r="S82" s="19" t="n"/>
      <c r="T82" s="19" t="n"/>
      <c r="U82" s="14">
        <f>IF($C82="","",COUNTIFS('Ocorrências'!$V$5:$V$604,$C82&amp;"|"&amp;$B82&amp;"|"&amp;$G82,'Ocorrências'!$X$5:$X$604,"Sim"))</f>
        <v/>
      </c>
      <c r="V82" s="14">
        <f>IF($P82="","",IF(OR($P82=1,$P82=2,$P82=5),IF($U82&gt;0,"OK","SEM LASTRO"),"OK"))</f>
        <v/>
      </c>
      <c r="W82" s="19" t="n"/>
      <c r="X82" s="18" t="n"/>
      <c r="Y82" s="14">
        <f>IF($C82="","",$C82&amp;"|"&amp;$B82)</f>
        <v/>
      </c>
      <c r="Z82" s="14">
        <f>IF($C82="","",$C82&amp;"|"&amp;$B82&amp;"|"&amp;$H82)</f>
        <v/>
      </c>
      <c r="AA82" s="14">
        <f>IF($C82="","",$C82&amp;"|"&amp;$B82&amp;"|"&amp;$G82)</f>
        <v/>
      </c>
    </row>
    <row r="83">
      <c r="A83" s="19" t="n"/>
      <c r="B83" s="14">
        <f>IF($A83="","",VALUE(LEFT($A83,4))*4+VALUE(RIGHT($A83,1)))</f>
        <v/>
      </c>
      <c r="C83" s="19" t="n"/>
      <c r="D83" s="14">
        <f>IFERROR(INDEX(Pessoas!$B$5:$B$64,MATCH($C83,Pessoas!$A$5:$A$64,0)),"")</f>
        <v/>
      </c>
      <c r="E83" s="19" t="n"/>
      <c r="F83" s="14">
        <f>IFERROR(INDEX(Pessoas!$D$5:$D$64,MATCH($C83,Pessoas!$A$5:$A$64,0)),"")</f>
        <v/>
      </c>
      <c r="G83" s="19" t="n"/>
      <c r="H83" s="14">
        <f>IFERROR(INDEX(Config!$B$40:$B$45,MATCH($G83,Config!$C$40:$C$45,0)),"")</f>
        <v/>
      </c>
      <c r="I83" s="14">
        <f>IFERROR(INDEX(Config!$D$40:$D$45,MATCH($G83,Config!$C$40:$C$45,0)),"")</f>
        <v/>
      </c>
      <c r="J83" s="19" t="n"/>
      <c r="K83" s="19" t="n"/>
      <c r="L83" s="19" t="n"/>
      <c r="M83" s="19" t="n"/>
      <c r="N83" s="14">
        <f>IF(AND(ISNUMBER($J83),ISNUMBER($K83)),ABS($J83-$K83),"")</f>
        <v/>
      </c>
      <c r="O83" s="14">
        <f>IF(AND(NOT(ISNUMBER($J83)),NOT(ISNUMBER($K83))),"",IF(NOT(ISNUMBER($K83)),$J83,IF(NOT(ISNUMBER($J83)),$K83,IF($N83=0,$J83,IF(AND($N83=1,$T83&lt;&gt;"Sim"),IF($I83="Líder Técnico",$K83,IF($I83="GP",$J83,"CALIBRAR")),"CALIBRAR")))))</f>
        <v/>
      </c>
      <c r="P83" s="19" t="n"/>
      <c r="Q83" s="19" t="n"/>
      <c r="R83" s="14">
        <f>IF($P83="","",IF(AND(ISNUMBER($J83),$P83=$J83,ISNUMBER($K83),$P83=$K83),"= ambos",IF(AND(ISNUMBER($J83),$P83=$J83),"= GP",IF(AND(ISNUMBER($K83),$P83=$K83),"= LT","nenhuma das duas"))))</f>
        <v/>
      </c>
      <c r="S83" s="19" t="n"/>
      <c r="T83" s="19" t="n"/>
      <c r="U83" s="14">
        <f>IF($C83="","",COUNTIFS('Ocorrências'!$V$5:$V$604,$C83&amp;"|"&amp;$B83&amp;"|"&amp;$G83,'Ocorrências'!$X$5:$X$604,"Sim"))</f>
        <v/>
      </c>
      <c r="V83" s="14">
        <f>IF($P83="","",IF(OR($P83=1,$P83=2,$P83=5),IF($U83&gt;0,"OK","SEM LASTRO"),"OK"))</f>
        <v/>
      </c>
      <c r="W83" s="19" t="n"/>
      <c r="X83" s="18" t="n"/>
      <c r="Y83" s="14">
        <f>IF($C83="","",$C83&amp;"|"&amp;$B83)</f>
        <v/>
      </c>
      <c r="Z83" s="14">
        <f>IF($C83="","",$C83&amp;"|"&amp;$B83&amp;"|"&amp;$H83)</f>
        <v/>
      </c>
      <c r="AA83" s="14">
        <f>IF($C83="","",$C83&amp;"|"&amp;$B83&amp;"|"&amp;$G83)</f>
        <v/>
      </c>
    </row>
    <row r="84">
      <c r="A84" s="19" t="n"/>
      <c r="B84" s="14">
        <f>IF($A84="","",VALUE(LEFT($A84,4))*4+VALUE(RIGHT($A84,1)))</f>
        <v/>
      </c>
      <c r="C84" s="19" t="n"/>
      <c r="D84" s="14">
        <f>IFERROR(INDEX(Pessoas!$B$5:$B$64,MATCH($C84,Pessoas!$A$5:$A$64,0)),"")</f>
        <v/>
      </c>
      <c r="E84" s="19" t="n"/>
      <c r="F84" s="14">
        <f>IFERROR(INDEX(Pessoas!$D$5:$D$64,MATCH($C84,Pessoas!$A$5:$A$64,0)),"")</f>
        <v/>
      </c>
      <c r="G84" s="19" t="n"/>
      <c r="H84" s="14">
        <f>IFERROR(INDEX(Config!$B$40:$B$45,MATCH($G84,Config!$C$40:$C$45,0)),"")</f>
        <v/>
      </c>
      <c r="I84" s="14">
        <f>IFERROR(INDEX(Config!$D$40:$D$45,MATCH($G84,Config!$C$40:$C$45,0)),"")</f>
        <v/>
      </c>
      <c r="J84" s="19" t="n"/>
      <c r="K84" s="19" t="n"/>
      <c r="L84" s="19" t="n"/>
      <c r="M84" s="19" t="n"/>
      <c r="N84" s="14">
        <f>IF(AND(ISNUMBER($J84),ISNUMBER($K84)),ABS($J84-$K84),"")</f>
        <v/>
      </c>
      <c r="O84" s="14">
        <f>IF(AND(NOT(ISNUMBER($J84)),NOT(ISNUMBER($K84))),"",IF(NOT(ISNUMBER($K84)),$J84,IF(NOT(ISNUMBER($J84)),$K84,IF($N84=0,$J84,IF(AND($N84=1,$T84&lt;&gt;"Sim"),IF($I84="Líder Técnico",$K84,IF($I84="GP",$J84,"CALIBRAR")),"CALIBRAR")))))</f>
        <v/>
      </c>
      <c r="P84" s="19" t="n"/>
      <c r="Q84" s="19" t="n"/>
      <c r="R84" s="14">
        <f>IF($P84="","",IF(AND(ISNUMBER($J84),$P84=$J84,ISNUMBER($K84),$P84=$K84),"= ambos",IF(AND(ISNUMBER($J84),$P84=$J84),"= GP",IF(AND(ISNUMBER($K84),$P84=$K84),"= LT","nenhuma das duas"))))</f>
        <v/>
      </c>
      <c r="S84" s="19" t="n"/>
      <c r="T84" s="19" t="n"/>
      <c r="U84" s="14">
        <f>IF($C84="","",COUNTIFS('Ocorrências'!$V$5:$V$604,$C84&amp;"|"&amp;$B84&amp;"|"&amp;$G84,'Ocorrências'!$X$5:$X$604,"Sim"))</f>
        <v/>
      </c>
      <c r="V84" s="14">
        <f>IF($P84="","",IF(OR($P84=1,$P84=2,$P84=5),IF($U84&gt;0,"OK","SEM LASTRO"),"OK"))</f>
        <v/>
      </c>
      <c r="W84" s="19" t="n"/>
      <c r="X84" s="18" t="n"/>
      <c r="Y84" s="14">
        <f>IF($C84="","",$C84&amp;"|"&amp;$B84)</f>
        <v/>
      </c>
      <c r="Z84" s="14">
        <f>IF($C84="","",$C84&amp;"|"&amp;$B84&amp;"|"&amp;$H84)</f>
        <v/>
      </c>
      <c r="AA84" s="14">
        <f>IF($C84="","",$C84&amp;"|"&amp;$B84&amp;"|"&amp;$G84)</f>
        <v/>
      </c>
    </row>
    <row r="85">
      <c r="A85" s="19" t="n"/>
      <c r="B85" s="14">
        <f>IF($A85="","",VALUE(LEFT($A85,4))*4+VALUE(RIGHT($A85,1)))</f>
        <v/>
      </c>
      <c r="C85" s="19" t="n"/>
      <c r="D85" s="14">
        <f>IFERROR(INDEX(Pessoas!$B$5:$B$64,MATCH($C85,Pessoas!$A$5:$A$64,0)),"")</f>
        <v/>
      </c>
      <c r="E85" s="19" t="n"/>
      <c r="F85" s="14">
        <f>IFERROR(INDEX(Pessoas!$D$5:$D$64,MATCH($C85,Pessoas!$A$5:$A$64,0)),"")</f>
        <v/>
      </c>
      <c r="G85" s="19" t="n"/>
      <c r="H85" s="14">
        <f>IFERROR(INDEX(Config!$B$40:$B$45,MATCH($G85,Config!$C$40:$C$45,0)),"")</f>
        <v/>
      </c>
      <c r="I85" s="14">
        <f>IFERROR(INDEX(Config!$D$40:$D$45,MATCH($G85,Config!$C$40:$C$45,0)),"")</f>
        <v/>
      </c>
      <c r="J85" s="19" t="n"/>
      <c r="K85" s="19" t="n"/>
      <c r="L85" s="19" t="n"/>
      <c r="M85" s="19" t="n"/>
      <c r="N85" s="14">
        <f>IF(AND(ISNUMBER($J85),ISNUMBER($K85)),ABS($J85-$K85),"")</f>
        <v/>
      </c>
      <c r="O85" s="14">
        <f>IF(AND(NOT(ISNUMBER($J85)),NOT(ISNUMBER($K85))),"",IF(NOT(ISNUMBER($K85)),$J85,IF(NOT(ISNUMBER($J85)),$K85,IF($N85=0,$J85,IF(AND($N85=1,$T85&lt;&gt;"Sim"),IF($I85="Líder Técnico",$K85,IF($I85="GP",$J85,"CALIBRAR")),"CALIBRAR")))))</f>
        <v/>
      </c>
      <c r="P85" s="19" t="n"/>
      <c r="Q85" s="19" t="n"/>
      <c r="R85" s="14">
        <f>IF($P85="","",IF(AND(ISNUMBER($J85),$P85=$J85,ISNUMBER($K85),$P85=$K85),"= ambos",IF(AND(ISNUMBER($J85),$P85=$J85),"= GP",IF(AND(ISNUMBER($K85),$P85=$K85),"= LT","nenhuma das duas"))))</f>
        <v/>
      </c>
      <c r="S85" s="19" t="n"/>
      <c r="T85" s="19" t="n"/>
      <c r="U85" s="14">
        <f>IF($C85="","",COUNTIFS('Ocorrências'!$V$5:$V$604,$C85&amp;"|"&amp;$B85&amp;"|"&amp;$G85,'Ocorrências'!$X$5:$X$604,"Sim"))</f>
        <v/>
      </c>
      <c r="V85" s="14">
        <f>IF($P85="","",IF(OR($P85=1,$P85=2,$P85=5),IF($U85&gt;0,"OK","SEM LASTRO"),"OK"))</f>
        <v/>
      </c>
      <c r="W85" s="19" t="n"/>
      <c r="X85" s="18" t="n"/>
      <c r="Y85" s="14">
        <f>IF($C85="","",$C85&amp;"|"&amp;$B85)</f>
        <v/>
      </c>
      <c r="Z85" s="14">
        <f>IF($C85="","",$C85&amp;"|"&amp;$B85&amp;"|"&amp;$H85)</f>
        <v/>
      </c>
      <c r="AA85" s="14">
        <f>IF($C85="","",$C85&amp;"|"&amp;$B85&amp;"|"&amp;$G85)</f>
        <v/>
      </c>
    </row>
    <row r="86">
      <c r="A86" s="19" t="n"/>
      <c r="B86" s="14">
        <f>IF($A86="","",VALUE(LEFT($A86,4))*4+VALUE(RIGHT($A86,1)))</f>
        <v/>
      </c>
      <c r="C86" s="19" t="n"/>
      <c r="D86" s="14">
        <f>IFERROR(INDEX(Pessoas!$B$5:$B$64,MATCH($C86,Pessoas!$A$5:$A$64,0)),"")</f>
        <v/>
      </c>
      <c r="E86" s="19" t="n"/>
      <c r="F86" s="14">
        <f>IFERROR(INDEX(Pessoas!$D$5:$D$64,MATCH($C86,Pessoas!$A$5:$A$64,0)),"")</f>
        <v/>
      </c>
      <c r="G86" s="19" t="n"/>
      <c r="H86" s="14">
        <f>IFERROR(INDEX(Config!$B$40:$B$45,MATCH($G86,Config!$C$40:$C$45,0)),"")</f>
        <v/>
      </c>
      <c r="I86" s="14">
        <f>IFERROR(INDEX(Config!$D$40:$D$45,MATCH($G86,Config!$C$40:$C$45,0)),"")</f>
        <v/>
      </c>
      <c r="J86" s="19" t="n"/>
      <c r="K86" s="19" t="n"/>
      <c r="L86" s="19" t="n"/>
      <c r="M86" s="19" t="n"/>
      <c r="N86" s="14">
        <f>IF(AND(ISNUMBER($J86),ISNUMBER($K86)),ABS($J86-$K86),"")</f>
        <v/>
      </c>
      <c r="O86" s="14">
        <f>IF(AND(NOT(ISNUMBER($J86)),NOT(ISNUMBER($K86))),"",IF(NOT(ISNUMBER($K86)),$J86,IF(NOT(ISNUMBER($J86)),$K86,IF($N86=0,$J86,IF(AND($N86=1,$T86&lt;&gt;"Sim"),IF($I86="Líder Técnico",$K86,IF($I86="GP",$J86,"CALIBRAR")),"CALIBRAR")))))</f>
        <v/>
      </c>
      <c r="P86" s="19" t="n"/>
      <c r="Q86" s="19" t="n"/>
      <c r="R86" s="14">
        <f>IF($P86="","",IF(AND(ISNUMBER($J86),$P86=$J86,ISNUMBER($K86),$P86=$K86),"= ambos",IF(AND(ISNUMBER($J86),$P86=$J86),"= GP",IF(AND(ISNUMBER($K86),$P86=$K86),"= LT","nenhuma das duas"))))</f>
        <v/>
      </c>
      <c r="S86" s="19" t="n"/>
      <c r="T86" s="19" t="n"/>
      <c r="U86" s="14">
        <f>IF($C86="","",COUNTIFS('Ocorrências'!$V$5:$V$604,$C86&amp;"|"&amp;$B86&amp;"|"&amp;$G86,'Ocorrências'!$X$5:$X$604,"Sim"))</f>
        <v/>
      </c>
      <c r="V86" s="14">
        <f>IF($P86="","",IF(OR($P86=1,$P86=2,$P86=5),IF($U86&gt;0,"OK","SEM LASTRO"),"OK"))</f>
        <v/>
      </c>
      <c r="W86" s="19" t="n"/>
      <c r="X86" s="18" t="n"/>
      <c r="Y86" s="14">
        <f>IF($C86="","",$C86&amp;"|"&amp;$B86)</f>
        <v/>
      </c>
      <c r="Z86" s="14">
        <f>IF($C86="","",$C86&amp;"|"&amp;$B86&amp;"|"&amp;$H86)</f>
        <v/>
      </c>
      <c r="AA86" s="14">
        <f>IF($C86="","",$C86&amp;"|"&amp;$B86&amp;"|"&amp;$G86)</f>
        <v/>
      </c>
    </row>
    <row r="87">
      <c r="A87" s="19" t="n"/>
      <c r="B87" s="14">
        <f>IF($A87="","",VALUE(LEFT($A87,4))*4+VALUE(RIGHT($A87,1)))</f>
        <v/>
      </c>
      <c r="C87" s="19" t="n"/>
      <c r="D87" s="14">
        <f>IFERROR(INDEX(Pessoas!$B$5:$B$64,MATCH($C87,Pessoas!$A$5:$A$64,0)),"")</f>
        <v/>
      </c>
      <c r="E87" s="19" t="n"/>
      <c r="F87" s="14">
        <f>IFERROR(INDEX(Pessoas!$D$5:$D$64,MATCH($C87,Pessoas!$A$5:$A$64,0)),"")</f>
        <v/>
      </c>
      <c r="G87" s="19" t="n"/>
      <c r="H87" s="14">
        <f>IFERROR(INDEX(Config!$B$40:$B$45,MATCH($G87,Config!$C$40:$C$45,0)),"")</f>
        <v/>
      </c>
      <c r="I87" s="14">
        <f>IFERROR(INDEX(Config!$D$40:$D$45,MATCH($G87,Config!$C$40:$C$45,0)),"")</f>
        <v/>
      </c>
      <c r="J87" s="19" t="n"/>
      <c r="K87" s="19" t="n"/>
      <c r="L87" s="19" t="n"/>
      <c r="M87" s="19" t="n"/>
      <c r="N87" s="14">
        <f>IF(AND(ISNUMBER($J87),ISNUMBER($K87)),ABS($J87-$K87),"")</f>
        <v/>
      </c>
      <c r="O87" s="14">
        <f>IF(AND(NOT(ISNUMBER($J87)),NOT(ISNUMBER($K87))),"",IF(NOT(ISNUMBER($K87)),$J87,IF(NOT(ISNUMBER($J87)),$K87,IF($N87=0,$J87,IF(AND($N87=1,$T87&lt;&gt;"Sim"),IF($I87="Líder Técnico",$K87,IF($I87="GP",$J87,"CALIBRAR")),"CALIBRAR")))))</f>
        <v/>
      </c>
      <c r="P87" s="19" t="n"/>
      <c r="Q87" s="19" t="n"/>
      <c r="R87" s="14">
        <f>IF($P87="","",IF(AND(ISNUMBER($J87),$P87=$J87,ISNUMBER($K87),$P87=$K87),"= ambos",IF(AND(ISNUMBER($J87),$P87=$J87),"= GP",IF(AND(ISNUMBER($K87),$P87=$K87),"= LT","nenhuma das duas"))))</f>
        <v/>
      </c>
      <c r="S87" s="19" t="n"/>
      <c r="T87" s="19" t="n"/>
      <c r="U87" s="14">
        <f>IF($C87="","",COUNTIFS('Ocorrências'!$V$5:$V$604,$C87&amp;"|"&amp;$B87&amp;"|"&amp;$G87,'Ocorrências'!$X$5:$X$604,"Sim"))</f>
        <v/>
      </c>
      <c r="V87" s="14">
        <f>IF($P87="","",IF(OR($P87=1,$P87=2,$P87=5),IF($U87&gt;0,"OK","SEM LASTRO"),"OK"))</f>
        <v/>
      </c>
      <c r="W87" s="19" t="n"/>
      <c r="X87" s="18" t="n"/>
      <c r="Y87" s="14">
        <f>IF($C87="","",$C87&amp;"|"&amp;$B87)</f>
        <v/>
      </c>
      <c r="Z87" s="14">
        <f>IF($C87="","",$C87&amp;"|"&amp;$B87&amp;"|"&amp;$H87)</f>
        <v/>
      </c>
      <c r="AA87" s="14">
        <f>IF($C87="","",$C87&amp;"|"&amp;$B87&amp;"|"&amp;$G87)</f>
        <v/>
      </c>
    </row>
    <row r="88">
      <c r="A88" s="19" t="n"/>
      <c r="B88" s="14">
        <f>IF($A88="","",VALUE(LEFT($A88,4))*4+VALUE(RIGHT($A88,1)))</f>
        <v/>
      </c>
      <c r="C88" s="19" t="n"/>
      <c r="D88" s="14">
        <f>IFERROR(INDEX(Pessoas!$B$5:$B$64,MATCH($C88,Pessoas!$A$5:$A$64,0)),"")</f>
        <v/>
      </c>
      <c r="E88" s="19" t="n"/>
      <c r="F88" s="14">
        <f>IFERROR(INDEX(Pessoas!$D$5:$D$64,MATCH($C88,Pessoas!$A$5:$A$64,0)),"")</f>
        <v/>
      </c>
      <c r="G88" s="19" t="n"/>
      <c r="H88" s="14">
        <f>IFERROR(INDEX(Config!$B$40:$B$45,MATCH($G88,Config!$C$40:$C$45,0)),"")</f>
        <v/>
      </c>
      <c r="I88" s="14">
        <f>IFERROR(INDEX(Config!$D$40:$D$45,MATCH($G88,Config!$C$40:$C$45,0)),"")</f>
        <v/>
      </c>
      <c r="J88" s="19" t="n"/>
      <c r="K88" s="19" t="n"/>
      <c r="L88" s="19" t="n"/>
      <c r="M88" s="19" t="n"/>
      <c r="N88" s="14">
        <f>IF(AND(ISNUMBER($J88),ISNUMBER($K88)),ABS($J88-$K88),"")</f>
        <v/>
      </c>
      <c r="O88" s="14">
        <f>IF(AND(NOT(ISNUMBER($J88)),NOT(ISNUMBER($K88))),"",IF(NOT(ISNUMBER($K88)),$J88,IF(NOT(ISNUMBER($J88)),$K88,IF($N88=0,$J88,IF(AND($N88=1,$T88&lt;&gt;"Sim"),IF($I88="Líder Técnico",$K88,IF($I88="GP",$J88,"CALIBRAR")),"CALIBRAR")))))</f>
        <v/>
      </c>
      <c r="P88" s="19" t="n"/>
      <c r="Q88" s="19" t="n"/>
      <c r="R88" s="14">
        <f>IF($P88="","",IF(AND(ISNUMBER($J88),$P88=$J88,ISNUMBER($K88),$P88=$K88),"= ambos",IF(AND(ISNUMBER($J88),$P88=$J88),"= GP",IF(AND(ISNUMBER($K88),$P88=$K88),"= LT","nenhuma das duas"))))</f>
        <v/>
      </c>
      <c r="S88" s="19" t="n"/>
      <c r="T88" s="19" t="n"/>
      <c r="U88" s="14">
        <f>IF($C88="","",COUNTIFS('Ocorrências'!$V$5:$V$604,$C88&amp;"|"&amp;$B88&amp;"|"&amp;$G88,'Ocorrências'!$X$5:$X$604,"Sim"))</f>
        <v/>
      </c>
      <c r="V88" s="14">
        <f>IF($P88="","",IF(OR($P88=1,$P88=2,$P88=5),IF($U88&gt;0,"OK","SEM LASTRO"),"OK"))</f>
        <v/>
      </c>
      <c r="W88" s="19" t="n"/>
      <c r="X88" s="18" t="n"/>
      <c r="Y88" s="14">
        <f>IF($C88="","",$C88&amp;"|"&amp;$B88)</f>
        <v/>
      </c>
      <c r="Z88" s="14">
        <f>IF($C88="","",$C88&amp;"|"&amp;$B88&amp;"|"&amp;$H88)</f>
        <v/>
      </c>
      <c r="AA88" s="14">
        <f>IF($C88="","",$C88&amp;"|"&amp;$B88&amp;"|"&amp;$G88)</f>
        <v/>
      </c>
    </row>
    <row r="89">
      <c r="A89" s="19" t="n"/>
      <c r="B89" s="14">
        <f>IF($A89="","",VALUE(LEFT($A89,4))*4+VALUE(RIGHT($A89,1)))</f>
        <v/>
      </c>
      <c r="C89" s="19" t="n"/>
      <c r="D89" s="14">
        <f>IFERROR(INDEX(Pessoas!$B$5:$B$64,MATCH($C89,Pessoas!$A$5:$A$64,0)),"")</f>
        <v/>
      </c>
      <c r="E89" s="19" t="n"/>
      <c r="F89" s="14">
        <f>IFERROR(INDEX(Pessoas!$D$5:$D$64,MATCH($C89,Pessoas!$A$5:$A$64,0)),"")</f>
        <v/>
      </c>
      <c r="G89" s="19" t="n"/>
      <c r="H89" s="14">
        <f>IFERROR(INDEX(Config!$B$40:$B$45,MATCH($G89,Config!$C$40:$C$45,0)),"")</f>
        <v/>
      </c>
      <c r="I89" s="14">
        <f>IFERROR(INDEX(Config!$D$40:$D$45,MATCH($G89,Config!$C$40:$C$45,0)),"")</f>
        <v/>
      </c>
      <c r="J89" s="19" t="n"/>
      <c r="K89" s="19" t="n"/>
      <c r="L89" s="19" t="n"/>
      <c r="M89" s="19" t="n"/>
      <c r="N89" s="14">
        <f>IF(AND(ISNUMBER($J89),ISNUMBER($K89)),ABS($J89-$K89),"")</f>
        <v/>
      </c>
      <c r="O89" s="14">
        <f>IF(AND(NOT(ISNUMBER($J89)),NOT(ISNUMBER($K89))),"",IF(NOT(ISNUMBER($K89)),$J89,IF(NOT(ISNUMBER($J89)),$K89,IF($N89=0,$J89,IF(AND($N89=1,$T89&lt;&gt;"Sim"),IF($I89="Líder Técnico",$K89,IF($I89="GP",$J89,"CALIBRAR")),"CALIBRAR")))))</f>
        <v/>
      </c>
      <c r="P89" s="19" t="n"/>
      <c r="Q89" s="19" t="n"/>
      <c r="R89" s="14">
        <f>IF($P89="","",IF(AND(ISNUMBER($J89),$P89=$J89,ISNUMBER($K89),$P89=$K89),"= ambos",IF(AND(ISNUMBER($J89),$P89=$J89),"= GP",IF(AND(ISNUMBER($K89),$P89=$K89),"= LT","nenhuma das duas"))))</f>
        <v/>
      </c>
      <c r="S89" s="19" t="n"/>
      <c r="T89" s="19" t="n"/>
      <c r="U89" s="14">
        <f>IF($C89="","",COUNTIFS('Ocorrências'!$V$5:$V$604,$C89&amp;"|"&amp;$B89&amp;"|"&amp;$G89,'Ocorrências'!$X$5:$X$604,"Sim"))</f>
        <v/>
      </c>
      <c r="V89" s="14">
        <f>IF($P89="","",IF(OR($P89=1,$P89=2,$P89=5),IF($U89&gt;0,"OK","SEM LASTRO"),"OK"))</f>
        <v/>
      </c>
      <c r="W89" s="19" t="n"/>
      <c r="X89" s="18" t="n"/>
      <c r="Y89" s="14">
        <f>IF($C89="","",$C89&amp;"|"&amp;$B89)</f>
        <v/>
      </c>
      <c r="Z89" s="14">
        <f>IF($C89="","",$C89&amp;"|"&amp;$B89&amp;"|"&amp;$H89)</f>
        <v/>
      </c>
      <c r="AA89" s="14">
        <f>IF($C89="","",$C89&amp;"|"&amp;$B89&amp;"|"&amp;$G89)</f>
        <v/>
      </c>
    </row>
    <row r="90">
      <c r="A90" s="19" t="n"/>
      <c r="B90" s="14">
        <f>IF($A90="","",VALUE(LEFT($A90,4))*4+VALUE(RIGHT($A90,1)))</f>
        <v/>
      </c>
      <c r="C90" s="19" t="n"/>
      <c r="D90" s="14">
        <f>IFERROR(INDEX(Pessoas!$B$5:$B$64,MATCH($C90,Pessoas!$A$5:$A$64,0)),"")</f>
        <v/>
      </c>
      <c r="E90" s="19" t="n"/>
      <c r="F90" s="14">
        <f>IFERROR(INDEX(Pessoas!$D$5:$D$64,MATCH($C90,Pessoas!$A$5:$A$64,0)),"")</f>
        <v/>
      </c>
      <c r="G90" s="19" t="n"/>
      <c r="H90" s="14">
        <f>IFERROR(INDEX(Config!$B$40:$B$45,MATCH($G90,Config!$C$40:$C$45,0)),"")</f>
        <v/>
      </c>
      <c r="I90" s="14">
        <f>IFERROR(INDEX(Config!$D$40:$D$45,MATCH($G90,Config!$C$40:$C$45,0)),"")</f>
        <v/>
      </c>
      <c r="J90" s="19" t="n"/>
      <c r="K90" s="19" t="n"/>
      <c r="L90" s="19" t="n"/>
      <c r="M90" s="19" t="n"/>
      <c r="N90" s="14">
        <f>IF(AND(ISNUMBER($J90),ISNUMBER($K90)),ABS($J90-$K90),"")</f>
        <v/>
      </c>
      <c r="O90" s="14">
        <f>IF(AND(NOT(ISNUMBER($J90)),NOT(ISNUMBER($K90))),"",IF(NOT(ISNUMBER($K90)),$J90,IF(NOT(ISNUMBER($J90)),$K90,IF($N90=0,$J90,IF(AND($N90=1,$T90&lt;&gt;"Sim"),IF($I90="Líder Técnico",$K90,IF($I90="GP",$J90,"CALIBRAR")),"CALIBRAR")))))</f>
        <v/>
      </c>
      <c r="P90" s="19" t="n"/>
      <c r="Q90" s="19" t="n"/>
      <c r="R90" s="14">
        <f>IF($P90="","",IF(AND(ISNUMBER($J90),$P90=$J90,ISNUMBER($K90),$P90=$K90),"= ambos",IF(AND(ISNUMBER($J90),$P90=$J90),"= GP",IF(AND(ISNUMBER($K90),$P90=$K90),"= LT","nenhuma das duas"))))</f>
        <v/>
      </c>
      <c r="S90" s="19" t="n"/>
      <c r="T90" s="19" t="n"/>
      <c r="U90" s="14">
        <f>IF($C90="","",COUNTIFS('Ocorrências'!$V$5:$V$604,$C90&amp;"|"&amp;$B90&amp;"|"&amp;$G90,'Ocorrências'!$X$5:$X$604,"Sim"))</f>
        <v/>
      </c>
      <c r="V90" s="14">
        <f>IF($P90="","",IF(OR($P90=1,$P90=2,$P90=5),IF($U90&gt;0,"OK","SEM LASTRO"),"OK"))</f>
        <v/>
      </c>
      <c r="W90" s="19" t="n"/>
      <c r="X90" s="18" t="n"/>
      <c r="Y90" s="14">
        <f>IF($C90="","",$C90&amp;"|"&amp;$B90)</f>
        <v/>
      </c>
      <c r="Z90" s="14">
        <f>IF($C90="","",$C90&amp;"|"&amp;$B90&amp;"|"&amp;$H90)</f>
        <v/>
      </c>
      <c r="AA90" s="14">
        <f>IF($C90="","",$C90&amp;"|"&amp;$B90&amp;"|"&amp;$G90)</f>
        <v/>
      </c>
    </row>
    <row r="91">
      <c r="A91" s="19" t="n"/>
      <c r="B91" s="14">
        <f>IF($A91="","",VALUE(LEFT($A91,4))*4+VALUE(RIGHT($A91,1)))</f>
        <v/>
      </c>
      <c r="C91" s="19" t="n"/>
      <c r="D91" s="14">
        <f>IFERROR(INDEX(Pessoas!$B$5:$B$64,MATCH($C91,Pessoas!$A$5:$A$64,0)),"")</f>
        <v/>
      </c>
      <c r="E91" s="19" t="n"/>
      <c r="F91" s="14">
        <f>IFERROR(INDEX(Pessoas!$D$5:$D$64,MATCH($C91,Pessoas!$A$5:$A$64,0)),"")</f>
        <v/>
      </c>
      <c r="G91" s="19" t="n"/>
      <c r="H91" s="14">
        <f>IFERROR(INDEX(Config!$B$40:$B$45,MATCH($G91,Config!$C$40:$C$45,0)),"")</f>
        <v/>
      </c>
      <c r="I91" s="14">
        <f>IFERROR(INDEX(Config!$D$40:$D$45,MATCH($G91,Config!$C$40:$C$45,0)),"")</f>
        <v/>
      </c>
      <c r="J91" s="19" t="n"/>
      <c r="K91" s="19" t="n"/>
      <c r="L91" s="19" t="n"/>
      <c r="M91" s="19" t="n"/>
      <c r="N91" s="14">
        <f>IF(AND(ISNUMBER($J91),ISNUMBER($K91)),ABS($J91-$K91),"")</f>
        <v/>
      </c>
      <c r="O91" s="14">
        <f>IF(AND(NOT(ISNUMBER($J91)),NOT(ISNUMBER($K91))),"",IF(NOT(ISNUMBER($K91)),$J91,IF(NOT(ISNUMBER($J91)),$K91,IF($N91=0,$J91,IF(AND($N91=1,$T91&lt;&gt;"Sim"),IF($I91="Líder Técnico",$K91,IF($I91="GP",$J91,"CALIBRAR")),"CALIBRAR")))))</f>
        <v/>
      </c>
      <c r="P91" s="19" t="n"/>
      <c r="Q91" s="19" t="n"/>
      <c r="R91" s="14">
        <f>IF($P91="","",IF(AND(ISNUMBER($J91),$P91=$J91,ISNUMBER($K91),$P91=$K91),"= ambos",IF(AND(ISNUMBER($J91),$P91=$J91),"= GP",IF(AND(ISNUMBER($K91),$P91=$K91),"= LT","nenhuma das duas"))))</f>
        <v/>
      </c>
      <c r="S91" s="19" t="n"/>
      <c r="T91" s="19" t="n"/>
      <c r="U91" s="14">
        <f>IF($C91="","",COUNTIFS('Ocorrências'!$V$5:$V$604,$C91&amp;"|"&amp;$B91&amp;"|"&amp;$G91,'Ocorrências'!$X$5:$X$604,"Sim"))</f>
        <v/>
      </c>
      <c r="V91" s="14">
        <f>IF($P91="","",IF(OR($P91=1,$P91=2,$P91=5),IF($U91&gt;0,"OK","SEM LASTRO"),"OK"))</f>
        <v/>
      </c>
      <c r="W91" s="19" t="n"/>
      <c r="X91" s="18" t="n"/>
      <c r="Y91" s="14">
        <f>IF($C91="","",$C91&amp;"|"&amp;$B91)</f>
        <v/>
      </c>
      <c r="Z91" s="14">
        <f>IF($C91="","",$C91&amp;"|"&amp;$B91&amp;"|"&amp;$H91)</f>
        <v/>
      </c>
      <c r="AA91" s="14">
        <f>IF($C91="","",$C91&amp;"|"&amp;$B91&amp;"|"&amp;$G91)</f>
        <v/>
      </c>
    </row>
    <row r="92">
      <c r="A92" s="19" t="n"/>
      <c r="B92" s="14">
        <f>IF($A92="","",VALUE(LEFT($A92,4))*4+VALUE(RIGHT($A92,1)))</f>
        <v/>
      </c>
      <c r="C92" s="19" t="n"/>
      <c r="D92" s="14">
        <f>IFERROR(INDEX(Pessoas!$B$5:$B$64,MATCH($C92,Pessoas!$A$5:$A$64,0)),"")</f>
        <v/>
      </c>
      <c r="E92" s="19" t="n"/>
      <c r="F92" s="14">
        <f>IFERROR(INDEX(Pessoas!$D$5:$D$64,MATCH($C92,Pessoas!$A$5:$A$64,0)),"")</f>
        <v/>
      </c>
      <c r="G92" s="19" t="n"/>
      <c r="H92" s="14">
        <f>IFERROR(INDEX(Config!$B$40:$B$45,MATCH($G92,Config!$C$40:$C$45,0)),"")</f>
        <v/>
      </c>
      <c r="I92" s="14">
        <f>IFERROR(INDEX(Config!$D$40:$D$45,MATCH($G92,Config!$C$40:$C$45,0)),"")</f>
        <v/>
      </c>
      <c r="J92" s="19" t="n"/>
      <c r="K92" s="19" t="n"/>
      <c r="L92" s="19" t="n"/>
      <c r="M92" s="19" t="n"/>
      <c r="N92" s="14">
        <f>IF(AND(ISNUMBER($J92),ISNUMBER($K92)),ABS($J92-$K92),"")</f>
        <v/>
      </c>
      <c r="O92" s="14">
        <f>IF(AND(NOT(ISNUMBER($J92)),NOT(ISNUMBER($K92))),"",IF(NOT(ISNUMBER($K92)),$J92,IF(NOT(ISNUMBER($J92)),$K92,IF($N92=0,$J92,IF(AND($N92=1,$T92&lt;&gt;"Sim"),IF($I92="Líder Técnico",$K92,IF($I92="GP",$J92,"CALIBRAR")),"CALIBRAR")))))</f>
        <v/>
      </c>
      <c r="P92" s="19" t="n"/>
      <c r="Q92" s="19" t="n"/>
      <c r="R92" s="14">
        <f>IF($P92="","",IF(AND(ISNUMBER($J92),$P92=$J92,ISNUMBER($K92),$P92=$K92),"= ambos",IF(AND(ISNUMBER($J92),$P92=$J92),"= GP",IF(AND(ISNUMBER($K92),$P92=$K92),"= LT","nenhuma das duas"))))</f>
        <v/>
      </c>
      <c r="S92" s="19" t="n"/>
      <c r="T92" s="19" t="n"/>
      <c r="U92" s="14">
        <f>IF($C92="","",COUNTIFS('Ocorrências'!$V$5:$V$604,$C92&amp;"|"&amp;$B92&amp;"|"&amp;$G92,'Ocorrências'!$X$5:$X$604,"Sim"))</f>
        <v/>
      </c>
      <c r="V92" s="14">
        <f>IF($P92="","",IF(OR($P92=1,$P92=2,$P92=5),IF($U92&gt;0,"OK","SEM LASTRO"),"OK"))</f>
        <v/>
      </c>
      <c r="W92" s="19" t="n"/>
      <c r="X92" s="18" t="n"/>
      <c r="Y92" s="14">
        <f>IF($C92="","",$C92&amp;"|"&amp;$B92)</f>
        <v/>
      </c>
      <c r="Z92" s="14">
        <f>IF($C92="","",$C92&amp;"|"&amp;$B92&amp;"|"&amp;$H92)</f>
        <v/>
      </c>
      <c r="AA92" s="14">
        <f>IF($C92="","",$C92&amp;"|"&amp;$B92&amp;"|"&amp;$G92)</f>
        <v/>
      </c>
    </row>
    <row r="93">
      <c r="A93" s="19" t="n"/>
      <c r="B93" s="14">
        <f>IF($A93="","",VALUE(LEFT($A93,4))*4+VALUE(RIGHT($A93,1)))</f>
        <v/>
      </c>
      <c r="C93" s="19" t="n"/>
      <c r="D93" s="14">
        <f>IFERROR(INDEX(Pessoas!$B$5:$B$64,MATCH($C93,Pessoas!$A$5:$A$64,0)),"")</f>
        <v/>
      </c>
      <c r="E93" s="19" t="n"/>
      <c r="F93" s="14">
        <f>IFERROR(INDEX(Pessoas!$D$5:$D$64,MATCH($C93,Pessoas!$A$5:$A$64,0)),"")</f>
        <v/>
      </c>
      <c r="G93" s="19" t="n"/>
      <c r="H93" s="14">
        <f>IFERROR(INDEX(Config!$B$40:$B$45,MATCH($G93,Config!$C$40:$C$45,0)),"")</f>
        <v/>
      </c>
      <c r="I93" s="14">
        <f>IFERROR(INDEX(Config!$D$40:$D$45,MATCH($G93,Config!$C$40:$C$45,0)),"")</f>
        <v/>
      </c>
      <c r="J93" s="19" t="n"/>
      <c r="K93" s="19" t="n"/>
      <c r="L93" s="19" t="n"/>
      <c r="M93" s="19" t="n"/>
      <c r="N93" s="14">
        <f>IF(AND(ISNUMBER($J93),ISNUMBER($K93)),ABS($J93-$K93),"")</f>
        <v/>
      </c>
      <c r="O93" s="14">
        <f>IF(AND(NOT(ISNUMBER($J93)),NOT(ISNUMBER($K93))),"",IF(NOT(ISNUMBER($K93)),$J93,IF(NOT(ISNUMBER($J93)),$K93,IF($N93=0,$J93,IF(AND($N93=1,$T93&lt;&gt;"Sim"),IF($I93="Líder Técnico",$K93,IF($I93="GP",$J93,"CALIBRAR")),"CALIBRAR")))))</f>
        <v/>
      </c>
      <c r="P93" s="19" t="n"/>
      <c r="Q93" s="19" t="n"/>
      <c r="R93" s="14">
        <f>IF($P93="","",IF(AND(ISNUMBER($J93),$P93=$J93,ISNUMBER($K93),$P93=$K93),"= ambos",IF(AND(ISNUMBER($J93),$P93=$J93),"= GP",IF(AND(ISNUMBER($K93),$P93=$K93),"= LT","nenhuma das duas"))))</f>
        <v/>
      </c>
      <c r="S93" s="19" t="n"/>
      <c r="T93" s="19" t="n"/>
      <c r="U93" s="14">
        <f>IF($C93="","",COUNTIFS('Ocorrências'!$V$5:$V$604,$C93&amp;"|"&amp;$B93&amp;"|"&amp;$G93,'Ocorrências'!$X$5:$X$604,"Sim"))</f>
        <v/>
      </c>
      <c r="V93" s="14">
        <f>IF($P93="","",IF(OR($P93=1,$P93=2,$P93=5),IF($U93&gt;0,"OK","SEM LASTRO"),"OK"))</f>
        <v/>
      </c>
      <c r="W93" s="19" t="n"/>
      <c r="X93" s="18" t="n"/>
      <c r="Y93" s="14">
        <f>IF($C93="","",$C93&amp;"|"&amp;$B93)</f>
        <v/>
      </c>
      <c r="Z93" s="14">
        <f>IF($C93="","",$C93&amp;"|"&amp;$B93&amp;"|"&amp;$H93)</f>
        <v/>
      </c>
      <c r="AA93" s="14">
        <f>IF($C93="","",$C93&amp;"|"&amp;$B93&amp;"|"&amp;$G93)</f>
        <v/>
      </c>
    </row>
    <row r="94">
      <c r="A94" s="19" t="n"/>
      <c r="B94" s="14">
        <f>IF($A94="","",VALUE(LEFT($A94,4))*4+VALUE(RIGHT($A94,1)))</f>
        <v/>
      </c>
      <c r="C94" s="19" t="n"/>
      <c r="D94" s="14">
        <f>IFERROR(INDEX(Pessoas!$B$5:$B$64,MATCH($C94,Pessoas!$A$5:$A$64,0)),"")</f>
        <v/>
      </c>
      <c r="E94" s="19" t="n"/>
      <c r="F94" s="14">
        <f>IFERROR(INDEX(Pessoas!$D$5:$D$64,MATCH($C94,Pessoas!$A$5:$A$64,0)),"")</f>
        <v/>
      </c>
      <c r="G94" s="19" t="n"/>
      <c r="H94" s="14">
        <f>IFERROR(INDEX(Config!$B$40:$B$45,MATCH($G94,Config!$C$40:$C$45,0)),"")</f>
        <v/>
      </c>
      <c r="I94" s="14">
        <f>IFERROR(INDEX(Config!$D$40:$D$45,MATCH($G94,Config!$C$40:$C$45,0)),"")</f>
        <v/>
      </c>
      <c r="J94" s="19" t="n"/>
      <c r="K94" s="19" t="n"/>
      <c r="L94" s="19" t="n"/>
      <c r="M94" s="19" t="n"/>
      <c r="N94" s="14">
        <f>IF(AND(ISNUMBER($J94),ISNUMBER($K94)),ABS($J94-$K94),"")</f>
        <v/>
      </c>
      <c r="O94" s="14">
        <f>IF(AND(NOT(ISNUMBER($J94)),NOT(ISNUMBER($K94))),"",IF(NOT(ISNUMBER($K94)),$J94,IF(NOT(ISNUMBER($J94)),$K94,IF($N94=0,$J94,IF(AND($N94=1,$T94&lt;&gt;"Sim"),IF($I94="Líder Técnico",$K94,IF($I94="GP",$J94,"CALIBRAR")),"CALIBRAR")))))</f>
        <v/>
      </c>
      <c r="P94" s="19" t="n"/>
      <c r="Q94" s="19" t="n"/>
      <c r="R94" s="14">
        <f>IF($P94="","",IF(AND(ISNUMBER($J94),$P94=$J94,ISNUMBER($K94),$P94=$K94),"= ambos",IF(AND(ISNUMBER($J94),$P94=$J94),"= GP",IF(AND(ISNUMBER($K94),$P94=$K94),"= LT","nenhuma das duas"))))</f>
        <v/>
      </c>
      <c r="S94" s="19" t="n"/>
      <c r="T94" s="19" t="n"/>
      <c r="U94" s="14">
        <f>IF($C94="","",COUNTIFS('Ocorrências'!$V$5:$V$604,$C94&amp;"|"&amp;$B94&amp;"|"&amp;$G94,'Ocorrências'!$X$5:$X$604,"Sim"))</f>
        <v/>
      </c>
      <c r="V94" s="14">
        <f>IF($P94="","",IF(OR($P94=1,$P94=2,$P94=5),IF($U94&gt;0,"OK","SEM LASTRO"),"OK"))</f>
        <v/>
      </c>
      <c r="W94" s="19" t="n"/>
      <c r="X94" s="18" t="n"/>
      <c r="Y94" s="14">
        <f>IF($C94="","",$C94&amp;"|"&amp;$B94)</f>
        <v/>
      </c>
      <c r="Z94" s="14">
        <f>IF($C94="","",$C94&amp;"|"&amp;$B94&amp;"|"&amp;$H94)</f>
        <v/>
      </c>
      <c r="AA94" s="14">
        <f>IF($C94="","",$C94&amp;"|"&amp;$B94&amp;"|"&amp;$G94)</f>
        <v/>
      </c>
    </row>
    <row r="95">
      <c r="A95" s="19" t="n"/>
      <c r="B95" s="14">
        <f>IF($A95="","",VALUE(LEFT($A95,4))*4+VALUE(RIGHT($A95,1)))</f>
        <v/>
      </c>
      <c r="C95" s="19" t="n"/>
      <c r="D95" s="14">
        <f>IFERROR(INDEX(Pessoas!$B$5:$B$64,MATCH($C95,Pessoas!$A$5:$A$64,0)),"")</f>
        <v/>
      </c>
      <c r="E95" s="19" t="n"/>
      <c r="F95" s="14">
        <f>IFERROR(INDEX(Pessoas!$D$5:$D$64,MATCH($C95,Pessoas!$A$5:$A$64,0)),"")</f>
        <v/>
      </c>
      <c r="G95" s="19" t="n"/>
      <c r="H95" s="14">
        <f>IFERROR(INDEX(Config!$B$40:$B$45,MATCH($G95,Config!$C$40:$C$45,0)),"")</f>
        <v/>
      </c>
      <c r="I95" s="14">
        <f>IFERROR(INDEX(Config!$D$40:$D$45,MATCH($G95,Config!$C$40:$C$45,0)),"")</f>
        <v/>
      </c>
      <c r="J95" s="19" t="n"/>
      <c r="K95" s="19" t="n"/>
      <c r="L95" s="19" t="n"/>
      <c r="M95" s="19" t="n"/>
      <c r="N95" s="14">
        <f>IF(AND(ISNUMBER($J95),ISNUMBER($K95)),ABS($J95-$K95),"")</f>
        <v/>
      </c>
      <c r="O95" s="14">
        <f>IF(AND(NOT(ISNUMBER($J95)),NOT(ISNUMBER($K95))),"",IF(NOT(ISNUMBER($K95)),$J95,IF(NOT(ISNUMBER($J95)),$K95,IF($N95=0,$J95,IF(AND($N95=1,$T95&lt;&gt;"Sim"),IF($I95="Líder Técnico",$K95,IF($I95="GP",$J95,"CALIBRAR")),"CALIBRAR")))))</f>
        <v/>
      </c>
      <c r="P95" s="19" t="n"/>
      <c r="Q95" s="19" t="n"/>
      <c r="R95" s="14">
        <f>IF($P95="","",IF(AND(ISNUMBER($J95),$P95=$J95,ISNUMBER($K95),$P95=$K95),"= ambos",IF(AND(ISNUMBER($J95),$P95=$J95),"= GP",IF(AND(ISNUMBER($K95),$P95=$K95),"= LT","nenhuma das duas"))))</f>
        <v/>
      </c>
      <c r="S95" s="19" t="n"/>
      <c r="T95" s="19" t="n"/>
      <c r="U95" s="14">
        <f>IF($C95="","",COUNTIFS('Ocorrências'!$V$5:$V$604,$C95&amp;"|"&amp;$B95&amp;"|"&amp;$G95,'Ocorrências'!$X$5:$X$604,"Sim"))</f>
        <v/>
      </c>
      <c r="V95" s="14">
        <f>IF($P95="","",IF(OR($P95=1,$P95=2,$P95=5),IF($U95&gt;0,"OK","SEM LASTRO"),"OK"))</f>
        <v/>
      </c>
      <c r="W95" s="19" t="n"/>
      <c r="X95" s="18" t="n"/>
      <c r="Y95" s="14">
        <f>IF($C95="","",$C95&amp;"|"&amp;$B95)</f>
        <v/>
      </c>
      <c r="Z95" s="14">
        <f>IF($C95="","",$C95&amp;"|"&amp;$B95&amp;"|"&amp;$H95)</f>
        <v/>
      </c>
      <c r="AA95" s="14">
        <f>IF($C95="","",$C95&amp;"|"&amp;$B95&amp;"|"&amp;$G95)</f>
        <v/>
      </c>
    </row>
    <row r="96">
      <c r="A96" s="19" t="n"/>
      <c r="B96" s="14">
        <f>IF($A96="","",VALUE(LEFT($A96,4))*4+VALUE(RIGHT($A96,1)))</f>
        <v/>
      </c>
      <c r="C96" s="19" t="n"/>
      <c r="D96" s="14">
        <f>IFERROR(INDEX(Pessoas!$B$5:$B$64,MATCH($C96,Pessoas!$A$5:$A$64,0)),"")</f>
        <v/>
      </c>
      <c r="E96" s="19" t="n"/>
      <c r="F96" s="14">
        <f>IFERROR(INDEX(Pessoas!$D$5:$D$64,MATCH($C96,Pessoas!$A$5:$A$64,0)),"")</f>
        <v/>
      </c>
      <c r="G96" s="19" t="n"/>
      <c r="H96" s="14">
        <f>IFERROR(INDEX(Config!$B$40:$B$45,MATCH($G96,Config!$C$40:$C$45,0)),"")</f>
        <v/>
      </c>
      <c r="I96" s="14">
        <f>IFERROR(INDEX(Config!$D$40:$D$45,MATCH($G96,Config!$C$40:$C$45,0)),"")</f>
        <v/>
      </c>
      <c r="J96" s="19" t="n"/>
      <c r="K96" s="19" t="n"/>
      <c r="L96" s="19" t="n"/>
      <c r="M96" s="19" t="n"/>
      <c r="N96" s="14">
        <f>IF(AND(ISNUMBER($J96),ISNUMBER($K96)),ABS($J96-$K96),"")</f>
        <v/>
      </c>
      <c r="O96" s="14">
        <f>IF(AND(NOT(ISNUMBER($J96)),NOT(ISNUMBER($K96))),"",IF(NOT(ISNUMBER($K96)),$J96,IF(NOT(ISNUMBER($J96)),$K96,IF($N96=0,$J96,IF(AND($N96=1,$T96&lt;&gt;"Sim"),IF($I96="Líder Técnico",$K96,IF($I96="GP",$J96,"CALIBRAR")),"CALIBRAR")))))</f>
        <v/>
      </c>
      <c r="P96" s="19" t="n"/>
      <c r="Q96" s="19" t="n"/>
      <c r="R96" s="14">
        <f>IF($P96="","",IF(AND(ISNUMBER($J96),$P96=$J96,ISNUMBER($K96),$P96=$K96),"= ambos",IF(AND(ISNUMBER($J96),$P96=$J96),"= GP",IF(AND(ISNUMBER($K96),$P96=$K96),"= LT","nenhuma das duas"))))</f>
        <v/>
      </c>
      <c r="S96" s="19" t="n"/>
      <c r="T96" s="19" t="n"/>
      <c r="U96" s="14">
        <f>IF($C96="","",COUNTIFS('Ocorrências'!$V$5:$V$604,$C96&amp;"|"&amp;$B96&amp;"|"&amp;$G96,'Ocorrências'!$X$5:$X$604,"Sim"))</f>
        <v/>
      </c>
      <c r="V96" s="14">
        <f>IF($P96="","",IF(OR($P96=1,$P96=2,$P96=5),IF($U96&gt;0,"OK","SEM LASTRO"),"OK"))</f>
        <v/>
      </c>
      <c r="W96" s="19" t="n"/>
      <c r="X96" s="18" t="n"/>
      <c r="Y96" s="14">
        <f>IF($C96="","",$C96&amp;"|"&amp;$B96)</f>
        <v/>
      </c>
      <c r="Z96" s="14">
        <f>IF($C96="","",$C96&amp;"|"&amp;$B96&amp;"|"&amp;$H96)</f>
        <v/>
      </c>
      <c r="AA96" s="14">
        <f>IF($C96="","",$C96&amp;"|"&amp;$B96&amp;"|"&amp;$G96)</f>
        <v/>
      </c>
    </row>
    <row r="97">
      <c r="A97" s="19" t="n"/>
      <c r="B97" s="14">
        <f>IF($A97="","",VALUE(LEFT($A97,4))*4+VALUE(RIGHT($A97,1)))</f>
        <v/>
      </c>
      <c r="C97" s="19" t="n"/>
      <c r="D97" s="14">
        <f>IFERROR(INDEX(Pessoas!$B$5:$B$64,MATCH($C97,Pessoas!$A$5:$A$64,0)),"")</f>
        <v/>
      </c>
      <c r="E97" s="19" t="n"/>
      <c r="F97" s="14">
        <f>IFERROR(INDEX(Pessoas!$D$5:$D$64,MATCH($C97,Pessoas!$A$5:$A$64,0)),"")</f>
        <v/>
      </c>
      <c r="G97" s="19" t="n"/>
      <c r="H97" s="14">
        <f>IFERROR(INDEX(Config!$B$40:$B$45,MATCH($G97,Config!$C$40:$C$45,0)),"")</f>
        <v/>
      </c>
      <c r="I97" s="14">
        <f>IFERROR(INDEX(Config!$D$40:$D$45,MATCH($G97,Config!$C$40:$C$45,0)),"")</f>
        <v/>
      </c>
      <c r="J97" s="19" t="n"/>
      <c r="K97" s="19" t="n"/>
      <c r="L97" s="19" t="n"/>
      <c r="M97" s="19" t="n"/>
      <c r="N97" s="14">
        <f>IF(AND(ISNUMBER($J97),ISNUMBER($K97)),ABS($J97-$K97),"")</f>
        <v/>
      </c>
      <c r="O97" s="14">
        <f>IF(AND(NOT(ISNUMBER($J97)),NOT(ISNUMBER($K97))),"",IF(NOT(ISNUMBER($K97)),$J97,IF(NOT(ISNUMBER($J97)),$K97,IF($N97=0,$J97,IF(AND($N97=1,$T97&lt;&gt;"Sim"),IF($I97="Líder Técnico",$K97,IF($I97="GP",$J97,"CALIBRAR")),"CALIBRAR")))))</f>
        <v/>
      </c>
      <c r="P97" s="19" t="n"/>
      <c r="Q97" s="19" t="n"/>
      <c r="R97" s="14">
        <f>IF($P97="","",IF(AND(ISNUMBER($J97),$P97=$J97,ISNUMBER($K97),$P97=$K97),"= ambos",IF(AND(ISNUMBER($J97),$P97=$J97),"= GP",IF(AND(ISNUMBER($K97),$P97=$K97),"= LT","nenhuma das duas"))))</f>
        <v/>
      </c>
      <c r="S97" s="19" t="n"/>
      <c r="T97" s="19" t="n"/>
      <c r="U97" s="14">
        <f>IF($C97="","",COUNTIFS('Ocorrências'!$V$5:$V$604,$C97&amp;"|"&amp;$B97&amp;"|"&amp;$G97,'Ocorrências'!$X$5:$X$604,"Sim"))</f>
        <v/>
      </c>
      <c r="V97" s="14">
        <f>IF($P97="","",IF(OR($P97=1,$P97=2,$P97=5),IF($U97&gt;0,"OK","SEM LASTRO"),"OK"))</f>
        <v/>
      </c>
      <c r="W97" s="19" t="n"/>
      <c r="X97" s="18" t="n"/>
      <c r="Y97" s="14">
        <f>IF($C97="","",$C97&amp;"|"&amp;$B97)</f>
        <v/>
      </c>
      <c r="Z97" s="14">
        <f>IF($C97="","",$C97&amp;"|"&amp;$B97&amp;"|"&amp;$H97)</f>
        <v/>
      </c>
      <c r="AA97" s="14">
        <f>IF($C97="","",$C97&amp;"|"&amp;$B97&amp;"|"&amp;$G97)</f>
        <v/>
      </c>
    </row>
    <row r="98">
      <c r="A98" s="19" t="n"/>
      <c r="B98" s="14">
        <f>IF($A98="","",VALUE(LEFT($A98,4))*4+VALUE(RIGHT($A98,1)))</f>
        <v/>
      </c>
      <c r="C98" s="19" t="n"/>
      <c r="D98" s="14">
        <f>IFERROR(INDEX(Pessoas!$B$5:$B$64,MATCH($C98,Pessoas!$A$5:$A$64,0)),"")</f>
        <v/>
      </c>
      <c r="E98" s="19" t="n"/>
      <c r="F98" s="14">
        <f>IFERROR(INDEX(Pessoas!$D$5:$D$64,MATCH($C98,Pessoas!$A$5:$A$64,0)),"")</f>
        <v/>
      </c>
      <c r="G98" s="19" t="n"/>
      <c r="H98" s="14">
        <f>IFERROR(INDEX(Config!$B$40:$B$45,MATCH($G98,Config!$C$40:$C$45,0)),"")</f>
        <v/>
      </c>
      <c r="I98" s="14">
        <f>IFERROR(INDEX(Config!$D$40:$D$45,MATCH($G98,Config!$C$40:$C$45,0)),"")</f>
        <v/>
      </c>
      <c r="J98" s="19" t="n"/>
      <c r="K98" s="19" t="n"/>
      <c r="L98" s="19" t="n"/>
      <c r="M98" s="19" t="n"/>
      <c r="N98" s="14">
        <f>IF(AND(ISNUMBER($J98),ISNUMBER($K98)),ABS($J98-$K98),"")</f>
        <v/>
      </c>
      <c r="O98" s="14">
        <f>IF(AND(NOT(ISNUMBER($J98)),NOT(ISNUMBER($K98))),"",IF(NOT(ISNUMBER($K98)),$J98,IF(NOT(ISNUMBER($J98)),$K98,IF($N98=0,$J98,IF(AND($N98=1,$T98&lt;&gt;"Sim"),IF($I98="Líder Técnico",$K98,IF($I98="GP",$J98,"CALIBRAR")),"CALIBRAR")))))</f>
        <v/>
      </c>
      <c r="P98" s="19" t="n"/>
      <c r="Q98" s="19" t="n"/>
      <c r="R98" s="14">
        <f>IF($P98="","",IF(AND(ISNUMBER($J98),$P98=$J98,ISNUMBER($K98),$P98=$K98),"= ambos",IF(AND(ISNUMBER($J98),$P98=$J98),"= GP",IF(AND(ISNUMBER($K98),$P98=$K98),"= LT","nenhuma das duas"))))</f>
        <v/>
      </c>
      <c r="S98" s="19" t="n"/>
      <c r="T98" s="19" t="n"/>
      <c r="U98" s="14">
        <f>IF($C98="","",COUNTIFS('Ocorrências'!$V$5:$V$604,$C98&amp;"|"&amp;$B98&amp;"|"&amp;$G98,'Ocorrências'!$X$5:$X$604,"Sim"))</f>
        <v/>
      </c>
      <c r="V98" s="14">
        <f>IF($P98="","",IF(OR($P98=1,$P98=2,$P98=5),IF($U98&gt;0,"OK","SEM LASTRO"),"OK"))</f>
        <v/>
      </c>
      <c r="W98" s="19" t="n"/>
      <c r="X98" s="18" t="n"/>
      <c r="Y98" s="14">
        <f>IF($C98="","",$C98&amp;"|"&amp;$B98)</f>
        <v/>
      </c>
      <c r="Z98" s="14">
        <f>IF($C98="","",$C98&amp;"|"&amp;$B98&amp;"|"&amp;$H98)</f>
        <v/>
      </c>
      <c r="AA98" s="14">
        <f>IF($C98="","",$C98&amp;"|"&amp;$B98&amp;"|"&amp;$G98)</f>
        <v/>
      </c>
    </row>
    <row r="99">
      <c r="A99" s="19" t="n"/>
      <c r="B99" s="14">
        <f>IF($A99="","",VALUE(LEFT($A99,4))*4+VALUE(RIGHT($A99,1)))</f>
        <v/>
      </c>
      <c r="C99" s="19" t="n"/>
      <c r="D99" s="14">
        <f>IFERROR(INDEX(Pessoas!$B$5:$B$64,MATCH($C99,Pessoas!$A$5:$A$64,0)),"")</f>
        <v/>
      </c>
      <c r="E99" s="19" t="n"/>
      <c r="F99" s="14">
        <f>IFERROR(INDEX(Pessoas!$D$5:$D$64,MATCH($C99,Pessoas!$A$5:$A$64,0)),"")</f>
        <v/>
      </c>
      <c r="G99" s="19" t="n"/>
      <c r="H99" s="14">
        <f>IFERROR(INDEX(Config!$B$40:$B$45,MATCH($G99,Config!$C$40:$C$45,0)),"")</f>
        <v/>
      </c>
      <c r="I99" s="14">
        <f>IFERROR(INDEX(Config!$D$40:$D$45,MATCH($G99,Config!$C$40:$C$45,0)),"")</f>
        <v/>
      </c>
      <c r="J99" s="19" t="n"/>
      <c r="K99" s="19" t="n"/>
      <c r="L99" s="19" t="n"/>
      <c r="M99" s="19" t="n"/>
      <c r="N99" s="14">
        <f>IF(AND(ISNUMBER($J99),ISNUMBER($K99)),ABS($J99-$K99),"")</f>
        <v/>
      </c>
      <c r="O99" s="14">
        <f>IF(AND(NOT(ISNUMBER($J99)),NOT(ISNUMBER($K99))),"",IF(NOT(ISNUMBER($K99)),$J99,IF(NOT(ISNUMBER($J99)),$K99,IF($N99=0,$J99,IF(AND($N99=1,$T99&lt;&gt;"Sim"),IF($I99="Líder Técnico",$K99,IF($I99="GP",$J99,"CALIBRAR")),"CALIBRAR")))))</f>
        <v/>
      </c>
      <c r="P99" s="19" t="n"/>
      <c r="Q99" s="19" t="n"/>
      <c r="R99" s="14">
        <f>IF($P99="","",IF(AND(ISNUMBER($J99),$P99=$J99,ISNUMBER($K99),$P99=$K99),"= ambos",IF(AND(ISNUMBER($J99),$P99=$J99),"= GP",IF(AND(ISNUMBER($K99),$P99=$K99),"= LT","nenhuma das duas"))))</f>
        <v/>
      </c>
      <c r="S99" s="19" t="n"/>
      <c r="T99" s="19" t="n"/>
      <c r="U99" s="14">
        <f>IF($C99="","",COUNTIFS('Ocorrências'!$V$5:$V$604,$C99&amp;"|"&amp;$B99&amp;"|"&amp;$G99,'Ocorrências'!$X$5:$X$604,"Sim"))</f>
        <v/>
      </c>
      <c r="V99" s="14">
        <f>IF($P99="","",IF(OR($P99=1,$P99=2,$P99=5),IF($U99&gt;0,"OK","SEM LASTRO"),"OK"))</f>
        <v/>
      </c>
      <c r="W99" s="19" t="n"/>
      <c r="X99" s="18" t="n"/>
      <c r="Y99" s="14">
        <f>IF($C99="","",$C99&amp;"|"&amp;$B99)</f>
        <v/>
      </c>
      <c r="Z99" s="14">
        <f>IF($C99="","",$C99&amp;"|"&amp;$B99&amp;"|"&amp;$H99)</f>
        <v/>
      </c>
      <c r="AA99" s="14">
        <f>IF($C99="","",$C99&amp;"|"&amp;$B99&amp;"|"&amp;$G99)</f>
        <v/>
      </c>
    </row>
    <row r="100">
      <c r="A100" s="19" t="n"/>
      <c r="B100" s="14">
        <f>IF($A100="","",VALUE(LEFT($A100,4))*4+VALUE(RIGHT($A100,1)))</f>
        <v/>
      </c>
      <c r="C100" s="19" t="n"/>
      <c r="D100" s="14">
        <f>IFERROR(INDEX(Pessoas!$B$5:$B$64,MATCH($C100,Pessoas!$A$5:$A$64,0)),"")</f>
        <v/>
      </c>
      <c r="E100" s="19" t="n"/>
      <c r="F100" s="14">
        <f>IFERROR(INDEX(Pessoas!$D$5:$D$64,MATCH($C100,Pessoas!$A$5:$A$64,0)),"")</f>
        <v/>
      </c>
      <c r="G100" s="19" t="n"/>
      <c r="H100" s="14">
        <f>IFERROR(INDEX(Config!$B$40:$B$45,MATCH($G100,Config!$C$40:$C$45,0)),"")</f>
        <v/>
      </c>
      <c r="I100" s="14">
        <f>IFERROR(INDEX(Config!$D$40:$D$45,MATCH($G100,Config!$C$40:$C$45,0)),"")</f>
        <v/>
      </c>
      <c r="J100" s="19" t="n"/>
      <c r="K100" s="19" t="n"/>
      <c r="L100" s="19" t="n"/>
      <c r="M100" s="19" t="n"/>
      <c r="N100" s="14">
        <f>IF(AND(ISNUMBER($J100),ISNUMBER($K100)),ABS($J100-$K100),"")</f>
        <v/>
      </c>
      <c r="O100" s="14">
        <f>IF(AND(NOT(ISNUMBER($J100)),NOT(ISNUMBER($K100))),"",IF(NOT(ISNUMBER($K100)),$J100,IF(NOT(ISNUMBER($J100)),$K100,IF($N100=0,$J100,IF(AND($N100=1,$T100&lt;&gt;"Sim"),IF($I100="Líder Técnico",$K100,IF($I100="GP",$J100,"CALIBRAR")),"CALIBRAR")))))</f>
        <v/>
      </c>
      <c r="P100" s="19" t="n"/>
      <c r="Q100" s="19" t="n"/>
      <c r="R100" s="14">
        <f>IF($P100="","",IF(AND(ISNUMBER($J100),$P100=$J100,ISNUMBER($K100),$P100=$K100),"= ambos",IF(AND(ISNUMBER($J100),$P100=$J100),"= GP",IF(AND(ISNUMBER($K100),$P100=$K100),"= LT","nenhuma das duas"))))</f>
        <v/>
      </c>
      <c r="S100" s="19" t="n"/>
      <c r="T100" s="19" t="n"/>
      <c r="U100" s="14">
        <f>IF($C100="","",COUNTIFS('Ocorrências'!$V$5:$V$604,$C100&amp;"|"&amp;$B100&amp;"|"&amp;$G100,'Ocorrências'!$X$5:$X$604,"Sim"))</f>
        <v/>
      </c>
      <c r="V100" s="14">
        <f>IF($P100="","",IF(OR($P100=1,$P100=2,$P100=5),IF($U100&gt;0,"OK","SEM LASTRO"),"OK"))</f>
        <v/>
      </c>
      <c r="W100" s="19" t="n"/>
      <c r="X100" s="18" t="n"/>
      <c r="Y100" s="14">
        <f>IF($C100="","",$C100&amp;"|"&amp;$B100)</f>
        <v/>
      </c>
      <c r="Z100" s="14">
        <f>IF($C100="","",$C100&amp;"|"&amp;$B100&amp;"|"&amp;$H100)</f>
        <v/>
      </c>
      <c r="AA100" s="14">
        <f>IF($C100="","",$C100&amp;"|"&amp;$B100&amp;"|"&amp;$G100)</f>
        <v/>
      </c>
    </row>
    <row r="101">
      <c r="A101" s="19" t="n"/>
      <c r="B101" s="14">
        <f>IF($A101="","",VALUE(LEFT($A101,4))*4+VALUE(RIGHT($A101,1)))</f>
        <v/>
      </c>
      <c r="C101" s="19" t="n"/>
      <c r="D101" s="14">
        <f>IFERROR(INDEX(Pessoas!$B$5:$B$64,MATCH($C101,Pessoas!$A$5:$A$64,0)),"")</f>
        <v/>
      </c>
      <c r="E101" s="19" t="n"/>
      <c r="F101" s="14">
        <f>IFERROR(INDEX(Pessoas!$D$5:$D$64,MATCH($C101,Pessoas!$A$5:$A$64,0)),"")</f>
        <v/>
      </c>
      <c r="G101" s="19" t="n"/>
      <c r="H101" s="14">
        <f>IFERROR(INDEX(Config!$B$40:$B$45,MATCH($G101,Config!$C$40:$C$45,0)),"")</f>
        <v/>
      </c>
      <c r="I101" s="14">
        <f>IFERROR(INDEX(Config!$D$40:$D$45,MATCH($G101,Config!$C$40:$C$45,0)),"")</f>
        <v/>
      </c>
      <c r="J101" s="19" t="n"/>
      <c r="K101" s="19" t="n"/>
      <c r="L101" s="19" t="n"/>
      <c r="M101" s="19" t="n"/>
      <c r="N101" s="14">
        <f>IF(AND(ISNUMBER($J101),ISNUMBER($K101)),ABS($J101-$K101),"")</f>
        <v/>
      </c>
      <c r="O101" s="14">
        <f>IF(AND(NOT(ISNUMBER($J101)),NOT(ISNUMBER($K101))),"",IF(NOT(ISNUMBER($K101)),$J101,IF(NOT(ISNUMBER($J101)),$K101,IF($N101=0,$J101,IF(AND($N101=1,$T101&lt;&gt;"Sim"),IF($I101="Líder Técnico",$K101,IF($I101="GP",$J101,"CALIBRAR")),"CALIBRAR")))))</f>
        <v/>
      </c>
      <c r="P101" s="19" t="n"/>
      <c r="Q101" s="19" t="n"/>
      <c r="R101" s="14">
        <f>IF($P101="","",IF(AND(ISNUMBER($J101),$P101=$J101,ISNUMBER($K101),$P101=$K101),"= ambos",IF(AND(ISNUMBER($J101),$P101=$J101),"= GP",IF(AND(ISNUMBER($K101),$P101=$K101),"= LT","nenhuma das duas"))))</f>
        <v/>
      </c>
      <c r="S101" s="19" t="n"/>
      <c r="T101" s="19" t="n"/>
      <c r="U101" s="14">
        <f>IF($C101="","",COUNTIFS('Ocorrências'!$V$5:$V$604,$C101&amp;"|"&amp;$B101&amp;"|"&amp;$G101,'Ocorrências'!$X$5:$X$604,"Sim"))</f>
        <v/>
      </c>
      <c r="V101" s="14">
        <f>IF($P101="","",IF(OR($P101=1,$P101=2,$P101=5),IF($U101&gt;0,"OK","SEM LASTRO"),"OK"))</f>
        <v/>
      </c>
      <c r="W101" s="19" t="n"/>
      <c r="X101" s="18" t="n"/>
      <c r="Y101" s="14">
        <f>IF($C101="","",$C101&amp;"|"&amp;$B101)</f>
        <v/>
      </c>
      <c r="Z101" s="14">
        <f>IF($C101="","",$C101&amp;"|"&amp;$B101&amp;"|"&amp;$H101)</f>
        <v/>
      </c>
      <c r="AA101" s="14">
        <f>IF($C101="","",$C101&amp;"|"&amp;$B101&amp;"|"&amp;$G101)</f>
        <v/>
      </c>
    </row>
    <row r="102">
      <c r="A102" s="19" t="n"/>
      <c r="B102" s="14">
        <f>IF($A102="","",VALUE(LEFT($A102,4))*4+VALUE(RIGHT($A102,1)))</f>
        <v/>
      </c>
      <c r="C102" s="19" t="n"/>
      <c r="D102" s="14">
        <f>IFERROR(INDEX(Pessoas!$B$5:$B$64,MATCH($C102,Pessoas!$A$5:$A$64,0)),"")</f>
        <v/>
      </c>
      <c r="E102" s="19" t="n"/>
      <c r="F102" s="14">
        <f>IFERROR(INDEX(Pessoas!$D$5:$D$64,MATCH($C102,Pessoas!$A$5:$A$64,0)),"")</f>
        <v/>
      </c>
      <c r="G102" s="19" t="n"/>
      <c r="H102" s="14">
        <f>IFERROR(INDEX(Config!$B$40:$B$45,MATCH($G102,Config!$C$40:$C$45,0)),"")</f>
        <v/>
      </c>
      <c r="I102" s="14">
        <f>IFERROR(INDEX(Config!$D$40:$D$45,MATCH($G102,Config!$C$40:$C$45,0)),"")</f>
        <v/>
      </c>
      <c r="J102" s="19" t="n"/>
      <c r="K102" s="19" t="n"/>
      <c r="L102" s="19" t="n"/>
      <c r="M102" s="19" t="n"/>
      <c r="N102" s="14">
        <f>IF(AND(ISNUMBER($J102),ISNUMBER($K102)),ABS($J102-$K102),"")</f>
        <v/>
      </c>
      <c r="O102" s="14">
        <f>IF(AND(NOT(ISNUMBER($J102)),NOT(ISNUMBER($K102))),"",IF(NOT(ISNUMBER($K102)),$J102,IF(NOT(ISNUMBER($J102)),$K102,IF($N102=0,$J102,IF(AND($N102=1,$T102&lt;&gt;"Sim"),IF($I102="Líder Técnico",$K102,IF($I102="GP",$J102,"CALIBRAR")),"CALIBRAR")))))</f>
        <v/>
      </c>
      <c r="P102" s="19" t="n"/>
      <c r="Q102" s="19" t="n"/>
      <c r="R102" s="14">
        <f>IF($P102="","",IF(AND(ISNUMBER($J102),$P102=$J102,ISNUMBER($K102),$P102=$K102),"= ambos",IF(AND(ISNUMBER($J102),$P102=$J102),"= GP",IF(AND(ISNUMBER($K102),$P102=$K102),"= LT","nenhuma das duas"))))</f>
        <v/>
      </c>
      <c r="S102" s="19" t="n"/>
      <c r="T102" s="19" t="n"/>
      <c r="U102" s="14">
        <f>IF($C102="","",COUNTIFS('Ocorrências'!$V$5:$V$604,$C102&amp;"|"&amp;$B102&amp;"|"&amp;$G102,'Ocorrências'!$X$5:$X$604,"Sim"))</f>
        <v/>
      </c>
      <c r="V102" s="14">
        <f>IF($P102="","",IF(OR($P102=1,$P102=2,$P102=5),IF($U102&gt;0,"OK","SEM LASTRO"),"OK"))</f>
        <v/>
      </c>
      <c r="W102" s="19" t="n"/>
      <c r="X102" s="18" t="n"/>
      <c r="Y102" s="14">
        <f>IF($C102="","",$C102&amp;"|"&amp;$B102)</f>
        <v/>
      </c>
      <c r="Z102" s="14">
        <f>IF($C102="","",$C102&amp;"|"&amp;$B102&amp;"|"&amp;$H102)</f>
        <v/>
      </c>
      <c r="AA102" s="14">
        <f>IF($C102="","",$C102&amp;"|"&amp;$B102&amp;"|"&amp;$G102)</f>
        <v/>
      </c>
    </row>
    <row r="103">
      <c r="A103" s="19" t="n"/>
      <c r="B103" s="14">
        <f>IF($A103="","",VALUE(LEFT($A103,4))*4+VALUE(RIGHT($A103,1)))</f>
        <v/>
      </c>
      <c r="C103" s="19" t="n"/>
      <c r="D103" s="14">
        <f>IFERROR(INDEX(Pessoas!$B$5:$B$64,MATCH($C103,Pessoas!$A$5:$A$64,0)),"")</f>
        <v/>
      </c>
      <c r="E103" s="19" t="n"/>
      <c r="F103" s="14">
        <f>IFERROR(INDEX(Pessoas!$D$5:$D$64,MATCH($C103,Pessoas!$A$5:$A$64,0)),"")</f>
        <v/>
      </c>
      <c r="G103" s="19" t="n"/>
      <c r="H103" s="14">
        <f>IFERROR(INDEX(Config!$B$40:$B$45,MATCH($G103,Config!$C$40:$C$45,0)),"")</f>
        <v/>
      </c>
      <c r="I103" s="14">
        <f>IFERROR(INDEX(Config!$D$40:$D$45,MATCH($G103,Config!$C$40:$C$45,0)),"")</f>
        <v/>
      </c>
      <c r="J103" s="19" t="n"/>
      <c r="K103" s="19" t="n"/>
      <c r="L103" s="19" t="n"/>
      <c r="M103" s="19" t="n"/>
      <c r="N103" s="14">
        <f>IF(AND(ISNUMBER($J103),ISNUMBER($K103)),ABS($J103-$K103),"")</f>
        <v/>
      </c>
      <c r="O103" s="14">
        <f>IF(AND(NOT(ISNUMBER($J103)),NOT(ISNUMBER($K103))),"",IF(NOT(ISNUMBER($K103)),$J103,IF(NOT(ISNUMBER($J103)),$K103,IF($N103=0,$J103,IF(AND($N103=1,$T103&lt;&gt;"Sim"),IF($I103="Líder Técnico",$K103,IF($I103="GP",$J103,"CALIBRAR")),"CALIBRAR")))))</f>
        <v/>
      </c>
      <c r="P103" s="19" t="n"/>
      <c r="Q103" s="19" t="n"/>
      <c r="R103" s="14">
        <f>IF($P103="","",IF(AND(ISNUMBER($J103),$P103=$J103,ISNUMBER($K103),$P103=$K103),"= ambos",IF(AND(ISNUMBER($J103),$P103=$J103),"= GP",IF(AND(ISNUMBER($K103),$P103=$K103),"= LT","nenhuma das duas"))))</f>
        <v/>
      </c>
      <c r="S103" s="19" t="n"/>
      <c r="T103" s="19" t="n"/>
      <c r="U103" s="14">
        <f>IF($C103="","",COUNTIFS('Ocorrências'!$V$5:$V$604,$C103&amp;"|"&amp;$B103&amp;"|"&amp;$G103,'Ocorrências'!$X$5:$X$604,"Sim"))</f>
        <v/>
      </c>
      <c r="V103" s="14">
        <f>IF($P103="","",IF(OR($P103=1,$P103=2,$P103=5),IF($U103&gt;0,"OK","SEM LASTRO"),"OK"))</f>
        <v/>
      </c>
      <c r="W103" s="19" t="n"/>
      <c r="X103" s="18" t="n"/>
      <c r="Y103" s="14">
        <f>IF($C103="","",$C103&amp;"|"&amp;$B103)</f>
        <v/>
      </c>
      <c r="Z103" s="14">
        <f>IF($C103="","",$C103&amp;"|"&amp;$B103&amp;"|"&amp;$H103)</f>
        <v/>
      </c>
      <c r="AA103" s="14">
        <f>IF($C103="","",$C103&amp;"|"&amp;$B103&amp;"|"&amp;$G103)</f>
        <v/>
      </c>
    </row>
    <row r="104">
      <c r="A104" s="19" t="n"/>
      <c r="B104" s="14">
        <f>IF($A104="","",VALUE(LEFT($A104,4))*4+VALUE(RIGHT($A104,1)))</f>
        <v/>
      </c>
      <c r="C104" s="19" t="n"/>
      <c r="D104" s="14">
        <f>IFERROR(INDEX(Pessoas!$B$5:$B$64,MATCH($C104,Pessoas!$A$5:$A$64,0)),"")</f>
        <v/>
      </c>
      <c r="E104" s="19" t="n"/>
      <c r="F104" s="14">
        <f>IFERROR(INDEX(Pessoas!$D$5:$D$64,MATCH($C104,Pessoas!$A$5:$A$64,0)),"")</f>
        <v/>
      </c>
      <c r="G104" s="19" t="n"/>
      <c r="H104" s="14">
        <f>IFERROR(INDEX(Config!$B$40:$B$45,MATCH($G104,Config!$C$40:$C$45,0)),"")</f>
        <v/>
      </c>
      <c r="I104" s="14">
        <f>IFERROR(INDEX(Config!$D$40:$D$45,MATCH($G104,Config!$C$40:$C$45,0)),"")</f>
        <v/>
      </c>
      <c r="J104" s="19" t="n"/>
      <c r="K104" s="19" t="n"/>
      <c r="L104" s="19" t="n"/>
      <c r="M104" s="19" t="n"/>
      <c r="N104" s="14">
        <f>IF(AND(ISNUMBER($J104),ISNUMBER($K104)),ABS($J104-$K104),"")</f>
        <v/>
      </c>
      <c r="O104" s="14">
        <f>IF(AND(NOT(ISNUMBER($J104)),NOT(ISNUMBER($K104))),"",IF(NOT(ISNUMBER($K104)),$J104,IF(NOT(ISNUMBER($J104)),$K104,IF($N104=0,$J104,IF(AND($N104=1,$T104&lt;&gt;"Sim"),IF($I104="Líder Técnico",$K104,IF($I104="GP",$J104,"CALIBRAR")),"CALIBRAR")))))</f>
        <v/>
      </c>
      <c r="P104" s="19" t="n"/>
      <c r="Q104" s="19" t="n"/>
      <c r="R104" s="14">
        <f>IF($P104="","",IF(AND(ISNUMBER($J104),$P104=$J104,ISNUMBER($K104),$P104=$K104),"= ambos",IF(AND(ISNUMBER($J104),$P104=$J104),"= GP",IF(AND(ISNUMBER($K104),$P104=$K104),"= LT","nenhuma das duas"))))</f>
        <v/>
      </c>
      <c r="S104" s="19" t="n"/>
      <c r="T104" s="19" t="n"/>
      <c r="U104" s="14">
        <f>IF($C104="","",COUNTIFS('Ocorrências'!$V$5:$V$604,$C104&amp;"|"&amp;$B104&amp;"|"&amp;$G104,'Ocorrências'!$X$5:$X$604,"Sim"))</f>
        <v/>
      </c>
      <c r="V104" s="14">
        <f>IF($P104="","",IF(OR($P104=1,$P104=2,$P104=5),IF($U104&gt;0,"OK","SEM LASTRO"),"OK"))</f>
        <v/>
      </c>
      <c r="W104" s="19" t="n"/>
      <c r="X104" s="18" t="n"/>
      <c r="Y104" s="14">
        <f>IF($C104="","",$C104&amp;"|"&amp;$B104)</f>
        <v/>
      </c>
      <c r="Z104" s="14">
        <f>IF($C104="","",$C104&amp;"|"&amp;$B104&amp;"|"&amp;$H104)</f>
        <v/>
      </c>
      <c r="AA104" s="14">
        <f>IF($C104="","",$C104&amp;"|"&amp;$B104&amp;"|"&amp;$G104)</f>
        <v/>
      </c>
    </row>
    <row r="105">
      <c r="A105" s="19" t="n"/>
      <c r="B105" s="14">
        <f>IF($A105="","",VALUE(LEFT($A105,4))*4+VALUE(RIGHT($A105,1)))</f>
        <v/>
      </c>
      <c r="C105" s="19" t="n"/>
      <c r="D105" s="14">
        <f>IFERROR(INDEX(Pessoas!$B$5:$B$64,MATCH($C105,Pessoas!$A$5:$A$64,0)),"")</f>
        <v/>
      </c>
      <c r="E105" s="19" t="n"/>
      <c r="F105" s="14">
        <f>IFERROR(INDEX(Pessoas!$D$5:$D$64,MATCH($C105,Pessoas!$A$5:$A$64,0)),"")</f>
        <v/>
      </c>
      <c r="G105" s="19" t="n"/>
      <c r="H105" s="14">
        <f>IFERROR(INDEX(Config!$B$40:$B$45,MATCH($G105,Config!$C$40:$C$45,0)),"")</f>
        <v/>
      </c>
      <c r="I105" s="14">
        <f>IFERROR(INDEX(Config!$D$40:$D$45,MATCH($G105,Config!$C$40:$C$45,0)),"")</f>
        <v/>
      </c>
      <c r="J105" s="19" t="n"/>
      <c r="K105" s="19" t="n"/>
      <c r="L105" s="19" t="n"/>
      <c r="M105" s="19" t="n"/>
      <c r="N105" s="14">
        <f>IF(AND(ISNUMBER($J105),ISNUMBER($K105)),ABS($J105-$K105),"")</f>
        <v/>
      </c>
      <c r="O105" s="14">
        <f>IF(AND(NOT(ISNUMBER($J105)),NOT(ISNUMBER($K105))),"",IF(NOT(ISNUMBER($K105)),$J105,IF(NOT(ISNUMBER($J105)),$K105,IF($N105=0,$J105,IF(AND($N105=1,$T105&lt;&gt;"Sim"),IF($I105="Líder Técnico",$K105,IF($I105="GP",$J105,"CALIBRAR")),"CALIBRAR")))))</f>
        <v/>
      </c>
      <c r="P105" s="19" t="n"/>
      <c r="Q105" s="19" t="n"/>
      <c r="R105" s="14">
        <f>IF($P105="","",IF(AND(ISNUMBER($J105),$P105=$J105,ISNUMBER($K105),$P105=$K105),"= ambos",IF(AND(ISNUMBER($J105),$P105=$J105),"= GP",IF(AND(ISNUMBER($K105),$P105=$K105),"= LT","nenhuma das duas"))))</f>
        <v/>
      </c>
      <c r="S105" s="19" t="n"/>
      <c r="T105" s="19" t="n"/>
      <c r="U105" s="14">
        <f>IF($C105="","",COUNTIFS('Ocorrências'!$V$5:$V$604,$C105&amp;"|"&amp;$B105&amp;"|"&amp;$G105,'Ocorrências'!$X$5:$X$604,"Sim"))</f>
        <v/>
      </c>
      <c r="V105" s="14">
        <f>IF($P105="","",IF(OR($P105=1,$P105=2,$P105=5),IF($U105&gt;0,"OK","SEM LASTRO"),"OK"))</f>
        <v/>
      </c>
      <c r="W105" s="19" t="n"/>
      <c r="X105" s="18" t="n"/>
      <c r="Y105" s="14">
        <f>IF($C105="","",$C105&amp;"|"&amp;$B105)</f>
        <v/>
      </c>
      <c r="Z105" s="14">
        <f>IF($C105="","",$C105&amp;"|"&amp;$B105&amp;"|"&amp;$H105)</f>
        <v/>
      </c>
      <c r="AA105" s="14">
        <f>IF($C105="","",$C105&amp;"|"&amp;$B105&amp;"|"&amp;$G105)</f>
        <v/>
      </c>
    </row>
    <row r="106">
      <c r="A106" s="19" t="n"/>
      <c r="B106" s="14">
        <f>IF($A106="","",VALUE(LEFT($A106,4))*4+VALUE(RIGHT($A106,1)))</f>
        <v/>
      </c>
      <c r="C106" s="19" t="n"/>
      <c r="D106" s="14">
        <f>IFERROR(INDEX(Pessoas!$B$5:$B$64,MATCH($C106,Pessoas!$A$5:$A$64,0)),"")</f>
        <v/>
      </c>
      <c r="E106" s="19" t="n"/>
      <c r="F106" s="14">
        <f>IFERROR(INDEX(Pessoas!$D$5:$D$64,MATCH($C106,Pessoas!$A$5:$A$64,0)),"")</f>
        <v/>
      </c>
      <c r="G106" s="19" t="n"/>
      <c r="H106" s="14">
        <f>IFERROR(INDEX(Config!$B$40:$B$45,MATCH($G106,Config!$C$40:$C$45,0)),"")</f>
        <v/>
      </c>
      <c r="I106" s="14">
        <f>IFERROR(INDEX(Config!$D$40:$D$45,MATCH($G106,Config!$C$40:$C$45,0)),"")</f>
        <v/>
      </c>
      <c r="J106" s="19" t="n"/>
      <c r="K106" s="19" t="n"/>
      <c r="L106" s="19" t="n"/>
      <c r="M106" s="19" t="n"/>
      <c r="N106" s="14">
        <f>IF(AND(ISNUMBER($J106),ISNUMBER($K106)),ABS($J106-$K106),"")</f>
        <v/>
      </c>
      <c r="O106" s="14">
        <f>IF(AND(NOT(ISNUMBER($J106)),NOT(ISNUMBER($K106))),"",IF(NOT(ISNUMBER($K106)),$J106,IF(NOT(ISNUMBER($J106)),$K106,IF($N106=0,$J106,IF(AND($N106=1,$T106&lt;&gt;"Sim"),IF($I106="Líder Técnico",$K106,IF($I106="GP",$J106,"CALIBRAR")),"CALIBRAR")))))</f>
        <v/>
      </c>
      <c r="P106" s="19" t="n"/>
      <c r="Q106" s="19" t="n"/>
      <c r="R106" s="14">
        <f>IF($P106="","",IF(AND(ISNUMBER($J106),$P106=$J106,ISNUMBER($K106),$P106=$K106),"= ambos",IF(AND(ISNUMBER($J106),$P106=$J106),"= GP",IF(AND(ISNUMBER($K106),$P106=$K106),"= LT","nenhuma das duas"))))</f>
        <v/>
      </c>
      <c r="S106" s="19" t="n"/>
      <c r="T106" s="19" t="n"/>
      <c r="U106" s="14">
        <f>IF($C106="","",COUNTIFS('Ocorrências'!$V$5:$V$604,$C106&amp;"|"&amp;$B106&amp;"|"&amp;$G106,'Ocorrências'!$X$5:$X$604,"Sim"))</f>
        <v/>
      </c>
      <c r="V106" s="14">
        <f>IF($P106="","",IF(OR($P106=1,$P106=2,$P106=5),IF($U106&gt;0,"OK","SEM LASTRO"),"OK"))</f>
        <v/>
      </c>
      <c r="W106" s="19" t="n"/>
      <c r="X106" s="18" t="n"/>
      <c r="Y106" s="14">
        <f>IF($C106="","",$C106&amp;"|"&amp;$B106)</f>
        <v/>
      </c>
      <c r="Z106" s="14">
        <f>IF($C106="","",$C106&amp;"|"&amp;$B106&amp;"|"&amp;$H106)</f>
        <v/>
      </c>
      <c r="AA106" s="14">
        <f>IF($C106="","",$C106&amp;"|"&amp;$B106&amp;"|"&amp;$G106)</f>
        <v/>
      </c>
    </row>
    <row r="107">
      <c r="A107" s="19" t="n"/>
      <c r="B107" s="14">
        <f>IF($A107="","",VALUE(LEFT($A107,4))*4+VALUE(RIGHT($A107,1)))</f>
        <v/>
      </c>
      <c r="C107" s="19" t="n"/>
      <c r="D107" s="14">
        <f>IFERROR(INDEX(Pessoas!$B$5:$B$64,MATCH($C107,Pessoas!$A$5:$A$64,0)),"")</f>
        <v/>
      </c>
      <c r="E107" s="19" t="n"/>
      <c r="F107" s="14">
        <f>IFERROR(INDEX(Pessoas!$D$5:$D$64,MATCH($C107,Pessoas!$A$5:$A$64,0)),"")</f>
        <v/>
      </c>
      <c r="G107" s="19" t="n"/>
      <c r="H107" s="14">
        <f>IFERROR(INDEX(Config!$B$40:$B$45,MATCH($G107,Config!$C$40:$C$45,0)),"")</f>
        <v/>
      </c>
      <c r="I107" s="14">
        <f>IFERROR(INDEX(Config!$D$40:$D$45,MATCH($G107,Config!$C$40:$C$45,0)),"")</f>
        <v/>
      </c>
      <c r="J107" s="19" t="n"/>
      <c r="K107" s="19" t="n"/>
      <c r="L107" s="19" t="n"/>
      <c r="M107" s="19" t="n"/>
      <c r="N107" s="14">
        <f>IF(AND(ISNUMBER($J107),ISNUMBER($K107)),ABS($J107-$K107),"")</f>
        <v/>
      </c>
      <c r="O107" s="14">
        <f>IF(AND(NOT(ISNUMBER($J107)),NOT(ISNUMBER($K107))),"",IF(NOT(ISNUMBER($K107)),$J107,IF(NOT(ISNUMBER($J107)),$K107,IF($N107=0,$J107,IF(AND($N107=1,$T107&lt;&gt;"Sim"),IF($I107="Líder Técnico",$K107,IF($I107="GP",$J107,"CALIBRAR")),"CALIBRAR")))))</f>
        <v/>
      </c>
      <c r="P107" s="19" t="n"/>
      <c r="Q107" s="19" t="n"/>
      <c r="R107" s="14">
        <f>IF($P107="","",IF(AND(ISNUMBER($J107),$P107=$J107,ISNUMBER($K107),$P107=$K107),"= ambos",IF(AND(ISNUMBER($J107),$P107=$J107),"= GP",IF(AND(ISNUMBER($K107),$P107=$K107),"= LT","nenhuma das duas"))))</f>
        <v/>
      </c>
      <c r="S107" s="19" t="n"/>
      <c r="T107" s="19" t="n"/>
      <c r="U107" s="14">
        <f>IF($C107="","",COUNTIFS('Ocorrências'!$V$5:$V$604,$C107&amp;"|"&amp;$B107&amp;"|"&amp;$G107,'Ocorrências'!$X$5:$X$604,"Sim"))</f>
        <v/>
      </c>
      <c r="V107" s="14">
        <f>IF($P107="","",IF(OR($P107=1,$P107=2,$P107=5),IF($U107&gt;0,"OK","SEM LASTRO"),"OK"))</f>
        <v/>
      </c>
      <c r="W107" s="19" t="n"/>
      <c r="X107" s="18" t="n"/>
      <c r="Y107" s="14">
        <f>IF($C107="","",$C107&amp;"|"&amp;$B107)</f>
        <v/>
      </c>
      <c r="Z107" s="14">
        <f>IF($C107="","",$C107&amp;"|"&amp;$B107&amp;"|"&amp;$H107)</f>
        <v/>
      </c>
      <c r="AA107" s="14">
        <f>IF($C107="","",$C107&amp;"|"&amp;$B107&amp;"|"&amp;$G107)</f>
        <v/>
      </c>
    </row>
    <row r="108">
      <c r="A108" s="19" t="n"/>
      <c r="B108" s="14">
        <f>IF($A108="","",VALUE(LEFT($A108,4))*4+VALUE(RIGHT($A108,1)))</f>
        <v/>
      </c>
      <c r="C108" s="19" t="n"/>
      <c r="D108" s="14">
        <f>IFERROR(INDEX(Pessoas!$B$5:$B$64,MATCH($C108,Pessoas!$A$5:$A$64,0)),"")</f>
        <v/>
      </c>
      <c r="E108" s="19" t="n"/>
      <c r="F108" s="14">
        <f>IFERROR(INDEX(Pessoas!$D$5:$D$64,MATCH($C108,Pessoas!$A$5:$A$64,0)),"")</f>
        <v/>
      </c>
      <c r="G108" s="19" t="n"/>
      <c r="H108" s="14">
        <f>IFERROR(INDEX(Config!$B$40:$B$45,MATCH($G108,Config!$C$40:$C$45,0)),"")</f>
        <v/>
      </c>
      <c r="I108" s="14">
        <f>IFERROR(INDEX(Config!$D$40:$D$45,MATCH($G108,Config!$C$40:$C$45,0)),"")</f>
        <v/>
      </c>
      <c r="J108" s="19" t="n"/>
      <c r="K108" s="19" t="n"/>
      <c r="L108" s="19" t="n"/>
      <c r="M108" s="19" t="n"/>
      <c r="N108" s="14">
        <f>IF(AND(ISNUMBER($J108),ISNUMBER($K108)),ABS($J108-$K108),"")</f>
        <v/>
      </c>
      <c r="O108" s="14">
        <f>IF(AND(NOT(ISNUMBER($J108)),NOT(ISNUMBER($K108))),"",IF(NOT(ISNUMBER($K108)),$J108,IF(NOT(ISNUMBER($J108)),$K108,IF($N108=0,$J108,IF(AND($N108=1,$T108&lt;&gt;"Sim"),IF($I108="Líder Técnico",$K108,IF($I108="GP",$J108,"CALIBRAR")),"CALIBRAR")))))</f>
        <v/>
      </c>
      <c r="P108" s="19" t="n"/>
      <c r="Q108" s="19" t="n"/>
      <c r="R108" s="14">
        <f>IF($P108="","",IF(AND(ISNUMBER($J108),$P108=$J108,ISNUMBER($K108),$P108=$K108),"= ambos",IF(AND(ISNUMBER($J108),$P108=$J108),"= GP",IF(AND(ISNUMBER($K108),$P108=$K108),"= LT","nenhuma das duas"))))</f>
        <v/>
      </c>
      <c r="S108" s="19" t="n"/>
      <c r="T108" s="19" t="n"/>
      <c r="U108" s="14">
        <f>IF($C108="","",COUNTIFS('Ocorrências'!$V$5:$V$604,$C108&amp;"|"&amp;$B108&amp;"|"&amp;$G108,'Ocorrências'!$X$5:$X$604,"Sim"))</f>
        <v/>
      </c>
      <c r="V108" s="14">
        <f>IF($P108="","",IF(OR($P108=1,$P108=2,$P108=5),IF($U108&gt;0,"OK","SEM LASTRO"),"OK"))</f>
        <v/>
      </c>
      <c r="W108" s="19" t="n"/>
      <c r="X108" s="18" t="n"/>
      <c r="Y108" s="14">
        <f>IF($C108="","",$C108&amp;"|"&amp;$B108)</f>
        <v/>
      </c>
      <c r="Z108" s="14">
        <f>IF($C108="","",$C108&amp;"|"&amp;$B108&amp;"|"&amp;$H108)</f>
        <v/>
      </c>
      <c r="AA108" s="14">
        <f>IF($C108="","",$C108&amp;"|"&amp;$B108&amp;"|"&amp;$G108)</f>
        <v/>
      </c>
    </row>
    <row r="109">
      <c r="A109" s="19" t="n"/>
      <c r="B109" s="14">
        <f>IF($A109="","",VALUE(LEFT($A109,4))*4+VALUE(RIGHT($A109,1)))</f>
        <v/>
      </c>
      <c r="C109" s="19" t="n"/>
      <c r="D109" s="14">
        <f>IFERROR(INDEX(Pessoas!$B$5:$B$64,MATCH($C109,Pessoas!$A$5:$A$64,0)),"")</f>
        <v/>
      </c>
      <c r="E109" s="19" t="n"/>
      <c r="F109" s="14">
        <f>IFERROR(INDEX(Pessoas!$D$5:$D$64,MATCH($C109,Pessoas!$A$5:$A$64,0)),"")</f>
        <v/>
      </c>
      <c r="G109" s="19" t="n"/>
      <c r="H109" s="14">
        <f>IFERROR(INDEX(Config!$B$40:$B$45,MATCH($G109,Config!$C$40:$C$45,0)),"")</f>
        <v/>
      </c>
      <c r="I109" s="14">
        <f>IFERROR(INDEX(Config!$D$40:$D$45,MATCH($G109,Config!$C$40:$C$45,0)),"")</f>
        <v/>
      </c>
      <c r="J109" s="19" t="n"/>
      <c r="K109" s="19" t="n"/>
      <c r="L109" s="19" t="n"/>
      <c r="M109" s="19" t="n"/>
      <c r="N109" s="14">
        <f>IF(AND(ISNUMBER($J109),ISNUMBER($K109)),ABS($J109-$K109),"")</f>
        <v/>
      </c>
      <c r="O109" s="14">
        <f>IF(AND(NOT(ISNUMBER($J109)),NOT(ISNUMBER($K109))),"",IF(NOT(ISNUMBER($K109)),$J109,IF(NOT(ISNUMBER($J109)),$K109,IF($N109=0,$J109,IF(AND($N109=1,$T109&lt;&gt;"Sim"),IF($I109="Líder Técnico",$K109,IF($I109="GP",$J109,"CALIBRAR")),"CALIBRAR")))))</f>
        <v/>
      </c>
      <c r="P109" s="19" t="n"/>
      <c r="Q109" s="19" t="n"/>
      <c r="R109" s="14">
        <f>IF($P109="","",IF(AND(ISNUMBER($J109),$P109=$J109,ISNUMBER($K109),$P109=$K109),"= ambos",IF(AND(ISNUMBER($J109),$P109=$J109),"= GP",IF(AND(ISNUMBER($K109),$P109=$K109),"= LT","nenhuma das duas"))))</f>
        <v/>
      </c>
      <c r="S109" s="19" t="n"/>
      <c r="T109" s="19" t="n"/>
      <c r="U109" s="14">
        <f>IF($C109="","",COUNTIFS('Ocorrências'!$V$5:$V$604,$C109&amp;"|"&amp;$B109&amp;"|"&amp;$G109,'Ocorrências'!$X$5:$X$604,"Sim"))</f>
        <v/>
      </c>
      <c r="V109" s="14">
        <f>IF($P109="","",IF(OR($P109=1,$P109=2,$P109=5),IF($U109&gt;0,"OK","SEM LASTRO"),"OK"))</f>
        <v/>
      </c>
      <c r="W109" s="19" t="n"/>
      <c r="X109" s="18" t="n"/>
      <c r="Y109" s="14">
        <f>IF($C109="","",$C109&amp;"|"&amp;$B109)</f>
        <v/>
      </c>
      <c r="Z109" s="14">
        <f>IF($C109="","",$C109&amp;"|"&amp;$B109&amp;"|"&amp;$H109)</f>
        <v/>
      </c>
      <c r="AA109" s="14">
        <f>IF($C109="","",$C109&amp;"|"&amp;$B109&amp;"|"&amp;$G109)</f>
        <v/>
      </c>
    </row>
    <row r="110">
      <c r="A110" s="19" t="n"/>
      <c r="B110" s="14">
        <f>IF($A110="","",VALUE(LEFT($A110,4))*4+VALUE(RIGHT($A110,1)))</f>
        <v/>
      </c>
      <c r="C110" s="19" t="n"/>
      <c r="D110" s="14">
        <f>IFERROR(INDEX(Pessoas!$B$5:$B$64,MATCH($C110,Pessoas!$A$5:$A$64,0)),"")</f>
        <v/>
      </c>
      <c r="E110" s="19" t="n"/>
      <c r="F110" s="14">
        <f>IFERROR(INDEX(Pessoas!$D$5:$D$64,MATCH($C110,Pessoas!$A$5:$A$64,0)),"")</f>
        <v/>
      </c>
      <c r="G110" s="19" t="n"/>
      <c r="H110" s="14">
        <f>IFERROR(INDEX(Config!$B$40:$B$45,MATCH($G110,Config!$C$40:$C$45,0)),"")</f>
        <v/>
      </c>
      <c r="I110" s="14">
        <f>IFERROR(INDEX(Config!$D$40:$D$45,MATCH($G110,Config!$C$40:$C$45,0)),"")</f>
        <v/>
      </c>
      <c r="J110" s="19" t="n"/>
      <c r="K110" s="19" t="n"/>
      <c r="L110" s="19" t="n"/>
      <c r="M110" s="19" t="n"/>
      <c r="N110" s="14">
        <f>IF(AND(ISNUMBER($J110),ISNUMBER($K110)),ABS($J110-$K110),"")</f>
        <v/>
      </c>
      <c r="O110" s="14">
        <f>IF(AND(NOT(ISNUMBER($J110)),NOT(ISNUMBER($K110))),"",IF(NOT(ISNUMBER($K110)),$J110,IF(NOT(ISNUMBER($J110)),$K110,IF($N110=0,$J110,IF(AND($N110=1,$T110&lt;&gt;"Sim"),IF($I110="Líder Técnico",$K110,IF($I110="GP",$J110,"CALIBRAR")),"CALIBRAR")))))</f>
        <v/>
      </c>
      <c r="P110" s="19" t="n"/>
      <c r="Q110" s="19" t="n"/>
      <c r="R110" s="14">
        <f>IF($P110="","",IF(AND(ISNUMBER($J110),$P110=$J110,ISNUMBER($K110),$P110=$K110),"= ambos",IF(AND(ISNUMBER($J110),$P110=$J110),"= GP",IF(AND(ISNUMBER($K110),$P110=$K110),"= LT","nenhuma das duas"))))</f>
        <v/>
      </c>
      <c r="S110" s="19" t="n"/>
      <c r="T110" s="19" t="n"/>
      <c r="U110" s="14">
        <f>IF($C110="","",COUNTIFS('Ocorrências'!$V$5:$V$604,$C110&amp;"|"&amp;$B110&amp;"|"&amp;$G110,'Ocorrências'!$X$5:$X$604,"Sim"))</f>
        <v/>
      </c>
      <c r="V110" s="14">
        <f>IF($P110="","",IF(OR($P110=1,$P110=2,$P110=5),IF($U110&gt;0,"OK","SEM LASTRO"),"OK"))</f>
        <v/>
      </c>
      <c r="W110" s="19" t="n"/>
      <c r="X110" s="18" t="n"/>
      <c r="Y110" s="14">
        <f>IF($C110="","",$C110&amp;"|"&amp;$B110)</f>
        <v/>
      </c>
      <c r="Z110" s="14">
        <f>IF($C110="","",$C110&amp;"|"&amp;$B110&amp;"|"&amp;$H110)</f>
        <v/>
      </c>
      <c r="AA110" s="14">
        <f>IF($C110="","",$C110&amp;"|"&amp;$B110&amp;"|"&amp;$G110)</f>
        <v/>
      </c>
    </row>
    <row r="111">
      <c r="A111" s="19" t="n"/>
      <c r="B111" s="14">
        <f>IF($A111="","",VALUE(LEFT($A111,4))*4+VALUE(RIGHT($A111,1)))</f>
        <v/>
      </c>
      <c r="C111" s="19" t="n"/>
      <c r="D111" s="14">
        <f>IFERROR(INDEX(Pessoas!$B$5:$B$64,MATCH($C111,Pessoas!$A$5:$A$64,0)),"")</f>
        <v/>
      </c>
      <c r="E111" s="19" t="n"/>
      <c r="F111" s="14">
        <f>IFERROR(INDEX(Pessoas!$D$5:$D$64,MATCH($C111,Pessoas!$A$5:$A$64,0)),"")</f>
        <v/>
      </c>
      <c r="G111" s="19" t="n"/>
      <c r="H111" s="14">
        <f>IFERROR(INDEX(Config!$B$40:$B$45,MATCH($G111,Config!$C$40:$C$45,0)),"")</f>
        <v/>
      </c>
      <c r="I111" s="14">
        <f>IFERROR(INDEX(Config!$D$40:$D$45,MATCH($G111,Config!$C$40:$C$45,0)),"")</f>
        <v/>
      </c>
      <c r="J111" s="19" t="n"/>
      <c r="K111" s="19" t="n"/>
      <c r="L111" s="19" t="n"/>
      <c r="M111" s="19" t="n"/>
      <c r="N111" s="14">
        <f>IF(AND(ISNUMBER($J111),ISNUMBER($K111)),ABS($J111-$K111),"")</f>
        <v/>
      </c>
      <c r="O111" s="14">
        <f>IF(AND(NOT(ISNUMBER($J111)),NOT(ISNUMBER($K111))),"",IF(NOT(ISNUMBER($K111)),$J111,IF(NOT(ISNUMBER($J111)),$K111,IF($N111=0,$J111,IF(AND($N111=1,$T111&lt;&gt;"Sim"),IF($I111="Líder Técnico",$K111,IF($I111="GP",$J111,"CALIBRAR")),"CALIBRAR")))))</f>
        <v/>
      </c>
      <c r="P111" s="19" t="n"/>
      <c r="Q111" s="19" t="n"/>
      <c r="R111" s="14">
        <f>IF($P111="","",IF(AND(ISNUMBER($J111),$P111=$J111,ISNUMBER($K111),$P111=$K111),"= ambos",IF(AND(ISNUMBER($J111),$P111=$J111),"= GP",IF(AND(ISNUMBER($K111),$P111=$K111),"= LT","nenhuma das duas"))))</f>
        <v/>
      </c>
      <c r="S111" s="19" t="n"/>
      <c r="T111" s="19" t="n"/>
      <c r="U111" s="14">
        <f>IF($C111="","",COUNTIFS('Ocorrências'!$V$5:$V$604,$C111&amp;"|"&amp;$B111&amp;"|"&amp;$G111,'Ocorrências'!$X$5:$X$604,"Sim"))</f>
        <v/>
      </c>
      <c r="V111" s="14">
        <f>IF($P111="","",IF(OR($P111=1,$P111=2,$P111=5),IF($U111&gt;0,"OK","SEM LASTRO"),"OK"))</f>
        <v/>
      </c>
      <c r="W111" s="19" t="n"/>
      <c r="X111" s="18" t="n"/>
      <c r="Y111" s="14">
        <f>IF($C111="","",$C111&amp;"|"&amp;$B111)</f>
        <v/>
      </c>
      <c r="Z111" s="14">
        <f>IF($C111="","",$C111&amp;"|"&amp;$B111&amp;"|"&amp;$H111)</f>
        <v/>
      </c>
      <c r="AA111" s="14">
        <f>IF($C111="","",$C111&amp;"|"&amp;$B111&amp;"|"&amp;$G111)</f>
        <v/>
      </c>
    </row>
    <row r="112">
      <c r="A112" s="19" t="n"/>
      <c r="B112" s="14">
        <f>IF($A112="","",VALUE(LEFT($A112,4))*4+VALUE(RIGHT($A112,1)))</f>
        <v/>
      </c>
      <c r="C112" s="19" t="n"/>
      <c r="D112" s="14">
        <f>IFERROR(INDEX(Pessoas!$B$5:$B$64,MATCH($C112,Pessoas!$A$5:$A$64,0)),"")</f>
        <v/>
      </c>
      <c r="E112" s="19" t="n"/>
      <c r="F112" s="14">
        <f>IFERROR(INDEX(Pessoas!$D$5:$D$64,MATCH($C112,Pessoas!$A$5:$A$64,0)),"")</f>
        <v/>
      </c>
      <c r="G112" s="19" t="n"/>
      <c r="H112" s="14">
        <f>IFERROR(INDEX(Config!$B$40:$B$45,MATCH($G112,Config!$C$40:$C$45,0)),"")</f>
        <v/>
      </c>
      <c r="I112" s="14">
        <f>IFERROR(INDEX(Config!$D$40:$D$45,MATCH($G112,Config!$C$40:$C$45,0)),"")</f>
        <v/>
      </c>
      <c r="J112" s="19" t="n"/>
      <c r="K112" s="19" t="n"/>
      <c r="L112" s="19" t="n"/>
      <c r="M112" s="19" t="n"/>
      <c r="N112" s="14">
        <f>IF(AND(ISNUMBER($J112),ISNUMBER($K112)),ABS($J112-$K112),"")</f>
        <v/>
      </c>
      <c r="O112" s="14">
        <f>IF(AND(NOT(ISNUMBER($J112)),NOT(ISNUMBER($K112))),"",IF(NOT(ISNUMBER($K112)),$J112,IF(NOT(ISNUMBER($J112)),$K112,IF($N112=0,$J112,IF(AND($N112=1,$T112&lt;&gt;"Sim"),IF($I112="Líder Técnico",$K112,IF($I112="GP",$J112,"CALIBRAR")),"CALIBRAR")))))</f>
        <v/>
      </c>
      <c r="P112" s="19" t="n"/>
      <c r="Q112" s="19" t="n"/>
      <c r="R112" s="14">
        <f>IF($P112="","",IF(AND(ISNUMBER($J112),$P112=$J112,ISNUMBER($K112),$P112=$K112),"= ambos",IF(AND(ISNUMBER($J112),$P112=$J112),"= GP",IF(AND(ISNUMBER($K112),$P112=$K112),"= LT","nenhuma das duas"))))</f>
        <v/>
      </c>
      <c r="S112" s="19" t="n"/>
      <c r="T112" s="19" t="n"/>
      <c r="U112" s="14">
        <f>IF($C112="","",COUNTIFS('Ocorrências'!$V$5:$V$604,$C112&amp;"|"&amp;$B112&amp;"|"&amp;$G112,'Ocorrências'!$X$5:$X$604,"Sim"))</f>
        <v/>
      </c>
      <c r="V112" s="14">
        <f>IF($P112="","",IF(OR($P112=1,$P112=2,$P112=5),IF($U112&gt;0,"OK","SEM LASTRO"),"OK"))</f>
        <v/>
      </c>
      <c r="W112" s="19" t="n"/>
      <c r="X112" s="18" t="n"/>
      <c r="Y112" s="14">
        <f>IF($C112="","",$C112&amp;"|"&amp;$B112)</f>
        <v/>
      </c>
      <c r="Z112" s="14">
        <f>IF($C112="","",$C112&amp;"|"&amp;$B112&amp;"|"&amp;$H112)</f>
        <v/>
      </c>
      <c r="AA112" s="14">
        <f>IF($C112="","",$C112&amp;"|"&amp;$B112&amp;"|"&amp;$G112)</f>
        <v/>
      </c>
    </row>
    <row r="113">
      <c r="A113" s="19" t="n"/>
      <c r="B113" s="14">
        <f>IF($A113="","",VALUE(LEFT($A113,4))*4+VALUE(RIGHT($A113,1)))</f>
        <v/>
      </c>
      <c r="C113" s="19" t="n"/>
      <c r="D113" s="14">
        <f>IFERROR(INDEX(Pessoas!$B$5:$B$64,MATCH($C113,Pessoas!$A$5:$A$64,0)),"")</f>
        <v/>
      </c>
      <c r="E113" s="19" t="n"/>
      <c r="F113" s="14">
        <f>IFERROR(INDEX(Pessoas!$D$5:$D$64,MATCH($C113,Pessoas!$A$5:$A$64,0)),"")</f>
        <v/>
      </c>
      <c r="G113" s="19" t="n"/>
      <c r="H113" s="14">
        <f>IFERROR(INDEX(Config!$B$40:$B$45,MATCH($G113,Config!$C$40:$C$45,0)),"")</f>
        <v/>
      </c>
      <c r="I113" s="14">
        <f>IFERROR(INDEX(Config!$D$40:$D$45,MATCH($G113,Config!$C$40:$C$45,0)),"")</f>
        <v/>
      </c>
      <c r="J113" s="19" t="n"/>
      <c r="K113" s="19" t="n"/>
      <c r="L113" s="19" t="n"/>
      <c r="M113" s="19" t="n"/>
      <c r="N113" s="14">
        <f>IF(AND(ISNUMBER($J113),ISNUMBER($K113)),ABS($J113-$K113),"")</f>
        <v/>
      </c>
      <c r="O113" s="14">
        <f>IF(AND(NOT(ISNUMBER($J113)),NOT(ISNUMBER($K113))),"",IF(NOT(ISNUMBER($K113)),$J113,IF(NOT(ISNUMBER($J113)),$K113,IF($N113=0,$J113,IF(AND($N113=1,$T113&lt;&gt;"Sim"),IF($I113="Líder Técnico",$K113,IF($I113="GP",$J113,"CALIBRAR")),"CALIBRAR")))))</f>
        <v/>
      </c>
      <c r="P113" s="19" t="n"/>
      <c r="Q113" s="19" t="n"/>
      <c r="R113" s="14">
        <f>IF($P113="","",IF(AND(ISNUMBER($J113),$P113=$J113,ISNUMBER($K113),$P113=$K113),"= ambos",IF(AND(ISNUMBER($J113),$P113=$J113),"= GP",IF(AND(ISNUMBER($K113),$P113=$K113),"= LT","nenhuma das duas"))))</f>
        <v/>
      </c>
      <c r="S113" s="19" t="n"/>
      <c r="T113" s="19" t="n"/>
      <c r="U113" s="14">
        <f>IF($C113="","",COUNTIFS('Ocorrências'!$V$5:$V$604,$C113&amp;"|"&amp;$B113&amp;"|"&amp;$G113,'Ocorrências'!$X$5:$X$604,"Sim"))</f>
        <v/>
      </c>
      <c r="V113" s="14">
        <f>IF($P113="","",IF(OR($P113=1,$P113=2,$P113=5),IF($U113&gt;0,"OK","SEM LASTRO"),"OK"))</f>
        <v/>
      </c>
      <c r="W113" s="19" t="n"/>
      <c r="X113" s="18" t="n"/>
      <c r="Y113" s="14">
        <f>IF($C113="","",$C113&amp;"|"&amp;$B113)</f>
        <v/>
      </c>
      <c r="Z113" s="14">
        <f>IF($C113="","",$C113&amp;"|"&amp;$B113&amp;"|"&amp;$H113)</f>
        <v/>
      </c>
      <c r="AA113" s="14">
        <f>IF($C113="","",$C113&amp;"|"&amp;$B113&amp;"|"&amp;$G113)</f>
        <v/>
      </c>
    </row>
    <row r="114">
      <c r="A114" s="19" t="n"/>
      <c r="B114" s="14">
        <f>IF($A114="","",VALUE(LEFT($A114,4))*4+VALUE(RIGHT($A114,1)))</f>
        <v/>
      </c>
      <c r="C114" s="19" t="n"/>
      <c r="D114" s="14">
        <f>IFERROR(INDEX(Pessoas!$B$5:$B$64,MATCH($C114,Pessoas!$A$5:$A$64,0)),"")</f>
        <v/>
      </c>
      <c r="E114" s="19" t="n"/>
      <c r="F114" s="14">
        <f>IFERROR(INDEX(Pessoas!$D$5:$D$64,MATCH($C114,Pessoas!$A$5:$A$64,0)),"")</f>
        <v/>
      </c>
      <c r="G114" s="19" t="n"/>
      <c r="H114" s="14">
        <f>IFERROR(INDEX(Config!$B$40:$B$45,MATCH($G114,Config!$C$40:$C$45,0)),"")</f>
        <v/>
      </c>
      <c r="I114" s="14">
        <f>IFERROR(INDEX(Config!$D$40:$D$45,MATCH($G114,Config!$C$40:$C$45,0)),"")</f>
        <v/>
      </c>
      <c r="J114" s="19" t="n"/>
      <c r="K114" s="19" t="n"/>
      <c r="L114" s="19" t="n"/>
      <c r="M114" s="19" t="n"/>
      <c r="N114" s="14">
        <f>IF(AND(ISNUMBER($J114),ISNUMBER($K114)),ABS($J114-$K114),"")</f>
        <v/>
      </c>
      <c r="O114" s="14">
        <f>IF(AND(NOT(ISNUMBER($J114)),NOT(ISNUMBER($K114))),"",IF(NOT(ISNUMBER($K114)),$J114,IF(NOT(ISNUMBER($J114)),$K114,IF($N114=0,$J114,IF(AND($N114=1,$T114&lt;&gt;"Sim"),IF($I114="Líder Técnico",$K114,IF($I114="GP",$J114,"CALIBRAR")),"CALIBRAR")))))</f>
        <v/>
      </c>
      <c r="P114" s="19" t="n"/>
      <c r="Q114" s="19" t="n"/>
      <c r="R114" s="14">
        <f>IF($P114="","",IF(AND(ISNUMBER($J114),$P114=$J114,ISNUMBER($K114),$P114=$K114),"= ambos",IF(AND(ISNUMBER($J114),$P114=$J114),"= GP",IF(AND(ISNUMBER($K114),$P114=$K114),"= LT","nenhuma das duas"))))</f>
        <v/>
      </c>
      <c r="S114" s="19" t="n"/>
      <c r="T114" s="19" t="n"/>
      <c r="U114" s="14">
        <f>IF($C114="","",COUNTIFS('Ocorrências'!$V$5:$V$604,$C114&amp;"|"&amp;$B114&amp;"|"&amp;$G114,'Ocorrências'!$X$5:$X$604,"Sim"))</f>
        <v/>
      </c>
      <c r="V114" s="14">
        <f>IF($P114="","",IF(OR($P114=1,$P114=2,$P114=5),IF($U114&gt;0,"OK","SEM LASTRO"),"OK"))</f>
        <v/>
      </c>
      <c r="W114" s="19" t="n"/>
      <c r="X114" s="18" t="n"/>
      <c r="Y114" s="14">
        <f>IF($C114="","",$C114&amp;"|"&amp;$B114)</f>
        <v/>
      </c>
      <c r="Z114" s="14">
        <f>IF($C114="","",$C114&amp;"|"&amp;$B114&amp;"|"&amp;$H114)</f>
        <v/>
      </c>
      <c r="AA114" s="14">
        <f>IF($C114="","",$C114&amp;"|"&amp;$B114&amp;"|"&amp;$G114)</f>
        <v/>
      </c>
    </row>
    <row r="115">
      <c r="A115" s="19" t="n"/>
      <c r="B115" s="14">
        <f>IF($A115="","",VALUE(LEFT($A115,4))*4+VALUE(RIGHT($A115,1)))</f>
        <v/>
      </c>
      <c r="C115" s="19" t="n"/>
      <c r="D115" s="14">
        <f>IFERROR(INDEX(Pessoas!$B$5:$B$64,MATCH($C115,Pessoas!$A$5:$A$64,0)),"")</f>
        <v/>
      </c>
      <c r="E115" s="19" t="n"/>
      <c r="F115" s="14">
        <f>IFERROR(INDEX(Pessoas!$D$5:$D$64,MATCH($C115,Pessoas!$A$5:$A$64,0)),"")</f>
        <v/>
      </c>
      <c r="G115" s="19" t="n"/>
      <c r="H115" s="14">
        <f>IFERROR(INDEX(Config!$B$40:$B$45,MATCH($G115,Config!$C$40:$C$45,0)),"")</f>
        <v/>
      </c>
      <c r="I115" s="14">
        <f>IFERROR(INDEX(Config!$D$40:$D$45,MATCH($G115,Config!$C$40:$C$45,0)),"")</f>
        <v/>
      </c>
      <c r="J115" s="19" t="n"/>
      <c r="K115" s="19" t="n"/>
      <c r="L115" s="19" t="n"/>
      <c r="M115" s="19" t="n"/>
      <c r="N115" s="14">
        <f>IF(AND(ISNUMBER($J115),ISNUMBER($K115)),ABS($J115-$K115),"")</f>
        <v/>
      </c>
      <c r="O115" s="14">
        <f>IF(AND(NOT(ISNUMBER($J115)),NOT(ISNUMBER($K115))),"",IF(NOT(ISNUMBER($K115)),$J115,IF(NOT(ISNUMBER($J115)),$K115,IF($N115=0,$J115,IF(AND($N115=1,$T115&lt;&gt;"Sim"),IF($I115="Líder Técnico",$K115,IF($I115="GP",$J115,"CALIBRAR")),"CALIBRAR")))))</f>
        <v/>
      </c>
      <c r="P115" s="19" t="n"/>
      <c r="Q115" s="19" t="n"/>
      <c r="R115" s="14">
        <f>IF($P115="","",IF(AND(ISNUMBER($J115),$P115=$J115,ISNUMBER($K115),$P115=$K115),"= ambos",IF(AND(ISNUMBER($J115),$P115=$J115),"= GP",IF(AND(ISNUMBER($K115),$P115=$K115),"= LT","nenhuma das duas"))))</f>
        <v/>
      </c>
      <c r="S115" s="19" t="n"/>
      <c r="T115" s="19" t="n"/>
      <c r="U115" s="14">
        <f>IF($C115="","",COUNTIFS('Ocorrências'!$V$5:$V$604,$C115&amp;"|"&amp;$B115&amp;"|"&amp;$G115,'Ocorrências'!$X$5:$X$604,"Sim"))</f>
        <v/>
      </c>
      <c r="V115" s="14">
        <f>IF($P115="","",IF(OR($P115=1,$P115=2,$P115=5),IF($U115&gt;0,"OK","SEM LASTRO"),"OK"))</f>
        <v/>
      </c>
      <c r="W115" s="19" t="n"/>
      <c r="X115" s="18" t="n"/>
      <c r="Y115" s="14">
        <f>IF($C115="","",$C115&amp;"|"&amp;$B115)</f>
        <v/>
      </c>
      <c r="Z115" s="14">
        <f>IF($C115="","",$C115&amp;"|"&amp;$B115&amp;"|"&amp;$H115)</f>
        <v/>
      </c>
      <c r="AA115" s="14">
        <f>IF($C115="","",$C115&amp;"|"&amp;$B115&amp;"|"&amp;$G115)</f>
        <v/>
      </c>
    </row>
    <row r="116">
      <c r="A116" s="19" t="n"/>
      <c r="B116" s="14">
        <f>IF($A116="","",VALUE(LEFT($A116,4))*4+VALUE(RIGHT($A116,1)))</f>
        <v/>
      </c>
      <c r="C116" s="19" t="n"/>
      <c r="D116" s="14">
        <f>IFERROR(INDEX(Pessoas!$B$5:$B$64,MATCH($C116,Pessoas!$A$5:$A$64,0)),"")</f>
        <v/>
      </c>
      <c r="E116" s="19" t="n"/>
      <c r="F116" s="14">
        <f>IFERROR(INDEX(Pessoas!$D$5:$D$64,MATCH($C116,Pessoas!$A$5:$A$64,0)),"")</f>
        <v/>
      </c>
      <c r="G116" s="19" t="n"/>
      <c r="H116" s="14">
        <f>IFERROR(INDEX(Config!$B$40:$B$45,MATCH($G116,Config!$C$40:$C$45,0)),"")</f>
        <v/>
      </c>
      <c r="I116" s="14">
        <f>IFERROR(INDEX(Config!$D$40:$D$45,MATCH($G116,Config!$C$40:$C$45,0)),"")</f>
        <v/>
      </c>
      <c r="J116" s="19" t="n"/>
      <c r="K116" s="19" t="n"/>
      <c r="L116" s="19" t="n"/>
      <c r="M116" s="19" t="n"/>
      <c r="N116" s="14">
        <f>IF(AND(ISNUMBER($J116),ISNUMBER($K116)),ABS($J116-$K116),"")</f>
        <v/>
      </c>
      <c r="O116" s="14">
        <f>IF(AND(NOT(ISNUMBER($J116)),NOT(ISNUMBER($K116))),"",IF(NOT(ISNUMBER($K116)),$J116,IF(NOT(ISNUMBER($J116)),$K116,IF($N116=0,$J116,IF(AND($N116=1,$T116&lt;&gt;"Sim"),IF($I116="Líder Técnico",$K116,IF($I116="GP",$J116,"CALIBRAR")),"CALIBRAR")))))</f>
        <v/>
      </c>
      <c r="P116" s="19" t="n"/>
      <c r="Q116" s="19" t="n"/>
      <c r="R116" s="14">
        <f>IF($P116="","",IF(AND(ISNUMBER($J116),$P116=$J116,ISNUMBER($K116),$P116=$K116),"= ambos",IF(AND(ISNUMBER($J116),$P116=$J116),"= GP",IF(AND(ISNUMBER($K116),$P116=$K116),"= LT","nenhuma das duas"))))</f>
        <v/>
      </c>
      <c r="S116" s="19" t="n"/>
      <c r="T116" s="19" t="n"/>
      <c r="U116" s="14">
        <f>IF($C116="","",COUNTIFS('Ocorrências'!$V$5:$V$604,$C116&amp;"|"&amp;$B116&amp;"|"&amp;$G116,'Ocorrências'!$X$5:$X$604,"Sim"))</f>
        <v/>
      </c>
      <c r="V116" s="14">
        <f>IF($P116="","",IF(OR($P116=1,$P116=2,$P116=5),IF($U116&gt;0,"OK","SEM LASTRO"),"OK"))</f>
        <v/>
      </c>
      <c r="W116" s="19" t="n"/>
      <c r="X116" s="18" t="n"/>
      <c r="Y116" s="14">
        <f>IF($C116="","",$C116&amp;"|"&amp;$B116)</f>
        <v/>
      </c>
      <c r="Z116" s="14">
        <f>IF($C116="","",$C116&amp;"|"&amp;$B116&amp;"|"&amp;$H116)</f>
        <v/>
      </c>
      <c r="AA116" s="14">
        <f>IF($C116="","",$C116&amp;"|"&amp;$B116&amp;"|"&amp;$G116)</f>
        <v/>
      </c>
    </row>
    <row r="117">
      <c r="A117" s="19" t="n"/>
      <c r="B117" s="14">
        <f>IF($A117="","",VALUE(LEFT($A117,4))*4+VALUE(RIGHT($A117,1)))</f>
        <v/>
      </c>
      <c r="C117" s="19" t="n"/>
      <c r="D117" s="14">
        <f>IFERROR(INDEX(Pessoas!$B$5:$B$64,MATCH($C117,Pessoas!$A$5:$A$64,0)),"")</f>
        <v/>
      </c>
      <c r="E117" s="19" t="n"/>
      <c r="F117" s="14">
        <f>IFERROR(INDEX(Pessoas!$D$5:$D$64,MATCH($C117,Pessoas!$A$5:$A$64,0)),"")</f>
        <v/>
      </c>
      <c r="G117" s="19" t="n"/>
      <c r="H117" s="14">
        <f>IFERROR(INDEX(Config!$B$40:$B$45,MATCH($G117,Config!$C$40:$C$45,0)),"")</f>
        <v/>
      </c>
      <c r="I117" s="14">
        <f>IFERROR(INDEX(Config!$D$40:$D$45,MATCH($G117,Config!$C$40:$C$45,0)),"")</f>
        <v/>
      </c>
      <c r="J117" s="19" t="n"/>
      <c r="K117" s="19" t="n"/>
      <c r="L117" s="19" t="n"/>
      <c r="M117" s="19" t="n"/>
      <c r="N117" s="14">
        <f>IF(AND(ISNUMBER($J117),ISNUMBER($K117)),ABS($J117-$K117),"")</f>
        <v/>
      </c>
      <c r="O117" s="14">
        <f>IF(AND(NOT(ISNUMBER($J117)),NOT(ISNUMBER($K117))),"",IF(NOT(ISNUMBER($K117)),$J117,IF(NOT(ISNUMBER($J117)),$K117,IF($N117=0,$J117,IF(AND($N117=1,$T117&lt;&gt;"Sim"),IF($I117="Líder Técnico",$K117,IF($I117="GP",$J117,"CALIBRAR")),"CALIBRAR")))))</f>
        <v/>
      </c>
      <c r="P117" s="19" t="n"/>
      <c r="Q117" s="19" t="n"/>
      <c r="R117" s="14">
        <f>IF($P117="","",IF(AND(ISNUMBER($J117),$P117=$J117,ISNUMBER($K117),$P117=$K117),"= ambos",IF(AND(ISNUMBER($J117),$P117=$J117),"= GP",IF(AND(ISNUMBER($K117),$P117=$K117),"= LT","nenhuma das duas"))))</f>
        <v/>
      </c>
      <c r="S117" s="19" t="n"/>
      <c r="T117" s="19" t="n"/>
      <c r="U117" s="14">
        <f>IF($C117="","",COUNTIFS('Ocorrências'!$V$5:$V$604,$C117&amp;"|"&amp;$B117&amp;"|"&amp;$G117,'Ocorrências'!$X$5:$X$604,"Sim"))</f>
        <v/>
      </c>
      <c r="V117" s="14">
        <f>IF($P117="","",IF(OR($P117=1,$P117=2,$P117=5),IF($U117&gt;0,"OK","SEM LASTRO"),"OK"))</f>
        <v/>
      </c>
      <c r="W117" s="19" t="n"/>
      <c r="X117" s="18" t="n"/>
      <c r="Y117" s="14">
        <f>IF($C117="","",$C117&amp;"|"&amp;$B117)</f>
        <v/>
      </c>
      <c r="Z117" s="14">
        <f>IF($C117="","",$C117&amp;"|"&amp;$B117&amp;"|"&amp;$H117)</f>
        <v/>
      </c>
      <c r="AA117" s="14">
        <f>IF($C117="","",$C117&amp;"|"&amp;$B117&amp;"|"&amp;$G117)</f>
        <v/>
      </c>
    </row>
    <row r="118">
      <c r="A118" s="19" t="n"/>
      <c r="B118" s="14">
        <f>IF($A118="","",VALUE(LEFT($A118,4))*4+VALUE(RIGHT($A118,1)))</f>
        <v/>
      </c>
      <c r="C118" s="19" t="n"/>
      <c r="D118" s="14">
        <f>IFERROR(INDEX(Pessoas!$B$5:$B$64,MATCH($C118,Pessoas!$A$5:$A$64,0)),"")</f>
        <v/>
      </c>
      <c r="E118" s="19" t="n"/>
      <c r="F118" s="14">
        <f>IFERROR(INDEX(Pessoas!$D$5:$D$64,MATCH($C118,Pessoas!$A$5:$A$64,0)),"")</f>
        <v/>
      </c>
      <c r="G118" s="19" t="n"/>
      <c r="H118" s="14">
        <f>IFERROR(INDEX(Config!$B$40:$B$45,MATCH($G118,Config!$C$40:$C$45,0)),"")</f>
        <v/>
      </c>
      <c r="I118" s="14">
        <f>IFERROR(INDEX(Config!$D$40:$D$45,MATCH($G118,Config!$C$40:$C$45,0)),"")</f>
        <v/>
      </c>
      <c r="J118" s="19" t="n"/>
      <c r="K118" s="19" t="n"/>
      <c r="L118" s="19" t="n"/>
      <c r="M118" s="19" t="n"/>
      <c r="N118" s="14">
        <f>IF(AND(ISNUMBER($J118),ISNUMBER($K118)),ABS($J118-$K118),"")</f>
        <v/>
      </c>
      <c r="O118" s="14">
        <f>IF(AND(NOT(ISNUMBER($J118)),NOT(ISNUMBER($K118))),"",IF(NOT(ISNUMBER($K118)),$J118,IF(NOT(ISNUMBER($J118)),$K118,IF($N118=0,$J118,IF(AND($N118=1,$T118&lt;&gt;"Sim"),IF($I118="Líder Técnico",$K118,IF($I118="GP",$J118,"CALIBRAR")),"CALIBRAR")))))</f>
        <v/>
      </c>
      <c r="P118" s="19" t="n"/>
      <c r="Q118" s="19" t="n"/>
      <c r="R118" s="14">
        <f>IF($P118="","",IF(AND(ISNUMBER($J118),$P118=$J118,ISNUMBER($K118),$P118=$K118),"= ambos",IF(AND(ISNUMBER($J118),$P118=$J118),"= GP",IF(AND(ISNUMBER($K118),$P118=$K118),"= LT","nenhuma das duas"))))</f>
        <v/>
      </c>
      <c r="S118" s="19" t="n"/>
      <c r="T118" s="19" t="n"/>
      <c r="U118" s="14">
        <f>IF($C118="","",COUNTIFS('Ocorrências'!$V$5:$V$604,$C118&amp;"|"&amp;$B118&amp;"|"&amp;$G118,'Ocorrências'!$X$5:$X$604,"Sim"))</f>
        <v/>
      </c>
      <c r="V118" s="14">
        <f>IF($P118="","",IF(OR($P118=1,$P118=2,$P118=5),IF($U118&gt;0,"OK","SEM LASTRO"),"OK"))</f>
        <v/>
      </c>
      <c r="W118" s="19" t="n"/>
      <c r="X118" s="18" t="n"/>
      <c r="Y118" s="14">
        <f>IF($C118="","",$C118&amp;"|"&amp;$B118)</f>
        <v/>
      </c>
      <c r="Z118" s="14">
        <f>IF($C118="","",$C118&amp;"|"&amp;$B118&amp;"|"&amp;$H118)</f>
        <v/>
      </c>
      <c r="AA118" s="14">
        <f>IF($C118="","",$C118&amp;"|"&amp;$B118&amp;"|"&amp;$G118)</f>
        <v/>
      </c>
    </row>
    <row r="119">
      <c r="A119" s="19" t="n"/>
      <c r="B119" s="14">
        <f>IF($A119="","",VALUE(LEFT($A119,4))*4+VALUE(RIGHT($A119,1)))</f>
        <v/>
      </c>
      <c r="C119" s="19" t="n"/>
      <c r="D119" s="14">
        <f>IFERROR(INDEX(Pessoas!$B$5:$B$64,MATCH($C119,Pessoas!$A$5:$A$64,0)),"")</f>
        <v/>
      </c>
      <c r="E119" s="19" t="n"/>
      <c r="F119" s="14">
        <f>IFERROR(INDEX(Pessoas!$D$5:$D$64,MATCH($C119,Pessoas!$A$5:$A$64,0)),"")</f>
        <v/>
      </c>
      <c r="G119" s="19" t="n"/>
      <c r="H119" s="14">
        <f>IFERROR(INDEX(Config!$B$40:$B$45,MATCH($G119,Config!$C$40:$C$45,0)),"")</f>
        <v/>
      </c>
      <c r="I119" s="14">
        <f>IFERROR(INDEX(Config!$D$40:$D$45,MATCH($G119,Config!$C$40:$C$45,0)),"")</f>
        <v/>
      </c>
      <c r="J119" s="19" t="n"/>
      <c r="K119" s="19" t="n"/>
      <c r="L119" s="19" t="n"/>
      <c r="M119" s="19" t="n"/>
      <c r="N119" s="14">
        <f>IF(AND(ISNUMBER($J119),ISNUMBER($K119)),ABS($J119-$K119),"")</f>
        <v/>
      </c>
      <c r="O119" s="14">
        <f>IF(AND(NOT(ISNUMBER($J119)),NOT(ISNUMBER($K119))),"",IF(NOT(ISNUMBER($K119)),$J119,IF(NOT(ISNUMBER($J119)),$K119,IF($N119=0,$J119,IF(AND($N119=1,$T119&lt;&gt;"Sim"),IF($I119="Líder Técnico",$K119,IF($I119="GP",$J119,"CALIBRAR")),"CALIBRAR")))))</f>
        <v/>
      </c>
      <c r="P119" s="19" t="n"/>
      <c r="Q119" s="19" t="n"/>
      <c r="R119" s="14">
        <f>IF($P119="","",IF(AND(ISNUMBER($J119),$P119=$J119,ISNUMBER($K119),$P119=$K119),"= ambos",IF(AND(ISNUMBER($J119),$P119=$J119),"= GP",IF(AND(ISNUMBER($K119),$P119=$K119),"= LT","nenhuma das duas"))))</f>
        <v/>
      </c>
      <c r="S119" s="19" t="n"/>
      <c r="T119" s="19" t="n"/>
      <c r="U119" s="14">
        <f>IF($C119="","",COUNTIFS('Ocorrências'!$V$5:$V$604,$C119&amp;"|"&amp;$B119&amp;"|"&amp;$G119,'Ocorrências'!$X$5:$X$604,"Sim"))</f>
        <v/>
      </c>
      <c r="V119" s="14">
        <f>IF($P119="","",IF(OR($P119=1,$P119=2,$P119=5),IF($U119&gt;0,"OK","SEM LASTRO"),"OK"))</f>
        <v/>
      </c>
      <c r="W119" s="19" t="n"/>
      <c r="X119" s="18" t="n"/>
      <c r="Y119" s="14">
        <f>IF($C119="","",$C119&amp;"|"&amp;$B119)</f>
        <v/>
      </c>
      <c r="Z119" s="14">
        <f>IF($C119="","",$C119&amp;"|"&amp;$B119&amp;"|"&amp;$H119)</f>
        <v/>
      </c>
      <c r="AA119" s="14">
        <f>IF($C119="","",$C119&amp;"|"&amp;$B119&amp;"|"&amp;$G119)</f>
        <v/>
      </c>
    </row>
    <row r="120">
      <c r="A120" s="19" t="n"/>
      <c r="B120" s="14">
        <f>IF($A120="","",VALUE(LEFT($A120,4))*4+VALUE(RIGHT($A120,1)))</f>
        <v/>
      </c>
      <c r="C120" s="19" t="n"/>
      <c r="D120" s="14">
        <f>IFERROR(INDEX(Pessoas!$B$5:$B$64,MATCH($C120,Pessoas!$A$5:$A$64,0)),"")</f>
        <v/>
      </c>
      <c r="E120" s="19" t="n"/>
      <c r="F120" s="14">
        <f>IFERROR(INDEX(Pessoas!$D$5:$D$64,MATCH($C120,Pessoas!$A$5:$A$64,0)),"")</f>
        <v/>
      </c>
      <c r="G120" s="19" t="n"/>
      <c r="H120" s="14">
        <f>IFERROR(INDEX(Config!$B$40:$B$45,MATCH($G120,Config!$C$40:$C$45,0)),"")</f>
        <v/>
      </c>
      <c r="I120" s="14">
        <f>IFERROR(INDEX(Config!$D$40:$D$45,MATCH($G120,Config!$C$40:$C$45,0)),"")</f>
        <v/>
      </c>
      <c r="J120" s="19" t="n"/>
      <c r="K120" s="19" t="n"/>
      <c r="L120" s="19" t="n"/>
      <c r="M120" s="19" t="n"/>
      <c r="N120" s="14">
        <f>IF(AND(ISNUMBER($J120),ISNUMBER($K120)),ABS($J120-$K120),"")</f>
        <v/>
      </c>
      <c r="O120" s="14">
        <f>IF(AND(NOT(ISNUMBER($J120)),NOT(ISNUMBER($K120))),"",IF(NOT(ISNUMBER($K120)),$J120,IF(NOT(ISNUMBER($J120)),$K120,IF($N120=0,$J120,IF(AND($N120=1,$T120&lt;&gt;"Sim"),IF($I120="Líder Técnico",$K120,IF($I120="GP",$J120,"CALIBRAR")),"CALIBRAR")))))</f>
        <v/>
      </c>
      <c r="P120" s="19" t="n"/>
      <c r="Q120" s="19" t="n"/>
      <c r="R120" s="14">
        <f>IF($P120="","",IF(AND(ISNUMBER($J120),$P120=$J120,ISNUMBER($K120),$P120=$K120),"= ambos",IF(AND(ISNUMBER($J120),$P120=$J120),"= GP",IF(AND(ISNUMBER($K120),$P120=$K120),"= LT","nenhuma das duas"))))</f>
        <v/>
      </c>
      <c r="S120" s="19" t="n"/>
      <c r="T120" s="19" t="n"/>
      <c r="U120" s="14">
        <f>IF($C120="","",COUNTIFS('Ocorrências'!$V$5:$V$604,$C120&amp;"|"&amp;$B120&amp;"|"&amp;$G120,'Ocorrências'!$X$5:$X$604,"Sim"))</f>
        <v/>
      </c>
      <c r="V120" s="14">
        <f>IF($P120="","",IF(OR($P120=1,$P120=2,$P120=5),IF($U120&gt;0,"OK","SEM LASTRO"),"OK"))</f>
        <v/>
      </c>
      <c r="W120" s="19" t="n"/>
      <c r="X120" s="18" t="n"/>
      <c r="Y120" s="14">
        <f>IF($C120="","",$C120&amp;"|"&amp;$B120)</f>
        <v/>
      </c>
      <c r="Z120" s="14">
        <f>IF($C120="","",$C120&amp;"|"&amp;$B120&amp;"|"&amp;$H120)</f>
        <v/>
      </c>
      <c r="AA120" s="14">
        <f>IF($C120="","",$C120&amp;"|"&amp;$B120&amp;"|"&amp;$G120)</f>
        <v/>
      </c>
    </row>
    <row r="121">
      <c r="A121" s="19" t="n"/>
      <c r="B121" s="14">
        <f>IF($A121="","",VALUE(LEFT($A121,4))*4+VALUE(RIGHT($A121,1)))</f>
        <v/>
      </c>
      <c r="C121" s="19" t="n"/>
      <c r="D121" s="14">
        <f>IFERROR(INDEX(Pessoas!$B$5:$B$64,MATCH($C121,Pessoas!$A$5:$A$64,0)),"")</f>
        <v/>
      </c>
      <c r="E121" s="19" t="n"/>
      <c r="F121" s="14">
        <f>IFERROR(INDEX(Pessoas!$D$5:$D$64,MATCH($C121,Pessoas!$A$5:$A$64,0)),"")</f>
        <v/>
      </c>
      <c r="G121" s="19" t="n"/>
      <c r="H121" s="14">
        <f>IFERROR(INDEX(Config!$B$40:$B$45,MATCH($G121,Config!$C$40:$C$45,0)),"")</f>
        <v/>
      </c>
      <c r="I121" s="14">
        <f>IFERROR(INDEX(Config!$D$40:$D$45,MATCH($G121,Config!$C$40:$C$45,0)),"")</f>
        <v/>
      </c>
      <c r="J121" s="19" t="n"/>
      <c r="K121" s="19" t="n"/>
      <c r="L121" s="19" t="n"/>
      <c r="M121" s="19" t="n"/>
      <c r="N121" s="14">
        <f>IF(AND(ISNUMBER($J121),ISNUMBER($K121)),ABS($J121-$K121),"")</f>
        <v/>
      </c>
      <c r="O121" s="14">
        <f>IF(AND(NOT(ISNUMBER($J121)),NOT(ISNUMBER($K121))),"",IF(NOT(ISNUMBER($K121)),$J121,IF(NOT(ISNUMBER($J121)),$K121,IF($N121=0,$J121,IF(AND($N121=1,$T121&lt;&gt;"Sim"),IF($I121="Líder Técnico",$K121,IF($I121="GP",$J121,"CALIBRAR")),"CALIBRAR")))))</f>
        <v/>
      </c>
      <c r="P121" s="19" t="n"/>
      <c r="Q121" s="19" t="n"/>
      <c r="R121" s="14">
        <f>IF($P121="","",IF(AND(ISNUMBER($J121),$P121=$J121,ISNUMBER($K121),$P121=$K121),"= ambos",IF(AND(ISNUMBER($J121),$P121=$J121),"= GP",IF(AND(ISNUMBER($K121),$P121=$K121),"= LT","nenhuma das duas"))))</f>
        <v/>
      </c>
      <c r="S121" s="19" t="n"/>
      <c r="T121" s="19" t="n"/>
      <c r="U121" s="14">
        <f>IF($C121="","",COUNTIFS('Ocorrências'!$V$5:$V$604,$C121&amp;"|"&amp;$B121&amp;"|"&amp;$G121,'Ocorrências'!$X$5:$X$604,"Sim"))</f>
        <v/>
      </c>
      <c r="V121" s="14">
        <f>IF($P121="","",IF(OR($P121=1,$P121=2,$P121=5),IF($U121&gt;0,"OK","SEM LASTRO"),"OK"))</f>
        <v/>
      </c>
      <c r="W121" s="19" t="n"/>
      <c r="X121" s="18" t="n"/>
      <c r="Y121" s="14">
        <f>IF($C121="","",$C121&amp;"|"&amp;$B121)</f>
        <v/>
      </c>
      <c r="Z121" s="14">
        <f>IF($C121="","",$C121&amp;"|"&amp;$B121&amp;"|"&amp;$H121)</f>
        <v/>
      </c>
      <c r="AA121" s="14">
        <f>IF($C121="","",$C121&amp;"|"&amp;$B121&amp;"|"&amp;$G121)</f>
        <v/>
      </c>
    </row>
    <row r="122">
      <c r="A122" s="19" t="n"/>
      <c r="B122" s="14">
        <f>IF($A122="","",VALUE(LEFT($A122,4))*4+VALUE(RIGHT($A122,1)))</f>
        <v/>
      </c>
      <c r="C122" s="19" t="n"/>
      <c r="D122" s="14">
        <f>IFERROR(INDEX(Pessoas!$B$5:$B$64,MATCH($C122,Pessoas!$A$5:$A$64,0)),"")</f>
        <v/>
      </c>
      <c r="E122" s="19" t="n"/>
      <c r="F122" s="14">
        <f>IFERROR(INDEX(Pessoas!$D$5:$D$64,MATCH($C122,Pessoas!$A$5:$A$64,0)),"")</f>
        <v/>
      </c>
      <c r="G122" s="19" t="n"/>
      <c r="H122" s="14">
        <f>IFERROR(INDEX(Config!$B$40:$B$45,MATCH($G122,Config!$C$40:$C$45,0)),"")</f>
        <v/>
      </c>
      <c r="I122" s="14">
        <f>IFERROR(INDEX(Config!$D$40:$D$45,MATCH($G122,Config!$C$40:$C$45,0)),"")</f>
        <v/>
      </c>
      <c r="J122" s="19" t="n"/>
      <c r="K122" s="19" t="n"/>
      <c r="L122" s="19" t="n"/>
      <c r="M122" s="19" t="n"/>
      <c r="N122" s="14">
        <f>IF(AND(ISNUMBER($J122),ISNUMBER($K122)),ABS($J122-$K122),"")</f>
        <v/>
      </c>
      <c r="O122" s="14">
        <f>IF(AND(NOT(ISNUMBER($J122)),NOT(ISNUMBER($K122))),"",IF(NOT(ISNUMBER($K122)),$J122,IF(NOT(ISNUMBER($J122)),$K122,IF($N122=0,$J122,IF(AND($N122=1,$T122&lt;&gt;"Sim"),IF($I122="Líder Técnico",$K122,IF($I122="GP",$J122,"CALIBRAR")),"CALIBRAR")))))</f>
        <v/>
      </c>
      <c r="P122" s="19" t="n"/>
      <c r="Q122" s="19" t="n"/>
      <c r="R122" s="14">
        <f>IF($P122="","",IF(AND(ISNUMBER($J122),$P122=$J122,ISNUMBER($K122),$P122=$K122),"= ambos",IF(AND(ISNUMBER($J122),$P122=$J122),"= GP",IF(AND(ISNUMBER($K122),$P122=$K122),"= LT","nenhuma das duas"))))</f>
        <v/>
      </c>
      <c r="S122" s="19" t="n"/>
      <c r="T122" s="19" t="n"/>
      <c r="U122" s="14">
        <f>IF($C122="","",COUNTIFS('Ocorrências'!$V$5:$V$604,$C122&amp;"|"&amp;$B122&amp;"|"&amp;$G122,'Ocorrências'!$X$5:$X$604,"Sim"))</f>
        <v/>
      </c>
      <c r="V122" s="14">
        <f>IF($P122="","",IF(OR($P122=1,$P122=2,$P122=5),IF($U122&gt;0,"OK","SEM LASTRO"),"OK"))</f>
        <v/>
      </c>
      <c r="W122" s="19" t="n"/>
      <c r="X122" s="18" t="n"/>
      <c r="Y122" s="14">
        <f>IF($C122="","",$C122&amp;"|"&amp;$B122)</f>
        <v/>
      </c>
      <c r="Z122" s="14">
        <f>IF($C122="","",$C122&amp;"|"&amp;$B122&amp;"|"&amp;$H122)</f>
        <v/>
      </c>
      <c r="AA122" s="14">
        <f>IF($C122="","",$C122&amp;"|"&amp;$B122&amp;"|"&amp;$G122)</f>
        <v/>
      </c>
    </row>
    <row r="123">
      <c r="A123" s="19" t="n"/>
      <c r="B123" s="14">
        <f>IF($A123="","",VALUE(LEFT($A123,4))*4+VALUE(RIGHT($A123,1)))</f>
        <v/>
      </c>
      <c r="C123" s="19" t="n"/>
      <c r="D123" s="14">
        <f>IFERROR(INDEX(Pessoas!$B$5:$B$64,MATCH($C123,Pessoas!$A$5:$A$64,0)),"")</f>
        <v/>
      </c>
      <c r="E123" s="19" t="n"/>
      <c r="F123" s="14">
        <f>IFERROR(INDEX(Pessoas!$D$5:$D$64,MATCH($C123,Pessoas!$A$5:$A$64,0)),"")</f>
        <v/>
      </c>
      <c r="G123" s="19" t="n"/>
      <c r="H123" s="14">
        <f>IFERROR(INDEX(Config!$B$40:$B$45,MATCH($G123,Config!$C$40:$C$45,0)),"")</f>
        <v/>
      </c>
      <c r="I123" s="14">
        <f>IFERROR(INDEX(Config!$D$40:$D$45,MATCH($G123,Config!$C$40:$C$45,0)),"")</f>
        <v/>
      </c>
      <c r="J123" s="19" t="n"/>
      <c r="K123" s="19" t="n"/>
      <c r="L123" s="19" t="n"/>
      <c r="M123" s="19" t="n"/>
      <c r="N123" s="14">
        <f>IF(AND(ISNUMBER($J123),ISNUMBER($K123)),ABS($J123-$K123),"")</f>
        <v/>
      </c>
      <c r="O123" s="14">
        <f>IF(AND(NOT(ISNUMBER($J123)),NOT(ISNUMBER($K123))),"",IF(NOT(ISNUMBER($K123)),$J123,IF(NOT(ISNUMBER($J123)),$K123,IF($N123=0,$J123,IF(AND($N123=1,$T123&lt;&gt;"Sim"),IF($I123="Líder Técnico",$K123,IF($I123="GP",$J123,"CALIBRAR")),"CALIBRAR")))))</f>
        <v/>
      </c>
      <c r="P123" s="19" t="n"/>
      <c r="Q123" s="19" t="n"/>
      <c r="R123" s="14">
        <f>IF($P123="","",IF(AND(ISNUMBER($J123),$P123=$J123,ISNUMBER($K123),$P123=$K123),"= ambos",IF(AND(ISNUMBER($J123),$P123=$J123),"= GP",IF(AND(ISNUMBER($K123),$P123=$K123),"= LT","nenhuma das duas"))))</f>
        <v/>
      </c>
      <c r="S123" s="19" t="n"/>
      <c r="T123" s="19" t="n"/>
      <c r="U123" s="14">
        <f>IF($C123="","",COUNTIFS('Ocorrências'!$V$5:$V$604,$C123&amp;"|"&amp;$B123&amp;"|"&amp;$G123,'Ocorrências'!$X$5:$X$604,"Sim"))</f>
        <v/>
      </c>
      <c r="V123" s="14">
        <f>IF($P123="","",IF(OR($P123=1,$P123=2,$P123=5),IF($U123&gt;0,"OK","SEM LASTRO"),"OK"))</f>
        <v/>
      </c>
      <c r="W123" s="19" t="n"/>
      <c r="X123" s="18" t="n"/>
      <c r="Y123" s="14">
        <f>IF($C123="","",$C123&amp;"|"&amp;$B123)</f>
        <v/>
      </c>
      <c r="Z123" s="14">
        <f>IF($C123="","",$C123&amp;"|"&amp;$B123&amp;"|"&amp;$H123)</f>
        <v/>
      </c>
      <c r="AA123" s="14">
        <f>IF($C123="","",$C123&amp;"|"&amp;$B123&amp;"|"&amp;$G123)</f>
        <v/>
      </c>
    </row>
    <row r="124">
      <c r="A124" s="19" t="n"/>
      <c r="B124" s="14">
        <f>IF($A124="","",VALUE(LEFT($A124,4))*4+VALUE(RIGHT($A124,1)))</f>
        <v/>
      </c>
      <c r="C124" s="19" t="n"/>
      <c r="D124" s="14">
        <f>IFERROR(INDEX(Pessoas!$B$5:$B$64,MATCH($C124,Pessoas!$A$5:$A$64,0)),"")</f>
        <v/>
      </c>
      <c r="E124" s="19" t="n"/>
      <c r="F124" s="14">
        <f>IFERROR(INDEX(Pessoas!$D$5:$D$64,MATCH($C124,Pessoas!$A$5:$A$64,0)),"")</f>
        <v/>
      </c>
      <c r="G124" s="19" t="n"/>
      <c r="H124" s="14">
        <f>IFERROR(INDEX(Config!$B$40:$B$45,MATCH($G124,Config!$C$40:$C$45,0)),"")</f>
        <v/>
      </c>
      <c r="I124" s="14">
        <f>IFERROR(INDEX(Config!$D$40:$D$45,MATCH($G124,Config!$C$40:$C$45,0)),"")</f>
        <v/>
      </c>
      <c r="J124" s="19" t="n"/>
      <c r="K124" s="19" t="n"/>
      <c r="L124" s="19" t="n"/>
      <c r="M124" s="19" t="n"/>
      <c r="N124" s="14">
        <f>IF(AND(ISNUMBER($J124),ISNUMBER($K124)),ABS($J124-$K124),"")</f>
        <v/>
      </c>
      <c r="O124" s="14">
        <f>IF(AND(NOT(ISNUMBER($J124)),NOT(ISNUMBER($K124))),"",IF(NOT(ISNUMBER($K124)),$J124,IF(NOT(ISNUMBER($J124)),$K124,IF($N124=0,$J124,IF(AND($N124=1,$T124&lt;&gt;"Sim"),IF($I124="Líder Técnico",$K124,IF($I124="GP",$J124,"CALIBRAR")),"CALIBRAR")))))</f>
        <v/>
      </c>
      <c r="P124" s="19" t="n"/>
      <c r="Q124" s="19" t="n"/>
      <c r="R124" s="14">
        <f>IF($P124="","",IF(AND(ISNUMBER($J124),$P124=$J124,ISNUMBER($K124),$P124=$K124),"= ambos",IF(AND(ISNUMBER($J124),$P124=$J124),"= GP",IF(AND(ISNUMBER($K124),$P124=$K124),"= LT","nenhuma das duas"))))</f>
        <v/>
      </c>
      <c r="S124" s="19" t="n"/>
      <c r="T124" s="19" t="n"/>
      <c r="U124" s="14">
        <f>IF($C124="","",COUNTIFS('Ocorrências'!$V$5:$V$604,$C124&amp;"|"&amp;$B124&amp;"|"&amp;$G124,'Ocorrências'!$X$5:$X$604,"Sim"))</f>
        <v/>
      </c>
      <c r="V124" s="14">
        <f>IF($P124="","",IF(OR($P124=1,$P124=2,$P124=5),IF($U124&gt;0,"OK","SEM LASTRO"),"OK"))</f>
        <v/>
      </c>
      <c r="W124" s="19" t="n"/>
      <c r="X124" s="18" t="n"/>
      <c r="Y124" s="14">
        <f>IF($C124="","",$C124&amp;"|"&amp;$B124)</f>
        <v/>
      </c>
      <c r="Z124" s="14">
        <f>IF($C124="","",$C124&amp;"|"&amp;$B124&amp;"|"&amp;$H124)</f>
        <v/>
      </c>
      <c r="AA124" s="14">
        <f>IF($C124="","",$C124&amp;"|"&amp;$B124&amp;"|"&amp;$G124)</f>
        <v/>
      </c>
    </row>
    <row r="125">
      <c r="A125" s="19" t="n"/>
      <c r="B125" s="14">
        <f>IF($A125="","",VALUE(LEFT($A125,4))*4+VALUE(RIGHT($A125,1)))</f>
        <v/>
      </c>
      <c r="C125" s="19" t="n"/>
      <c r="D125" s="14">
        <f>IFERROR(INDEX(Pessoas!$B$5:$B$64,MATCH($C125,Pessoas!$A$5:$A$64,0)),"")</f>
        <v/>
      </c>
      <c r="E125" s="19" t="n"/>
      <c r="F125" s="14">
        <f>IFERROR(INDEX(Pessoas!$D$5:$D$64,MATCH($C125,Pessoas!$A$5:$A$64,0)),"")</f>
        <v/>
      </c>
      <c r="G125" s="19" t="n"/>
      <c r="H125" s="14">
        <f>IFERROR(INDEX(Config!$B$40:$B$45,MATCH($G125,Config!$C$40:$C$45,0)),"")</f>
        <v/>
      </c>
      <c r="I125" s="14">
        <f>IFERROR(INDEX(Config!$D$40:$D$45,MATCH($G125,Config!$C$40:$C$45,0)),"")</f>
        <v/>
      </c>
      <c r="J125" s="19" t="n"/>
      <c r="K125" s="19" t="n"/>
      <c r="L125" s="19" t="n"/>
      <c r="M125" s="19" t="n"/>
      <c r="N125" s="14">
        <f>IF(AND(ISNUMBER($J125),ISNUMBER($K125)),ABS($J125-$K125),"")</f>
        <v/>
      </c>
      <c r="O125" s="14">
        <f>IF(AND(NOT(ISNUMBER($J125)),NOT(ISNUMBER($K125))),"",IF(NOT(ISNUMBER($K125)),$J125,IF(NOT(ISNUMBER($J125)),$K125,IF($N125=0,$J125,IF(AND($N125=1,$T125&lt;&gt;"Sim"),IF($I125="Líder Técnico",$K125,IF($I125="GP",$J125,"CALIBRAR")),"CALIBRAR")))))</f>
        <v/>
      </c>
      <c r="P125" s="19" t="n"/>
      <c r="Q125" s="19" t="n"/>
      <c r="R125" s="14">
        <f>IF($P125="","",IF(AND(ISNUMBER($J125),$P125=$J125,ISNUMBER($K125),$P125=$K125),"= ambos",IF(AND(ISNUMBER($J125),$P125=$J125),"= GP",IF(AND(ISNUMBER($K125),$P125=$K125),"= LT","nenhuma das duas"))))</f>
        <v/>
      </c>
      <c r="S125" s="19" t="n"/>
      <c r="T125" s="19" t="n"/>
      <c r="U125" s="14">
        <f>IF($C125="","",COUNTIFS('Ocorrências'!$V$5:$V$604,$C125&amp;"|"&amp;$B125&amp;"|"&amp;$G125,'Ocorrências'!$X$5:$X$604,"Sim"))</f>
        <v/>
      </c>
      <c r="V125" s="14">
        <f>IF($P125="","",IF(OR($P125=1,$P125=2,$P125=5),IF($U125&gt;0,"OK","SEM LASTRO"),"OK"))</f>
        <v/>
      </c>
      <c r="W125" s="19" t="n"/>
      <c r="X125" s="18" t="n"/>
      <c r="Y125" s="14">
        <f>IF($C125="","",$C125&amp;"|"&amp;$B125)</f>
        <v/>
      </c>
      <c r="Z125" s="14">
        <f>IF($C125="","",$C125&amp;"|"&amp;$B125&amp;"|"&amp;$H125)</f>
        <v/>
      </c>
      <c r="AA125" s="14">
        <f>IF($C125="","",$C125&amp;"|"&amp;$B125&amp;"|"&amp;$G125)</f>
        <v/>
      </c>
    </row>
    <row r="126">
      <c r="A126" s="19" t="n"/>
      <c r="B126" s="14">
        <f>IF($A126="","",VALUE(LEFT($A126,4))*4+VALUE(RIGHT($A126,1)))</f>
        <v/>
      </c>
      <c r="C126" s="19" t="n"/>
      <c r="D126" s="14">
        <f>IFERROR(INDEX(Pessoas!$B$5:$B$64,MATCH($C126,Pessoas!$A$5:$A$64,0)),"")</f>
        <v/>
      </c>
      <c r="E126" s="19" t="n"/>
      <c r="F126" s="14">
        <f>IFERROR(INDEX(Pessoas!$D$5:$D$64,MATCH($C126,Pessoas!$A$5:$A$64,0)),"")</f>
        <v/>
      </c>
      <c r="G126" s="19" t="n"/>
      <c r="H126" s="14">
        <f>IFERROR(INDEX(Config!$B$40:$B$45,MATCH($G126,Config!$C$40:$C$45,0)),"")</f>
        <v/>
      </c>
      <c r="I126" s="14">
        <f>IFERROR(INDEX(Config!$D$40:$D$45,MATCH($G126,Config!$C$40:$C$45,0)),"")</f>
        <v/>
      </c>
      <c r="J126" s="19" t="n"/>
      <c r="K126" s="19" t="n"/>
      <c r="L126" s="19" t="n"/>
      <c r="M126" s="19" t="n"/>
      <c r="N126" s="14">
        <f>IF(AND(ISNUMBER($J126),ISNUMBER($K126)),ABS($J126-$K126),"")</f>
        <v/>
      </c>
      <c r="O126" s="14">
        <f>IF(AND(NOT(ISNUMBER($J126)),NOT(ISNUMBER($K126))),"",IF(NOT(ISNUMBER($K126)),$J126,IF(NOT(ISNUMBER($J126)),$K126,IF($N126=0,$J126,IF(AND($N126=1,$T126&lt;&gt;"Sim"),IF($I126="Líder Técnico",$K126,IF($I126="GP",$J126,"CALIBRAR")),"CALIBRAR")))))</f>
        <v/>
      </c>
      <c r="P126" s="19" t="n"/>
      <c r="Q126" s="19" t="n"/>
      <c r="R126" s="14">
        <f>IF($P126="","",IF(AND(ISNUMBER($J126),$P126=$J126,ISNUMBER($K126),$P126=$K126),"= ambos",IF(AND(ISNUMBER($J126),$P126=$J126),"= GP",IF(AND(ISNUMBER($K126),$P126=$K126),"= LT","nenhuma das duas"))))</f>
        <v/>
      </c>
      <c r="S126" s="19" t="n"/>
      <c r="T126" s="19" t="n"/>
      <c r="U126" s="14">
        <f>IF($C126="","",COUNTIFS('Ocorrências'!$V$5:$V$604,$C126&amp;"|"&amp;$B126&amp;"|"&amp;$G126,'Ocorrências'!$X$5:$X$604,"Sim"))</f>
        <v/>
      </c>
      <c r="V126" s="14">
        <f>IF($P126="","",IF(OR($P126=1,$P126=2,$P126=5),IF($U126&gt;0,"OK","SEM LASTRO"),"OK"))</f>
        <v/>
      </c>
      <c r="W126" s="19" t="n"/>
      <c r="X126" s="18" t="n"/>
      <c r="Y126" s="14">
        <f>IF($C126="","",$C126&amp;"|"&amp;$B126)</f>
        <v/>
      </c>
      <c r="Z126" s="14">
        <f>IF($C126="","",$C126&amp;"|"&amp;$B126&amp;"|"&amp;$H126)</f>
        <v/>
      </c>
      <c r="AA126" s="14">
        <f>IF($C126="","",$C126&amp;"|"&amp;$B126&amp;"|"&amp;$G126)</f>
        <v/>
      </c>
    </row>
    <row r="127">
      <c r="A127" s="19" t="n"/>
      <c r="B127" s="14">
        <f>IF($A127="","",VALUE(LEFT($A127,4))*4+VALUE(RIGHT($A127,1)))</f>
        <v/>
      </c>
      <c r="C127" s="19" t="n"/>
      <c r="D127" s="14">
        <f>IFERROR(INDEX(Pessoas!$B$5:$B$64,MATCH($C127,Pessoas!$A$5:$A$64,0)),"")</f>
        <v/>
      </c>
      <c r="E127" s="19" t="n"/>
      <c r="F127" s="14">
        <f>IFERROR(INDEX(Pessoas!$D$5:$D$64,MATCH($C127,Pessoas!$A$5:$A$64,0)),"")</f>
        <v/>
      </c>
      <c r="G127" s="19" t="n"/>
      <c r="H127" s="14">
        <f>IFERROR(INDEX(Config!$B$40:$B$45,MATCH($G127,Config!$C$40:$C$45,0)),"")</f>
        <v/>
      </c>
      <c r="I127" s="14">
        <f>IFERROR(INDEX(Config!$D$40:$D$45,MATCH($G127,Config!$C$40:$C$45,0)),"")</f>
        <v/>
      </c>
      <c r="J127" s="19" t="n"/>
      <c r="K127" s="19" t="n"/>
      <c r="L127" s="19" t="n"/>
      <c r="M127" s="19" t="n"/>
      <c r="N127" s="14">
        <f>IF(AND(ISNUMBER($J127),ISNUMBER($K127)),ABS($J127-$K127),"")</f>
        <v/>
      </c>
      <c r="O127" s="14">
        <f>IF(AND(NOT(ISNUMBER($J127)),NOT(ISNUMBER($K127))),"",IF(NOT(ISNUMBER($K127)),$J127,IF(NOT(ISNUMBER($J127)),$K127,IF($N127=0,$J127,IF(AND($N127=1,$T127&lt;&gt;"Sim"),IF($I127="Líder Técnico",$K127,IF($I127="GP",$J127,"CALIBRAR")),"CALIBRAR")))))</f>
        <v/>
      </c>
      <c r="P127" s="19" t="n"/>
      <c r="Q127" s="19" t="n"/>
      <c r="R127" s="14">
        <f>IF($P127="","",IF(AND(ISNUMBER($J127),$P127=$J127,ISNUMBER($K127),$P127=$K127),"= ambos",IF(AND(ISNUMBER($J127),$P127=$J127),"= GP",IF(AND(ISNUMBER($K127),$P127=$K127),"= LT","nenhuma das duas"))))</f>
        <v/>
      </c>
      <c r="S127" s="19" t="n"/>
      <c r="T127" s="19" t="n"/>
      <c r="U127" s="14">
        <f>IF($C127="","",COUNTIFS('Ocorrências'!$V$5:$V$604,$C127&amp;"|"&amp;$B127&amp;"|"&amp;$G127,'Ocorrências'!$X$5:$X$604,"Sim"))</f>
        <v/>
      </c>
      <c r="V127" s="14">
        <f>IF($P127="","",IF(OR($P127=1,$P127=2,$P127=5),IF($U127&gt;0,"OK","SEM LASTRO"),"OK"))</f>
        <v/>
      </c>
      <c r="W127" s="19" t="n"/>
      <c r="X127" s="18" t="n"/>
      <c r="Y127" s="14">
        <f>IF($C127="","",$C127&amp;"|"&amp;$B127)</f>
        <v/>
      </c>
      <c r="Z127" s="14">
        <f>IF($C127="","",$C127&amp;"|"&amp;$B127&amp;"|"&amp;$H127)</f>
        <v/>
      </c>
      <c r="AA127" s="14">
        <f>IF($C127="","",$C127&amp;"|"&amp;$B127&amp;"|"&amp;$G127)</f>
        <v/>
      </c>
    </row>
    <row r="128">
      <c r="A128" s="19" t="n"/>
      <c r="B128" s="14">
        <f>IF($A128="","",VALUE(LEFT($A128,4))*4+VALUE(RIGHT($A128,1)))</f>
        <v/>
      </c>
      <c r="C128" s="19" t="n"/>
      <c r="D128" s="14">
        <f>IFERROR(INDEX(Pessoas!$B$5:$B$64,MATCH($C128,Pessoas!$A$5:$A$64,0)),"")</f>
        <v/>
      </c>
      <c r="E128" s="19" t="n"/>
      <c r="F128" s="14">
        <f>IFERROR(INDEX(Pessoas!$D$5:$D$64,MATCH($C128,Pessoas!$A$5:$A$64,0)),"")</f>
        <v/>
      </c>
      <c r="G128" s="19" t="n"/>
      <c r="H128" s="14">
        <f>IFERROR(INDEX(Config!$B$40:$B$45,MATCH($G128,Config!$C$40:$C$45,0)),"")</f>
        <v/>
      </c>
      <c r="I128" s="14">
        <f>IFERROR(INDEX(Config!$D$40:$D$45,MATCH($G128,Config!$C$40:$C$45,0)),"")</f>
        <v/>
      </c>
      <c r="J128" s="19" t="n"/>
      <c r="K128" s="19" t="n"/>
      <c r="L128" s="19" t="n"/>
      <c r="M128" s="19" t="n"/>
      <c r="N128" s="14">
        <f>IF(AND(ISNUMBER($J128),ISNUMBER($K128)),ABS($J128-$K128),"")</f>
        <v/>
      </c>
      <c r="O128" s="14">
        <f>IF(AND(NOT(ISNUMBER($J128)),NOT(ISNUMBER($K128))),"",IF(NOT(ISNUMBER($K128)),$J128,IF(NOT(ISNUMBER($J128)),$K128,IF($N128=0,$J128,IF(AND($N128=1,$T128&lt;&gt;"Sim"),IF($I128="Líder Técnico",$K128,IF($I128="GP",$J128,"CALIBRAR")),"CALIBRAR")))))</f>
        <v/>
      </c>
      <c r="P128" s="19" t="n"/>
      <c r="Q128" s="19" t="n"/>
      <c r="R128" s="14">
        <f>IF($P128="","",IF(AND(ISNUMBER($J128),$P128=$J128,ISNUMBER($K128),$P128=$K128),"= ambos",IF(AND(ISNUMBER($J128),$P128=$J128),"= GP",IF(AND(ISNUMBER($K128),$P128=$K128),"= LT","nenhuma das duas"))))</f>
        <v/>
      </c>
      <c r="S128" s="19" t="n"/>
      <c r="T128" s="19" t="n"/>
      <c r="U128" s="14">
        <f>IF($C128="","",COUNTIFS('Ocorrências'!$V$5:$V$604,$C128&amp;"|"&amp;$B128&amp;"|"&amp;$G128,'Ocorrências'!$X$5:$X$604,"Sim"))</f>
        <v/>
      </c>
      <c r="V128" s="14">
        <f>IF($P128="","",IF(OR($P128=1,$P128=2,$P128=5),IF($U128&gt;0,"OK","SEM LASTRO"),"OK"))</f>
        <v/>
      </c>
      <c r="W128" s="19" t="n"/>
      <c r="X128" s="18" t="n"/>
      <c r="Y128" s="14">
        <f>IF($C128="","",$C128&amp;"|"&amp;$B128)</f>
        <v/>
      </c>
      <c r="Z128" s="14">
        <f>IF($C128="","",$C128&amp;"|"&amp;$B128&amp;"|"&amp;$H128)</f>
        <v/>
      </c>
      <c r="AA128" s="14">
        <f>IF($C128="","",$C128&amp;"|"&amp;$B128&amp;"|"&amp;$G128)</f>
        <v/>
      </c>
    </row>
    <row r="129">
      <c r="A129" s="19" t="n"/>
      <c r="B129" s="14">
        <f>IF($A129="","",VALUE(LEFT($A129,4))*4+VALUE(RIGHT($A129,1)))</f>
        <v/>
      </c>
      <c r="C129" s="19" t="n"/>
      <c r="D129" s="14">
        <f>IFERROR(INDEX(Pessoas!$B$5:$B$64,MATCH($C129,Pessoas!$A$5:$A$64,0)),"")</f>
        <v/>
      </c>
      <c r="E129" s="19" t="n"/>
      <c r="F129" s="14">
        <f>IFERROR(INDEX(Pessoas!$D$5:$D$64,MATCH($C129,Pessoas!$A$5:$A$64,0)),"")</f>
        <v/>
      </c>
      <c r="G129" s="19" t="n"/>
      <c r="H129" s="14">
        <f>IFERROR(INDEX(Config!$B$40:$B$45,MATCH($G129,Config!$C$40:$C$45,0)),"")</f>
        <v/>
      </c>
      <c r="I129" s="14">
        <f>IFERROR(INDEX(Config!$D$40:$D$45,MATCH($G129,Config!$C$40:$C$45,0)),"")</f>
        <v/>
      </c>
      <c r="J129" s="19" t="n"/>
      <c r="K129" s="19" t="n"/>
      <c r="L129" s="19" t="n"/>
      <c r="M129" s="19" t="n"/>
      <c r="N129" s="14">
        <f>IF(AND(ISNUMBER($J129),ISNUMBER($K129)),ABS($J129-$K129),"")</f>
        <v/>
      </c>
      <c r="O129" s="14">
        <f>IF(AND(NOT(ISNUMBER($J129)),NOT(ISNUMBER($K129))),"",IF(NOT(ISNUMBER($K129)),$J129,IF(NOT(ISNUMBER($J129)),$K129,IF($N129=0,$J129,IF(AND($N129=1,$T129&lt;&gt;"Sim"),IF($I129="Líder Técnico",$K129,IF($I129="GP",$J129,"CALIBRAR")),"CALIBRAR")))))</f>
        <v/>
      </c>
      <c r="P129" s="19" t="n"/>
      <c r="Q129" s="19" t="n"/>
      <c r="R129" s="14">
        <f>IF($P129="","",IF(AND(ISNUMBER($J129),$P129=$J129,ISNUMBER($K129),$P129=$K129),"= ambos",IF(AND(ISNUMBER($J129),$P129=$J129),"= GP",IF(AND(ISNUMBER($K129),$P129=$K129),"= LT","nenhuma das duas"))))</f>
        <v/>
      </c>
      <c r="S129" s="19" t="n"/>
      <c r="T129" s="19" t="n"/>
      <c r="U129" s="14">
        <f>IF($C129="","",COUNTIFS('Ocorrências'!$V$5:$V$604,$C129&amp;"|"&amp;$B129&amp;"|"&amp;$G129,'Ocorrências'!$X$5:$X$604,"Sim"))</f>
        <v/>
      </c>
      <c r="V129" s="14">
        <f>IF($P129="","",IF(OR($P129=1,$P129=2,$P129=5),IF($U129&gt;0,"OK","SEM LASTRO"),"OK"))</f>
        <v/>
      </c>
      <c r="W129" s="19" t="n"/>
      <c r="X129" s="18" t="n"/>
      <c r="Y129" s="14">
        <f>IF($C129="","",$C129&amp;"|"&amp;$B129)</f>
        <v/>
      </c>
      <c r="Z129" s="14">
        <f>IF($C129="","",$C129&amp;"|"&amp;$B129&amp;"|"&amp;$H129)</f>
        <v/>
      </c>
      <c r="AA129" s="14">
        <f>IF($C129="","",$C129&amp;"|"&amp;$B129&amp;"|"&amp;$G129)</f>
        <v/>
      </c>
    </row>
    <row r="130">
      <c r="A130" s="19" t="n"/>
      <c r="B130" s="14">
        <f>IF($A130="","",VALUE(LEFT($A130,4))*4+VALUE(RIGHT($A130,1)))</f>
        <v/>
      </c>
      <c r="C130" s="19" t="n"/>
      <c r="D130" s="14">
        <f>IFERROR(INDEX(Pessoas!$B$5:$B$64,MATCH($C130,Pessoas!$A$5:$A$64,0)),"")</f>
        <v/>
      </c>
      <c r="E130" s="19" t="n"/>
      <c r="F130" s="14">
        <f>IFERROR(INDEX(Pessoas!$D$5:$D$64,MATCH($C130,Pessoas!$A$5:$A$64,0)),"")</f>
        <v/>
      </c>
      <c r="G130" s="19" t="n"/>
      <c r="H130" s="14">
        <f>IFERROR(INDEX(Config!$B$40:$B$45,MATCH($G130,Config!$C$40:$C$45,0)),"")</f>
        <v/>
      </c>
      <c r="I130" s="14">
        <f>IFERROR(INDEX(Config!$D$40:$D$45,MATCH($G130,Config!$C$40:$C$45,0)),"")</f>
        <v/>
      </c>
      <c r="J130" s="19" t="n"/>
      <c r="K130" s="19" t="n"/>
      <c r="L130" s="19" t="n"/>
      <c r="M130" s="19" t="n"/>
      <c r="N130" s="14">
        <f>IF(AND(ISNUMBER($J130),ISNUMBER($K130)),ABS($J130-$K130),"")</f>
        <v/>
      </c>
      <c r="O130" s="14">
        <f>IF(AND(NOT(ISNUMBER($J130)),NOT(ISNUMBER($K130))),"",IF(NOT(ISNUMBER($K130)),$J130,IF(NOT(ISNUMBER($J130)),$K130,IF($N130=0,$J130,IF(AND($N130=1,$T130&lt;&gt;"Sim"),IF($I130="Líder Técnico",$K130,IF($I130="GP",$J130,"CALIBRAR")),"CALIBRAR")))))</f>
        <v/>
      </c>
      <c r="P130" s="19" t="n"/>
      <c r="Q130" s="19" t="n"/>
      <c r="R130" s="14">
        <f>IF($P130="","",IF(AND(ISNUMBER($J130),$P130=$J130,ISNUMBER($K130),$P130=$K130),"= ambos",IF(AND(ISNUMBER($J130),$P130=$J130),"= GP",IF(AND(ISNUMBER($K130),$P130=$K130),"= LT","nenhuma das duas"))))</f>
        <v/>
      </c>
      <c r="S130" s="19" t="n"/>
      <c r="T130" s="19" t="n"/>
      <c r="U130" s="14">
        <f>IF($C130="","",COUNTIFS('Ocorrências'!$V$5:$V$604,$C130&amp;"|"&amp;$B130&amp;"|"&amp;$G130,'Ocorrências'!$X$5:$X$604,"Sim"))</f>
        <v/>
      </c>
      <c r="V130" s="14">
        <f>IF($P130="","",IF(OR($P130=1,$P130=2,$P130=5),IF($U130&gt;0,"OK","SEM LASTRO"),"OK"))</f>
        <v/>
      </c>
      <c r="W130" s="19" t="n"/>
      <c r="X130" s="18" t="n"/>
      <c r="Y130" s="14">
        <f>IF($C130="","",$C130&amp;"|"&amp;$B130)</f>
        <v/>
      </c>
      <c r="Z130" s="14">
        <f>IF($C130="","",$C130&amp;"|"&amp;$B130&amp;"|"&amp;$H130)</f>
        <v/>
      </c>
      <c r="AA130" s="14">
        <f>IF($C130="","",$C130&amp;"|"&amp;$B130&amp;"|"&amp;$G130)</f>
        <v/>
      </c>
    </row>
    <row r="131">
      <c r="A131" s="19" t="n"/>
      <c r="B131" s="14">
        <f>IF($A131="","",VALUE(LEFT($A131,4))*4+VALUE(RIGHT($A131,1)))</f>
        <v/>
      </c>
      <c r="C131" s="19" t="n"/>
      <c r="D131" s="14">
        <f>IFERROR(INDEX(Pessoas!$B$5:$B$64,MATCH($C131,Pessoas!$A$5:$A$64,0)),"")</f>
        <v/>
      </c>
      <c r="E131" s="19" t="n"/>
      <c r="F131" s="14">
        <f>IFERROR(INDEX(Pessoas!$D$5:$D$64,MATCH($C131,Pessoas!$A$5:$A$64,0)),"")</f>
        <v/>
      </c>
      <c r="G131" s="19" t="n"/>
      <c r="H131" s="14">
        <f>IFERROR(INDEX(Config!$B$40:$B$45,MATCH($G131,Config!$C$40:$C$45,0)),"")</f>
        <v/>
      </c>
      <c r="I131" s="14">
        <f>IFERROR(INDEX(Config!$D$40:$D$45,MATCH($G131,Config!$C$40:$C$45,0)),"")</f>
        <v/>
      </c>
      <c r="J131" s="19" t="n"/>
      <c r="K131" s="19" t="n"/>
      <c r="L131" s="19" t="n"/>
      <c r="M131" s="19" t="n"/>
      <c r="N131" s="14">
        <f>IF(AND(ISNUMBER($J131),ISNUMBER($K131)),ABS($J131-$K131),"")</f>
        <v/>
      </c>
      <c r="O131" s="14">
        <f>IF(AND(NOT(ISNUMBER($J131)),NOT(ISNUMBER($K131))),"",IF(NOT(ISNUMBER($K131)),$J131,IF(NOT(ISNUMBER($J131)),$K131,IF($N131=0,$J131,IF(AND($N131=1,$T131&lt;&gt;"Sim"),IF($I131="Líder Técnico",$K131,IF($I131="GP",$J131,"CALIBRAR")),"CALIBRAR")))))</f>
        <v/>
      </c>
      <c r="P131" s="19" t="n"/>
      <c r="Q131" s="19" t="n"/>
      <c r="R131" s="14">
        <f>IF($P131="","",IF(AND(ISNUMBER($J131),$P131=$J131,ISNUMBER($K131),$P131=$K131),"= ambos",IF(AND(ISNUMBER($J131),$P131=$J131),"= GP",IF(AND(ISNUMBER($K131),$P131=$K131),"= LT","nenhuma das duas"))))</f>
        <v/>
      </c>
      <c r="S131" s="19" t="n"/>
      <c r="T131" s="19" t="n"/>
      <c r="U131" s="14">
        <f>IF($C131="","",COUNTIFS('Ocorrências'!$V$5:$V$604,$C131&amp;"|"&amp;$B131&amp;"|"&amp;$G131,'Ocorrências'!$X$5:$X$604,"Sim"))</f>
        <v/>
      </c>
      <c r="V131" s="14">
        <f>IF($P131="","",IF(OR($P131=1,$P131=2,$P131=5),IF($U131&gt;0,"OK","SEM LASTRO"),"OK"))</f>
        <v/>
      </c>
      <c r="W131" s="19" t="n"/>
      <c r="X131" s="18" t="n"/>
      <c r="Y131" s="14">
        <f>IF($C131="","",$C131&amp;"|"&amp;$B131)</f>
        <v/>
      </c>
      <c r="Z131" s="14">
        <f>IF($C131="","",$C131&amp;"|"&amp;$B131&amp;"|"&amp;$H131)</f>
        <v/>
      </c>
      <c r="AA131" s="14">
        <f>IF($C131="","",$C131&amp;"|"&amp;$B131&amp;"|"&amp;$G131)</f>
        <v/>
      </c>
    </row>
    <row r="132">
      <c r="A132" s="19" t="n"/>
      <c r="B132" s="14">
        <f>IF($A132="","",VALUE(LEFT($A132,4))*4+VALUE(RIGHT($A132,1)))</f>
        <v/>
      </c>
      <c r="C132" s="19" t="n"/>
      <c r="D132" s="14">
        <f>IFERROR(INDEX(Pessoas!$B$5:$B$64,MATCH($C132,Pessoas!$A$5:$A$64,0)),"")</f>
        <v/>
      </c>
      <c r="E132" s="19" t="n"/>
      <c r="F132" s="14">
        <f>IFERROR(INDEX(Pessoas!$D$5:$D$64,MATCH($C132,Pessoas!$A$5:$A$64,0)),"")</f>
        <v/>
      </c>
      <c r="G132" s="19" t="n"/>
      <c r="H132" s="14">
        <f>IFERROR(INDEX(Config!$B$40:$B$45,MATCH($G132,Config!$C$40:$C$45,0)),"")</f>
        <v/>
      </c>
      <c r="I132" s="14">
        <f>IFERROR(INDEX(Config!$D$40:$D$45,MATCH($G132,Config!$C$40:$C$45,0)),"")</f>
        <v/>
      </c>
      <c r="J132" s="19" t="n"/>
      <c r="K132" s="19" t="n"/>
      <c r="L132" s="19" t="n"/>
      <c r="M132" s="19" t="n"/>
      <c r="N132" s="14">
        <f>IF(AND(ISNUMBER($J132),ISNUMBER($K132)),ABS($J132-$K132),"")</f>
        <v/>
      </c>
      <c r="O132" s="14">
        <f>IF(AND(NOT(ISNUMBER($J132)),NOT(ISNUMBER($K132))),"",IF(NOT(ISNUMBER($K132)),$J132,IF(NOT(ISNUMBER($J132)),$K132,IF($N132=0,$J132,IF(AND($N132=1,$T132&lt;&gt;"Sim"),IF($I132="Líder Técnico",$K132,IF($I132="GP",$J132,"CALIBRAR")),"CALIBRAR")))))</f>
        <v/>
      </c>
      <c r="P132" s="19" t="n"/>
      <c r="Q132" s="19" t="n"/>
      <c r="R132" s="14">
        <f>IF($P132="","",IF(AND(ISNUMBER($J132),$P132=$J132,ISNUMBER($K132),$P132=$K132),"= ambos",IF(AND(ISNUMBER($J132),$P132=$J132),"= GP",IF(AND(ISNUMBER($K132),$P132=$K132),"= LT","nenhuma das duas"))))</f>
        <v/>
      </c>
      <c r="S132" s="19" t="n"/>
      <c r="T132" s="19" t="n"/>
      <c r="U132" s="14">
        <f>IF($C132="","",COUNTIFS('Ocorrências'!$V$5:$V$604,$C132&amp;"|"&amp;$B132&amp;"|"&amp;$G132,'Ocorrências'!$X$5:$X$604,"Sim"))</f>
        <v/>
      </c>
      <c r="V132" s="14">
        <f>IF($P132="","",IF(OR($P132=1,$P132=2,$P132=5),IF($U132&gt;0,"OK","SEM LASTRO"),"OK"))</f>
        <v/>
      </c>
      <c r="W132" s="19" t="n"/>
      <c r="X132" s="18" t="n"/>
      <c r="Y132" s="14">
        <f>IF($C132="","",$C132&amp;"|"&amp;$B132)</f>
        <v/>
      </c>
      <c r="Z132" s="14">
        <f>IF($C132="","",$C132&amp;"|"&amp;$B132&amp;"|"&amp;$H132)</f>
        <v/>
      </c>
      <c r="AA132" s="14">
        <f>IF($C132="","",$C132&amp;"|"&amp;$B132&amp;"|"&amp;$G132)</f>
        <v/>
      </c>
    </row>
    <row r="133">
      <c r="A133" s="19" t="n"/>
      <c r="B133" s="14">
        <f>IF($A133="","",VALUE(LEFT($A133,4))*4+VALUE(RIGHT($A133,1)))</f>
        <v/>
      </c>
      <c r="C133" s="19" t="n"/>
      <c r="D133" s="14">
        <f>IFERROR(INDEX(Pessoas!$B$5:$B$64,MATCH($C133,Pessoas!$A$5:$A$64,0)),"")</f>
        <v/>
      </c>
      <c r="E133" s="19" t="n"/>
      <c r="F133" s="14">
        <f>IFERROR(INDEX(Pessoas!$D$5:$D$64,MATCH($C133,Pessoas!$A$5:$A$64,0)),"")</f>
        <v/>
      </c>
      <c r="G133" s="19" t="n"/>
      <c r="H133" s="14">
        <f>IFERROR(INDEX(Config!$B$40:$B$45,MATCH($G133,Config!$C$40:$C$45,0)),"")</f>
        <v/>
      </c>
      <c r="I133" s="14">
        <f>IFERROR(INDEX(Config!$D$40:$D$45,MATCH($G133,Config!$C$40:$C$45,0)),"")</f>
        <v/>
      </c>
      <c r="J133" s="19" t="n"/>
      <c r="K133" s="19" t="n"/>
      <c r="L133" s="19" t="n"/>
      <c r="M133" s="19" t="n"/>
      <c r="N133" s="14">
        <f>IF(AND(ISNUMBER($J133),ISNUMBER($K133)),ABS($J133-$K133),"")</f>
        <v/>
      </c>
      <c r="O133" s="14">
        <f>IF(AND(NOT(ISNUMBER($J133)),NOT(ISNUMBER($K133))),"",IF(NOT(ISNUMBER($K133)),$J133,IF(NOT(ISNUMBER($J133)),$K133,IF($N133=0,$J133,IF(AND($N133=1,$T133&lt;&gt;"Sim"),IF($I133="Líder Técnico",$K133,IF($I133="GP",$J133,"CALIBRAR")),"CALIBRAR")))))</f>
        <v/>
      </c>
      <c r="P133" s="19" t="n"/>
      <c r="Q133" s="19" t="n"/>
      <c r="R133" s="14">
        <f>IF($P133="","",IF(AND(ISNUMBER($J133),$P133=$J133,ISNUMBER($K133),$P133=$K133),"= ambos",IF(AND(ISNUMBER($J133),$P133=$J133),"= GP",IF(AND(ISNUMBER($K133),$P133=$K133),"= LT","nenhuma das duas"))))</f>
        <v/>
      </c>
      <c r="S133" s="19" t="n"/>
      <c r="T133" s="19" t="n"/>
      <c r="U133" s="14">
        <f>IF($C133="","",COUNTIFS('Ocorrências'!$V$5:$V$604,$C133&amp;"|"&amp;$B133&amp;"|"&amp;$G133,'Ocorrências'!$X$5:$X$604,"Sim"))</f>
        <v/>
      </c>
      <c r="V133" s="14">
        <f>IF($P133="","",IF(OR($P133=1,$P133=2,$P133=5),IF($U133&gt;0,"OK","SEM LASTRO"),"OK"))</f>
        <v/>
      </c>
      <c r="W133" s="19" t="n"/>
      <c r="X133" s="18" t="n"/>
      <c r="Y133" s="14">
        <f>IF($C133="","",$C133&amp;"|"&amp;$B133)</f>
        <v/>
      </c>
      <c r="Z133" s="14">
        <f>IF($C133="","",$C133&amp;"|"&amp;$B133&amp;"|"&amp;$H133)</f>
        <v/>
      </c>
      <c r="AA133" s="14">
        <f>IF($C133="","",$C133&amp;"|"&amp;$B133&amp;"|"&amp;$G133)</f>
        <v/>
      </c>
    </row>
    <row r="134">
      <c r="A134" s="19" t="n"/>
      <c r="B134" s="14">
        <f>IF($A134="","",VALUE(LEFT($A134,4))*4+VALUE(RIGHT($A134,1)))</f>
        <v/>
      </c>
      <c r="C134" s="19" t="n"/>
      <c r="D134" s="14">
        <f>IFERROR(INDEX(Pessoas!$B$5:$B$64,MATCH($C134,Pessoas!$A$5:$A$64,0)),"")</f>
        <v/>
      </c>
      <c r="E134" s="19" t="n"/>
      <c r="F134" s="14">
        <f>IFERROR(INDEX(Pessoas!$D$5:$D$64,MATCH($C134,Pessoas!$A$5:$A$64,0)),"")</f>
        <v/>
      </c>
      <c r="G134" s="19" t="n"/>
      <c r="H134" s="14">
        <f>IFERROR(INDEX(Config!$B$40:$B$45,MATCH($G134,Config!$C$40:$C$45,0)),"")</f>
        <v/>
      </c>
      <c r="I134" s="14">
        <f>IFERROR(INDEX(Config!$D$40:$D$45,MATCH($G134,Config!$C$40:$C$45,0)),"")</f>
        <v/>
      </c>
      <c r="J134" s="19" t="n"/>
      <c r="K134" s="19" t="n"/>
      <c r="L134" s="19" t="n"/>
      <c r="M134" s="19" t="n"/>
      <c r="N134" s="14">
        <f>IF(AND(ISNUMBER($J134),ISNUMBER($K134)),ABS($J134-$K134),"")</f>
        <v/>
      </c>
      <c r="O134" s="14">
        <f>IF(AND(NOT(ISNUMBER($J134)),NOT(ISNUMBER($K134))),"",IF(NOT(ISNUMBER($K134)),$J134,IF(NOT(ISNUMBER($J134)),$K134,IF($N134=0,$J134,IF(AND($N134=1,$T134&lt;&gt;"Sim"),IF($I134="Líder Técnico",$K134,IF($I134="GP",$J134,"CALIBRAR")),"CALIBRAR")))))</f>
        <v/>
      </c>
      <c r="P134" s="19" t="n"/>
      <c r="Q134" s="19" t="n"/>
      <c r="R134" s="14">
        <f>IF($P134="","",IF(AND(ISNUMBER($J134),$P134=$J134,ISNUMBER($K134),$P134=$K134),"= ambos",IF(AND(ISNUMBER($J134),$P134=$J134),"= GP",IF(AND(ISNUMBER($K134),$P134=$K134),"= LT","nenhuma das duas"))))</f>
        <v/>
      </c>
      <c r="S134" s="19" t="n"/>
      <c r="T134" s="19" t="n"/>
      <c r="U134" s="14">
        <f>IF($C134="","",COUNTIFS('Ocorrências'!$V$5:$V$604,$C134&amp;"|"&amp;$B134&amp;"|"&amp;$G134,'Ocorrências'!$X$5:$X$604,"Sim"))</f>
        <v/>
      </c>
      <c r="V134" s="14">
        <f>IF($P134="","",IF(OR($P134=1,$P134=2,$P134=5),IF($U134&gt;0,"OK","SEM LASTRO"),"OK"))</f>
        <v/>
      </c>
      <c r="W134" s="19" t="n"/>
      <c r="X134" s="18" t="n"/>
      <c r="Y134" s="14">
        <f>IF($C134="","",$C134&amp;"|"&amp;$B134)</f>
        <v/>
      </c>
      <c r="Z134" s="14">
        <f>IF($C134="","",$C134&amp;"|"&amp;$B134&amp;"|"&amp;$H134)</f>
        <v/>
      </c>
      <c r="AA134" s="14">
        <f>IF($C134="","",$C134&amp;"|"&amp;$B134&amp;"|"&amp;$G134)</f>
        <v/>
      </c>
    </row>
    <row r="135">
      <c r="A135" s="19" t="n"/>
      <c r="B135" s="14">
        <f>IF($A135="","",VALUE(LEFT($A135,4))*4+VALUE(RIGHT($A135,1)))</f>
        <v/>
      </c>
      <c r="C135" s="19" t="n"/>
      <c r="D135" s="14">
        <f>IFERROR(INDEX(Pessoas!$B$5:$B$64,MATCH($C135,Pessoas!$A$5:$A$64,0)),"")</f>
        <v/>
      </c>
      <c r="E135" s="19" t="n"/>
      <c r="F135" s="14">
        <f>IFERROR(INDEX(Pessoas!$D$5:$D$64,MATCH($C135,Pessoas!$A$5:$A$64,0)),"")</f>
        <v/>
      </c>
      <c r="G135" s="19" t="n"/>
      <c r="H135" s="14">
        <f>IFERROR(INDEX(Config!$B$40:$B$45,MATCH($G135,Config!$C$40:$C$45,0)),"")</f>
        <v/>
      </c>
      <c r="I135" s="14">
        <f>IFERROR(INDEX(Config!$D$40:$D$45,MATCH($G135,Config!$C$40:$C$45,0)),"")</f>
        <v/>
      </c>
      <c r="J135" s="19" t="n"/>
      <c r="K135" s="19" t="n"/>
      <c r="L135" s="19" t="n"/>
      <c r="M135" s="19" t="n"/>
      <c r="N135" s="14">
        <f>IF(AND(ISNUMBER($J135),ISNUMBER($K135)),ABS($J135-$K135),"")</f>
        <v/>
      </c>
      <c r="O135" s="14">
        <f>IF(AND(NOT(ISNUMBER($J135)),NOT(ISNUMBER($K135))),"",IF(NOT(ISNUMBER($K135)),$J135,IF(NOT(ISNUMBER($J135)),$K135,IF($N135=0,$J135,IF(AND($N135=1,$T135&lt;&gt;"Sim"),IF($I135="Líder Técnico",$K135,IF($I135="GP",$J135,"CALIBRAR")),"CALIBRAR")))))</f>
        <v/>
      </c>
      <c r="P135" s="19" t="n"/>
      <c r="Q135" s="19" t="n"/>
      <c r="R135" s="14">
        <f>IF($P135="","",IF(AND(ISNUMBER($J135),$P135=$J135,ISNUMBER($K135),$P135=$K135),"= ambos",IF(AND(ISNUMBER($J135),$P135=$J135),"= GP",IF(AND(ISNUMBER($K135),$P135=$K135),"= LT","nenhuma das duas"))))</f>
        <v/>
      </c>
      <c r="S135" s="19" t="n"/>
      <c r="T135" s="19" t="n"/>
      <c r="U135" s="14">
        <f>IF($C135="","",COUNTIFS('Ocorrências'!$V$5:$V$604,$C135&amp;"|"&amp;$B135&amp;"|"&amp;$G135,'Ocorrências'!$X$5:$X$604,"Sim"))</f>
        <v/>
      </c>
      <c r="V135" s="14">
        <f>IF($P135="","",IF(OR($P135=1,$P135=2,$P135=5),IF($U135&gt;0,"OK","SEM LASTRO"),"OK"))</f>
        <v/>
      </c>
      <c r="W135" s="19" t="n"/>
      <c r="X135" s="18" t="n"/>
      <c r="Y135" s="14">
        <f>IF($C135="","",$C135&amp;"|"&amp;$B135)</f>
        <v/>
      </c>
      <c r="Z135" s="14">
        <f>IF($C135="","",$C135&amp;"|"&amp;$B135&amp;"|"&amp;$H135)</f>
        <v/>
      </c>
      <c r="AA135" s="14">
        <f>IF($C135="","",$C135&amp;"|"&amp;$B135&amp;"|"&amp;$G135)</f>
        <v/>
      </c>
    </row>
    <row r="136">
      <c r="A136" s="19" t="n"/>
      <c r="B136" s="14">
        <f>IF($A136="","",VALUE(LEFT($A136,4))*4+VALUE(RIGHT($A136,1)))</f>
        <v/>
      </c>
      <c r="C136" s="19" t="n"/>
      <c r="D136" s="14">
        <f>IFERROR(INDEX(Pessoas!$B$5:$B$64,MATCH($C136,Pessoas!$A$5:$A$64,0)),"")</f>
        <v/>
      </c>
      <c r="E136" s="19" t="n"/>
      <c r="F136" s="14">
        <f>IFERROR(INDEX(Pessoas!$D$5:$D$64,MATCH($C136,Pessoas!$A$5:$A$64,0)),"")</f>
        <v/>
      </c>
      <c r="G136" s="19" t="n"/>
      <c r="H136" s="14">
        <f>IFERROR(INDEX(Config!$B$40:$B$45,MATCH($G136,Config!$C$40:$C$45,0)),"")</f>
        <v/>
      </c>
      <c r="I136" s="14">
        <f>IFERROR(INDEX(Config!$D$40:$D$45,MATCH($G136,Config!$C$40:$C$45,0)),"")</f>
        <v/>
      </c>
      <c r="J136" s="19" t="n"/>
      <c r="K136" s="19" t="n"/>
      <c r="L136" s="19" t="n"/>
      <c r="M136" s="19" t="n"/>
      <c r="N136" s="14">
        <f>IF(AND(ISNUMBER($J136),ISNUMBER($K136)),ABS($J136-$K136),"")</f>
        <v/>
      </c>
      <c r="O136" s="14">
        <f>IF(AND(NOT(ISNUMBER($J136)),NOT(ISNUMBER($K136))),"",IF(NOT(ISNUMBER($K136)),$J136,IF(NOT(ISNUMBER($J136)),$K136,IF($N136=0,$J136,IF(AND($N136=1,$T136&lt;&gt;"Sim"),IF($I136="Líder Técnico",$K136,IF($I136="GP",$J136,"CALIBRAR")),"CALIBRAR")))))</f>
        <v/>
      </c>
      <c r="P136" s="19" t="n"/>
      <c r="Q136" s="19" t="n"/>
      <c r="R136" s="14">
        <f>IF($P136="","",IF(AND(ISNUMBER($J136),$P136=$J136,ISNUMBER($K136),$P136=$K136),"= ambos",IF(AND(ISNUMBER($J136),$P136=$J136),"= GP",IF(AND(ISNUMBER($K136),$P136=$K136),"= LT","nenhuma das duas"))))</f>
        <v/>
      </c>
      <c r="S136" s="19" t="n"/>
      <c r="T136" s="19" t="n"/>
      <c r="U136" s="14">
        <f>IF($C136="","",COUNTIFS('Ocorrências'!$V$5:$V$604,$C136&amp;"|"&amp;$B136&amp;"|"&amp;$G136,'Ocorrências'!$X$5:$X$604,"Sim"))</f>
        <v/>
      </c>
      <c r="V136" s="14">
        <f>IF($P136="","",IF(OR($P136=1,$P136=2,$P136=5),IF($U136&gt;0,"OK","SEM LASTRO"),"OK"))</f>
        <v/>
      </c>
      <c r="W136" s="19" t="n"/>
      <c r="X136" s="18" t="n"/>
      <c r="Y136" s="14">
        <f>IF($C136="","",$C136&amp;"|"&amp;$B136)</f>
        <v/>
      </c>
      <c r="Z136" s="14">
        <f>IF($C136="","",$C136&amp;"|"&amp;$B136&amp;"|"&amp;$H136)</f>
        <v/>
      </c>
      <c r="AA136" s="14">
        <f>IF($C136="","",$C136&amp;"|"&amp;$B136&amp;"|"&amp;$G136)</f>
        <v/>
      </c>
    </row>
    <row r="137">
      <c r="A137" s="19" t="n"/>
      <c r="B137" s="14">
        <f>IF($A137="","",VALUE(LEFT($A137,4))*4+VALUE(RIGHT($A137,1)))</f>
        <v/>
      </c>
      <c r="C137" s="19" t="n"/>
      <c r="D137" s="14">
        <f>IFERROR(INDEX(Pessoas!$B$5:$B$64,MATCH($C137,Pessoas!$A$5:$A$64,0)),"")</f>
        <v/>
      </c>
      <c r="E137" s="19" t="n"/>
      <c r="F137" s="14">
        <f>IFERROR(INDEX(Pessoas!$D$5:$D$64,MATCH($C137,Pessoas!$A$5:$A$64,0)),"")</f>
        <v/>
      </c>
      <c r="G137" s="19" t="n"/>
      <c r="H137" s="14">
        <f>IFERROR(INDEX(Config!$B$40:$B$45,MATCH($G137,Config!$C$40:$C$45,0)),"")</f>
        <v/>
      </c>
      <c r="I137" s="14">
        <f>IFERROR(INDEX(Config!$D$40:$D$45,MATCH($G137,Config!$C$40:$C$45,0)),"")</f>
        <v/>
      </c>
      <c r="J137" s="19" t="n"/>
      <c r="K137" s="19" t="n"/>
      <c r="L137" s="19" t="n"/>
      <c r="M137" s="19" t="n"/>
      <c r="N137" s="14">
        <f>IF(AND(ISNUMBER($J137),ISNUMBER($K137)),ABS($J137-$K137),"")</f>
        <v/>
      </c>
      <c r="O137" s="14">
        <f>IF(AND(NOT(ISNUMBER($J137)),NOT(ISNUMBER($K137))),"",IF(NOT(ISNUMBER($K137)),$J137,IF(NOT(ISNUMBER($J137)),$K137,IF($N137=0,$J137,IF(AND($N137=1,$T137&lt;&gt;"Sim"),IF($I137="Líder Técnico",$K137,IF($I137="GP",$J137,"CALIBRAR")),"CALIBRAR")))))</f>
        <v/>
      </c>
      <c r="P137" s="19" t="n"/>
      <c r="Q137" s="19" t="n"/>
      <c r="R137" s="14">
        <f>IF($P137="","",IF(AND(ISNUMBER($J137),$P137=$J137,ISNUMBER($K137),$P137=$K137),"= ambos",IF(AND(ISNUMBER($J137),$P137=$J137),"= GP",IF(AND(ISNUMBER($K137),$P137=$K137),"= LT","nenhuma das duas"))))</f>
        <v/>
      </c>
      <c r="S137" s="19" t="n"/>
      <c r="T137" s="19" t="n"/>
      <c r="U137" s="14">
        <f>IF($C137="","",COUNTIFS('Ocorrências'!$V$5:$V$604,$C137&amp;"|"&amp;$B137&amp;"|"&amp;$G137,'Ocorrências'!$X$5:$X$604,"Sim"))</f>
        <v/>
      </c>
      <c r="V137" s="14">
        <f>IF($P137="","",IF(OR($P137=1,$P137=2,$P137=5),IF($U137&gt;0,"OK","SEM LASTRO"),"OK"))</f>
        <v/>
      </c>
      <c r="W137" s="19" t="n"/>
      <c r="X137" s="18" t="n"/>
      <c r="Y137" s="14">
        <f>IF($C137="","",$C137&amp;"|"&amp;$B137)</f>
        <v/>
      </c>
      <c r="Z137" s="14">
        <f>IF($C137="","",$C137&amp;"|"&amp;$B137&amp;"|"&amp;$H137)</f>
        <v/>
      </c>
      <c r="AA137" s="14">
        <f>IF($C137="","",$C137&amp;"|"&amp;$B137&amp;"|"&amp;$G137)</f>
        <v/>
      </c>
    </row>
    <row r="138">
      <c r="A138" s="19" t="n"/>
      <c r="B138" s="14">
        <f>IF($A138="","",VALUE(LEFT($A138,4))*4+VALUE(RIGHT($A138,1)))</f>
        <v/>
      </c>
      <c r="C138" s="19" t="n"/>
      <c r="D138" s="14">
        <f>IFERROR(INDEX(Pessoas!$B$5:$B$64,MATCH($C138,Pessoas!$A$5:$A$64,0)),"")</f>
        <v/>
      </c>
      <c r="E138" s="19" t="n"/>
      <c r="F138" s="14">
        <f>IFERROR(INDEX(Pessoas!$D$5:$D$64,MATCH($C138,Pessoas!$A$5:$A$64,0)),"")</f>
        <v/>
      </c>
      <c r="G138" s="19" t="n"/>
      <c r="H138" s="14">
        <f>IFERROR(INDEX(Config!$B$40:$B$45,MATCH($G138,Config!$C$40:$C$45,0)),"")</f>
        <v/>
      </c>
      <c r="I138" s="14">
        <f>IFERROR(INDEX(Config!$D$40:$D$45,MATCH($G138,Config!$C$40:$C$45,0)),"")</f>
        <v/>
      </c>
      <c r="J138" s="19" t="n"/>
      <c r="K138" s="19" t="n"/>
      <c r="L138" s="19" t="n"/>
      <c r="M138" s="19" t="n"/>
      <c r="N138" s="14">
        <f>IF(AND(ISNUMBER($J138),ISNUMBER($K138)),ABS($J138-$K138),"")</f>
        <v/>
      </c>
      <c r="O138" s="14">
        <f>IF(AND(NOT(ISNUMBER($J138)),NOT(ISNUMBER($K138))),"",IF(NOT(ISNUMBER($K138)),$J138,IF(NOT(ISNUMBER($J138)),$K138,IF($N138=0,$J138,IF(AND($N138=1,$T138&lt;&gt;"Sim"),IF($I138="Líder Técnico",$K138,IF($I138="GP",$J138,"CALIBRAR")),"CALIBRAR")))))</f>
        <v/>
      </c>
      <c r="P138" s="19" t="n"/>
      <c r="Q138" s="19" t="n"/>
      <c r="R138" s="14">
        <f>IF($P138="","",IF(AND(ISNUMBER($J138),$P138=$J138,ISNUMBER($K138),$P138=$K138),"= ambos",IF(AND(ISNUMBER($J138),$P138=$J138),"= GP",IF(AND(ISNUMBER($K138),$P138=$K138),"= LT","nenhuma das duas"))))</f>
        <v/>
      </c>
      <c r="S138" s="19" t="n"/>
      <c r="T138" s="19" t="n"/>
      <c r="U138" s="14">
        <f>IF($C138="","",COUNTIFS('Ocorrências'!$V$5:$V$604,$C138&amp;"|"&amp;$B138&amp;"|"&amp;$G138,'Ocorrências'!$X$5:$X$604,"Sim"))</f>
        <v/>
      </c>
      <c r="V138" s="14">
        <f>IF($P138="","",IF(OR($P138=1,$P138=2,$P138=5),IF($U138&gt;0,"OK","SEM LASTRO"),"OK"))</f>
        <v/>
      </c>
      <c r="W138" s="19" t="n"/>
      <c r="X138" s="18" t="n"/>
      <c r="Y138" s="14">
        <f>IF($C138="","",$C138&amp;"|"&amp;$B138)</f>
        <v/>
      </c>
      <c r="Z138" s="14">
        <f>IF($C138="","",$C138&amp;"|"&amp;$B138&amp;"|"&amp;$H138)</f>
        <v/>
      </c>
      <c r="AA138" s="14">
        <f>IF($C138="","",$C138&amp;"|"&amp;$B138&amp;"|"&amp;$G138)</f>
        <v/>
      </c>
    </row>
    <row r="139">
      <c r="A139" s="19" t="n"/>
      <c r="B139" s="14">
        <f>IF($A139="","",VALUE(LEFT($A139,4))*4+VALUE(RIGHT($A139,1)))</f>
        <v/>
      </c>
      <c r="C139" s="19" t="n"/>
      <c r="D139" s="14">
        <f>IFERROR(INDEX(Pessoas!$B$5:$B$64,MATCH($C139,Pessoas!$A$5:$A$64,0)),"")</f>
        <v/>
      </c>
      <c r="E139" s="19" t="n"/>
      <c r="F139" s="14">
        <f>IFERROR(INDEX(Pessoas!$D$5:$D$64,MATCH($C139,Pessoas!$A$5:$A$64,0)),"")</f>
        <v/>
      </c>
      <c r="G139" s="19" t="n"/>
      <c r="H139" s="14">
        <f>IFERROR(INDEX(Config!$B$40:$B$45,MATCH($G139,Config!$C$40:$C$45,0)),"")</f>
        <v/>
      </c>
      <c r="I139" s="14">
        <f>IFERROR(INDEX(Config!$D$40:$D$45,MATCH($G139,Config!$C$40:$C$45,0)),"")</f>
        <v/>
      </c>
      <c r="J139" s="19" t="n"/>
      <c r="K139" s="19" t="n"/>
      <c r="L139" s="19" t="n"/>
      <c r="M139" s="19" t="n"/>
      <c r="N139" s="14">
        <f>IF(AND(ISNUMBER($J139),ISNUMBER($K139)),ABS($J139-$K139),"")</f>
        <v/>
      </c>
      <c r="O139" s="14">
        <f>IF(AND(NOT(ISNUMBER($J139)),NOT(ISNUMBER($K139))),"",IF(NOT(ISNUMBER($K139)),$J139,IF(NOT(ISNUMBER($J139)),$K139,IF($N139=0,$J139,IF(AND($N139=1,$T139&lt;&gt;"Sim"),IF($I139="Líder Técnico",$K139,IF($I139="GP",$J139,"CALIBRAR")),"CALIBRAR")))))</f>
        <v/>
      </c>
      <c r="P139" s="19" t="n"/>
      <c r="Q139" s="19" t="n"/>
      <c r="R139" s="14">
        <f>IF($P139="","",IF(AND(ISNUMBER($J139),$P139=$J139,ISNUMBER($K139),$P139=$K139),"= ambos",IF(AND(ISNUMBER($J139),$P139=$J139),"= GP",IF(AND(ISNUMBER($K139),$P139=$K139),"= LT","nenhuma das duas"))))</f>
        <v/>
      </c>
      <c r="S139" s="19" t="n"/>
      <c r="T139" s="19" t="n"/>
      <c r="U139" s="14">
        <f>IF($C139="","",COUNTIFS('Ocorrências'!$V$5:$V$604,$C139&amp;"|"&amp;$B139&amp;"|"&amp;$G139,'Ocorrências'!$X$5:$X$604,"Sim"))</f>
        <v/>
      </c>
      <c r="V139" s="14">
        <f>IF($P139="","",IF(OR($P139=1,$P139=2,$P139=5),IF($U139&gt;0,"OK","SEM LASTRO"),"OK"))</f>
        <v/>
      </c>
      <c r="W139" s="19" t="n"/>
      <c r="X139" s="18" t="n"/>
      <c r="Y139" s="14">
        <f>IF($C139="","",$C139&amp;"|"&amp;$B139)</f>
        <v/>
      </c>
      <c r="Z139" s="14">
        <f>IF($C139="","",$C139&amp;"|"&amp;$B139&amp;"|"&amp;$H139)</f>
        <v/>
      </c>
      <c r="AA139" s="14">
        <f>IF($C139="","",$C139&amp;"|"&amp;$B139&amp;"|"&amp;$G139)</f>
        <v/>
      </c>
    </row>
    <row r="140">
      <c r="A140" s="19" t="n"/>
      <c r="B140" s="14">
        <f>IF($A140="","",VALUE(LEFT($A140,4))*4+VALUE(RIGHT($A140,1)))</f>
        <v/>
      </c>
      <c r="C140" s="19" t="n"/>
      <c r="D140" s="14">
        <f>IFERROR(INDEX(Pessoas!$B$5:$B$64,MATCH($C140,Pessoas!$A$5:$A$64,0)),"")</f>
        <v/>
      </c>
      <c r="E140" s="19" t="n"/>
      <c r="F140" s="14">
        <f>IFERROR(INDEX(Pessoas!$D$5:$D$64,MATCH($C140,Pessoas!$A$5:$A$64,0)),"")</f>
        <v/>
      </c>
      <c r="G140" s="19" t="n"/>
      <c r="H140" s="14">
        <f>IFERROR(INDEX(Config!$B$40:$B$45,MATCH($G140,Config!$C$40:$C$45,0)),"")</f>
        <v/>
      </c>
      <c r="I140" s="14">
        <f>IFERROR(INDEX(Config!$D$40:$D$45,MATCH($G140,Config!$C$40:$C$45,0)),"")</f>
        <v/>
      </c>
      <c r="J140" s="19" t="n"/>
      <c r="K140" s="19" t="n"/>
      <c r="L140" s="19" t="n"/>
      <c r="M140" s="19" t="n"/>
      <c r="N140" s="14">
        <f>IF(AND(ISNUMBER($J140),ISNUMBER($K140)),ABS($J140-$K140),"")</f>
        <v/>
      </c>
      <c r="O140" s="14">
        <f>IF(AND(NOT(ISNUMBER($J140)),NOT(ISNUMBER($K140))),"",IF(NOT(ISNUMBER($K140)),$J140,IF(NOT(ISNUMBER($J140)),$K140,IF($N140=0,$J140,IF(AND($N140=1,$T140&lt;&gt;"Sim"),IF($I140="Líder Técnico",$K140,IF($I140="GP",$J140,"CALIBRAR")),"CALIBRAR")))))</f>
        <v/>
      </c>
      <c r="P140" s="19" t="n"/>
      <c r="Q140" s="19" t="n"/>
      <c r="R140" s="14">
        <f>IF($P140="","",IF(AND(ISNUMBER($J140),$P140=$J140,ISNUMBER($K140),$P140=$K140),"= ambos",IF(AND(ISNUMBER($J140),$P140=$J140),"= GP",IF(AND(ISNUMBER($K140),$P140=$K140),"= LT","nenhuma das duas"))))</f>
        <v/>
      </c>
      <c r="S140" s="19" t="n"/>
      <c r="T140" s="19" t="n"/>
      <c r="U140" s="14">
        <f>IF($C140="","",COUNTIFS('Ocorrências'!$V$5:$V$604,$C140&amp;"|"&amp;$B140&amp;"|"&amp;$G140,'Ocorrências'!$X$5:$X$604,"Sim"))</f>
        <v/>
      </c>
      <c r="V140" s="14">
        <f>IF($P140="","",IF(OR($P140=1,$P140=2,$P140=5),IF($U140&gt;0,"OK","SEM LASTRO"),"OK"))</f>
        <v/>
      </c>
      <c r="W140" s="19" t="n"/>
      <c r="X140" s="18" t="n"/>
      <c r="Y140" s="14">
        <f>IF($C140="","",$C140&amp;"|"&amp;$B140)</f>
        <v/>
      </c>
      <c r="Z140" s="14">
        <f>IF($C140="","",$C140&amp;"|"&amp;$B140&amp;"|"&amp;$H140)</f>
        <v/>
      </c>
      <c r="AA140" s="14">
        <f>IF($C140="","",$C140&amp;"|"&amp;$B140&amp;"|"&amp;$G140)</f>
        <v/>
      </c>
    </row>
    <row r="141">
      <c r="A141" s="19" t="n"/>
      <c r="B141" s="14">
        <f>IF($A141="","",VALUE(LEFT($A141,4))*4+VALUE(RIGHT($A141,1)))</f>
        <v/>
      </c>
      <c r="C141" s="19" t="n"/>
      <c r="D141" s="14">
        <f>IFERROR(INDEX(Pessoas!$B$5:$B$64,MATCH($C141,Pessoas!$A$5:$A$64,0)),"")</f>
        <v/>
      </c>
      <c r="E141" s="19" t="n"/>
      <c r="F141" s="14">
        <f>IFERROR(INDEX(Pessoas!$D$5:$D$64,MATCH($C141,Pessoas!$A$5:$A$64,0)),"")</f>
        <v/>
      </c>
      <c r="G141" s="19" t="n"/>
      <c r="H141" s="14">
        <f>IFERROR(INDEX(Config!$B$40:$B$45,MATCH($G141,Config!$C$40:$C$45,0)),"")</f>
        <v/>
      </c>
      <c r="I141" s="14">
        <f>IFERROR(INDEX(Config!$D$40:$D$45,MATCH($G141,Config!$C$40:$C$45,0)),"")</f>
        <v/>
      </c>
      <c r="J141" s="19" t="n"/>
      <c r="K141" s="19" t="n"/>
      <c r="L141" s="19" t="n"/>
      <c r="M141" s="19" t="n"/>
      <c r="N141" s="14">
        <f>IF(AND(ISNUMBER($J141),ISNUMBER($K141)),ABS($J141-$K141),"")</f>
        <v/>
      </c>
      <c r="O141" s="14">
        <f>IF(AND(NOT(ISNUMBER($J141)),NOT(ISNUMBER($K141))),"",IF(NOT(ISNUMBER($K141)),$J141,IF(NOT(ISNUMBER($J141)),$K141,IF($N141=0,$J141,IF(AND($N141=1,$T141&lt;&gt;"Sim"),IF($I141="Líder Técnico",$K141,IF($I141="GP",$J141,"CALIBRAR")),"CALIBRAR")))))</f>
        <v/>
      </c>
      <c r="P141" s="19" t="n"/>
      <c r="Q141" s="19" t="n"/>
      <c r="R141" s="14">
        <f>IF($P141="","",IF(AND(ISNUMBER($J141),$P141=$J141,ISNUMBER($K141),$P141=$K141),"= ambos",IF(AND(ISNUMBER($J141),$P141=$J141),"= GP",IF(AND(ISNUMBER($K141),$P141=$K141),"= LT","nenhuma das duas"))))</f>
        <v/>
      </c>
      <c r="S141" s="19" t="n"/>
      <c r="T141" s="19" t="n"/>
      <c r="U141" s="14">
        <f>IF($C141="","",COUNTIFS('Ocorrências'!$V$5:$V$604,$C141&amp;"|"&amp;$B141&amp;"|"&amp;$G141,'Ocorrências'!$X$5:$X$604,"Sim"))</f>
        <v/>
      </c>
      <c r="V141" s="14">
        <f>IF($P141="","",IF(OR($P141=1,$P141=2,$P141=5),IF($U141&gt;0,"OK","SEM LASTRO"),"OK"))</f>
        <v/>
      </c>
      <c r="W141" s="19" t="n"/>
      <c r="X141" s="18" t="n"/>
      <c r="Y141" s="14">
        <f>IF($C141="","",$C141&amp;"|"&amp;$B141)</f>
        <v/>
      </c>
      <c r="Z141" s="14">
        <f>IF($C141="","",$C141&amp;"|"&amp;$B141&amp;"|"&amp;$H141)</f>
        <v/>
      </c>
      <c r="AA141" s="14">
        <f>IF($C141="","",$C141&amp;"|"&amp;$B141&amp;"|"&amp;$G141)</f>
        <v/>
      </c>
    </row>
    <row r="142">
      <c r="A142" s="19" t="n"/>
      <c r="B142" s="14">
        <f>IF($A142="","",VALUE(LEFT($A142,4))*4+VALUE(RIGHT($A142,1)))</f>
        <v/>
      </c>
      <c r="C142" s="19" t="n"/>
      <c r="D142" s="14">
        <f>IFERROR(INDEX(Pessoas!$B$5:$B$64,MATCH($C142,Pessoas!$A$5:$A$64,0)),"")</f>
        <v/>
      </c>
      <c r="E142" s="19" t="n"/>
      <c r="F142" s="14">
        <f>IFERROR(INDEX(Pessoas!$D$5:$D$64,MATCH($C142,Pessoas!$A$5:$A$64,0)),"")</f>
        <v/>
      </c>
      <c r="G142" s="19" t="n"/>
      <c r="H142" s="14">
        <f>IFERROR(INDEX(Config!$B$40:$B$45,MATCH($G142,Config!$C$40:$C$45,0)),"")</f>
        <v/>
      </c>
      <c r="I142" s="14">
        <f>IFERROR(INDEX(Config!$D$40:$D$45,MATCH($G142,Config!$C$40:$C$45,0)),"")</f>
        <v/>
      </c>
      <c r="J142" s="19" t="n"/>
      <c r="K142" s="19" t="n"/>
      <c r="L142" s="19" t="n"/>
      <c r="M142" s="19" t="n"/>
      <c r="N142" s="14">
        <f>IF(AND(ISNUMBER($J142),ISNUMBER($K142)),ABS($J142-$K142),"")</f>
        <v/>
      </c>
      <c r="O142" s="14">
        <f>IF(AND(NOT(ISNUMBER($J142)),NOT(ISNUMBER($K142))),"",IF(NOT(ISNUMBER($K142)),$J142,IF(NOT(ISNUMBER($J142)),$K142,IF($N142=0,$J142,IF(AND($N142=1,$T142&lt;&gt;"Sim"),IF($I142="Líder Técnico",$K142,IF($I142="GP",$J142,"CALIBRAR")),"CALIBRAR")))))</f>
        <v/>
      </c>
      <c r="P142" s="19" t="n"/>
      <c r="Q142" s="19" t="n"/>
      <c r="R142" s="14">
        <f>IF($P142="","",IF(AND(ISNUMBER($J142),$P142=$J142,ISNUMBER($K142),$P142=$K142),"= ambos",IF(AND(ISNUMBER($J142),$P142=$J142),"= GP",IF(AND(ISNUMBER($K142),$P142=$K142),"= LT","nenhuma das duas"))))</f>
        <v/>
      </c>
      <c r="S142" s="19" t="n"/>
      <c r="T142" s="19" t="n"/>
      <c r="U142" s="14">
        <f>IF($C142="","",COUNTIFS('Ocorrências'!$V$5:$V$604,$C142&amp;"|"&amp;$B142&amp;"|"&amp;$G142,'Ocorrências'!$X$5:$X$604,"Sim"))</f>
        <v/>
      </c>
      <c r="V142" s="14">
        <f>IF($P142="","",IF(OR($P142=1,$P142=2,$P142=5),IF($U142&gt;0,"OK","SEM LASTRO"),"OK"))</f>
        <v/>
      </c>
      <c r="W142" s="19" t="n"/>
      <c r="X142" s="18" t="n"/>
      <c r="Y142" s="14">
        <f>IF($C142="","",$C142&amp;"|"&amp;$B142)</f>
        <v/>
      </c>
      <c r="Z142" s="14">
        <f>IF($C142="","",$C142&amp;"|"&amp;$B142&amp;"|"&amp;$H142)</f>
        <v/>
      </c>
      <c r="AA142" s="14">
        <f>IF($C142="","",$C142&amp;"|"&amp;$B142&amp;"|"&amp;$G142)</f>
        <v/>
      </c>
    </row>
    <row r="143">
      <c r="A143" s="19" t="n"/>
      <c r="B143" s="14">
        <f>IF($A143="","",VALUE(LEFT($A143,4))*4+VALUE(RIGHT($A143,1)))</f>
        <v/>
      </c>
      <c r="C143" s="19" t="n"/>
      <c r="D143" s="14">
        <f>IFERROR(INDEX(Pessoas!$B$5:$B$64,MATCH($C143,Pessoas!$A$5:$A$64,0)),"")</f>
        <v/>
      </c>
      <c r="E143" s="19" t="n"/>
      <c r="F143" s="14">
        <f>IFERROR(INDEX(Pessoas!$D$5:$D$64,MATCH($C143,Pessoas!$A$5:$A$64,0)),"")</f>
        <v/>
      </c>
      <c r="G143" s="19" t="n"/>
      <c r="H143" s="14">
        <f>IFERROR(INDEX(Config!$B$40:$B$45,MATCH($G143,Config!$C$40:$C$45,0)),"")</f>
        <v/>
      </c>
      <c r="I143" s="14">
        <f>IFERROR(INDEX(Config!$D$40:$D$45,MATCH($G143,Config!$C$40:$C$45,0)),"")</f>
        <v/>
      </c>
      <c r="J143" s="19" t="n"/>
      <c r="K143" s="19" t="n"/>
      <c r="L143" s="19" t="n"/>
      <c r="M143" s="19" t="n"/>
      <c r="N143" s="14">
        <f>IF(AND(ISNUMBER($J143),ISNUMBER($K143)),ABS($J143-$K143),"")</f>
        <v/>
      </c>
      <c r="O143" s="14">
        <f>IF(AND(NOT(ISNUMBER($J143)),NOT(ISNUMBER($K143))),"",IF(NOT(ISNUMBER($K143)),$J143,IF(NOT(ISNUMBER($J143)),$K143,IF($N143=0,$J143,IF(AND($N143=1,$T143&lt;&gt;"Sim"),IF($I143="Líder Técnico",$K143,IF($I143="GP",$J143,"CALIBRAR")),"CALIBRAR")))))</f>
        <v/>
      </c>
      <c r="P143" s="19" t="n"/>
      <c r="Q143" s="19" t="n"/>
      <c r="R143" s="14">
        <f>IF($P143="","",IF(AND(ISNUMBER($J143),$P143=$J143,ISNUMBER($K143),$P143=$K143),"= ambos",IF(AND(ISNUMBER($J143),$P143=$J143),"= GP",IF(AND(ISNUMBER($K143),$P143=$K143),"= LT","nenhuma das duas"))))</f>
        <v/>
      </c>
      <c r="S143" s="19" t="n"/>
      <c r="T143" s="19" t="n"/>
      <c r="U143" s="14">
        <f>IF($C143="","",COUNTIFS('Ocorrências'!$V$5:$V$604,$C143&amp;"|"&amp;$B143&amp;"|"&amp;$G143,'Ocorrências'!$X$5:$X$604,"Sim"))</f>
        <v/>
      </c>
      <c r="V143" s="14">
        <f>IF($P143="","",IF(OR($P143=1,$P143=2,$P143=5),IF($U143&gt;0,"OK","SEM LASTRO"),"OK"))</f>
        <v/>
      </c>
      <c r="W143" s="19" t="n"/>
      <c r="X143" s="18" t="n"/>
      <c r="Y143" s="14">
        <f>IF($C143="","",$C143&amp;"|"&amp;$B143)</f>
        <v/>
      </c>
      <c r="Z143" s="14">
        <f>IF($C143="","",$C143&amp;"|"&amp;$B143&amp;"|"&amp;$H143)</f>
        <v/>
      </c>
      <c r="AA143" s="14">
        <f>IF($C143="","",$C143&amp;"|"&amp;$B143&amp;"|"&amp;$G143)</f>
        <v/>
      </c>
    </row>
    <row r="144">
      <c r="A144" s="19" t="n"/>
      <c r="B144" s="14">
        <f>IF($A144="","",VALUE(LEFT($A144,4))*4+VALUE(RIGHT($A144,1)))</f>
        <v/>
      </c>
      <c r="C144" s="19" t="n"/>
      <c r="D144" s="14">
        <f>IFERROR(INDEX(Pessoas!$B$5:$B$64,MATCH($C144,Pessoas!$A$5:$A$64,0)),"")</f>
        <v/>
      </c>
      <c r="E144" s="19" t="n"/>
      <c r="F144" s="14">
        <f>IFERROR(INDEX(Pessoas!$D$5:$D$64,MATCH($C144,Pessoas!$A$5:$A$64,0)),"")</f>
        <v/>
      </c>
      <c r="G144" s="19" t="n"/>
      <c r="H144" s="14">
        <f>IFERROR(INDEX(Config!$B$40:$B$45,MATCH($G144,Config!$C$40:$C$45,0)),"")</f>
        <v/>
      </c>
      <c r="I144" s="14">
        <f>IFERROR(INDEX(Config!$D$40:$D$45,MATCH($G144,Config!$C$40:$C$45,0)),"")</f>
        <v/>
      </c>
      <c r="J144" s="19" t="n"/>
      <c r="K144" s="19" t="n"/>
      <c r="L144" s="19" t="n"/>
      <c r="M144" s="19" t="n"/>
      <c r="N144" s="14">
        <f>IF(AND(ISNUMBER($J144),ISNUMBER($K144)),ABS($J144-$K144),"")</f>
        <v/>
      </c>
      <c r="O144" s="14">
        <f>IF(AND(NOT(ISNUMBER($J144)),NOT(ISNUMBER($K144))),"",IF(NOT(ISNUMBER($K144)),$J144,IF(NOT(ISNUMBER($J144)),$K144,IF($N144=0,$J144,IF(AND($N144=1,$T144&lt;&gt;"Sim"),IF($I144="Líder Técnico",$K144,IF($I144="GP",$J144,"CALIBRAR")),"CALIBRAR")))))</f>
        <v/>
      </c>
      <c r="P144" s="19" t="n"/>
      <c r="Q144" s="19" t="n"/>
      <c r="R144" s="14">
        <f>IF($P144="","",IF(AND(ISNUMBER($J144),$P144=$J144,ISNUMBER($K144),$P144=$K144),"= ambos",IF(AND(ISNUMBER($J144),$P144=$J144),"= GP",IF(AND(ISNUMBER($K144),$P144=$K144),"= LT","nenhuma das duas"))))</f>
        <v/>
      </c>
      <c r="S144" s="19" t="n"/>
      <c r="T144" s="19" t="n"/>
      <c r="U144" s="14">
        <f>IF($C144="","",COUNTIFS('Ocorrências'!$V$5:$V$604,$C144&amp;"|"&amp;$B144&amp;"|"&amp;$G144,'Ocorrências'!$X$5:$X$604,"Sim"))</f>
        <v/>
      </c>
      <c r="V144" s="14">
        <f>IF($P144="","",IF(OR($P144=1,$P144=2,$P144=5),IF($U144&gt;0,"OK","SEM LASTRO"),"OK"))</f>
        <v/>
      </c>
      <c r="W144" s="19" t="n"/>
      <c r="X144" s="18" t="n"/>
      <c r="Y144" s="14">
        <f>IF($C144="","",$C144&amp;"|"&amp;$B144)</f>
        <v/>
      </c>
      <c r="Z144" s="14">
        <f>IF($C144="","",$C144&amp;"|"&amp;$B144&amp;"|"&amp;$H144)</f>
        <v/>
      </c>
      <c r="AA144" s="14">
        <f>IF($C144="","",$C144&amp;"|"&amp;$B144&amp;"|"&amp;$G144)</f>
        <v/>
      </c>
    </row>
    <row r="145">
      <c r="A145" s="19" t="n"/>
      <c r="B145" s="14">
        <f>IF($A145="","",VALUE(LEFT($A145,4))*4+VALUE(RIGHT($A145,1)))</f>
        <v/>
      </c>
      <c r="C145" s="19" t="n"/>
      <c r="D145" s="14">
        <f>IFERROR(INDEX(Pessoas!$B$5:$B$64,MATCH($C145,Pessoas!$A$5:$A$64,0)),"")</f>
        <v/>
      </c>
      <c r="E145" s="19" t="n"/>
      <c r="F145" s="14">
        <f>IFERROR(INDEX(Pessoas!$D$5:$D$64,MATCH($C145,Pessoas!$A$5:$A$64,0)),"")</f>
        <v/>
      </c>
      <c r="G145" s="19" t="n"/>
      <c r="H145" s="14">
        <f>IFERROR(INDEX(Config!$B$40:$B$45,MATCH($G145,Config!$C$40:$C$45,0)),"")</f>
        <v/>
      </c>
      <c r="I145" s="14">
        <f>IFERROR(INDEX(Config!$D$40:$D$45,MATCH($G145,Config!$C$40:$C$45,0)),"")</f>
        <v/>
      </c>
      <c r="J145" s="19" t="n"/>
      <c r="K145" s="19" t="n"/>
      <c r="L145" s="19" t="n"/>
      <c r="M145" s="19" t="n"/>
      <c r="N145" s="14">
        <f>IF(AND(ISNUMBER($J145),ISNUMBER($K145)),ABS($J145-$K145),"")</f>
        <v/>
      </c>
      <c r="O145" s="14">
        <f>IF(AND(NOT(ISNUMBER($J145)),NOT(ISNUMBER($K145))),"",IF(NOT(ISNUMBER($K145)),$J145,IF(NOT(ISNUMBER($J145)),$K145,IF($N145=0,$J145,IF(AND($N145=1,$T145&lt;&gt;"Sim"),IF($I145="Líder Técnico",$K145,IF($I145="GP",$J145,"CALIBRAR")),"CALIBRAR")))))</f>
        <v/>
      </c>
      <c r="P145" s="19" t="n"/>
      <c r="Q145" s="19" t="n"/>
      <c r="R145" s="14">
        <f>IF($P145="","",IF(AND(ISNUMBER($J145),$P145=$J145,ISNUMBER($K145),$P145=$K145),"= ambos",IF(AND(ISNUMBER($J145),$P145=$J145),"= GP",IF(AND(ISNUMBER($K145),$P145=$K145),"= LT","nenhuma das duas"))))</f>
        <v/>
      </c>
      <c r="S145" s="19" t="n"/>
      <c r="T145" s="19" t="n"/>
      <c r="U145" s="14">
        <f>IF($C145="","",COUNTIFS('Ocorrências'!$V$5:$V$604,$C145&amp;"|"&amp;$B145&amp;"|"&amp;$G145,'Ocorrências'!$X$5:$X$604,"Sim"))</f>
        <v/>
      </c>
      <c r="V145" s="14">
        <f>IF($P145="","",IF(OR($P145=1,$P145=2,$P145=5),IF($U145&gt;0,"OK","SEM LASTRO"),"OK"))</f>
        <v/>
      </c>
      <c r="W145" s="19" t="n"/>
      <c r="X145" s="18" t="n"/>
      <c r="Y145" s="14">
        <f>IF($C145="","",$C145&amp;"|"&amp;$B145)</f>
        <v/>
      </c>
      <c r="Z145" s="14">
        <f>IF($C145="","",$C145&amp;"|"&amp;$B145&amp;"|"&amp;$H145)</f>
        <v/>
      </c>
      <c r="AA145" s="14">
        <f>IF($C145="","",$C145&amp;"|"&amp;$B145&amp;"|"&amp;$G145)</f>
        <v/>
      </c>
    </row>
    <row r="146">
      <c r="A146" s="19" t="n"/>
      <c r="B146" s="14">
        <f>IF($A146="","",VALUE(LEFT($A146,4))*4+VALUE(RIGHT($A146,1)))</f>
        <v/>
      </c>
      <c r="C146" s="19" t="n"/>
      <c r="D146" s="14">
        <f>IFERROR(INDEX(Pessoas!$B$5:$B$64,MATCH($C146,Pessoas!$A$5:$A$64,0)),"")</f>
        <v/>
      </c>
      <c r="E146" s="19" t="n"/>
      <c r="F146" s="14">
        <f>IFERROR(INDEX(Pessoas!$D$5:$D$64,MATCH($C146,Pessoas!$A$5:$A$64,0)),"")</f>
        <v/>
      </c>
      <c r="G146" s="19" t="n"/>
      <c r="H146" s="14">
        <f>IFERROR(INDEX(Config!$B$40:$B$45,MATCH($G146,Config!$C$40:$C$45,0)),"")</f>
        <v/>
      </c>
      <c r="I146" s="14">
        <f>IFERROR(INDEX(Config!$D$40:$D$45,MATCH($G146,Config!$C$40:$C$45,0)),"")</f>
        <v/>
      </c>
      <c r="J146" s="19" t="n"/>
      <c r="K146" s="19" t="n"/>
      <c r="L146" s="19" t="n"/>
      <c r="M146" s="19" t="n"/>
      <c r="N146" s="14">
        <f>IF(AND(ISNUMBER($J146),ISNUMBER($K146)),ABS($J146-$K146),"")</f>
        <v/>
      </c>
      <c r="O146" s="14">
        <f>IF(AND(NOT(ISNUMBER($J146)),NOT(ISNUMBER($K146))),"",IF(NOT(ISNUMBER($K146)),$J146,IF(NOT(ISNUMBER($J146)),$K146,IF($N146=0,$J146,IF(AND($N146=1,$T146&lt;&gt;"Sim"),IF($I146="Líder Técnico",$K146,IF($I146="GP",$J146,"CALIBRAR")),"CALIBRAR")))))</f>
        <v/>
      </c>
      <c r="P146" s="19" t="n"/>
      <c r="Q146" s="19" t="n"/>
      <c r="R146" s="14">
        <f>IF($P146="","",IF(AND(ISNUMBER($J146),$P146=$J146,ISNUMBER($K146),$P146=$K146),"= ambos",IF(AND(ISNUMBER($J146),$P146=$J146),"= GP",IF(AND(ISNUMBER($K146),$P146=$K146),"= LT","nenhuma das duas"))))</f>
        <v/>
      </c>
      <c r="S146" s="19" t="n"/>
      <c r="T146" s="19" t="n"/>
      <c r="U146" s="14">
        <f>IF($C146="","",COUNTIFS('Ocorrências'!$V$5:$V$604,$C146&amp;"|"&amp;$B146&amp;"|"&amp;$G146,'Ocorrências'!$X$5:$X$604,"Sim"))</f>
        <v/>
      </c>
      <c r="V146" s="14">
        <f>IF($P146="","",IF(OR($P146=1,$P146=2,$P146=5),IF($U146&gt;0,"OK","SEM LASTRO"),"OK"))</f>
        <v/>
      </c>
      <c r="W146" s="19" t="n"/>
      <c r="X146" s="18" t="n"/>
      <c r="Y146" s="14">
        <f>IF($C146="","",$C146&amp;"|"&amp;$B146)</f>
        <v/>
      </c>
      <c r="Z146" s="14">
        <f>IF($C146="","",$C146&amp;"|"&amp;$B146&amp;"|"&amp;$H146)</f>
        <v/>
      </c>
      <c r="AA146" s="14">
        <f>IF($C146="","",$C146&amp;"|"&amp;$B146&amp;"|"&amp;$G146)</f>
        <v/>
      </c>
    </row>
    <row r="147">
      <c r="A147" s="19" t="n"/>
      <c r="B147" s="14">
        <f>IF($A147="","",VALUE(LEFT($A147,4))*4+VALUE(RIGHT($A147,1)))</f>
        <v/>
      </c>
      <c r="C147" s="19" t="n"/>
      <c r="D147" s="14">
        <f>IFERROR(INDEX(Pessoas!$B$5:$B$64,MATCH($C147,Pessoas!$A$5:$A$64,0)),"")</f>
        <v/>
      </c>
      <c r="E147" s="19" t="n"/>
      <c r="F147" s="14">
        <f>IFERROR(INDEX(Pessoas!$D$5:$D$64,MATCH($C147,Pessoas!$A$5:$A$64,0)),"")</f>
        <v/>
      </c>
      <c r="G147" s="19" t="n"/>
      <c r="H147" s="14">
        <f>IFERROR(INDEX(Config!$B$40:$B$45,MATCH($G147,Config!$C$40:$C$45,0)),"")</f>
        <v/>
      </c>
      <c r="I147" s="14">
        <f>IFERROR(INDEX(Config!$D$40:$D$45,MATCH($G147,Config!$C$40:$C$45,0)),"")</f>
        <v/>
      </c>
      <c r="J147" s="19" t="n"/>
      <c r="K147" s="19" t="n"/>
      <c r="L147" s="19" t="n"/>
      <c r="M147" s="19" t="n"/>
      <c r="N147" s="14">
        <f>IF(AND(ISNUMBER($J147),ISNUMBER($K147)),ABS($J147-$K147),"")</f>
        <v/>
      </c>
      <c r="O147" s="14">
        <f>IF(AND(NOT(ISNUMBER($J147)),NOT(ISNUMBER($K147))),"",IF(NOT(ISNUMBER($K147)),$J147,IF(NOT(ISNUMBER($J147)),$K147,IF($N147=0,$J147,IF(AND($N147=1,$T147&lt;&gt;"Sim"),IF($I147="Líder Técnico",$K147,IF($I147="GP",$J147,"CALIBRAR")),"CALIBRAR")))))</f>
        <v/>
      </c>
      <c r="P147" s="19" t="n"/>
      <c r="Q147" s="19" t="n"/>
      <c r="R147" s="14">
        <f>IF($P147="","",IF(AND(ISNUMBER($J147),$P147=$J147,ISNUMBER($K147),$P147=$K147),"= ambos",IF(AND(ISNUMBER($J147),$P147=$J147),"= GP",IF(AND(ISNUMBER($K147),$P147=$K147),"= LT","nenhuma das duas"))))</f>
        <v/>
      </c>
      <c r="S147" s="19" t="n"/>
      <c r="T147" s="19" t="n"/>
      <c r="U147" s="14">
        <f>IF($C147="","",COUNTIFS('Ocorrências'!$V$5:$V$604,$C147&amp;"|"&amp;$B147&amp;"|"&amp;$G147,'Ocorrências'!$X$5:$X$604,"Sim"))</f>
        <v/>
      </c>
      <c r="V147" s="14">
        <f>IF($P147="","",IF(OR($P147=1,$P147=2,$P147=5),IF($U147&gt;0,"OK","SEM LASTRO"),"OK"))</f>
        <v/>
      </c>
      <c r="W147" s="19" t="n"/>
      <c r="X147" s="18" t="n"/>
      <c r="Y147" s="14">
        <f>IF($C147="","",$C147&amp;"|"&amp;$B147)</f>
        <v/>
      </c>
      <c r="Z147" s="14">
        <f>IF($C147="","",$C147&amp;"|"&amp;$B147&amp;"|"&amp;$H147)</f>
        <v/>
      </c>
      <c r="AA147" s="14">
        <f>IF($C147="","",$C147&amp;"|"&amp;$B147&amp;"|"&amp;$G147)</f>
        <v/>
      </c>
    </row>
    <row r="148">
      <c r="A148" s="19" t="n"/>
      <c r="B148" s="14">
        <f>IF($A148="","",VALUE(LEFT($A148,4))*4+VALUE(RIGHT($A148,1)))</f>
        <v/>
      </c>
      <c r="C148" s="19" t="n"/>
      <c r="D148" s="14">
        <f>IFERROR(INDEX(Pessoas!$B$5:$B$64,MATCH($C148,Pessoas!$A$5:$A$64,0)),"")</f>
        <v/>
      </c>
      <c r="E148" s="19" t="n"/>
      <c r="F148" s="14">
        <f>IFERROR(INDEX(Pessoas!$D$5:$D$64,MATCH($C148,Pessoas!$A$5:$A$64,0)),"")</f>
        <v/>
      </c>
      <c r="G148" s="19" t="n"/>
      <c r="H148" s="14">
        <f>IFERROR(INDEX(Config!$B$40:$B$45,MATCH($G148,Config!$C$40:$C$45,0)),"")</f>
        <v/>
      </c>
      <c r="I148" s="14">
        <f>IFERROR(INDEX(Config!$D$40:$D$45,MATCH($G148,Config!$C$40:$C$45,0)),"")</f>
        <v/>
      </c>
      <c r="J148" s="19" t="n"/>
      <c r="K148" s="19" t="n"/>
      <c r="L148" s="19" t="n"/>
      <c r="M148" s="19" t="n"/>
      <c r="N148" s="14">
        <f>IF(AND(ISNUMBER($J148),ISNUMBER($K148)),ABS($J148-$K148),"")</f>
        <v/>
      </c>
      <c r="O148" s="14">
        <f>IF(AND(NOT(ISNUMBER($J148)),NOT(ISNUMBER($K148))),"",IF(NOT(ISNUMBER($K148)),$J148,IF(NOT(ISNUMBER($J148)),$K148,IF($N148=0,$J148,IF(AND($N148=1,$T148&lt;&gt;"Sim"),IF($I148="Líder Técnico",$K148,IF($I148="GP",$J148,"CALIBRAR")),"CALIBRAR")))))</f>
        <v/>
      </c>
      <c r="P148" s="19" t="n"/>
      <c r="Q148" s="19" t="n"/>
      <c r="R148" s="14">
        <f>IF($P148="","",IF(AND(ISNUMBER($J148),$P148=$J148,ISNUMBER($K148),$P148=$K148),"= ambos",IF(AND(ISNUMBER($J148),$P148=$J148),"= GP",IF(AND(ISNUMBER($K148),$P148=$K148),"= LT","nenhuma das duas"))))</f>
        <v/>
      </c>
      <c r="S148" s="19" t="n"/>
      <c r="T148" s="19" t="n"/>
      <c r="U148" s="14">
        <f>IF($C148="","",COUNTIFS('Ocorrências'!$V$5:$V$604,$C148&amp;"|"&amp;$B148&amp;"|"&amp;$G148,'Ocorrências'!$X$5:$X$604,"Sim"))</f>
        <v/>
      </c>
      <c r="V148" s="14">
        <f>IF($P148="","",IF(OR($P148=1,$P148=2,$P148=5),IF($U148&gt;0,"OK","SEM LASTRO"),"OK"))</f>
        <v/>
      </c>
      <c r="W148" s="19" t="n"/>
      <c r="X148" s="18" t="n"/>
      <c r="Y148" s="14">
        <f>IF($C148="","",$C148&amp;"|"&amp;$B148)</f>
        <v/>
      </c>
      <c r="Z148" s="14">
        <f>IF($C148="","",$C148&amp;"|"&amp;$B148&amp;"|"&amp;$H148)</f>
        <v/>
      </c>
      <c r="AA148" s="14">
        <f>IF($C148="","",$C148&amp;"|"&amp;$B148&amp;"|"&amp;$G148)</f>
        <v/>
      </c>
    </row>
    <row r="149">
      <c r="A149" s="19" t="n"/>
      <c r="B149" s="14">
        <f>IF($A149="","",VALUE(LEFT($A149,4))*4+VALUE(RIGHT($A149,1)))</f>
        <v/>
      </c>
      <c r="C149" s="19" t="n"/>
      <c r="D149" s="14">
        <f>IFERROR(INDEX(Pessoas!$B$5:$B$64,MATCH($C149,Pessoas!$A$5:$A$64,0)),"")</f>
        <v/>
      </c>
      <c r="E149" s="19" t="n"/>
      <c r="F149" s="14">
        <f>IFERROR(INDEX(Pessoas!$D$5:$D$64,MATCH($C149,Pessoas!$A$5:$A$64,0)),"")</f>
        <v/>
      </c>
      <c r="G149" s="19" t="n"/>
      <c r="H149" s="14">
        <f>IFERROR(INDEX(Config!$B$40:$B$45,MATCH($G149,Config!$C$40:$C$45,0)),"")</f>
        <v/>
      </c>
      <c r="I149" s="14">
        <f>IFERROR(INDEX(Config!$D$40:$D$45,MATCH($G149,Config!$C$40:$C$45,0)),"")</f>
        <v/>
      </c>
      <c r="J149" s="19" t="n"/>
      <c r="K149" s="19" t="n"/>
      <c r="L149" s="19" t="n"/>
      <c r="M149" s="19" t="n"/>
      <c r="N149" s="14">
        <f>IF(AND(ISNUMBER($J149),ISNUMBER($K149)),ABS($J149-$K149),"")</f>
        <v/>
      </c>
      <c r="O149" s="14">
        <f>IF(AND(NOT(ISNUMBER($J149)),NOT(ISNUMBER($K149))),"",IF(NOT(ISNUMBER($K149)),$J149,IF(NOT(ISNUMBER($J149)),$K149,IF($N149=0,$J149,IF(AND($N149=1,$T149&lt;&gt;"Sim"),IF($I149="Líder Técnico",$K149,IF($I149="GP",$J149,"CALIBRAR")),"CALIBRAR")))))</f>
        <v/>
      </c>
      <c r="P149" s="19" t="n"/>
      <c r="Q149" s="19" t="n"/>
      <c r="R149" s="14">
        <f>IF($P149="","",IF(AND(ISNUMBER($J149),$P149=$J149,ISNUMBER($K149),$P149=$K149),"= ambos",IF(AND(ISNUMBER($J149),$P149=$J149),"= GP",IF(AND(ISNUMBER($K149),$P149=$K149),"= LT","nenhuma das duas"))))</f>
        <v/>
      </c>
      <c r="S149" s="19" t="n"/>
      <c r="T149" s="19" t="n"/>
      <c r="U149" s="14">
        <f>IF($C149="","",COUNTIFS('Ocorrências'!$V$5:$V$604,$C149&amp;"|"&amp;$B149&amp;"|"&amp;$G149,'Ocorrências'!$X$5:$X$604,"Sim"))</f>
        <v/>
      </c>
      <c r="V149" s="14">
        <f>IF($P149="","",IF(OR($P149=1,$P149=2,$P149=5),IF($U149&gt;0,"OK","SEM LASTRO"),"OK"))</f>
        <v/>
      </c>
      <c r="W149" s="19" t="n"/>
      <c r="X149" s="18" t="n"/>
      <c r="Y149" s="14">
        <f>IF($C149="","",$C149&amp;"|"&amp;$B149)</f>
        <v/>
      </c>
      <c r="Z149" s="14">
        <f>IF($C149="","",$C149&amp;"|"&amp;$B149&amp;"|"&amp;$H149)</f>
        <v/>
      </c>
      <c r="AA149" s="14">
        <f>IF($C149="","",$C149&amp;"|"&amp;$B149&amp;"|"&amp;$G149)</f>
        <v/>
      </c>
    </row>
    <row r="150">
      <c r="A150" s="19" t="n"/>
      <c r="B150" s="14">
        <f>IF($A150="","",VALUE(LEFT($A150,4))*4+VALUE(RIGHT($A150,1)))</f>
        <v/>
      </c>
      <c r="C150" s="19" t="n"/>
      <c r="D150" s="14">
        <f>IFERROR(INDEX(Pessoas!$B$5:$B$64,MATCH($C150,Pessoas!$A$5:$A$64,0)),"")</f>
        <v/>
      </c>
      <c r="E150" s="19" t="n"/>
      <c r="F150" s="14">
        <f>IFERROR(INDEX(Pessoas!$D$5:$D$64,MATCH($C150,Pessoas!$A$5:$A$64,0)),"")</f>
        <v/>
      </c>
      <c r="G150" s="19" t="n"/>
      <c r="H150" s="14">
        <f>IFERROR(INDEX(Config!$B$40:$B$45,MATCH($G150,Config!$C$40:$C$45,0)),"")</f>
        <v/>
      </c>
      <c r="I150" s="14">
        <f>IFERROR(INDEX(Config!$D$40:$D$45,MATCH($G150,Config!$C$40:$C$45,0)),"")</f>
        <v/>
      </c>
      <c r="J150" s="19" t="n"/>
      <c r="K150" s="19" t="n"/>
      <c r="L150" s="19" t="n"/>
      <c r="M150" s="19" t="n"/>
      <c r="N150" s="14">
        <f>IF(AND(ISNUMBER($J150),ISNUMBER($K150)),ABS($J150-$K150),"")</f>
        <v/>
      </c>
      <c r="O150" s="14">
        <f>IF(AND(NOT(ISNUMBER($J150)),NOT(ISNUMBER($K150))),"",IF(NOT(ISNUMBER($K150)),$J150,IF(NOT(ISNUMBER($J150)),$K150,IF($N150=0,$J150,IF(AND($N150=1,$T150&lt;&gt;"Sim"),IF($I150="Líder Técnico",$K150,IF($I150="GP",$J150,"CALIBRAR")),"CALIBRAR")))))</f>
        <v/>
      </c>
      <c r="P150" s="19" t="n"/>
      <c r="Q150" s="19" t="n"/>
      <c r="R150" s="14">
        <f>IF($P150="","",IF(AND(ISNUMBER($J150),$P150=$J150,ISNUMBER($K150),$P150=$K150),"= ambos",IF(AND(ISNUMBER($J150),$P150=$J150),"= GP",IF(AND(ISNUMBER($K150),$P150=$K150),"= LT","nenhuma das duas"))))</f>
        <v/>
      </c>
      <c r="S150" s="19" t="n"/>
      <c r="T150" s="19" t="n"/>
      <c r="U150" s="14">
        <f>IF($C150="","",COUNTIFS('Ocorrências'!$V$5:$V$604,$C150&amp;"|"&amp;$B150&amp;"|"&amp;$G150,'Ocorrências'!$X$5:$X$604,"Sim"))</f>
        <v/>
      </c>
      <c r="V150" s="14">
        <f>IF($P150="","",IF(OR($P150=1,$P150=2,$P150=5),IF($U150&gt;0,"OK","SEM LASTRO"),"OK"))</f>
        <v/>
      </c>
      <c r="W150" s="19" t="n"/>
      <c r="X150" s="18" t="n"/>
      <c r="Y150" s="14">
        <f>IF($C150="","",$C150&amp;"|"&amp;$B150)</f>
        <v/>
      </c>
      <c r="Z150" s="14">
        <f>IF($C150="","",$C150&amp;"|"&amp;$B150&amp;"|"&amp;$H150)</f>
        <v/>
      </c>
      <c r="AA150" s="14">
        <f>IF($C150="","",$C150&amp;"|"&amp;$B150&amp;"|"&amp;$G150)</f>
        <v/>
      </c>
    </row>
    <row r="151">
      <c r="A151" s="19" t="n"/>
      <c r="B151" s="14">
        <f>IF($A151="","",VALUE(LEFT($A151,4))*4+VALUE(RIGHT($A151,1)))</f>
        <v/>
      </c>
      <c r="C151" s="19" t="n"/>
      <c r="D151" s="14">
        <f>IFERROR(INDEX(Pessoas!$B$5:$B$64,MATCH($C151,Pessoas!$A$5:$A$64,0)),"")</f>
        <v/>
      </c>
      <c r="E151" s="19" t="n"/>
      <c r="F151" s="14">
        <f>IFERROR(INDEX(Pessoas!$D$5:$D$64,MATCH($C151,Pessoas!$A$5:$A$64,0)),"")</f>
        <v/>
      </c>
      <c r="G151" s="19" t="n"/>
      <c r="H151" s="14">
        <f>IFERROR(INDEX(Config!$B$40:$B$45,MATCH($G151,Config!$C$40:$C$45,0)),"")</f>
        <v/>
      </c>
      <c r="I151" s="14">
        <f>IFERROR(INDEX(Config!$D$40:$D$45,MATCH($G151,Config!$C$40:$C$45,0)),"")</f>
        <v/>
      </c>
      <c r="J151" s="19" t="n"/>
      <c r="K151" s="19" t="n"/>
      <c r="L151" s="19" t="n"/>
      <c r="M151" s="19" t="n"/>
      <c r="N151" s="14">
        <f>IF(AND(ISNUMBER($J151),ISNUMBER($K151)),ABS($J151-$K151),"")</f>
        <v/>
      </c>
      <c r="O151" s="14">
        <f>IF(AND(NOT(ISNUMBER($J151)),NOT(ISNUMBER($K151))),"",IF(NOT(ISNUMBER($K151)),$J151,IF(NOT(ISNUMBER($J151)),$K151,IF($N151=0,$J151,IF(AND($N151=1,$T151&lt;&gt;"Sim"),IF($I151="Líder Técnico",$K151,IF($I151="GP",$J151,"CALIBRAR")),"CALIBRAR")))))</f>
        <v/>
      </c>
      <c r="P151" s="19" t="n"/>
      <c r="Q151" s="19" t="n"/>
      <c r="R151" s="14">
        <f>IF($P151="","",IF(AND(ISNUMBER($J151),$P151=$J151,ISNUMBER($K151),$P151=$K151),"= ambos",IF(AND(ISNUMBER($J151),$P151=$J151),"= GP",IF(AND(ISNUMBER($K151),$P151=$K151),"= LT","nenhuma das duas"))))</f>
        <v/>
      </c>
      <c r="S151" s="19" t="n"/>
      <c r="T151" s="19" t="n"/>
      <c r="U151" s="14">
        <f>IF($C151="","",COUNTIFS('Ocorrências'!$V$5:$V$604,$C151&amp;"|"&amp;$B151&amp;"|"&amp;$G151,'Ocorrências'!$X$5:$X$604,"Sim"))</f>
        <v/>
      </c>
      <c r="V151" s="14">
        <f>IF($P151="","",IF(OR($P151=1,$P151=2,$P151=5),IF($U151&gt;0,"OK","SEM LASTRO"),"OK"))</f>
        <v/>
      </c>
      <c r="W151" s="19" t="n"/>
      <c r="X151" s="18" t="n"/>
      <c r="Y151" s="14">
        <f>IF($C151="","",$C151&amp;"|"&amp;$B151)</f>
        <v/>
      </c>
      <c r="Z151" s="14">
        <f>IF($C151="","",$C151&amp;"|"&amp;$B151&amp;"|"&amp;$H151)</f>
        <v/>
      </c>
      <c r="AA151" s="14">
        <f>IF($C151="","",$C151&amp;"|"&amp;$B151&amp;"|"&amp;$G151)</f>
        <v/>
      </c>
    </row>
    <row r="152">
      <c r="A152" s="19" t="n"/>
      <c r="B152" s="14">
        <f>IF($A152="","",VALUE(LEFT($A152,4))*4+VALUE(RIGHT($A152,1)))</f>
        <v/>
      </c>
      <c r="C152" s="19" t="n"/>
      <c r="D152" s="14">
        <f>IFERROR(INDEX(Pessoas!$B$5:$B$64,MATCH($C152,Pessoas!$A$5:$A$64,0)),"")</f>
        <v/>
      </c>
      <c r="E152" s="19" t="n"/>
      <c r="F152" s="14">
        <f>IFERROR(INDEX(Pessoas!$D$5:$D$64,MATCH($C152,Pessoas!$A$5:$A$64,0)),"")</f>
        <v/>
      </c>
      <c r="G152" s="19" t="n"/>
      <c r="H152" s="14">
        <f>IFERROR(INDEX(Config!$B$40:$B$45,MATCH($G152,Config!$C$40:$C$45,0)),"")</f>
        <v/>
      </c>
      <c r="I152" s="14">
        <f>IFERROR(INDEX(Config!$D$40:$D$45,MATCH($G152,Config!$C$40:$C$45,0)),"")</f>
        <v/>
      </c>
      <c r="J152" s="19" t="n"/>
      <c r="K152" s="19" t="n"/>
      <c r="L152" s="19" t="n"/>
      <c r="M152" s="19" t="n"/>
      <c r="N152" s="14">
        <f>IF(AND(ISNUMBER($J152),ISNUMBER($K152)),ABS($J152-$K152),"")</f>
        <v/>
      </c>
      <c r="O152" s="14">
        <f>IF(AND(NOT(ISNUMBER($J152)),NOT(ISNUMBER($K152))),"",IF(NOT(ISNUMBER($K152)),$J152,IF(NOT(ISNUMBER($J152)),$K152,IF($N152=0,$J152,IF(AND($N152=1,$T152&lt;&gt;"Sim"),IF($I152="Líder Técnico",$K152,IF($I152="GP",$J152,"CALIBRAR")),"CALIBRAR")))))</f>
        <v/>
      </c>
      <c r="P152" s="19" t="n"/>
      <c r="Q152" s="19" t="n"/>
      <c r="R152" s="14">
        <f>IF($P152="","",IF(AND(ISNUMBER($J152),$P152=$J152,ISNUMBER($K152),$P152=$K152),"= ambos",IF(AND(ISNUMBER($J152),$P152=$J152),"= GP",IF(AND(ISNUMBER($K152),$P152=$K152),"= LT","nenhuma das duas"))))</f>
        <v/>
      </c>
      <c r="S152" s="19" t="n"/>
      <c r="T152" s="19" t="n"/>
      <c r="U152" s="14">
        <f>IF($C152="","",COUNTIFS('Ocorrências'!$V$5:$V$604,$C152&amp;"|"&amp;$B152&amp;"|"&amp;$G152,'Ocorrências'!$X$5:$X$604,"Sim"))</f>
        <v/>
      </c>
      <c r="V152" s="14">
        <f>IF($P152="","",IF(OR($P152=1,$P152=2,$P152=5),IF($U152&gt;0,"OK","SEM LASTRO"),"OK"))</f>
        <v/>
      </c>
      <c r="W152" s="19" t="n"/>
      <c r="X152" s="18" t="n"/>
      <c r="Y152" s="14">
        <f>IF($C152="","",$C152&amp;"|"&amp;$B152)</f>
        <v/>
      </c>
      <c r="Z152" s="14">
        <f>IF($C152="","",$C152&amp;"|"&amp;$B152&amp;"|"&amp;$H152)</f>
        <v/>
      </c>
      <c r="AA152" s="14">
        <f>IF($C152="","",$C152&amp;"|"&amp;$B152&amp;"|"&amp;$G152)</f>
        <v/>
      </c>
    </row>
    <row r="153">
      <c r="A153" s="19" t="n"/>
      <c r="B153" s="14">
        <f>IF($A153="","",VALUE(LEFT($A153,4))*4+VALUE(RIGHT($A153,1)))</f>
        <v/>
      </c>
      <c r="C153" s="19" t="n"/>
      <c r="D153" s="14">
        <f>IFERROR(INDEX(Pessoas!$B$5:$B$64,MATCH($C153,Pessoas!$A$5:$A$64,0)),"")</f>
        <v/>
      </c>
      <c r="E153" s="19" t="n"/>
      <c r="F153" s="14">
        <f>IFERROR(INDEX(Pessoas!$D$5:$D$64,MATCH($C153,Pessoas!$A$5:$A$64,0)),"")</f>
        <v/>
      </c>
      <c r="G153" s="19" t="n"/>
      <c r="H153" s="14">
        <f>IFERROR(INDEX(Config!$B$40:$B$45,MATCH($G153,Config!$C$40:$C$45,0)),"")</f>
        <v/>
      </c>
      <c r="I153" s="14">
        <f>IFERROR(INDEX(Config!$D$40:$D$45,MATCH($G153,Config!$C$40:$C$45,0)),"")</f>
        <v/>
      </c>
      <c r="J153" s="19" t="n"/>
      <c r="K153" s="19" t="n"/>
      <c r="L153" s="19" t="n"/>
      <c r="M153" s="19" t="n"/>
      <c r="N153" s="14">
        <f>IF(AND(ISNUMBER($J153),ISNUMBER($K153)),ABS($J153-$K153),"")</f>
        <v/>
      </c>
      <c r="O153" s="14">
        <f>IF(AND(NOT(ISNUMBER($J153)),NOT(ISNUMBER($K153))),"",IF(NOT(ISNUMBER($K153)),$J153,IF(NOT(ISNUMBER($J153)),$K153,IF($N153=0,$J153,IF(AND($N153=1,$T153&lt;&gt;"Sim"),IF($I153="Líder Técnico",$K153,IF($I153="GP",$J153,"CALIBRAR")),"CALIBRAR")))))</f>
        <v/>
      </c>
      <c r="P153" s="19" t="n"/>
      <c r="Q153" s="19" t="n"/>
      <c r="R153" s="14">
        <f>IF($P153="","",IF(AND(ISNUMBER($J153),$P153=$J153,ISNUMBER($K153),$P153=$K153),"= ambos",IF(AND(ISNUMBER($J153),$P153=$J153),"= GP",IF(AND(ISNUMBER($K153),$P153=$K153),"= LT","nenhuma das duas"))))</f>
        <v/>
      </c>
      <c r="S153" s="19" t="n"/>
      <c r="T153" s="19" t="n"/>
      <c r="U153" s="14">
        <f>IF($C153="","",COUNTIFS('Ocorrências'!$V$5:$V$604,$C153&amp;"|"&amp;$B153&amp;"|"&amp;$G153,'Ocorrências'!$X$5:$X$604,"Sim"))</f>
        <v/>
      </c>
      <c r="V153" s="14">
        <f>IF($P153="","",IF(OR($P153=1,$P153=2,$P153=5),IF($U153&gt;0,"OK","SEM LASTRO"),"OK"))</f>
        <v/>
      </c>
      <c r="W153" s="19" t="n"/>
      <c r="X153" s="18" t="n"/>
      <c r="Y153" s="14">
        <f>IF($C153="","",$C153&amp;"|"&amp;$B153)</f>
        <v/>
      </c>
      <c r="Z153" s="14">
        <f>IF($C153="","",$C153&amp;"|"&amp;$B153&amp;"|"&amp;$H153)</f>
        <v/>
      </c>
      <c r="AA153" s="14">
        <f>IF($C153="","",$C153&amp;"|"&amp;$B153&amp;"|"&amp;$G153)</f>
        <v/>
      </c>
    </row>
    <row r="154">
      <c r="A154" s="19" t="n"/>
      <c r="B154" s="14">
        <f>IF($A154="","",VALUE(LEFT($A154,4))*4+VALUE(RIGHT($A154,1)))</f>
        <v/>
      </c>
      <c r="C154" s="19" t="n"/>
      <c r="D154" s="14">
        <f>IFERROR(INDEX(Pessoas!$B$5:$B$64,MATCH($C154,Pessoas!$A$5:$A$64,0)),"")</f>
        <v/>
      </c>
      <c r="E154" s="19" t="n"/>
      <c r="F154" s="14">
        <f>IFERROR(INDEX(Pessoas!$D$5:$D$64,MATCH($C154,Pessoas!$A$5:$A$64,0)),"")</f>
        <v/>
      </c>
      <c r="G154" s="19" t="n"/>
      <c r="H154" s="14">
        <f>IFERROR(INDEX(Config!$B$40:$B$45,MATCH($G154,Config!$C$40:$C$45,0)),"")</f>
        <v/>
      </c>
      <c r="I154" s="14">
        <f>IFERROR(INDEX(Config!$D$40:$D$45,MATCH($G154,Config!$C$40:$C$45,0)),"")</f>
        <v/>
      </c>
      <c r="J154" s="19" t="n"/>
      <c r="K154" s="19" t="n"/>
      <c r="L154" s="19" t="n"/>
      <c r="M154" s="19" t="n"/>
      <c r="N154" s="14">
        <f>IF(AND(ISNUMBER($J154),ISNUMBER($K154)),ABS($J154-$K154),"")</f>
        <v/>
      </c>
      <c r="O154" s="14">
        <f>IF(AND(NOT(ISNUMBER($J154)),NOT(ISNUMBER($K154))),"",IF(NOT(ISNUMBER($K154)),$J154,IF(NOT(ISNUMBER($J154)),$K154,IF($N154=0,$J154,IF(AND($N154=1,$T154&lt;&gt;"Sim"),IF($I154="Líder Técnico",$K154,IF($I154="GP",$J154,"CALIBRAR")),"CALIBRAR")))))</f>
        <v/>
      </c>
      <c r="P154" s="19" t="n"/>
      <c r="Q154" s="19" t="n"/>
      <c r="R154" s="14">
        <f>IF($P154="","",IF(AND(ISNUMBER($J154),$P154=$J154,ISNUMBER($K154),$P154=$K154),"= ambos",IF(AND(ISNUMBER($J154),$P154=$J154),"= GP",IF(AND(ISNUMBER($K154),$P154=$K154),"= LT","nenhuma das duas"))))</f>
        <v/>
      </c>
      <c r="S154" s="19" t="n"/>
      <c r="T154" s="19" t="n"/>
      <c r="U154" s="14">
        <f>IF($C154="","",COUNTIFS('Ocorrências'!$V$5:$V$604,$C154&amp;"|"&amp;$B154&amp;"|"&amp;$G154,'Ocorrências'!$X$5:$X$604,"Sim"))</f>
        <v/>
      </c>
      <c r="V154" s="14">
        <f>IF($P154="","",IF(OR($P154=1,$P154=2,$P154=5),IF($U154&gt;0,"OK","SEM LASTRO"),"OK"))</f>
        <v/>
      </c>
      <c r="W154" s="19" t="n"/>
      <c r="X154" s="18" t="n"/>
      <c r="Y154" s="14">
        <f>IF($C154="","",$C154&amp;"|"&amp;$B154)</f>
        <v/>
      </c>
      <c r="Z154" s="14">
        <f>IF($C154="","",$C154&amp;"|"&amp;$B154&amp;"|"&amp;$H154)</f>
        <v/>
      </c>
      <c r="AA154" s="14">
        <f>IF($C154="","",$C154&amp;"|"&amp;$B154&amp;"|"&amp;$G154)</f>
        <v/>
      </c>
    </row>
    <row r="155">
      <c r="A155" s="19" t="n"/>
      <c r="B155" s="14">
        <f>IF($A155="","",VALUE(LEFT($A155,4))*4+VALUE(RIGHT($A155,1)))</f>
        <v/>
      </c>
      <c r="C155" s="19" t="n"/>
      <c r="D155" s="14">
        <f>IFERROR(INDEX(Pessoas!$B$5:$B$64,MATCH($C155,Pessoas!$A$5:$A$64,0)),"")</f>
        <v/>
      </c>
      <c r="E155" s="19" t="n"/>
      <c r="F155" s="14">
        <f>IFERROR(INDEX(Pessoas!$D$5:$D$64,MATCH($C155,Pessoas!$A$5:$A$64,0)),"")</f>
        <v/>
      </c>
      <c r="G155" s="19" t="n"/>
      <c r="H155" s="14">
        <f>IFERROR(INDEX(Config!$B$40:$B$45,MATCH($G155,Config!$C$40:$C$45,0)),"")</f>
        <v/>
      </c>
      <c r="I155" s="14">
        <f>IFERROR(INDEX(Config!$D$40:$D$45,MATCH($G155,Config!$C$40:$C$45,0)),"")</f>
        <v/>
      </c>
      <c r="J155" s="19" t="n"/>
      <c r="K155" s="19" t="n"/>
      <c r="L155" s="19" t="n"/>
      <c r="M155" s="19" t="n"/>
      <c r="N155" s="14">
        <f>IF(AND(ISNUMBER($J155),ISNUMBER($K155)),ABS($J155-$K155),"")</f>
        <v/>
      </c>
      <c r="O155" s="14">
        <f>IF(AND(NOT(ISNUMBER($J155)),NOT(ISNUMBER($K155))),"",IF(NOT(ISNUMBER($K155)),$J155,IF(NOT(ISNUMBER($J155)),$K155,IF($N155=0,$J155,IF(AND($N155=1,$T155&lt;&gt;"Sim"),IF($I155="Líder Técnico",$K155,IF($I155="GP",$J155,"CALIBRAR")),"CALIBRAR")))))</f>
        <v/>
      </c>
      <c r="P155" s="19" t="n"/>
      <c r="Q155" s="19" t="n"/>
      <c r="R155" s="14">
        <f>IF($P155="","",IF(AND(ISNUMBER($J155),$P155=$J155,ISNUMBER($K155),$P155=$K155),"= ambos",IF(AND(ISNUMBER($J155),$P155=$J155),"= GP",IF(AND(ISNUMBER($K155),$P155=$K155),"= LT","nenhuma das duas"))))</f>
        <v/>
      </c>
      <c r="S155" s="19" t="n"/>
      <c r="T155" s="19" t="n"/>
      <c r="U155" s="14">
        <f>IF($C155="","",COUNTIFS('Ocorrências'!$V$5:$V$604,$C155&amp;"|"&amp;$B155&amp;"|"&amp;$G155,'Ocorrências'!$X$5:$X$604,"Sim"))</f>
        <v/>
      </c>
      <c r="V155" s="14">
        <f>IF($P155="","",IF(OR($P155=1,$P155=2,$P155=5),IF($U155&gt;0,"OK","SEM LASTRO"),"OK"))</f>
        <v/>
      </c>
      <c r="W155" s="19" t="n"/>
      <c r="X155" s="18" t="n"/>
      <c r="Y155" s="14">
        <f>IF($C155="","",$C155&amp;"|"&amp;$B155)</f>
        <v/>
      </c>
      <c r="Z155" s="14">
        <f>IF($C155="","",$C155&amp;"|"&amp;$B155&amp;"|"&amp;$H155)</f>
        <v/>
      </c>
      <c r="AA155" s="14">
        <f>IF($C155="","",$C155&amp;"|"&amp;$B155&amp;"|"&amp;$G155)</f>
        <v/>
      </c>
    </row>
    <row r="156">
      <c r="A156" s="19" t="n"/>
      <c r="B156" s="14">
        <f>IF($A156="","",VALUE(LEFT($A156,4))*4+VALUE(RIGHT($A156,1)))</f>
        <v/>
      </c>
      <c r="C156" s="19" t="n"/>
      <c r="D156" s="14">
        <f>IFERROR(INDEX(Pessoas!$B$5:$B$64,MATCH($C156,Pessoas!$A$5:$A$64,0)),"")</f>
        <v/>
      </c>
      <c r="E156" s="19" t="n"/>
      <c r="F156" s="14">
        <f>IFERROR(INDEX(Pessoas!$D$5:$D$64,MATCH($C156,Pessoas!$A$5:$A$64,0)),"")</f>
        <v/>
      </c>
      <c r="G156" s="19" t="n"/>
      <c r="H156" s="14">
        <f>IFERROR(INDEX(Config!$B$40:$B$45,MATCH($G156,Config!$C$40:$C$45,0)),"")</f>
        <v/>
      </c>
      <c r="I156" s="14">
        <f>IFERROR(INDEX(Config!$D$40:$D$45,MATCH($G156,Config!$C$40:$C$45,0)),"")</f>
        <v/>
      </c>
      <c r="J156" s="19" t="n"/>
      <c r="K156" s="19" t="n"/>
      <c r="L156" s="19" t="n"/>
      <c r="M156" s="19" t="n"/>
      <c r="N156" s="14">
        <f>IF(AND(ISNUMBER($J156),ISNUMBER($K156)),ABS($J156-$K156),"")</f>
        <v/>
      </c>
      <c r="O156" s="14">
        <f>IF(AND(NOT(ISNUMBER($J156)),NOT(ISNUMBER($K156))),"",IF(NOT(ISNUMBER($K156)),$J156,IF(NOT(ISNUMBER($J156)),$K156,IF($N156=0,$J156,IF(AND($N156=1,$T156&lt;&gt;"Sim"),IF($I156="Líder Técnico",$K156,IF($I156="GP",$J156,"CALIBRAR")),"CALIBRAR")))))</f>
        <v/>
      </c>
      <c r="P156" s="19" t="n"/>
      <c r="Q156" s="19" t="n"/>
      <c r="R156" s="14">
        <f>IF($P156="","",IF(AND(ISNUMBER($J156),$P156=$J156,ISNUMBER($K156),$P156=$K156),"= ambos",IF(AND(ISNUMBER($J156),$P156=$J156),"= GP",IF(AND(ISNUMBER($K156),$P156=$K156),"= LT","nenhuma das duas"))))</f>
        <v/>
      </c>
      <c r="S156" s="19" t="n"/>
      <c r="T156" s="19" t="n"/>
      <c r="U156" s="14">
        <f>IF($C156="","",COUNTIFS('Ocorrências'!$V$5:$V$604,$C156&amp;"|"&amp;$B156&amp;"|"&amp;$G156,'Ocorrências'!$X$5:$X$604,"Sim"))</f>
        <v/>
      </c>
      <c r="V156" s="14">
        <f>IF($P156="","",IF(OR($P156=1,$P156=2,$P156=5),IF($U156&gt;0,"OK","SEM LASTRO"),"OK"))</f>
        <v/>
      </c>
      <c r="W156" s="19" t="n"/>
      <c r="X156" s="18" t="n"/>
      <c r="Y156" s="14">
        <f>IF($C156="","",$C156&amp;"|"&amp;$B156)</f>
        <v/>
      </c>
      <c r="Z156" s="14">
        <f>IF($C156="","",$C156&amp;"|"&amp;$B156&amp;"|"&amp;$H156)</f>
        <v/>
      </c>
      <c r="AA156" s="14">
        <f>IF($C156="","",$C156&amp;"|"&amp;$B156&amp;"|"&amp;$G156)</f>
        <v/>
      </c>
    </row>
    <row r="157">
      <c r="A157" s="19" t="n"/>
      <c r="B157" s="14">
        <f>IF($A157="","",VALUE(LEFT($A157,4))*4+VALUE(RIGHT($A157,1)))</f>
        <v/>
      </c>
      <c r="C157" s="19" t="n"/>
      <c r="D157" s="14">
        <f>IFERROR(INDEX(Pessoas!$B$5:$B$64,MATCH($C157,Pessoas!$A$5:$A$64,0)),"")</f>
        <v/>
      </c>
      <c r="E157" s="19" t="n"/>
      <c r="F157" s="14">
        <f>IFERROR(INDEX(Pessoas!$D$5:$D$64,MATCH($C157,Pessoas!$A$5:$A$64,0)),"")</f>
        <v/>
      </c>
      <c r="G157" s="19" t="n"/>
      <c r="H157" s="14">
        <f>IFERROR(INDEX(Config!$B$40:$B$45,MATCH($G157,Config!$C$40:$C$45,0)),"")</f>
        <v/>
      </c>
      <c r="I157" s="14">
        <f>IFERROR(INDEX(Config!$D$40:$D$45,MATCH($G157,Config!$C$40:$C$45,0)),"")</f>
        <v/>
      </c>
      <c r="J157" s="19" t="n"/>
      <c r="K157" s="19" t="n"/>
      <c r="L157" s="19" t="n"/>
      <c r="M157" s="19" t="n"/>
      <c r="N157" s="14">
        <f>IF(AND(ISNUMBER($J157),ISNUMBER($K157)),ABS($J157-$K157),"")</f>
        <v/>
      </c>
      <c r="O157" s="14">
        <f>IF(AND(NOT(ISNUMBER($J157)),NOT(ISNUMBER($K157))),"",IF(NOT(ISNUMBER($K157)),$J157,IF(NOT(ISNUMBER($J157)),$K157,IF($N157=0,$J157,IF(AND($N157=1,$T157&lt;&gt;"Sim"),IF($I157="Líder Técnico",$K157,IF($I157="GP",$J157,"CALIBRAR")),"CALIBRAR")))))</f>
        <v/>
      </c>
      <c r="P157" s="19" t="n"/>
      <c r="Q157" s="19" t="n"/>
      <c r="R157" s="14">
        <f>IF($P157="","",IF(AND(ISNUMBER($J157),$P157=$J157,ISNUMBER($K157),$P157=$K157),"= ambos",IF(AND(ISNUMBER($J157),$P157=$J157),"= GP",IF(AND(ISNUMBER($K157),$P157=$K157),"= LT","nenhuma das duas"))))</f>
        <v/>
      </c>
      <c r="S157" s="19" t="n"/>
      <c r="T157" s="19" t="n"/>
      <c r="U157" s="14">
        <f>IF($C157="","",COUNTIFS('Ocorrências'!$V$5:$V$604,$C157&amp;"|"&amp;$B157&amp;"|"&amp;$G157,'Ocorrências'!$X$5:$X$604,"Sim"))</f>
        <v/>
      </c>
      <c r="V157" s="14">
        <f>IF($P157="","",IF(OR($P157=1,$P157=2,$P157=5),IF($U157&gt;0,"OK","SEM LASTRO"),"OK"))</f>
        <v/>
      </c>
      <c r="W157" s="19" t="n"/>
      <c r="X157" s="18" t="n"/>
      <c r="Y157" s="14">
        <f>IF($C157="","",$C157&amp;"|"&amp;$B157)</f>
        <v/>
      </c>
      <c r="Z157" s="14">
        <f>IF($C157="","",$C157&amp;"|"&amp;$B157&amp;"|"&amp;$H157)</f>
        <v/>
      </c>
      <c r="AA157" s="14">
        <f>IF($C157="","",$C157&amp;"|"&amp;$B157&amp;"|"&amp;$G157)</f>
        <v/>
      </c>
    </row>
    <row r="158">
      <c r="A158" s="19" t="n"/>
      <c r="B158" s="14">
        <f>IF($A158="","",VALUE(LEFT($A158,4))*4+VALUE(RIGHT($A158,1)))</f>
        <v/>
      </c>
      <c r="C158" s="19" t="n"/>
      <c r="D158" s="14">
        <f>IFERROR(INDEX(Pessoas!$B$5:$B$64,MATCH($C158,Pessoas!$A$5:$A$64,0)),"")</f>
        <v/>
      </c>
      <c r="E158" s="19" t="n"/>
      <c r="F158" s="14">
        <f>IFERROR(INDEX(Pessoas!$D$5:$D$64,MATCH($C158,Pessoas!$A$5:$A$64,0)),"")</f>
        <v/>
      </c>
      <c r="G158" s="19" t="n"/>
      <c r="H158" s="14">
        <f>IFERROR(INDEX(Config!$B$40:$B$45,MATCH($G158,Config!$C$40:$C$45,0)),"")</f>
        <v/>
      </c>
      <c r="I158" s="14">
        <f>IFERROR(INDEX(Config!$D$40:$D$45,MATCH($G158,Config!$C$40:$C$45,0)),"")</f>
        <v/>
      </c>
      <c r="J158" s="19" t="n"/>
      <c r="K158" s="19" t="n"/>
      <c r="L158" s="19" t="n"/>
      <c r="M158" s="19" t="n"/>
      <c r="N158" s="14">
        <f>IF(AND(ISNUMBER($J158),ISNUMBER($K158)),ABS($J158-$K158),"")</f>
        <v/>
      </c>
      <c r="O158" s="14">
        <f>IF(AND(NOT(ISNUMBER($J158)),NOT(ISNUMBER($K158))),"",IF(NOT(ISNUMBER($K158)),$J158,IF(NOT(ISNUMBER($J158)),$K158,IF($N158=0,$J158,IF(AND($N158=1,$T158&lt;&gt;"Sim"),IF($I158="Líder Técnico",$K158,IF($I158="GP",$J158,"CALIBRAR")),"CALIBRAR")))))</f>
        <v/>
      </c>
      <c r="P158" s="19" t="n"/>
      <c r="Q158" s="19" t="n"/>
      <c r="R158" s="14">
        <f>IF($P158="","",IF(AND(ISNUMBER($J158),$P158=$J158,ISNUMBER($K158),$P158=$K158),"= ambos",IF(AND(ISNUMBER($J158),$P158=$J158),"= GP",IF(AND(ISNUMBER($K158),$P158=$K158),"= LT","nenhuma das duas"))))</f>
        <v/>
      </c>
      <c r="S158" s="19" t="n"/>
      <c r="T158" s="19" t="n"/>
      <c r="U158" s="14">
        <f>IF($C158="","",COUNTIFS('Ocorrências'!$V$5:$V$604,$C158&amp;"|"&amp;$B158&amp;"|"&amp;$G158,'Ocorrências'!$X$5:$X$604,"Sim"))</f>
        <v/>
      </c>
      <c r="V158" s="14">
        <f>IF($P158="","",IF(OR($P158=1,$P158=2,$P158=5),IF($U158&gt;0,"OK","SEM LASTRO"),"OK"))</f>
        <v/>
      </c>
      <c r="W158" s="19" t="n"/>
      <c r="X158" s="18" t="n"/>
      <c r="Y158" s="14">
        <f>IF($C158="","",$C158&amp;"|"&amp;$B158)</f>
        <v/>
      </c>
      <c r="Z158" s="14">
        <f>IF($C158="","",$C158&amp;"|"&amp;$B158&amp;"|"&amp;$H158)</f>
        <v/>
      </c>
      <c r="AA158" s="14">
        <f>IF($C158="","",$C158&amp;"|"&amp;$B158&amp;"|"&amp;$G158)</f>
        <v/>
      </c>
    </row>
    <row r="159">
      <c r="A159" s="19" t="n"/>
      <c r="B159" s="14">
        <f>IF($A159="","",VALUE(LEFT($A159,4))*4+VALUE(RIGHT($A159,1)))</f>
        <v/>
      </c>
      <c r="C159" s="19" t="n"/>
      <c r="D159" s="14">
        <f>IFERROR(INDEX(Pessoas!$B$5:$B$64,MATCH($C159,Pessoas!$A$5:$A$64,0)),"")</f>
        <v/>
      </c>
      <c r="E159" s="19" t="n"/>
      <c r="F159" s="14">
        <f>IFERROR(INDEX(Pessoas!$D$5:$D$64,MATCH($C159,Pessoas!$A$5:$A$64,0)),"")</f>
        <v/>
      </c>
      <c r="G159" s="19" t="n"/>
      <c r="H159" s="14">
        <f>IFERROR(INDEX(Config!$B$40:$B$45,MATCH($G159,Config!$C$40:$C$45,0)),"")</f>
        <v/>
      </c>
      <c r="I159" s="14">
        <f>IFERROR(INDEX(Config!$D$40:$D$45,MATCH($G159,Config!$C$40:$C$45,0)),"")</f>
        <v/>
      </c>
      <c r="J159" s="19" t="n"/>
      <c r="K159" s="19" t="n"/>
      <c r="L159" s="19" t="n"/>
      <c r="M159" s="19" t="n"/>
      <c r="N159" s="14">
        <f>IF(AND(ISNUMBER($J159),ISNUMBER($K159)),ABS($J159-$K159),"")</f>
        <v/>
      </c>
      <c r="O159" s="14">
        <f>IF(AND(NOT(ISNUMBER($J159)),NOT(ISNUMBER($K159))),"",IF(NOT(ISNUMBER($K159)),$J159,IF(NOT(ISNUMBER($J159)),$K159,IF($N159=0,$J159,IF(AND($N159=1,$T159&lt;&gt;"Sim"),IF($I159="Líder Técnico",$K159,IF($I159="GP",$J159,"CALIBRAR")),"CALIBRAR")))))</f>
        <v/>
      </c>
      <c r="P159" s="19" t="n"/>
      <c r="Q159" s="19" t="n"/>
      <c r="R159" s="14">
        <f>IF($P159="","",IF(AND(ISNUMBER($J159),$P159=$J159,ISNUMBER($K159),$P159=$K159),"= ambos",IF(AND(ISNUMBER($J159),$P159=$J159),"= GP",IF(AND(ISNUMBER($K159),$P159=$K159),"= LT","nenhuma das duas"))))</f>
        <v/>
      </c>
      <c r="S159" s="19" t="n"/>
      <c r="T159" s="19" t="n"/>
      <c r="U159" s="14">
        <f>IF($C159="","",COUNTIFS('Ocorrências'!$V$5:$V$604,$C159&amp;"|"&amp;$B159&amp;"|"&amp;$G159,'Ocorrências'!$X$5:$X$604,"Sim"))</f>
        <v/>
      </c>
      <c r="V159" s="14">
        <f>IF($P159="","",IF(OR($P159=1,$P159=2,$P159=5),IF($U159&gt;0,"OK","SEM LASTRO"),"OK"))</f>
        <v/>
      </c>
      <c r="W159" s="19" t="n"/>
      <c r="X159" s="18" t="n"/>
      <c r="Y159" s="14">
        <f>IF($C159="","",$C159&amp;"|"&amp;$B159)</f>
        <v/>
      </c>
      <c r="Z159" s="14">
        <f>IF($C159="","",$C159&amp;"|"&amp;$B159&amp;"|"&amp;$H159)</f>
        <v/>
      </c>
      <c r="AA159" s="14">
        <f>IF($C159="","",$C159&amp;"|"&amp;$B159&amp;"|"&amp;$G159)</f>
        <v/>
      </c>
    </row>
    <row r="160">
      <c r="A160" s="19" t="n"/>
      <c r="B160" s="14">
        <f>IF($A160="","",VALUE(LEFT($A160,4))*4+VALUE(RIGHT($A160,1)))</f>
        <v/>
      </c>
      <c r="C160" s="19" t="n"/>
      <c r="D160" s="14">
        <f>IFERROR(INDEX(Pessoas!$B$5:$B$64,MATCH($C160,Pessoas!$A$5:$A$64,0)),"")</f>
        <v/>
      </c>
      <c r="E160" s="19" t="n"/>
      <c r="F160" s="14">
        <f>IFERROR(INDEX(Pessoas!$D$5:$D$64,MATCH($C160,Pessoas!$A$5:$A$64,0)),"")</f>
        <v/>
      </c>
      <c r="G160" s="19" t="n"/>
      <c r="H160" s="14">
        <f>IFERROR(INDEX(Config!$B$40:$B$45,MATCH($G160,Config!$C$40:$C$45,0)),"")</f>
        <v/>
      </c>
      <c r="I160" s="14">
        <f>IFERROR(INDEX(Config!$D$40:$D$45,MATCH($G160,Config!$C$40:$C$45,0)),"")</f>
        <v/>
      </c>
      <c r="J160" s="19" t="n"/>
      <c r="K160" s="19" t="n"/>
      <c r="L160" s="19" t="n"/>
      <c r="M160" s="19" t="n"/>
      <c r="N160" s="14">
        <f>IF(AND(ISNUMBER($J160),ISNUMBER($K160)),ABS($J160-$K160),"")</f>
        <v/>
      </c>
      <c r="O160" s="14">
        <f>IF(AND(NOT(ISNUMBER($J160)),NOT(ISNUMBER($K160))),"",IF(NOT(ISNUMBER($K160)),$J160,IF(NOT(ISNUMBER($J160)),$K160,IF($N160=0,$J160,IF(AND($N160=1,$T160&lt;&gt;"Sim"),IF($I160="Líder Técnico",$K160,IF($I160="GP",$J160,"CALIBRAR")),"CALIBRAR")))))</f>
        <v/>
      </c>
      <c r="P160" s="19" t="n"/>
      <c r="Q160" s="19" t="n"/>
      <c r="R160" s="14">
        <f>IF($P160="","",IF(AND(ISNUMBER($J160),$P160=$J160,ISNUMBER($K160),$P160=$K160),"= ambos",IF(AND(ISNUMBER($J160),$P160=$J160),"= GP",IF(AND(ISNUMBER($K160),$P160=$K160),"= LT","nenhuma das duas"))))</f>
        <v/>
      </c>
      <c r="S160" s="19" t="n"/>
      <c r="T160" s="19" t="n"/>
      <c r="U160" s="14">
        <f>IF($C160="","",COUNTIFS('Ocorrências'!$V$5:$V$604,$C160&amp;"|"&amp;$B160&amp;"|"&amp;$G160,'Ocorrências'!$X$5:$X$604,"Sim"))</f>
        <v/>
      </c>
      <c r="V160" s="14">
        <f>IF($P160="","",IF(OR($P160=1,$P160=2,$P160=5),IF($U160&gt;0,"OK","SEM LASTRO"),"OK"))</f>
        <v/>
      </c>
      <c r="W160" s="19" t="n"/>
      <c r="X160" s="18" t="n"/>
      <c r="Y160" s="14">
        <f>IF($C160="","",$C160&amp;"|"&amp;$B160)</f>
        <v/>
      </c>
      <c r="Z160" s="14">
        <f>IF($C160="","",$C160&amp;"|"&amp;$B160&amp;"|"&amp;$H160)</f>
        <v/>
      </c>
      <c r="AA160" s="14">
        <f>IF($C160="","",$C160&amp;"|"&amp;$B160&amp;"|"&amp;$G160)</f>
        <v/>
      </c>
    </row>
    <row r="161">
      <c r="A161" s="19" t="n"/>
      <c r="B161" s="14">
        <f>IF($A161="","",VALUE(LEFT($A161,4))*4+VALUE(RIGHT($A161,1)))</f>
        <v/>
      </c>
      <c r="C161" s="19" t="n"/>
      <c r="D161" s="14">
        <f>IFERROR(INDEX(Pessoas!$B$5:$B$64,MATCH($C161,Pessoas!$A$5:$A$64,0)),"")</f>
        <v/>
      </c>
      <c r="E161" s="19" t="n"/>
      <c r="F161" s="14">
        <f>IFERROR(INDEX(Pessoas!$D$5:$D$64,MATCH($C161,Pessoas!$A$5:$A$64,0)),"")</f>
        <v/>
      </c>
      <c r="G161" s="19" t="n"/>
      <c r="H161" s="14">
        <f>IFERROR(INDEX(Config!$B$40:$B$45,MATCH($G161,Config!$C$40:$C$45,0)),"")</f>
        <v/>
      </c>
      <c r="I161" s="14">
        <f>IFERROR(INDEX(Config!$D$40:$D$45,MATCH($G161,Config!$C$40:$C$45,0)),"")</f>
        <v/>
      </c>
      <c r="J161" s="19" t="n"/>
      <c r="K161" s="19" t="n"/>
      <c r="L161" s="19" t="n"/>
      <c r="M161" s="19" t="n"/>
      <c r="N161" s="14">
        <f>IF(AND(ISNUMBER($J161),ISNUMBER($K161)),ABS($J161-$K161),"")</f>
        <v/>
      </c>
      <c r="O161" s="14">
        <f>IF(AND(NOT(ISNUMBER($J161)),NOT(ISNUMBER($K161))),"",IF(NOT(ISNUMBER($K161)),$J161,IF(NOT(ISNUMBER($J161)),$K161,IF($N161=0,$J161,IF(AND($N161=1,$T161&lt;&gt;"Sim"),IF($I161="Líder Técnico",$K161,IF($I161="GP",$J161,"CALIBRAR")),"CALIBRAR")))))</f>
        <v/>
      </c>
      <c r="P161" s="19" t="n"/>
      <c r="Q161" s="19" t="n"/>
      <c r="R161" s="14">
        <f>IF($P161="","",IF(AND(ISNUMBER($J161),$P161=$J161,ISNUMBER($K161),$P161=$K161),"= ambos",IF(AND(ISNUMBER($J161),$P161=$J161),"= GP",IF(AND(ISNUMBER($K161),$P161=$K161),"= LT","nenhuma das duas"))))</f>
        <v/>
      </c>
      <c r="S161" s="19" t="n"/>
      <c r="T161" s="19" t="n"/>
      <c r="U161" s="14">
        <f>IF($C161="","",COUNTIFS('Ocorrências'!$V$5:$V$604,$C161&amp;"|"&amp;$B161&amp;"|"&amp;$G161,'Ocorrências'!$X$5:$X$604,"Sim"))</f>
        <v/>
      </c>
      <c r="V161" s="14">
        <f>IF($P161="","",IF(OR($P161=1,$P161=2,$P161=5),IF($U161&gt;0,"OK","SEM LASTRO"),"OK"))</f>
        <v/>
      </c>
      <c r="W161" s="19" t="n"/>
      <c r="X161" s="18" t="n"/>
      <c r="Y161" s="14">
        <f>IF($C161="","",$C161&amp;"|"&amp;$B161)</f>
        <v/>
      </c>
      <c r="Z161" s="14">
        <f>IF($C161="","",$C161&amp;"|"&amp;$B161&amp;"|"&amp;$H161)</f>
        <v/>
      </c>
      <c r="AA161" s="14">
        <f>IF($C161="","",$C161&amp;"|"&amp;$B161&amp;"|"&amp;$G161)</f>
        <v/>
      </c>
    </row>
    <row r="162">
      <c r="A162" s="19" t="n"/>
      <c r="B162" s="14">
        <f>IF($A162="","",VALUE(LEFT($A162,4))*4+VALUE(RIGHT($A162,1)))</f>
        <v/>
      </c>
      <c r="C162" s="19" t="n"/>
      <c r="D162" s="14">
        <f>IFERROR(INDEX(Pessoas!$B$5:$B$64,MATCH($C162,Pessoas!$A$5:$A$64,0)),"")</f>
        <v/>
      </c>
      <c r="E162" s="19" t="n"/>
      <c r="F162" s="14">
        <f>IFERROR(INDEX(Pessoas!$D$5:$D$64,MATCH($C162,Pessoas!$A$5:$A$64,0)),"")</f>
        <v/>
      </c>
      <c r="G162" s="19" t="n"/>
      <c r="H162" s="14">
        <f>IFERROR(INDEX(Config!$B$40:$B$45,MATCH($G162,Config!$C$40:$C$45,0)),"")</f>
        <v/>
      </c>
      <c r="I162" s="14">
        <f>IFERROR(INDEX(Config!$D$40:$D$45,MATCH($G162,Config!$C$40:$C$45,0)),"")</f>
        <v/>
      </c>
      <c r="J162" s="19" t="n"/>
      <c r="K162" s="19" t="n"/>
      <c r="L162" s="19" t="n"/>
      <c r="M162" s="19" t="n"/>
      <c r="N162" s="14">
        <f>IF(AND(ISNUMBER($J162),ISNUMBER($K162)),ABS($J162-$K162),"")</f>
        <v/>
      </c>
      <c r="O162" s="14">
        <f>IF(AND(NOT(ISNUMBER($J162)),NOT(ISNUMBER($K162))),"",IF(NOT(ISNUMBER($K162)),$J162,IF(NOT(ISNUMBER($J162)),$K162,IF($N162=0,$J162,IF(AND($N162=1,$T162&lt;&gt;"Sim"),IF($I162="Líder Técnico",$K162,IF($I162="GP",$J162,"CALIBRAR")),"CALIBRAR")))))</f>
        <v/>
      </c>
      <c r="P162" s="19" t="n"/>
      <c r="Q162" s="19" t="n"/>
      <c r="R162" s="14">
        <f>IF($P162="","",IF(AND(ISNUMBER($J162),$P162=$J162,ISNUMBER($K162),$P162=$K162),"= ambos",IF(AND(ISNUMBER($J162),$P162=$J162),"= GP",IF(AND(ISNUMBER($K162),$P162=$K162),"= LT","nenhuma das duas"))))</f>
        <v/>
      </c>
      <c r="S162" s="19" t="n"/>
      <c r="T162" s="19" t="n"/>
      <c r="U162" s="14">
        <f>IF($C162="","",COUNTIFS('Ocorrências'!$V$5:$V$604,$C162&amp;"|"&amp;$B162&amp;"|"&amp;$G162,'Ocorrências'!$X$5:$X$604,"Sim"))</f>
        <v/>
      </c>
      <c r="V162" s="14">
        <f>IF($P162="","",IF(OR($P162=1,$P162=2,$P162=5),IF($U162&gt;0,"OK","SEM LASTRO"),"OK"))</f>
        <v/>
      </c>
      <c r="W162" s="19" t="n"/>
      <c r="X162" s="18" t="n"/>
      <c r="Y162" s="14">
        <f>IF($C162="","",$C162&amp;"|"&amp;$B162)</f>
        <v/>
      </c>
      <c r="Z162" s="14">
        <f>IF($C162="","",$C162&amp;"|"&amp;$B162&amp;"|"&amp;$H162)</f>
        <v/>
      </c>
      <c r="AA162" s="14">
        <f>IF($C162="","",$C162&amp;"|"&amp;$B162&amp;"|"&amp;$G162)</f>
        <v/>
      </c>
    </row>
    <row r="163">
      <c r="A163" s="19" t="n"/>
      <c r="B163" s="14">
        <f>IF($A163="","",VALUE(LEFT($A163,4))*4+VALUE(RIGHT($A163,1)))</f>
        <v/>
      </c>
      <c r="C163" s="19" t="n"/>
      <c r="D163" s="14">
        <f>IFERROR(INDEX(Pessoas!$B$5:$B$64,MATCH($C163,Pessoas!$A$5:$A$64,0)),"")</f>
        <v/>
      </c>
      <c r="E163" s="19" t="n"/>
      <c r="F163" s="14">
        <f>IFERROR(INDEX(Pessoas!$D$5:$D$64,MATCH($C163,Pessoas!$A$5:$A$64,0)),"")</f>
        <v/>
      </c>
      <c r="G163" s="19" t="n"/>
      <c r="H163" s="14">
        <f>IFERROR(INDEX(Config!$B$40:$B$45,MATCH($G163,Config!$C$40:$C$45,0)),"")</f>
        <v/>
      </c>
      <c r="I163" s="14">
        <f>IFERROR(INDEX(Config!$D$40:$D$45,MATCH($G163,Config!$C$40:$C$45,0)),"")</f>
        <v/>
      </c>
      <c r="J163" s="19" t="n"/>
      <c r="K163" s="19" t="n"/>
      <c r="L163" s="19" t="n"/>
      <c r="M163" s="19" t="n"/>
      <c r="N163" s="14">
        <f>IF(AND(ISNUMBER($J163),ISNUMBER($K163)),ABS($J163-$K163),"")</f>
        <v/>
      </c>
      <c r="O163" s="14">
        <f>IF(AND(NOT(ISNUMBER($J163)),NOT(ISNUMBER($K163))),"",IF(NOT(ISNUMBER($K163)),$J163,IF(NOT(ISNUMBER($J163)),$K163,IF($N163=0,$J163,IF(AND($N163=1,$T163&lt;&gt;"Sim"),IF($I163="Líder Técnico",$K163,IF($I163="GP",$J163,"CALIBRAR")),"CALIBRAR")))))</f>
        <v/>
      </c>
      <c r="P163" s="19" t="n"/>
      <c r="Q163" s="19" t="n"/>
      <c r="R163" s="14">
        <f>IF($P163="","",IF(AND(ISNUMBER($J163),$P163=$J163,ISNUMBER($K163),$P163=$K163),"= ambos",IF(AND(ISNUMBER($J163),$P163=$J163),"= GP",IF(AND(ISNUMBER($K163),$P163=$K163),"= LT","nenhuma das duas"))))</f>
        <v/>
      </c>
      <c r="S163" s="19" t="n"/>
      <c r="T163" s="19" t="n"/>
      <c r="U163" s="14">
        <f>IF($C163="","",COUNTIFS('Ocorrências'!$V$5:$V$604,$C163&amp;"|"&amp;$B163&amp;"|"&amp;$G163,'Ocorrências'!$X$5:$X$604,"Sim"))</f>
        <v/>
      </c>
      <c r="V163" s="14">
        <f>IF($P163="","",IF(OR($P163=1,$P163=2,$P163=5),IF($U163&gt;0,"OK","SEM LASTRO"),"OK"))</f>
        <v/>
      </c>
      <c r="W163" s="19" t="n"/>
      <c r="X163" s="18" t="n"/>
      <c r="Y163" s="14">
        <f>IF($C163="","",$C163&amp;"|"&amp;$B163)</f>
        <v/>
      </c>
      <c r="Z163" s="14">
        <f>IF($C163="","",$C163&amp;"|"&amp;$B163&amp;"|"&amp;$H163)</f>
        <v/>
      </c>
      <c r="AA163" s="14">
        <f>IF($C163="","",$C163&amp;"|"&amp;$B163&amp;"|"&amp;$G163)</f>
        <v/>
      </c>
    </row>
    <row r="164">
      <c r="A164" s="19" t="n"/>
      <c r="B164" s="14">
        <f>IF($A164="","",VALUE(LEFT($A164,4))*4+VALUE(RIGHT($A164,1)))</f>
        <v/>
      </c>
      <c r="C164" s="19" t="n"/>
      <c r="D164" s="14">
        <f>IFERROR(INDEX(Pessoas!$B$5:$B$64,MATCH($C164,Pessoas!$A$5:$A$64,0)),"")</f>
        <v/>
      </c>
      <c r="E164" s="19" t="n"/>
      <c r="F164" s="14">
        <f>IFERROR(INDEX(Pessoas!$D$5:$D$64,MATCH($C164,Pessoas!$A$5:$A$64,0)),"")</f>
        <v/>
      </c>
      <c r="G164" s="19" t="n"/>
      <c r="H164" s="14">
        <f>IFERROR(INDEX(Config!$B$40:$B$45,MATCH($G164,Config!$C$40:$C$45,0)),"")</f>
        <v/>
      </c>
      <c r="I164" s="14">
        <f>IFERROR(INDEX(Config!$D$40:$D$45,MATCH($G164,Config!$C$40:$C$45,0)),"")</f>
        <v/>
      </c>
      <c r="J164" s="19" t="n"/>
      <c r="K164" s="19" t="n"/>
      <c r="L164" s="19" t="n"/>
      <c r="M164" s="19" t="n"/>
      <c r="N164" s="14">
        <f>IF(AND(ISNUMBER($J164),ISNUMBER($K164)),ABS($J164-$K164),"")</f>
        <v/>
      </c>
      <c r="O164" s="14">
        <f>IF(AND(NOT(ISNUMBER($J164)),NOT(ISNUMBER($K164))),"",IF(NOT(ISNUMBER($K164)),$J164,IF(NOT(ISNUMBER($J164)),$K164,IF($N164=0,$J164,IF(AND($N164=1,$T164&lt;&gt;"Sim"),IF($I164="Líder Técnico",$K164,IF($I164="GP",$J164,"CALIBRAR")),"CALIBRAR")))))</f>
        <v/>
      </c>
      <c r="P164" s="19" t="n"/>
      <c r="Q164" s="19" t="n"/>
      <c r="R164" s="14">
        <f>IF($P164="","",IF(AND(ISNUMBER($J164),$P164=$J164,ISNUMBER($K164),$P164=$K164),"= ambos",IF(AND(ISNUMBER($J164),$P164=$J164),"= GP",IF(AND(ISNUMBER($K164),$P164=$K164),"= LT","nenhuma das duas"))))</f>
        <v/>
      </c>
      <c r="S164" s="19" t="n"/>
      <c r="T164" s="19" t="n"/>
      <c r="U164" s="14">
        <f>IF($C164="","",COUNTIFS('Ocorrências'!$V$5:$V$604,$C164&amp;"|"&amp;$B164&amp;"|"&amp;$G164,'Ocorrências'!$X$5:$X$604,"Sim"))</f>
        <v/>
      </c>
      <c r="V164" s="14">
        <f>IF($P164="","",IF(OR($P164=1,$P164=2,$P164=5),IF($U164&gt;0,"OK","SEM LASTRO"),"OK"))</f>
        <v/>
      </c>
      <c r="W164" s="19" t="n"/>
      <c r="X164" s="18" t="n"/>
      <c r="Y164" s="14">
        <f>IF($C164="","",$C164&amp;"|"&amp;$B164)</f>
        <v/>
      </c>
      <c r="Z164" s="14">
        <f>IF($C164="","",$C164&amp;"|"&amp;$B164&amp;"|"&amp;$H164)</f>
        <v/>
      </c>
      <c r="AA164" s="14">
        <f>IF($C164="","",$C164&amp;"|"&amp;$B164&amp;"|"&amp;$G164)</f>
        <v/>
      </c>
    </row>
    <row r="165">
      <c r="A165" s="19" t="n"/>
      <c r="B165" s="14">
        <f>IF($A165="","",VALUE(LEFT($A165,4))*4+VALUE(RIGHT($A165,1)))</f>
        <v/>
      </c>
      <c r="C165" s="19" t="n"/>
      <c r="D165" s="14">
        <f>IFERROR(INDEX(Pessoas!$B$5:$B$64,MATCH($C165,Pessoas!$A$5:$A$64,0)),"")</f>
        <v/>
      </c>
      <c r="E165" s="19" t="n"/>
      <c r="F165" s="14">
        <f>IFERROR(INDEX(Pessoas!$D$5:$D$64,MATCH($C165,Pessoas!$A$5:$A$64,0)),"")</f>
        <v/>
      </c>
      <c r="G165" s="19" t="n"/>
      <c r="H165" s="14">
        <f>IFERROR(INDEX(Config!$B$40:$B$45,MATCH($G165,Config!$C$40:$C$45,0)),"")</f>
        <v/>
      </c>
      <c r="I165" s="14">
        <f>IFERROR(INDEX(Config!$D$40:$D$45,MATCH($G165,Config!$C$40:$C$45,0)),"")</f>
        <v/>
      </c>
      <c r="J165" s="19" t="n"/>
      <c r="K165" s="19" t="n"/>
      <c r="L165" s="19" t="n"/>
      <c r="M165" s="19" t="n"/>
      <c r="N165" s="14">
        <f>IF(AND(ISNUMBER($J165),ISNUMBER($K165)),ABS($J165-$K165),"")</f>
        <v/>
      </c>
      <c r="O165" s="14">
        <f>IF(AND(NOT(ISNUMBER($J165)),NOT(ISNUMBER($K165))),"",IF(NOT(ISNUMBER($K165)),$J165,IF(NOT(ISNUMBER($J165)),$K165,IF($N165=0,$J165,IF(AND($N165=1,$T165&lt;&gt;"Sim"),IF($I165="Líder Técnico",$K165,IF($I165="GP",$J165,"CALIBRAR")),"CALIBRAR")))))</f>
        <v/>
      </c>
      <c r="P165" s="19" t="n"/>
      <c r="Q165" s="19" t="n"/>
      <c r="R165" s="14">
        <f>IF($P165="","",IF(AND(ISNUMBER($J165),$P165=$J165,ISNUMBER($K165),$P165=$K165),"= ambos",IF(AND(ISNUMBER($J165),$P165=$J165),"= GP",IF(AND(ISNUMBER($K165),$P165=$K165),"= LT","nenhuma das duas"))))</f>
        <v/>
      </c>
      <c r="S165" s="19" t="n"/>
      <c r="T165" s="19" t="n"/>
      <c r="U165" s="14">
        <f>IF($C165="","",COUNTIFS('Ocorrências'!$V$5:$V$604,$C165&amp;"|"&amp;$B165&amp;"|"&amp;$G165,'Ocorrências'!$X$5:$X$604,"Sim"))</f>
        <v/>
      </c>
      <c r="V165" s="14">
        <f>IF($P165="","",IF(OR($P165=1,$P165=2,$P165=5),IF($U165&gt;0,"OK","SEM LASTRO"),"OK"))</f>
        <v/>
      </c>
      <c r="W165" s="19" t="n"/>
      <c r="X165" s="18" t="n"/>
      <c r="Y165" s="14">
        <f>IF($C165="","",$C165&amp;"|"&amp;$B165)</f>
        <v/>
      </c>
      <c r="Z165" s="14">
        <f>IF($C165="","",$C165&amp;"|"&amp;$B165&amp;"|"&amp;$H165)</f>
        <v/>
      </c>
      <c r="AA165" s="14">
        <f>IF($C165="","",$C165&amp;"|"&amp;$B165&amp;"|"&amp;$G165)</f>
        <v/>
      </c>
    </row>
    <row r="166">
      <c r="A166" s="19" t="n"/>
      <c r="B166" s="14">
        <f>IF($A166="","",VALUE(LEFT($A166,4))*4+VALUE(RIGHT($A166,1)))</f>
        <v/>
      </c>
      <c r="C166" s="19" t="n"/>
      <c r="D166" s="14">
        <f>IFERROR(INDEX(Pessoas!$B$5:$B$64,MATCH($C166,Pessoas!$A$5:$A$64,0)),"")</f>
        <v/>
      </c>
      <c r="E166" s="19" t="n"/>
      <c r="F166" s="14">
        <f>IFERROR(INDEX(Pessoas!$D$5:$D$64,MATCH($C166,Pessoas!$A$5:$A$64,0)),"")</f>
        <v/>
      </c>
      <c r="G166" s="19" t="n"/>
      <c r="H166" s="14">
        <f>IFERROR(INDEX(Config!$B$40:$B$45,MATCH($G166,Config!$C$40:$C$45,0)),"")</f>
        <v/>
      </c>
      <c r="I166" s="14">
        <f>IFERROR(INDEX(Config!$D$40:$D$45,MATCH($G166,Config!$C$40:$C$45,0)),"")</f>
        <v/>
      </c>
      <c r="J166" s="19" t="n"/>
      <c r="K166" s="19" t="n"/>
      <c r="L166" s="19" t="n"/>
      <c r="M166" s="19" t="n"/>
      <c r="N166" s="14">
        <f>IF(AND(ISNUMBER($J166),ISNUMBER($K166)),ABS($J166-$K166),"")</f>
        <v/>
      </c>
      <c r="O166" s="14">
        <f>IF(AND(NOT(ISNUMBER($J166)),NOT(ISNUMBER($K166))),"",IF(NOT(ISNUMBER($K166)),$J166,IF(NOT(ISNUMBER($J166)),$K166,IF($N166=0,$J166,IF(AND($N166=1,$T166&lt;&gt;"Sim"),IF($I166="Líder Técnico",$K166,IF($I166="GP",$J166,"CALIBRAR")),"CALIBRAR")))))</f>
        <v/>
      </c>
      <c r="P166" s="19" t="n"/>
      <c r="Q166" s="19" t="n"/>
      <c r="R166" s="14">
        <f>IF($P166="","",IF(AND(ISNUMBER($J166),$P166=$J166,ISNUMBER($K166),$P166=$K166),"= ambos",IF(AND(ISNUMBER($J166),$P166=$J166),"= GP",IF(AND(ISNUMBER($K166),$P166=$K166),"= LT","nenhuma das duas"))))</f>
        <v/>
      </c>
      <c r="S166" s="19" t="n"/>
      <c r="T166" s="19" t="n"/>
      <c r="U166" s="14">
        <f>IF($C166="","",COUNTIFS('Ocorrências'!$V$5:$V$604,$C166&amp;"|"&amp;$B166&amp;"|"&amp;$G166,'Ocorrências'!$X$5:$X$604,"Sim"))</f>
        <v/>
      </c>
      <c r="V166" s="14">
        <f>IF($P166="","",IF(OR($P166=1,$P166=2,$P166=5),IF($U166&gt;0,"OK","SEM LASTRO"),"OK"))</f>
        <v/>
      </c>
      <c r="W166" s="19" t="n"/>
      <c r="X166" s="18" t="n"/>
      <c r="Y166" s="14">
        <f>IF($C166="","",$C166&amp;"|"&amp;$B166)</f>
        <v/>
      </c>
      <c r="Z166" s="14">
        <f>IF($C166="","",$C166&amp;"|"&amp;$B166&amp;"|"&amp;$H166)</f>
        <v/>
      </c>
      <c r="AA166" s="14">
        <f>IF($C166="","",$C166&amp;"|"&amp;$B166&amp;"|"&amp;$G166)</f>
        <v/>
      </c>
    </row>
    <row r="167">
      <c r="A167" s="19" t="n"/>
      <c r="B167" s="14">
        <f>IF($A167="","",VALUE(LEFT($A167,4))*4+VALUE(RIGHT($A167,1)))</f>
        <v/>
      </c>
      <c r="C167" s="19" t="n"/>
      <c r="D167" s="14">
        <f>IFERROR(INDEX(Pessoas!$B$5:$B$64,MATCH($C167,Pessoas!$A$5:$A$64,0)),"")</f>
        <v/>
      </c>
      <c r="E167" s="19" t="n"/>
      <c r="F167" s="14">
        <f>IFERROR(INDEX(Pessoas!$D$5:$D$64,MATCH($C167,Pessoas!$A$5:$A$64,0)),"")</f>
        <v/>
      </c>
      <c r="G167" s="19" t="n"/>
      <c r="H167" s="14">
        <f>IFERROR(INDEX(Config!$B$40:$B$45,MATCH($G167,Config!$C$40:$C$45,0)),"")</f>
        <v/>
      </c>
      <c r="I167" s="14">
        <f>IFERROR(INDEX(Config!$D$40:$D$45,MATCH($G167,Config!$C$40:$C$45,0)),"")</f>
        <v/>
      </c>
      <c r="J167" s="19" t="n"/>
      <c r="K167" s="19" t="n"/>
      <c r="L167" s="19" t="n"/>
      <c r="M167" s="19" t="n"/>
      <c r="N167" s="14">
        <f>IF(AND(ISNUMBER($J167),ISNUMBER($K167)),ABS($J167-$K167),"")</f>
        <v/>
      </c>
      <c r="O167" s="14">
        <f>IF(AND(NOT(ISNUMBER($J167)),NOT(ISNUMBER($K167))),"",IF(NOT(ISNUMBER($K167)),$J167,IF(NOT(ISNUMBER($J167)),$K167,IF($N167=0,$J167,IF(AND($N167=1,$T167&lt;&gt;"Sim"),IF($I167="Líder Técnico",$K167,IF($I167="GP",$J167,"CALIBRAR")),"CALIBRAR")))))</f>
        <v/>
      </c>
      <c r="P167" s="19" t="n"/>
      <c r="Q167" s="19" t="n"/>
      <c r="R167" s="14">
        <f>IF($P167="","",IF(AND(ISNUMBER($J167),$P167=$J167,ISNUMBER($K167),$P167=$K167),"= ambos",IF(AND(ISNUMBER($J167),$P167=$J167),"= GP",IF(AND(ISNUMBER($K167),$P167=$K167),"= LT","nenhuma das duas"))))</f>
        <v/>
      </c>
      <c r="S167" s="19" t="n"/>
      <c r="T167" s="19" t="n"/>
      <c r="U167" s="14">
        <f>IF($C167="","",COUNTIFS('Ocorrências'!$V$5:$V$604,$C167&amp;"|"&amp;$B167&amp;"|"&amp;$G167,'Ocorrências'!$X$5:$X$604,"Sim"))</f>
        <v/>
      </c>
      <c r="V167" s="14">
        <f>IF($P167="","",IF(OR($P167=1,$P167=2,$P167=5),IF($U167&gt;0,"OK","SEM LASTRO"),"OK"))</f>
        <v/>
      </c>
      <c r="W167" s="19" t="n"/>
      <c r="X167" s="18" t="n"/>
      <c r="Y167" s="14">
        <f>IF($C167="","",$C167&amp;"|"&amp;$B167)</f>
        <v/>
      </c>
      <c r="Z167" s="14">
        <f>IF($C167="","",$C167&amp;"|"&amp;$B167&amp;"|"&amp;$H167)</f>
        <v/>
      </c>
      <c r="AA167" s="14">
        <f>IF($C167="","",$C167&amp;"|"&amp;$B167&amp;"|"&amp;$G167)</f>
        <v/>
      </c>
    </row>
    <row r="168">
      <c r="A168" s="19" t="n"/>
      <c r="B168" s="14">
        <f>IF($A168="","",VALUE(LEFT($A168,4))*4+VALUE(RIGHT($A168,1)))</f>
        <v/>
      </c>
      <c r="C168" s="19" t="n"/>
      <c r="D168" s="14">
        <f>IFERROR(INDEX(Pessoas!$B$5:$B$64,MATCH($C168,Pessoas!$A$5:$A$64,0)),"")</f>
        <v/>
      </c>
      <c r="E168" s="19" t="n"/>
      <c r="F168" s="14">
        <f>IFERROR(INDEX(Pessoas!$D$5:$D$64,MATCH($C168,Pessoas!$A$5:$A$64,0)),"")</f>
        <v/>
      </c>
      <c r="G168" s="19" t="n"/>
      <c r="H168" s="14">
        <f>IFERROR(INDEX(Config!$B$40:$B$45,MATCH($G168,Config!$C$40:$C$45,0)),"")</f>
        <v/>
      </c>
      <c r="I168" s="14">
        <f>IFERROR(INDEX(Config!$D$40:$D$45,MATCH($G168,Config!$C$40:$C$45,0)),"")</f>
        <v/>
      </c>
      <c r="J168" s="19" t="n"/>
      <c r="K168" s="19" t="n"/>
      <c r="L168" s="19" t="n"/>
      <c r="M168" s="19" t="n"/>
      <c r="N168" s="14">
        <f>IF(AND(ISNUMBER($J168),ISNUMBER($K168)),ABS($J168-$K168),"")</f>
        <v/>
      </c>
      <c r="O168" s="14">
        <f>IF(AND(NOT(ISNUMBER($J168)),NOT(ISNUMBER($K168))),"",IF(NOT(ISNUMBER($K168)),$J168,IF(NOT(ISNUMBER($J168)),$K168,IF($N168=0,$J168,IF(AND($N168=1,$T168&lt;&gt;"Sim"),IF($I168="Líder Técnico",$K168,IF($I168="GP",$J168,"CALIBRAR")),"CALIBRAR")))))</f>
        <v/>
      </c>
      <c r="P168" s="19" t="n"/>
      <c r="Q168" s="19" t="n"/>
      <c r="R168" s="14">
        <f>IF($P168="","",IF(AND(ISNUMBER($J168),$P168=$J168,ISNUMBER($K168),$P168=$K168),"= ambos",IF(AND(ISNUMBER($J168),$P168=$J168),"= GP",IF(AND(ISNUMBER($K168),$P168=$K168),"= LT","nenhuma das duas"))))</f>
        <v/>
      </c>
      <c r="S168" s="19" t="n"/>
      <c r="T168" s="19" t="n"/>
      <c r="U168" s="14">
        <f>IF($C168="","",COUNTIFS('Ocorrências'!$V$5:$V$604,$C168&amp;"|"&amp;$B168&amp;"|"&amp;$G168,'Ocorrências'!$X$5:$X$604,"Sim"))</f>
        <v/>
      </c>
      <c r="V168" s="14">
        <f>IF($P168="","",IF(OR($P168=1,$P168=2,$P168=5),IF($U168&gt;0,"OK","SEM LASTRO"),"OK"))</f>
        <v/>
      </c>
      <c r="W168" s="19" t="n"/>
      <c r="X168" s="18" t="n"/>
      <c r="Y168" s="14">
        <f>IF($C168="","",$C168&amp;"|"&amp;$B168)</f>
        <v/>
      </c>
      <c r="Z168" s="14">
        <f>IF($C168="","",$C168&amp;"|"&amp;$B168&amp;"|"&amp;$H168)</f>
        <v/>
      </c>
      <c r="AA168" s="14">
        <f>IF($C168="","",$C168&amp;"|"&amp;$B168&amp;"|"&amp;$G168)</f>
        <v/>
      </c>
    </row>
    <row r="169">
      <c r="A169" s="19" t="n"/>
      <c r="B169" s="14">
        <f>IF($A169="","",VALUE(LEFT($A169,4))*4+VALUE(RIGHT($A169,1)))</f>
        <v/>
      </c>
      <c r="C169" s="19" t="n"/>
      <c r="D169" s="14">
        <f>IFERROR(INDEX(Pessoas!$B$5:$B$64,MATCH($C169,Pessoas!$A$5:$A$64,0)),"")</f>
        <v/>
      </c>
      <c r="E169" s="19" t="n"/>
      <c r="F169" s="14">
        <f>IFERROR(INDEX(Pessoas!$D$5:$D$64,MATCH($C169,Pessoas!$A$5:$A$64,0)),"")</f>
        <v/>
      </c>
      <c r="G169" s="19" t="n"/>
      <c r="H169" s="14">
        <f>IFERROR(INDEX(Config!$B$40:$B$45,MATCH($G169,Config!$C$40:$C$45,0)),"")</f>
        <v/>
      </c>
      <c r="I169" s="14">
        <f>IFERROR(INDEX(Config!$D$40:$D$45,MATCH($G169,Config!$C$40:$C$45,0)),"")</f>
        <v/>
      </c>
      <c r="J169" s="19" t="n"/>
      <c r="K169" s="19" t="n"/>
      <c r="L169" s="19" t="n"/>
      <c r="M169" s="19" t="n"/>
      <c r="N169" s="14">
        <f>IF(AND(ISNUMBER($J169),ISNUMBER($K169)),ABS($J169-$K169),"")</f>
        <v/>
      </c>
      <c r="O169" s="14">
        <f>IF(AND(NOT(ISNUMBER($J169)),NOT(ISNUMBER($K169))),"",IF(NOT(ISNUMBER($K169)),$J169,IF(NOT(ISNUMBER($J169)),$K169,IF($N169=0,$J169,IF(AND($N169=1,$T169&lt;&gt;"Sim"),IF($I169="Líder Técnico",$K169,IF($I169="GP",$J169,"CALIBRAR")),"CALIBRAR")))))</f>
        <v/>
      </c>
      <c r="P169" s="19" t="n"/>
      <c r="Q169" s="19" t="n"/>
      <c r="R169" s="14">
        <f>IF($P169="","",IF(AND(ISNUMBER($J169),$P169=$J169,ISNUMBER($K169),$P169=$K169),"= ambos",IF(AND(ISNUMBER($J169),$P169=$J169),"= GP",IF(AND(ISNUMBER($K169),$P169=$K169),"= LT","nenhuma das duas"))))</f>
        <v/>
      </c>
      <c r="S169" s="19" t="n"/>
      <c r="T169" s="19" t="n"/>
      <c r="U169" s="14">
        <f>IF($C169="","",COUNTIFS('Ocorrências'!$V$5:$V$604,$C169&amp;"|"&amp;$B169&amp;"|"&amp;$G169,'Ocorrências'!$X$5:$X$604,"Sim"))</f>
        <v/>
      </c>
      <c r="V169" s="14">
        <f>IF($P169="","",IF(OR($P169=1,$P169=2,$P169=5),IF($U169&gt;0,"OK","SEM LASTRO"),"OK"))</f>
        <v/>
      </c>
      <c r="W169" s="19" t="n"/>
      <c r="X169" s="18" t="n"/>
      <c r="Y169" s="14">
        <f>IF($C169="","",$C169&amp;"|"&amp;$B169)</f>
        <v/>
      </c>
      <c r="Z169" s="14">
        <f>IF($C169="","",$C169&amp;"|"&amp;$B169&amp;"|"&amp;$H169)</f>
        <v/>
      </c>
      <c r="AA169" s="14">
        <f>IF($C169="","",$C169&amp;"|"&amp;$B169&amp;"|"&amp;$G169)</f>
        <v/>
      </c>
    </row>
    <row r="170">
      <c r="A170" s="19" t="n"/>
      <c r="B170" s="14">
        <f>IF($A170="","",VALUE(LEFT($A170,4))*4+VALUE(RIGHT($A170,1)))</f>
        <v/>
      </c>
      <c r="C170" s="19" t="n"/>
      <c r="D170" s="14">
        <f>IFERROR(INDEX(Pessoas!$B$5:$B$64,MATCH($C170,Pessoas!$A$5:$A$64,0)),"")</f>
        <v/>
      </c>
      <c r="E170" s="19" t="n"/>
      <c r="F170" s="14">
        <f>IFERROR(INDEX(Pessoas!$D$5:$D$64,MATCH($C170,Pessoas!$A$5:$A$64,0)),"")</f>
        <v/>
      </c>
      <c r="G170" s="19" t="n"/>
      <c r="H170" s="14">
        <f>IFERROR(INDEX(Config!$B$40:$B$45,MATCH($G170,Config!$C$40:$C$45,0)),"")</f>
        <v/>
      </c>
      <c r="I170" s="14">
        <f>IFERROR(INDEX(Config!$D$40:$D$45,MATCH($G170,Config!$C$40:$C$45,0)),"")</f>
        <v/>
      </c>
      <c r="J170" s="19" t="n"/>
      <c r="K170" s="19" t="n"/>
      <c r="L170" s="19" t="n"/>
      <c r="M170" s="19" t="n"/>
      <c r="N170" s="14">
        <f>IF(AND(ISNUMBER($J170),ISNUMBER($K170)),ABS($J170-$K170),"")</f>
        <v/>
      </c>
      <c r="O170" s="14">
        <f>IF(AND(NOT(ISNUMBER($J170)),NOT(ISNUMBER($K170))),"",IF(NOT(ISNUMBER($K170)),$J170,IF(NOT(ISNUMBER($J170)),$K170,IF($N170=0,$J170,IF(AND($N170=1,$T170&lt;&gt;"Sim"),IF($I170="Líder Técnico",$K170,IF($I170="GP",$J170,"CALIBRAR")),"CALIBRAR")))))</f>
        <v/>
      </c>
      <c r="P170" s="19" t="n"/>
      <c r="Q170" s="19" t="n"/>
      <c r="R170" s="14">
        <f>IF($P170="","",IF(AND(ISNUMBER($J170),$P170=$J170,ISNUMBER($K170),$P170=$K170),"= ambos",IF(AND(ISNUMBER($J170),$P170=$J170),"= GP",IF(AND(ISNUMBER($K170),$P170=$K170),"= LT","nenhuma das duas"))))</f>
        <v/>
      </c>
      <c r="S170" s="19" t="n"/>
      <c r="T170" s="19" t="n"/>
      <c r="U170" s="14">
        <f>IF($C170="","",COUNTIFS('Ocorrências'!$V$5:$V$604,$C170&amp;"|"&amp;$B170&amp;"|"&amp;$G170,'Ocorrências'!$X$5:$X$604,"Sim"))</f>
        <v/>
      </c>
      <c r="V170" s="14">
        <f>IF($P170="","",IF(OR($P170=1,$P170=2,$P170=5),IF($U170&gt;0,"OK","SEM LASTRO"),"OK"))</f>
        <v/>
      </c>
      <c r="W170" s="19" t="n"/>
      <c r="X170" s="18" t="n"/>
      <c r="Y170" s="14">
        <f>IF($C170="","",$C170&amp;"|"&amp;$B170)</f>
        <v/>
      </c>
      <c r="Z170" s="14">
        <f>IF($C170="","",$C170&amp;"|"&amp;$B170&amp;"|"&amp;$H170)</f>
        <v/>
      </c>
      <c r="AA170" s="14">
        <f>IF($C170="","",$C170&amp;"|"&amp;$B170&amp;"|"&amp;$G170)</f>
        <v/>
      </c>
    </row>
    <row r="171">
      <c r="A171" s="19" t="n"/>
      <c r="B171" s="14">
        <f>IF($A171="","",VALUE(LEFT($A171,4))*4+VALUE(RIGHT($A171,1)))</f>
        <v/>
      </c>
      <c r="C171" s="19" t="n"/>
      <c r="D171" s="14">
        <f>IFERROR(INDEX(Pessoas!$B$5:$B$64,MATCH($C171,Pessoas!$A$5:$A$64,0)),"")</f>
        <v/>
      </c>
      <c r="E171" s="19" t="n"/>
      <c r="F171" s="14">
        <f>IFERROR(INDEX(Pessoas!$D$5:$D$64,MATCH($C171,Pessoas!$A$5:$A$64,0)),"")</f>
        <v/>
      </c>
      <c r="G171" s="19" t="n"/>
      <c r="H171" s="14">
        <f>IFERROR(INDEX(Config!$B$40:$B$45,MATCH($G171,Config!$C$40:$C$45,0)),"")</f>
        <v/>
      </c>
      <c r="I171" s="14">
        <f>IFERROR(INDEX(Config!$D$40:$D$45,MATCH($G171,Config!$C$40:$C$45,0)),"")</f>
        <v/>
      </c>
      <c r="J171" s="19" t="n"/>
      <c r="K171" s="19" t="n"/>
      <c r="L171" s="19" t="n"/>
      <c r="M171" s="19" t="n"/>
      <c r="N171" s="14">
        <f>IF(AND(ISNUMBER($J171),ISNUMBER($K171)),ABS($J171-$K171),"")</f>
        <v/>
      </c>
      <c r="O171" s="14">
        <f>IF(AND(NOT(ISNUMBER($J171)),NOT(ISNUMBER($K171))),"",IF(NOT(ISNUMBER($K171)),$J171,IF(NOT(ISNUMBER($J171)),$K171,IF($N171=0,$J171,IF(AND($N171=1,$T171&lt;&gt;"Sim"),IF($I171="Líder Técnico",$K171,IF($I171="GP",$J171,"CALIBRAR")),"CALIBRAR")))))</f>
        <v/>
      </c>
      <c r="P171" s="19" t="n"/>
      <c r="Q171" s="19" t="n"/>
      <c r="R171" s="14">
        <f>IF($P171="","",IF(AND(ISNUMBER($J171),$P171=$J171,ISNUMBER($K171),$P171=$K171),"= ambos",IF(AND(ISNUMBER($J171),$P171=$J171),"= GP",IF(AND(ISNUMBER($K171),$P171=$K171),"= LT","nenhuma das duas"))))</f>
        <v/>
      </c>
      <c r="S171" s="19" t="n"/>
      <c r="T171" s="19" t="n"/>
      <c r="U171" s="14">
        <f>IF($C171="","",COUNTIFS('Ocorrências'!$V$5:$V$604,$C171&amp;"|"&amp;$B171&amp;"|"&amp;$G171,'Ocorrências'!$X$5:$X$604,"Sim"))</f>
        <v/>
      </c>
      <c r="V171" s="14">
        <f>IF($P171="","",IF(OR($P171=1,$P171=2,$P171=5),IF($U171&gt;0,"OK","SEM LASTRO"),"OK"))</f>
        <v/>
      </c>
      <c r="W171" s="19" t="n"/>
      <c r="X171" s="18" t="n"/>
      <c r="Y171" s="14">
        <f>IF($C171="","",$C171&amp;"|"&amp;$B171)</f>
        <v/>
      </c>
      <c r="Z171" s="14">
        <f>IF($C171="","",$C171&amp;"|"&amp;$B171&amp;"|"&amp;$H171)</f>
        <v/>
      </c>
      <c r="AA171" s="14">
        <f>IF($C171="","",$C171&amp;"|"&amp;$B171&amp;"|"&amp;$G171)</f>
        <v/>
      </c>
    </row>
    <row r="172">
      <c r="A172" s="19" t="n"/>
      <c r="B172" s="14">
        <f>IF($A172="","",VALUE(LEFT($A172,4))*4+VALUE(RIGHT($A172,1)))</f>
        <v/>
      </c>
      <c r="C172" s="19" t="n"/>
      <c r="D172" s="14">
        <f>IFERROR(INDEX(Pessoas!$B$5:$B$64,MATCH($C172,Pessoas!$A$5:$A$64,0)),"")</f>
        <v/>
      </c>
      <c r="E172" s="19" t="n"/>
      <c r="F172" s="14">
        <f>IFERROR(INDEX(Pessoas!$D$5:$D$64,MATCH($C172,Pessoas!$A$5:$A$64,0)),"")</f>
        <v/>
      </c>
      <c r="G172" s="19" t="n"/>
      <c r="H172" s="14">
        <f>IFERROR(INDEX(Config!$B$40:$B$45,MATCH($G172,Config!$C$40:$C$45,0)),"")</f>
        <v/>
      </c>
      <c r="I172" s="14">
        <f>IFERROR(INDEX(Config!$D$40:$D$45,MATCH($G172,Config!$C$40:$C$45,0)),"")</f>
        <v/>
      </c>
      <c r="J172" s="19" t="n"/>
      <c r="K172" s="19" t="n"/>
      <c r="L172" s="19" t="n"/>
      <c r="M172" s="19" t="n"/>
      <c r="N172" s="14">
        <f>IF(AND(ISNUMBER($J172),ISNUMBER($K172)),ABS($J172-$K172),"")</f>
        <v/>
      </c>
      <c r="O172" s="14">
        <f>IF(AND(NOT(ISNUMBER($J172)),NOT(ISNUMBER($K172))),"",IF(NOT(ISNUMBER($K172)),$J172,IF(NOT(ISNUMBER($J172)),$K172,IF($N172=0,$J172,IF(AND($N172=1,$T172&lt;&gt;"Sim"),IF($I172="Líder Técnico",$K172,IF($I172="GP",$J172,"CALIBRAR")),"CALIBRAR")))))</f>
        <v/>
      </c>
      <c r="P172" s="19" t="n"/>
      <c r="Q172" s="19" t="n"/>
      <c r="R172" s="14">
        <f>IF($P172="","",IF(AND(ISNUMBER($J172),$P172=$J172,ISNUMBER($K172),$P172=$K172),"= ambos",IF(AND(ISNUMBER($J172),$P172=$J172),"= GP",IF(AND(ISNUMBER($K172),$P172=$K172),"= LT","nenhuma das duas"))))</f>
        <v/>
      </c>
      <c r="S172" s="19" t="n"/>
      <c r="T172" s="19" t="n"/>
      <c r="U172" s="14">
        <f>IF($C172="","",COUNTIFS('Ocorrências'!$V$5:$V$604,$C172&amp;"|"&amp;$B172&amp;"|"&amp;$G172,'Ocorrências'!$X$5:$X$604,"Sim"))</f>
        <v/>
      </c>
      <c r="V172" s="14">
        <f>IF($P172="","",IF(OR($P172=1,$P172=2,$P172=5),IF($U172&gt;0,"OK","SEM LASTRO"),"OK"))</f>
        <v/>
      </c>
      <c r="W172" s="19" t="n"/>
      <c r="X172" s="18" t="n"/>
      <c r="Y172" s="14">
        <f>IF($C172="","",$C172&amp;"|"&amp;$B172)</f>
        <v/>
      </c>
      <c r="Z172" s="14">
        <f>IF($C172="","",$C172&amp;"|"&amp;$B172&amp;"|"&amp;$H172)</f>
        <v/>
      </c>
      <c r="AA172" s="14">
        <f>IF($C172="","",$C172&amp;"|"&amp;$B172&amp;"|"&amp;$G172)</f>
        <v/>
      </c>
    </row>
    <row r="173">
      <c r="A173" s="19" t="n"/>
      <c r="B173" s="14">
        <f>IF($A173="","",VALUE(LEFT($A173,4))*4+VALUE(RIGHT($A173,1)))</f>
        <v/>
      </c>
      <c r="C173" s="19" t="n"/>
      <c r="D173" s="14">
        <f>IFERROR(INDEX(Pessoas!$B$5:$B$64,MATCH($C173,Pessoas!$A$5:$A$64,0)),"")</f>
        <v/>
      </c>
      <c r="E173" s="19" t="n"/>
      <c r="F173" s="14">
        <f>IFERROR(INDEX(Pessoas!$D$5:$D$64,MATCH($C173,Pessoas!$A$5:$A$64,0)),"")</f>
        <v/>
      </c>
      <c r="G173" s="19" t="n"/>
      <c r="H173" s="14">
        <f>IFERROR(INDEX(Config!$B$40:$B$45,MATCH($G173,Config!$C$40:$C$45,0)),"")</f>
        <v/>
      </c>
      <c r="I173" s="14">
        <f>IFERROR(INDEX(Config!$D$40:$D$45,MATCH($G173,Config!$C$40:$C$45,0)),"")</f>
        <v/>
      </c>
      <c r="J173" s="19" t="n"/>
      <c r="K173" s="19" t="n"/>
      <c r="L173" s="19" t="n"/>
      <c r="M173" s="19" t="n"/>
      <c r="N173" s="14">
        <f>IF(AND(ISNUMBER($J173),ISNUMBER($K173)),ABS($J173-$K173),"")</f>
        <v/>
      </c>
      <c r="O173" s="14">
        <f>IF(AND(NOT(ISNUMBER($J173)),NOT(ISNUMBER($K173))),"",IF(NOT(ISNUMBER($K173)),$J173,IF(NOT(ISNUMBER($J173)),$K173,IF($N173=0,$J173,IF(AND($N173=1,$T173&lt;&gt;"Sim"),IF($I173="Líder Técnico",$K173,IF($I173="GP",$J173,"CALIBRAR")),"CALIBRAR")))))</f>
        <v/>
      </c>
      <c r="P173" s="19" t="n"/>
      <c r="Q173" s="19" t="n"/>
      <c r="R173" s="14">
        <f>IF($P173="","",IF(AND(ISNUMBER($J173),$P173=$J173,ISNUMBER($K173),$P173=$K173),"= ambos",IF(AND(ISNUMBER($J173),$P173=$J173),"= GP",IF(AND(ISNUMBER($K173),$P173=$K173),"= LT","nenhuma das duas"))))</f>
        <v/>
      </c>
      <c r="S173" s="19" t="n"/>
      <c r="T173" s="19" t="n"/>
      <c r="U173" s="14">
        <f>IF($C173="","",COUNTIFS('Ocorrências'!$V$5:$V$604,$C173&amp;"|"&amp;$B173&amp;"|"&amp;$G173,'Ocorrências'!$X$5:$X$604,"Sim"))</f>
        <v/>
      </c>
      <c r="V173" s="14">
        <f>IF($P173="","",IF(OR($P173=1,$P173=2,$P173=5),IF($U173&gt;0,"OK","SEM LASTRO"),"OK"))</f>
        <v/>
      </c>
      <c r="W173" s="19" t="n"/>
      <c r="X173" s="18" t="n"/>
      <c r="Y173" s="14">
        <f>IF($C173="","",$C173&amp;"|"&amp;$B173)</f>
        <v/>
      </c>
      <c r="Z173" s="14">
        <f>IF($C173="","",$C173&amp;"|"&amp;$B173&amp;"|"&amp;$H173)</f>
        <v/>
      </c>
      <c r="AA173" s="14">
        <f>IF($C173="","",$C173&amp;"|"&amp;$B173&amp;"|"&amp;$G173)</f>
        <v/>
      </c>
    </row>
    <row r="174">
      <c r="A174" s="19" t="n"/>
      <c r="B174" s="14">
        <f>IF($A174="","",VALUE(LEFT($A174,4))*4+VALUE(RIGHT($A174,1)))</f>
        <v/>
      </c>
      <c r="C174" s="19" t="n"/>
      <c r="D174" s="14">
        <f>IFERROR(INDEX(Pessoas!$B$5:$B$64,MATCH($C174,Pessoas!$A$5:$A$64,0)),"")</f>
        <v/>
      </c>
      <c r="E174" s="19" t="n"/>
      <c r="F174" s="14">
        <f>IFERROR(INDEX(Pessoas!$D$5:$D$64,MATCH($C174,Pessoas!$A$5:$A$64,0)),"")</f>
        <v/>
      </c>
      <c r="G174" s="19" t="n"/>
      <c r="H174" s="14">
        <f>IFERROR(INDEX(Config!$B$40:$B$45,MATCH($G174,Config!$C$40:$C$45,0)),"")</f>
        <v/>
      </c>
      <c r="I174" s="14">
        <f>IFERROR(INDEX(Config!$D$40:$D$45,MATCH($G174,Config!$C$40:$C$45,0)),"")</f>
        <v/>
      </c>
      <c r="J174" s="19" t="n"/>
      <c r="K174" s="19" t="n"/>
      <c r="L174" s="19" t="n"/>
      <c r="M174" s="19" t="n"/>
      <c r="N174" s="14">
        <f>IF(AND(ISNUMBER($J174),ISNUMBER($K174)),ABS($J174-$K174),"")</f>
        <v/>
      </c>
      <c r="O174" s="14">
        <f>IF(AND(NOT(ISNUMBER($J174)),NOT(ISNUMBER($K174))),"",IF(NOT(ISNUMBER($K174)),$J174,IF(NOT(ISNUMBER($J174)),$K174,IF($N174=0,$J174,IF(AND($N174=1,$T174&lt;&gt;"Sim"),IF($I174="Líder Técnico",$K174,IF($I174="GP",$J174,"CALIBRAR")),"CALIBRAR")))))</f>
        <v/>
      </c>
      <c r="P174" s="19" t="n"/>
      <c r="Q174" s="19" t="n"/>
      <c r="R174" s="14">
        <f>IF($P174="","",IF(AND(ISNUMBER($J174),$P174=$J174,ISNUMBER($K174),$P174=$K174),"= ambos",IF(AND(ISNUMBER($J174),$P174=$J174),"= GP",IF(AND(ISNUMBER($K174),$P174=$K174),"= LT","nenhuma das duas"))))</f>
        <v/>
      </c>
      <c r="S174" s="19" t="n"/>
      <c r="T174" s="19" t="n"/>
      <c r="U174" s="14">
        <f>IF($C174="","",COUNTIFS('Ocorrências'!$V$5:$V$604,$C174&amp;"|"&amp;$B174&amp;"|"&amp;$G174,'Ocorrências'!$X$5:$X$604,"Sim"))</f>
        <v/>
      </c>
      <c r="V174" s="14">
        <f>IF($P174="","",IF(OR($P174=1,$P174=2,$P174=5),IF($U174&gt;0,"OK","SEM LASTRO"),"OK"))</f>
        <v/>
      </c>
      <c r="W174" s="19" t="n"/>
      <c r="X174" s="18" t="n"/>
      <c r="Y174" s="14">
        <f>IF($C174="","",$C174&amp;"|"&amp;$B174)</f>
        <v/>
      </c>
      <c r="Z174" s="14">
        <f>IF($C174="","",$C174&amp;"|"&amp;$B174&amp;"|"&amp;$H174)</f>
        <v/>
      </c>
      <c r="AA174" s="14">
        <f>IF($C174="","",$C174&amp;"|"&amp;$B174&amp;"|"&amp;$G174)</f>
        <v/>
      </c>
    </row>
    <row r="175">
      <c r="A175" s="19" t="n"/>
      <c r="B175" s="14">
        <f>IF($A175="","",VALUE(LEFT($A175,4))*4+VALUE(RIGHT($A175,1)))</f>
        <v/>
      </c>
      <c r="C175" s="19" t="n"/>
      <c r="D175" s="14">
        <f>IFERROR(INDEX(Pessoas!$B$5:$B$64,MATCH($C175,Pessoas!$A$5:$A$64,0)),"")</f>
        <v/>
      </c>
      <c r="E175" s="19" t="n"/>
      <c r="F175" s="14">
        <f>IFERROR(INDEX(Pessoas!$D$5:$D$64,MATCH($C175,Pessoas!$A$5:$A$64,0)),"")</f>
        <v/>
      </c>
      <c r="G175" s="19" t="n"/>
      <c r="H175" s="14">
        <f>IFERROR(INDEX(Config!$B$40:$B$45,MATCH($G175,Config!$C$40:$C$45,0)),"")</f>
        <v/>
      </c>
      <c r="I175" s="14">
        <f>IFERROR(INDEX(Config!$D$40:$D$45,MATCH($G175,Config!$C$40:$C$45,0)),"")</f>
        <v/>
      </c>
      <c r="J175" s="19" t="n"/>
      <c r="K175" s="19" t="n"/>
      <c r="L175" s="19" t="n"/>
      <c r="M175" s="19" t="n"/>
      <c r="N175" s="14">
        <f>IF(AND(ISNUMBER($J175),ISNUMBER($K175)),ABS($J175-$K175),"")</f>
        <v/>
      </c>
      <c r="O175" s="14">
        <f>IF(AND(NOT(ISNUMBER($J175)),NOT(ISNUMBER($K175))),"",IF(NOT(ISNUMBER($K175)),$J175,IF(NOT(ISNUMBER($J175)),$K175,IF($N175=0,$J175,IF(AND($N175=1,$T175&lt;&gt;"Sim"),IF($I175="Líder Técnico",$K175,IF($I175="GP",$J175,"CALIBRAR")),"CALIBRAR")))))</f>
        <v/>
      </c>
      <c r="P175" s="19" t="n"/>
      <c r="Q175" s="19" t="n"/>
      <c r="R175" s="14">
        <f>IF($P175="","",IF(AND(ISNUMBER($J175),$P175=$J175,ISNUMBER($K175),$P175=$K175),"= ambos",IF(AND(ISNUMBER($J175),$P175=$J175),"= GP",IF(AND(ISNUMBER($K175),$P175=$K175),"= LT","nenhuma das duas"))))</f>
        <v/>
      </c>
      <c r="S175" s="19" t="n"/>
      <c r="T175" s="19" t="n"/>
      <c r="U175" s="14">
        <f>IF($C175="","",COUNTIFS('Ocorrências'!$V$5:$V$604,$C175&amp;"|"&amp;$B175&amp;"|"&amp;$G175,'Ocorrências'!$X$5:$X$604,"Sim"))</f>
        <v/>
      </c>
      <c r="V175" s="14">
        <f>IF($P175="","",IF(OR($P175=1,$P175=2,$P175=5),IF($U175&gt;0,"OK","SEM LASTRO"),"OK"))</f>
        <v/>
      </c>
      <c r="W175" s="19" t="n"/>
      <c r="X175" s="18" t="n"/>
      <c r="Y175" s="14">
        <f>IF($C175="","",$C175&amp;"|"&amp;$B175)</f>
        <v/>
      </c>
      <c r="Z175" s="14">
        <f>IF($C175="","",$C175&amp;"|"&amp;$B175&amp;"|"&amp;$H175)</f>
        <v/>
      </c>
      <c r="AA175" s="14">
        <f>IF($C175="","",$C175&amp;"|"&amp;$B175&amp;"|"&amp;$G175)</f>
        <v/>
      </c>
    </row>
    <row r="176">
      <c r="A176" s="19" t="n"/>
      <c r="B176" s="14">
        <f>IF($A176="","",VALUE(LEFT($A176,4))*4+VALUE(RIGHT($A176,1)))</f>
        <v/>
      </c>
      <c r="C176" s="19" t="n"/>
      <c r="D176" s="14">
        <f>IFERROR(INDEX(Pessoas!$B$5:$B$64,MATCH($C176,Pessoas!$A$5:$A$64,0)),"")</f>
        <v/>
      </c>
      <c r="E176" s="19" t="n"/>
      <c r="F176" s="14">
        <f>IFERROR(INDEX(Pessoas!$D$5:$D$64,MATCH($C176,Pessoas!$A$5:$A$64,0)),"")</f>
        <v/>
      </c>
      <c r="G176" s="19" t="n"/>
      <c r="H176" s="14">
        <f>IFERROR(INDEX(Config!$B$40:$B$45,MATCH($G176,Config!$C$40:$C$45,0)),"")</f>
        <v/>
      </c>
      <c r="I176" s="14">
        <f>IFERROR(INDEX(Config!$D$40:$D$45,MATCH($G176,Config!$C$40:$C$45,0)),"")</f>
        <v/>
      </c>
      <c r="J176" s="19" t="n"/>
      <c r="K176" s="19" t="n"/>
      <c r="L176" s="19" t="n"/>
      <c r="M176" s="19" t="n"/>
      <c r="N176" s="14">
        <f>IF(AND(ISNUMBER($J176),ISNUMBER($K176)),ABS($J176-$K176),"")</f>
        <v/>
      </c>
      <c r="O176" s="14">
        <f>IF(AND(NOT(ISNUMBER($J176)),NOT(ISNUMBER($K176))),"",IF(NOT(ISNUMBER($K176)),$J176,IF(NOT(ISNUMBER($J176)),$K176,IF($N176=0,$J176,IF(AND($N176=1,$T176&lt;&gt;"Sim"),IF($I176="Líder Técnico",$K176,IF($I176="GP",$J176,"CALIBRAR")),"CALIBRAR")))))</f>
        <v/>
      </c>
      <c r="P176" s="19" t="n"/>
      <c r="Q176" s="19" t="n"/>
      <c r="R176" s="14">
        <f>IF($P176="","",IF(AND(ISNUMBER($J176),$P176=$J176,ISNUMBER($K176),$P176=$K176),"= ambos",IF(AND(ISNUMBER($J176),$P176=$J176),"= GP",IF(AND(ISNUMBER($K176),$P176=$K176),"= LT","nenhuma das duas"))))</f>
        <v/>
      </c>
      <c r="S176" s="19" t="n"/>
      <c r="T176" s="19" t="n"/>
      <c r="U176" s="14">
        <f>IF($C176="","",COUNTIFS('Ocorrências'!$V$5:$V$604,$C176&amp;"|"&amp;$B176&amp;"|"&amp;$G176,'Ocorrências'!$X$5:$X$604,"Sim"))</f>
        <v/>
      </c>
      <c r="V176" s="14">
        <f>IF($P176="","",IF(OR($P176=1,$P176=2,$P176=5),IF($U176&gt;0,"OK","SEM LASTRO"),"OK"))</f>
        <v/>
      </c>
      <c r="W176" s="19" t="n"/>
      <c r="X176" s="18" t="n"/>
      <c r="Y176" s="14">
        <f>IF($C176="","",$C176&amp;"|"&amp;$B176)</f>
        <v/>
      </c>
      <c r="Z176" s="14">
        <f>IF($C176="","",$C176&amp;"|"&amp;$B176&amp;"|"&amp;$H176)</f>
        <v/>
      </c>
      <c r="AA176" s="14">
        <f>IF($C176="","",$C176&amp;"|"&amp;$B176&amp;"|"&amp;$G176)</f>
        <v/>
      </c>
    </row>
    <row r="177">
      <c r="A177" s="19" t="n"/>
      <c r="B177" s="14">
        <f>IF($A177="","",VALUE(LEFT($A177,4))*4+VALUE(RIGHT($A177,1)))</f>
        <v/>
      </c>
      <c r="C177" s="19" t="n"/>
      <c r="D177" s="14">
        <f>IFERROR(INDEX(Pessoas!$B$5:$B$64,MATCH($C177,Pessoas!$A$5:$A$64,0)),"")</f>
        <v/>
      </c>
      <c r="E177" s="19" t="n"/>
      <c r="F177" s="14">
        <f>IFERROR(INDEX(Pessoas!$D$5:$D$64,MATCH($C177,Pessoas!$A$5:$A$64,0)),"")</f>
        <v/>
      </c>
      <c r="G177" s="19" t="n"/>
      <c r="H177" s="14">
        <f>IFERROR(INDEX(Config!$B$40:$B$45,MATCH($G177,Config!$C$40:$C$45,0)),"")</f>
        <v/>
      </c>
      <c r="I177" s="14">
        <f>IFERROR(INDEX(Config!$D$40:$D$45,MATCH($G177,Config!$C$40:$C$45,0)),"")</f>
        <v/>
      </c>
      <c r="J177" s="19" t="n"/>
      <c r="K177" s="19" t="n"/>
      <c r="L177" s="19" t="n"/>
      <c r="M177" s="19" t="n"/>
      <c r="N177" s="14">
        <f>IF(AND(ISNUMBER($J177),ISNUMBER($K177)),ABS($J177-$K177),"")</f>
        <v/>
      </c>
      <c r="O177" s="14">
        <f>IF(AND(NOT(ISNUMBER($J177)),NOT(ISNUMBER($K177))),"",IF(NOT(ISNUMBER($K177)),$J177,IF(NOT(ISNUMBER($J177)),$K177,IF($N177=0,$J177,IF(AND($N177=1,$T177&lt;&gt;"Sim"),IF($I177="Líder Técnico",$K177,IF($I177="GP",$J177,"CALIBRAR")),"CALIBRAR")))))</f>
        <v/>
      </c>
      <c r="P177" s="19" t="n"/>
      <c r="Q177" s="19" t="n"/>
      <c r="R177" s="14">
        <f>IF($P177="","",IF(AND(ISNUMBER($J177),$P177=$J177,ISNUMBER($K177),$P177=$K177),"= ambos",IF(AND(ISNUMBER($J177),$P177=$J177),"= GP",IF(AND(ISNUMBER($K177),$P177=$K177),"= LT","nenhuma das duas"))))</f>
        <v/>
      </c>
      <c r="S177" s="19" t="n"/>
      <c r="T177" s="19" t="n"/>
      <c r="U177" s="14">
        <f>IF($C177="","",COUNTIFS('Ocorrências'!$V$5:$V$604,$C177&amp;"|"&amp;$B177&amp;"|"&amp;$G177,'Ocorrências'!$X$5:$X$604,"Sim"))</f>
        <v/>
      </c>
      <c r="V177" s="14">
        <f>IF($P177="","",IF(OR($P177=1,$P177=2,$P177=5),IF($U177&gt;0,"OK","SEM LASTRO"),"OK"))</f>
        <v/>
      </c>
      <c r="W177" s="19" t="n"/>
      <c r="X177" s="18" t="n"/>
      <c r="Y177" s="14">
        <f>IF($C177="","",$C177&amp;"|"&amp;$B177)</f>
        <v/>
      </c>
      <c r="Z177" s="14">
        <f>IF($C177="","",$C177&amp;"|"&amp;$B177&amp;"|"&amp;$H177)</f>
        <v/>
      </c>
      <c r="AA177" s="14">
        <f>IF($C177="","",$C177&amp;"|"&amp;$B177&amp;"|"&amp;$G177)</f>
        <v/>
      </c>
    </row>
    <row r="178">
      <c r="A178" s="19" t="n"/>
      <c r="B178" s="14">
        <f>IF($A178="","",VALUE(LEFT($A178,4))*4+VALUE(RIGHT($A178,1)))</f>
        <v/>
      </c>
      <c r="C178" s="19" t="n"/>
      <c r="D178" s="14">
        <f>IFERROR(INDEX(Pessoas!$B$5:$B$64,MATCH($C178,Pessoas!$A$5:$A$64,0)),"")</f>
        <v/>
      </c>
      <c r="E178" s="19" t="n"/>
      <c r="F178" s="14">
        <f>IFERROR(INDEX(Pessoas!$D$5:$D$64,MATCH($C178,Pessoas!$A$5:$A$64,0)),"")</f>
        <v/>
      </c>
      <c r="G178" s="19" t="n"/>
      <c r="H178" s="14">
        <f>IFERROR(INDEX(Config!$B$40:$B$45,MATCH($G178,Config!$C$40:$C$45,0)),"")</f>
        <v/>
      </c>
      <c r="I178" s="14">
        <f>IFERROR(INDEX(Config!$D$40:$D$45,MATCH($G178,Config!$C$40:$C$45,0)),"")</f>
        <v/>
      </c>
      <c r="J178" s="19" t="n"/>
      <c r="K178" s="19" t="n"/>
      <c r="L178" s="19" t="n"/>
      <c r="M178" s="19" t="n"/>
      <c r="N178" s="14">
        <f>IF(AND(ISNUMBER($J178),ISNUMBER($K178)),ABS($J178-$K178),"")</f>
        <v/>
      </c>
      <c r="O178" s="14">
        <f>IF(AND(NOT(ISNUMBER($J178)),NOT(ISNUMBER($K178))),"",IF(NOT(ISNUMBER($K178)),$J178,IF(NOT(ISNUMBER($J178)),$K178,IF($N178=0,$J178,IF(AND($N178=1,$T178&lt;&gt;"Sim"),IF($I178="Líder Técnico",$K178,IF($I178="GP",$J178,"CALIBRAR")),"CALIBRAR")))))</f>
        <v/>
      </c>
      <c r="P178" s="19" t="n"/>
      <c r="Q178" s="19" t="n"/>
      <c r="R178" s="14">
        <f>IF($P178="","",IF(AND(ISNUMBER($J178),$P178=$J178,ISNUMBER($K178),$P178=$K178),"= ambos",IF(AND(ISNUMBER($J178),$P178=$J178),"= GP",IF(AND(ISNUMBER($K178),$P178=$K178),"= LT","nenhuma das duas"))))</f>
        <v/>
      </c>
      <c r="S178" s="19" t="n"/>
      <c r="T178" s="19" t="n"/>
      <c r="U178" s="14">
        <f>IF($C178="","",COUNTIFS('Ocorrências'!$V$5:$V$604,$C178&amp;"|"&amp;$B178&amp;"|"&amp;$G178,'Ocorrências'!$X$5:$X$604,"Sim"))</f>
        <v/>
      </c>
      <c r="V178" s="14">
        <f>IF($P178="","",IF(OR($P178=1,$P178=2,$P178=5),IF($U178&gt;0,"OK","SEM LASTRO"),"OK"))</f>
        <v/>
      </c>
      <c r="W178" s="19" t="n"/>
      <c r="X178" s="18" t="n"/>
      <c r="Y178" s="14">
        <f>IF($C178="","",$C178&amp;"|"&amp;$B178)</f>
        <v/>
      </c>
      <c r="Z178" s="14">
        <f>IF($C178="","",$C178&amp;"|"&amp;$B178&amp;"|"&amp;$H178)</f>
        <v/>
      </c>
      <c r="AA178" s="14">
        <f>IF($C178="","",$C178&amp;"|"&amp;$B178&amp;"|"&amp;$G178)</f>
        <v/>
      </c>
    </row>
    <row r="179">
      <c r="A179" s="19" t="n"/>
      <c r="B179" s="14">
        <f>IF($A179="","",VALUE(LEFT($A179,4))*4+VALUE(RIGHT($A179,1)))</f>
        <v/>
      </c>
      <c r="C179" s="19" t="n"/>
      <c r="D179" s="14">
        <f>IFERROR(INDEX(Pessoas!$B$5:$B$64,MATCH($C179,Pessoas!$A$5:$A$64,0)),"")</f>
        <v/>
      </c>
      <c r="E179" s="19" t="n"/>
      <c r="F179" s="14">
        <f>IFERROR(INDEX(Pessoas!$D$5:$D$64,MATCH($C179,Pessoas!$A$5:$A$64,0)),"")</f>
        <v/>
      </c>
      <c r="G179" s="19" t="n"/>
      <c r="H179" s="14">
        <f>IFERROR(INDEX(Config!$B$40:$B$45,MATCH($G179,Config!$C$40:$C$45,0)),"")</f>
        <v/>
      </c>
      <c r="I179" s="14">
        <f>IFERROR(INDEX(Config!$D$40:$D$45,MATCH($G179,Config!$C$40:$C$45,0)),"")</f>
        <v/>
      </c>
      <c r="J179" s="19" t="n"/>
      <c r="K179" s="19" t="n"/>
      <c r="L179" s="19" t="n"/>
      <c r="M179" s="19" t="n"/>
      <c r="N179" s="14">
        <f>IF(AND(ISNUMBER($J179),ISNUMBER($K179)),ABS($J179-$K179),"")</f>
        <v/>
      </c>
      <c r="O179" s="14">
        <f>IF(AND(NOT(ISNUMBER($J179)),NOT(ISNUMBER($K179))),"",IF(NOT(ISNUMBER($K179)),$J179,IF(NOT(ISNUMBER($J179)),$K179,IF($N179=0,$J179,IF(AND($N179=1,$T179&lt;&gt;"Sim"),IF($I179="Líder Técnico",$K179,IF($I179="GP",$J179,"CALIBRAR")),"CALIBRAR")))))</f>
        <v/>
      </c>
      <c r="P179" s="19" t="n"/>
      <c r="Q179" s="19" t="n"/>
      <c r="R179" s="14">
        <f>IF($P179="","",IF(AND(ISNUMBER($J179),$P179=$J179,ISNUMBER($K179),$P179=$K179),"= ambos",IF(AND(ISNUMBER($J179),$P179=$J179),"= GP",IF(AND(ISNUMBER($K179),$P179=$K179),"= LT","nenhuma das duas"))))</f>
        <v/>
      </c>
      <c r="S179" s="19" t="n"/>
      <c r="T179" s="19" t="n"/>
      <c r="U179" s="14">
        <f>IF($C179="","",COUNTIFS('Ocorrências'!$V$5:$V$604,$C179&amp;"|"&amp;$B179&amp;"|"&amp;$G179,'Ocorrências'!$X$5:$X$604,"Sim"))</f>
        <v/>
      </c>
      <c r="V179" s="14">
        <f>IF($P179="","",IF(OR($P179=1,$P179=2,$P179=5),IF($U179&gt;0,"OK","SEM LASTRO"),"OK"))</f>
        <v/>
      </c>
      <c r="W179" s="19" t="n"/>
      <c r="X179" s="18" t="n"/>
      <c r="Y179" s="14">
        <f>IF($C179="","",$C179&amp;"|"&amp;$B179)</f>
        <v/>
      </c>
      <c r="Z179" s="14">
        <f>IF($C179="","",$C179&amp;"|"&amp;$B179&amp;"|"&amp;$H179)</f>
        <v/>
      </c>
      <c r="AA179" s="14">
        <f>IF($C179="","",$C179&amp;"|"&amp;$B179&amp;"|"&amp;$G179)</f>
        <v/>
      </c>
    </row>
    <row r="180">
      <c r="A180" s="19" t="n"/>
      <c r="B180" s="14">
        <f>IF($A180="","",VALUE(LEFT($A180,4))*4+VALUE(RIGHT($A180,1)))</f>
        <v/>
      </c>
      <c r="C180" s="19" t="n"/>
      <c r="D180" s="14">
        <f>IFERROR(INDEX(Pessoas!$B$5:$B$64,MATCH($C180,Pessoas!$A$5:$A$64,0)),"")</f>
        <v/>
      </c>
      <c r="E180" s="19" t="n"/>
      <c r="F180" s="14">
        <f>IFERROR(INDEX(Pessoas!$D$5:$D$64,MATCH($C180,Pessoas!$A$5:$A$64,0)),"")</f>
        <v/>
      </c>
      <c r="G180" s="19" t="n"/>
      <c r="H180" s="14">
        <f>IFERROR(INDEX(Config!$B$40:$B$45,MATCH($G180,Config!$C$40:$C$45,0)),"")</f>
        <v/>
      </c>
      <c r="I180" s="14">
        <f>IFERROR(INDEX(Config!$D$40:$D$45,MATCH($G180,Config!$C$40:$C$45,0)),"")</f>
        <v/>
      </c>
      <c r="J180" s="19" t="n"/>
      <c r="K180" s="19" t="n"/>
      <c r="L180" s="19" t="n"/>
      <c r="M180" s="19" t="n"/>
      <c r="N180" s="14">
        <f>IF(AND(ISNUMBER($J180),ISNUMBER($K180)),ABS($J180-$K180),"")</f>
        <v/>
      </c>
      <c r="O180" s="14">
        <f>IF(AND(NOT(ISNUMBER($J180)),NOT(ISNUMBER($K180))),"",IF(NOT(ISNUMBER($K180)),$J180,IF(NOT(ISNUMBER($J180)),$K180,IF($N180=0,$J180,IF(AND($N180=1,$T180&lt;&gt;"Sim"),IF($I180="Líder Técnico",$K180,IF($I180="GP",$J180,"CALIBRAR")),"CALIBRAR")))))</f>
        <v/>
      </c>
      <c r="P180" s="19" t="n"/>
      <c r="Q180" s="19" t="n"/>
      <c r="R180" s="14">
        <f>IF($P180="","",IF(AND(ISNUMBER($J180),$P180=$J180,ISNUMBER($K180),$P180=$K180),"= ambos",IF(AND(ISNUMBER($J180),$P180=$J180),"= GP",IF(AND(ISNUMBER($K180),$P180=$K180),"= LT","nenhuma das duas"))))</f>
        <v/>
      </c>
      <c r="S180" s="19" t="n"/>
      <c r="T180" s="19" t="n"/>
      <c r="U180" s="14">
        <f>IF($C180="","",COUNTIFS('Ocorrências'!$V$5:$V$604,$C180&amp;"|"&amp;$B180&amp;"|"&amp;$G180,'Ocorrências'!$X$5:$X$604,"Sim"))</f>
        <v/>
      </c>
      <c r="V180" s="14">
        <f>IF($P180="","",IF(OR($P180=1,$P180=2,$P180=5),IF($U180&gt;0,"OK","SEM LASTRO"),"OK"))</f>
        <v/>
      </c>
      <c r="W180" s="19" t="n"/>
      <c r="X180" s="18" t="n"/>
      <c r="Y180" s="14">
        <f>IF($C180="","",$C180&amp;"|"&amp;$B180)</f>
        <v/>
      </c>
      <c r="Z180" s="14">
        <f>IF($C180="","",$C180&amp;"|"&amp;$B180&amp;"|"&amp;$H180)</f>
        <v/>
      </c>
      <c r="AA180" s="14">
        <f>IF($C180="","",$C180&amp;"|"&amp;$B180&amp;"|"&amp;$G180)</f>
        <v/>
      </c>
    </row>
    <row r="181">
      <c r="A181" s="19" t="n"/>
      <c r="B181" s="14">
        <f>IF($A181="","",VALUE(LEFT($A181,4))*4+VALUE(RIGHT($A181,1)))</f>
        <v/>
      </c>
      <c r="C181" s="19" t="n"/>
      <c r="D181" s="14">
        <f>IFERROR(INDEX(Pessoas!$B$5:$B$64,MATCH($C181,Pessoas!$A$5:$A$64,0)),"")</f>
        <v/>
      </c>
      <c r="E181" s="19" t="n"/>
      <c r="F181" s="14">
        <f>IFERROR(INDEX(Pessoas!$D$5:$D$64,MATCH($C181,Pessoas!$A$5:$A$64,0)),"")</f>
        <v/>
      </c>
      <c r="G181" s="19" t="n"/>
      <c r="H181" s="14">
        <f>IFERROR(INDEX(Config!$B$40:$B$45,MATCH($G181,Config!$C$40:$C$45,0)),"")</f>
        <v/>
      </c>
      <c r="I181" s="14">
        <f>IFERROR(INDEX(Config!$D$40:$D$45,MATCH($G181,Config!$C$40:$C$45,0)),"")</f>
        <v/>
      </c>
      <c r="J181" s="19" t="n"/>
      <c r="K181" s="19" t="n"/>
      <c r="L181" s="19" t="n"/>
      <c r="M181" s="19" t="n"/>
      <c r="N181" s="14">
        <f>IF(AND(ISNUMBER($J181),ISNUMBER($K181)),ABS($J181-$K181),"")</f>
        <v/>
      </c>
      <c r="O181" s="14">
        <f>IF(AND(NOT(ISNUMBER($J181)),NOT(ISNUMBER($K181))),"",IF(NOT(ISNUMBER($K181)),$J181,IF(NOT(ISNUMBER($J181)),$K181,IF($N181=0,$J181,IF(AND($N181=1,$T181&lt;&gt;"Sim"),IF($I181="Líder Técnico",$K181,IF($I181="GP",$J181,"CALIBRAR")),"CALIBRAR")))))</f>
        <v/>
      </c>
      <c r="P181" s="19" t="n"/>
      <c r="Q181" s="19" t="n"/>
      <c r="R181" s="14">
        <f>IF($P181="","",IF(AND(ISNUMBER($J181),$P181=$J181,ISNUMBER($K181),$P181=$K181),"= ambos",IF(AND(ISNUMBER($J181),$P181=$J181),"= GP",IF(AND(ISNUMBER($K181),$P181=$K181),"= LT","nenhuma das duas"))))</f>
        <v/>
      </c>
      <c r="S181" s="19" t="n"/>
      <c r="T181" s="19" t="n"/>
      <c r="U181" s="14">
        <f>IF($C181="","",COUNTIFS('Ocorrências'!$V$5:$V$604,$C181&amp;"|"&amp;$B181&amp;"|"&amp;$G181,'Ocorrências'!$X$5:$X$604,"Sim"))</f>
        <v/>
      </c>
      <c r="V181" s="14">
        <f>IF($P181="","",IF(OR($P181=1,$P181=2,$P181=5),IF($U181&gt;0,"OK","SEM LASTRO"),"OK"))</f>
        <v/>
      </c>
      <c r="W181" s="19" t="n"/>
      <c r="X181" s="18" t="n"/>
      <c r="Y181" s="14">
        <f>IF($C181="","",$C181&amp;"|"&amp;$B181)</f>
        <v/>
      </c>
      <c r="Z181" s="14">
        <f>IF($C181="","",$C181&amp;"|"&amp;$B181&amp;"|"&amp;$H181)</f>
        <v/>
      </c>
      <c r="AA181" s="14">
        <f>IF($C181="","",$C181&amp;"|"&amp;$B181&amp;"|"&amp;$G181)</f>
        <v/>
      </c>
    </row>
    <row r="182">
      <c r="A182" s="19" t="n"/>
      <c r="B182" s="14">
        <f>IF($A182="","",VALUE(LEFT($A182,4))*4+VALUE(RIGHT($A182,1)))</f>
        <v/>
      </c>
      <c r="C182" s="19" t="n"/>
      <c r="D182" s="14">
        <f>IFERROR(INDEX(Pessoas!$B$5:$B$64,MATCH($C182,Pessoas!$A$5:$A$64,0)),"")</f>
        <v/>
      </c>
      <c r="E182" s="19" t="n"/>
      <c r="F182" s="14">
        <f>IFERROR(INDEX(Pessoas!$D$5:$D$64,MATCH($C182,Pessoas!$A$5:$A$64,0)),"")</f>
        <v/>
      </c>
      <c r="G182" s="19" t="n"/>
      <c r="H182" s="14">
        <f>IFERROR(INDEX(Config!$B$40:$B$45,MATCH($G182,Config!$C$40:$C$45,0)),"")</f>
        <v/>
      </c>
      <c r="I182" s="14">
        <f>IFERROR(INDEX(Config!$D$40:$D$45,MATCH($G182,Config!$C$40:$C$45,0)),"")</f>
        <v/>
      </c>
      <c r="J182" s="19" t="n"/>
      <c r="K182" s="19" t="n"/>
      <c r="L182" s="19" t="n"/>
      <c r="M182" s="19" t="n"/>
      <c r="N182" s="14">
        <f>IF(AND(ISNUMBER($J182),ISNUMBER($K182)),ABS($J182-$K182),"")</f>
        <v/>
      </c>
      <c r="O182" s="14">
        <f>IF(AND(NOT(ISNUMBER($J182)),NOT(ISNUMBER($K182))),"",IF(NOT(ISNUMBER($K182)),$J182,IF(NOT(ISNUMBER($J182)),$K182,IF($N182=0,$J182,IF(AND($N182=1,$T182&lt;&gt;"Sim"),IF($I182="Líder Técnico",$K182,IF($I182="GP",$J182,"CALIBRAR")),"CALIBRAR")))))</f>
        <v/>
      </c>
      <c r="P182" s="19" t="n"/>
      <c r="Q182" s="19" t="n"/>
      <c r="R182" s="14">
        <f>IF($P182="","",IF(AND(ISNUMBER($J182),$P182=$J182,ISNUMBER($K182),$P182=$K182),"= ambos",IF(AND(ISNUMBER($J182),$P182=$J182),"= GP",IF(AND(ISNUMBER($K182),$P182=$K182),"= LT","nenhuma das duas"))))</f>
        <v/>
      </c>
      <c r="S182" s="19" t="n"/>
      <c r="T182" s="19" t="n"/>
      <c r="U182" s="14">
        <f>IF($C182="","",COUNTIFS('Ocorrências'!$V$5:$V$604,$C182&amp;"|"&amp;$B182&amp;"|"&amp;$G182,'Ocorrências'!$X$5:$X$604,"Sim"))</f>
        <v/>
      </c>
      <c r="V182" s="14">
        <f>IF($P182="","",IF(OR($P182=1,$P182=2,$P182=5),IF($U182&gt;0,"OK","SEM LASTRO"),"OK"))</f>
        <v/>
      </c>
      <c r="W182" s="19" t="n"/>
      <c r="X182" s="18" t="n"/>
      <c r="Y182" s="14">
        <f>IF($C182="","",$C182&amp;"|"&amp;$B182)</f>
        <v/>
      </c>
      <c r="Z182" s="14">
        <f>IF($C182="","",$C182&amp;"|"&amp;$B182&amp;"|"&amp;$H182)</f>
        <v/>
      </c>
      <c r="AA182" s="14">
        <f>IF($C182="","",$C182&amp;"|"&amp;$B182&amp;"|"&amp;$G182)</f>
        <v/>
      </c>
    </row>
    <row r="183">
      <c r="A183" s="19" t="n"/>
      <c r="B183" s="14">
        <f>IF($A183="","",VALUE(LEFT($A183,4))*4+VALUE(RIGHT($A183,1)))</f>
        <v/>
      </c>
      <c r="C183" s="19" t="n"/>
      <c r="D183" s="14">
        <f>IFERROR(INDEX(Pessoas!$B$5:$B$64,MATCH($C183,Pessoas!$A$5:$A$64,0)),"")</f>
        <v/>
      </c>
      <c r="E183" s="19" t="n"/>
      <c r="F183" s="14">
        <f>IFERROR(INDEX(Pessoas!$D$5:$D$64,MATCH($C183,Pessoas!$A$5:$A$64,0)),"")</f>
        <v/>
      </c>
      <c r="G183" s="19" t="n"/>
      <c r="H183" s="14">
        <f>IFERROR(INDEX(Config!$B$40:$B$45,MATCH($G183,Config!$C$40:$C$45,0)),"")</f>
        <v/>
      </c>
      <c r="I183" s="14">
        <f>IFERROR(INDEX(Config!$D$40:$D$45,MATCH($G183,Config!$C$40:$C$45,0)),"")</f>
        <v/>
      </c>
      <c r="J183" s="19" t="n"/>
      <c r="K183" s="19" t="n"/>
      <c r="L183" s="19" t="n"/>
      <c r="M183" s="19" t="n"/>
      <c r="N183" s="14">
        <f>IF(AND(ISNUMBER($J183),ISNUMBER($K183)),ABS($J183-$K183),"")</f>
        <v/>
      </c>
      <c r="O183" s="14">
        <f>IF(AND(NOT(ISNUMBER($J183)),NOT(ISNUMBER($K183))),"",IF(NOT(ISNUMBER($K183)),$J183,IF(NOT(ISNUMBER($J183)),$K183,IF($N183=0,$J183,IF(AND($N183=1,$T183&lt;&gt;"Sim"),IF($I183="Líder Técnico",$K183,IF($I183="GP",$J183,"CALIBRAR")),"CALIBRAR")))))</f>
        <v/>
      </c>
      <c r="P183" s="19" t="n"/>
      <c r="Q183" s="19" t="n"/>
      <c r="R183" s="14">
        <f>IF($P183="","",IF(AND(ISNUMBER($J183),$P183=$J183,ISNUMBER($K183),$P183=$K183),"= ambos",IF(AND(ISNUMBER($J183),$P183=$J183),"= GP",IF(AND(ISNUMBER($K183),$P183=$K183),"= LT","nenhuma das duas"))))</f>
        <v/>
      </c>
      <c r="S183" s="19" t="n"/>
      <c r="T183" s="19" t="n"/>
      <c r="U183" s="14">
        <f>IF($C183="","",COUNTIFS('Ocorrências'!$V$5:$V$604,$C183&amp;"|"&amp;$B183&amp;"|"&amp;$G183,'Ocorrências'!$X$5:$X$604,"Sim"))</f>
        <v/>
      </c>
      <c r="V183" s="14">
        <f>IF($P183="","",IF(OR($P183=1,$P183=2,$P183=5),IF($U183&gt;0,"OK","SEM LASTRO"),"OK"))</f>
        <v/>
      </c>
      <c r="W183" s="19" t="n"/>
      <c r="X183" s="18" t="n"/>
      <c r="Y183" s="14">
        <f>IF($C183="","",$C183&amp;"|"&amp;$B183)</f>
        <v/>
      </c>
      <c r="Z183" s="14">
        <f>IF($C183="","",$C183&amp;"|"&amp;$B183&amp;"|"&amp;$H183)</f>
        <v/>
      </c>
      <c r="AA183" s="14">
        <f>IF($C183="","",$C183&amp;"|"&amp;$B183&amp;"|"&amp;$G183)</f>
        <v/>
      </c>
    </row>
    <row r="184">
      <c r="A184" s="19" t="n"/>
      <c r="B184" s="14">
        <f>IF($A184="","",VALUE(LEFT($A184,4))*4+VALUE(RIGHT($A184,1)))</f>
        <v/>
      </c>
      <c r="C184" s="19" t="n"/>
      <c r="D184" s="14">
        <f>IFERROR(INDEX(Pessoas!$B$5:$B$64,MATCH($C184,Pessoas!$A$5:$A$64,0)),"")</f>
        <v/>
      </c>
      <c r="E184" s="19" t="n"/>
      <c r="F184" s="14">
        <f>IFERROR(INDEX(Pessoas!$D$5:$D$64,MATCH($C184,Pessoas!$A$5:$A$64,0)),"")</f>
        <v/>
      </c>
      <c r="G184" s="19" t="n"/>
      <c r="H184" s="14">
        <f>IFERROR(INDEX(Config!$B$40:$B$45,MATCH($G184,Config!$C$40:$C$45,0)),"")</f>
        <v/>
      </c>
      <c r="I184" s="14">
        <f>IFERROR(INDEX(Config!$D$40:$D$45,MATCH($G184,Config!$C$40:$C$45,0)),"")</f>
        <v/>
      </c>
      <c r="J184" s="19" t="n"/>
      <c r="K184" s="19" t="n"/>
      <c r="L184" s="19" t="n"/>
      <c r="M184" s="19" t="n"/>
      <c r="N184" s="14">
        <f>IF(AND(ISNUMBER($J184),ISNUMBER($K184)),ABS($J184-$K184),"")</f>
        <v/>
      </c>
      <c r="O184" s="14">
        <f>IF(AND(NOT(ISNUMBER($J184)),NOT(ISNUMBER($K184))),"",IF(NOT(ISNUMBER($K184)),$J184,IF(NOT(ISNUMBER($J184)),$K184,IF($N184=0,$J184,IF(AND($N184=1,$T184&lt;&gt;"Sim"),IF($I184="Líder Técnico",$K184,IF($I184="GP",$J184,"CALIBRAR")),"CALIBRAR")))))</f>
        <v/>
      </c>
      <c r="P184" s="19" t="n"/>
      <c r="Q184" s="19" t="n"/>
      <c r="R184" s="14">
        <f>IF($P184="","",IF(AND(ISNUMBER($J184),$P184=$J184,ISNUMBER($K184),$P184=$K184),"= ambos",IF(AND(ISNUMBER($J184),$P184=$J184),"= GP",IF(AND(ISNUMBER($K184),$P184=$K184),"= LT","nenhuma das duas"))))</f>
        <v/>
      </c>
      <c r="S184" s="19" t="n"/>
      <c r="T184" s="19" t="n"/>
      <c r="U184" s="14">
        <f>IF($C184="","",COUNTIFS('Ocorrências'!$V$5:$V$604,$C184&amp;"|"&amp;$B184&amp;"|"&amp;$G184,'Ocorrências'!$X$5:$X$604,"Sim"))</f>
        <v/>
      </c>
      <c r="V184" s="14">
        <f>IF($P184="","",IF(OR($P184=1,$P184=2,$P184=5),IF($U184&gt;0,"OK","SEM LASTRO"),"OK"))</f>
        <v/>
      </c>
      <c r="W184" s="19" t="n"/>
      <c r="X184" s="18" t="n"/>
      <c r="Y184" s="14">
        <f>IF($C184="","",$C184&amp;"|"&amp;$B184)</f>
        <v/>
      </c>
      <c r="Z184" s="14">
        <f>IF($C184="","",$C184&amp;"|"&amp;$B184&amp;"|"&amp;$H184)</f>
        <v/>
      </c>
      <c r="AA184" s="14">
        <f>IF($C184="","",$C184&amp;"|"&amp;$B184&amp;"|"&amp;$G184)</f>
        <v/>
      </c>
    </row>
    <row r="185">
      <c r="A185" s="19" t="n"/>
      <c r="B185" s="14">
        <f>IF($A185="","",VALUE(LEFT($A185,4))*4+VALUE(RIGHT($A185,1)))</f>
        <v/>
      </c>
      <c r="C185" s="19" t="n"/>
      <c r="D185" s="14">
        <f>IFERROR(INDEX(Pessoas!$B$5:$B$64,MATCH($C185,Pessoas!$A$5:$A$64,0)),"")</f>
        <v/>
      </c>
      <c r="E185" s="19" t="n"/>
      <c r="F185" s="14">
        <f>IFERROR(INDEX(Pessoas!$D$5:$D$64,MATCH($C185,Pessoas!$A$5:$A$64,0)),"")</f>
        <v/>
      </c>
      <c r="G185" s="19" t="n"/>
      <c r="H185" s="14">
        <f>IFERROR(INDEX(Config!$B$40:$B$45,MATCH($G185,Config!$C$40:$C$45,0)),"")</f>
        <v/>
      </c>
      <c r="I185" s="14">
        <f>IFERROR(INDEX(Config!$D$40:$D$45,MATCH($G185,Config!$C$40:$C$45,0)),"")</f>
        <v/>
      </c>
      <c r="J185" s="19" t="n"/>
      <c r="K185" s="19" t="n"/>
      <c r="L185" s="19" t="n"/>
      <c r="M185" s="19" t="n"/>
      <c r="N185" s="14">
        <f>IF(AND(ISNUMBER($J185),ISNUMBER($K185)),ABS($J185-$K185),"")</f>
        <v/>
      </c>
      <c r="O185" s="14">
        <f>IF(AND(NOT(ISNUMBER($J185)),NOT(ISNUMBER($K185))),"",IF(NOT(ISNUMBER($K185)),$J185,IF(NOT(ISNUMBER($J185)),$K185,IF($N185=0,$J185,IF(AND($N185=1,$T185&lt;&gt;"Sim"),IF($I185="Líder Técnico",$K185,IF($I185="GP",$J185,"CALIBRAR")),"CALIBRAR")))))</f>
        <v/>
      </c>
      <c r="P185" s="19" t="n"/>
      <c r="Q185" s="19" t="n"/>
      <c r="R185" s="14">
        <f>IF($P185="","",IF(AND(ISNUMBER($J185),$P185=$J185,ISNUMBER($K185),$P185=$K185),"= ambos",IF(AND(ISNUMBER($J185),$P185=$J185),"= GP",IF(AND(ISNUMBER($K185),$P185=$K185),"= LT","nenhuma das duas"))))</f>
        <v/>
      </c>
      <c r="S185" s="19" t="n"/>
      <c r="T185" s="19" t="n"/>
      <c r="U185" s="14">
        <f>IF($C185="","",COUNTIFS('Ocorrências'!$V$5:$V$604,$C185&amp;"|"&amp;$B185&amp;"|"&amp;$G185,'Ocorrências'!$X$5:$X$604,"Sim"))</f>
        <v/>
      </c>
      <c r="V185" s="14">
        <f>IF($P185="","",IF(OR($P185=1,$P185=2,$P185=5),IF($U185&gt;0,"OK","SEM LASTRO"),"OK"))</f>
        <v/>
      </c>
      <c r="W185" s="19" t="n"/>
      <c r="X185" s="18" t="n"/>
      <c r="Y185" s="14">
        <f>IF($C185="","",$C185&amp;"|"&amp;$B185)</f>
        <v/>
      </c>
      <c r="Z185" s="14">
        <f>IF($C185="","",$C185&amp;"|"&amp;$B185&amp;"|"&amp;$H185)</f>
        <v/>
      </c>
      <c r="AA185" s="14">
        <f>IF($C185="","",$C185&amp;"|"&amp;$B185&amp;"|"&amp;$G185)</f>
        <v/>
      </c>
    </row>
    <row r="186">
      <c r="A186" s="19" t="n"/>
      <c r="B186" s="14">
        <f>IF($A186="","",VALUE(LEFT($A186,4))*4+VALUE(RIGHT($A186,1)))</f>
        <v/>
      </c>
      <c r="C186" s="19" t="n"/>
      <c r="D186" s="14">
        <f>IFERROR(INDEX(Pessoas!$B$5:$B$64,MATCH($C186,Pessoas!$A$5:$A$64,0)),"")</f>
        <v/>
      </c>
      <c r="E186" s="19" t="n"/>
      <c r="F186" s="14">
        <f>IFERROR(INDEX(Pessoas!$D$5:$D$64,MATCH($C186,Pessoas!$A$5:$A$64,0)),"")</f>
        <v/>
      </c>
      <c r="G186" s="19" t="n"/>
      <c r="H186" s="14">
        <f>IFERROR(INDEX(Config!$B$40:$B$45,MATCH($G186,Config!$C$40:$C$45,0)),"")</f>
        <v/>
      </c>
      <c r="I186" s="14">
        <f>IFERROR(INDEX(Config!$D$40:$D$45,MATCH($G186,Config!$C$40:$C$45,0)),"")</f>
        <v/>
      </c>
      <c r="J186" s="19" t="n"/>
      <c r="K186" s="19" t="n"/>
      <c r="L186" s="19" t="n"/>
      <c r="M186" s="19" t="n"/>
      <c r="N186" s="14">
        <f>IF(AND(ISNUMBER($J186),ISNUMBER($K186)),ABS($J186-$K186),"")</f>
        <v/>
      </c>
      <c r="O186" s="14">
        <f>IF(AND(NOT(ISNUMBER($J186)),NOT(ISNUMBER($K186))),"",IF(NOT(ISNUMBER($K186)),$J186,IF(NOT(ISNUMBER($J186)),$K186,IF($N186=0,$J186,IF(AND($N186=1,$T186&lt;&gt;"Sim"),IF($I186="Líder Técnico",$K186,IF($I186="GP",$J186,"CALIBRAR")),"CALIBRAR")))))</f>
        <v/>
      </c>
      <c r="P186" s="19" t="n"/>
      <c r="Q186" s="19" t="n"/>
      <c r="R186" s="14">
        <f>IF($P186="","",IF(AND(ISNUMBER($J186),$P186=$J186,ISNUMBER($K186),$P186=$K186),"= ambos",IF(AND(ISNUMBER($J186),$P186=$J186),"= GP",IF(AND(ISNUMBER($K186),$P186=$K186),"= LT","nenhuma das duas"))))</f>
        <v/>
      </c>
      <c r="S186" s="19" t="n"/>
      <c r="T186" s="19" t="n"/>
      <c r="U186" s="14">
        <f>IF($C186="","",COUNTIFS('Ocorrências'!$V$5:$V$604,$C186&amp;"|"&amp;$B186&amp;"|"&amp;$G186,'Ocorrências'!$X$5:$X$604,"Sim"))</f>
        <v/>
      </c>
      <c r="V186" s="14">
        <f>IF($P186="","",IF(OR($P186=1,$P186=2,$P186=5),IF($U186&gt;0,"OK","SEM LASTRO"),"OK"))</f>
        <v/>
      </c>
      <c r="W186" s="19" t="n"/>
      <c r="X186" s="18" t="n"/>
      <c r="Y186" s="14">
        <f>IF($C186="","",$C186&amp;"|"&amp;$B186)</f>
        <v/>
      </c>
      <c r="Z186" s="14">
        <f>IF($C186="","",$C186&amp;"|"&amp;$B186&amp;"|"&amp;$H186)</f>
        <v/>
      </c>
      <c r="AA186" s="14">
        <f>IF($C186="","",$C186&amp;"|"&amp;$B186&amp;"|"&amp;$G186)</f>
        <v/>
      </c>
    </row>
    <row r="187">
      <c r="A187" s="19" t="n"/>
      <c r="B187" s="14">
        <f>IF($A187="","",VALUE(LEFT($A187,4))*4+VALUE(RIGHT($A187,1)))</f>
        <v/>
      </c>
      <c r="C187" s="19" t="n"/>
      <c r="D187" s="14">
        <f>IFERROR(INDEX(Pessoas!$B$5:$B$64,MATCH($C187,Pessoas!$A$5:$A$64,0)),"")</f>
        <v/>
      </c>
      <c r="E187" s="19" t="n"/>
      <c r="F187" s="14">
        <f>IFERROR(INDEX(Pessoas!$D$5:$D$64,MATCH($C187,Pessoas!$A$5:$A$64,0)),"")</f>
        <v/>
      </c>
      <c r="G187" s="19" t="n"/>
      <c r="H187" s="14">
        <f>IFERROR(INDEX(Config!$B$40:$B$45,MATCH($G187,Config!$C$40:$C$45,0)),"")</f>
        <v/>
      </c>
      <c r="I187" s="14">
        <f>IFERROR(INDEX(Config!$D$40:$D$45,MATCH($G187,Config!$C$40:$C$45,0)),"")</f>
        <v/>
      </c>
      <c r="J187" s="19" t="n"/>
      <c r="K187" s="19" t="n"/>
      <c r="L187" s="19" t="n"/>
      <c r="M187" s="19" t="n"/>
      <c r="N187" s="14">
        <f>IF(AND(ISNUMBER($J187),ISNUMBER($K187)),ABS($J187-$K187),"")</f>
        <v/>
      </c>
      <c r="O187" s="14">
        <f>IF(AND(NOT(ISNUMBER($J187)),NOT(ISNUMBER($K187))),"",IF(NOT(ISNUMBER($K187)),$J187,IF(NOT(ISNUMBER($J187)),$K187,IF($N187=0,$J187,IF(AND($N187=1,$T187&lt;&gt;"Sim"),IF($I187="Líder Técnico",$K187,IF($I187="GP",$J187,"CALIBRAR")),"CALIBRAR")))))</f>
        <v/>
      </c>
      <c r="P187" s="19" t="n"/>
      <c r="Q187" s="19" t="n"/>
      <c r="R187" s="14">
        <f>IF($P187="","",IF(AND(ISNUMBER($J187),$P187=$J187,ISNUMBER($K187),$P187=$K187),"= ambos",IF(AND(ISNUMBER($J187),$P187=$J187),"= GP",IF(AND(ISNUMBER($K187),$P187=$K187),"= LT","nenhuma das duas"))))</f>
        <v/>
      </c>
      <c r="S187" s="19" t="n"/>
      <c r="T187" s="19" t="n"/>
      <c r="U187" s="14">
        <f>IF($C187="","",COUNTIFS('Ocorrências'!$V$5:$V$604,$C187&amp;"|"&amp;$B187&amp;"|"&amp;$G187,'Ocorrências'!$X$5:$X$604,"Sim"))</f>
        <v/>
      </c>
      <c r="V187" s="14">
        <f>IF($P187="","",IF(OR($P187=1,$P187=2,$P187=5),IF($U187&gt;0,"OK","SEM LASTRO"),"OK"))</f>
        <v/>
      </c>
      <c r="W187" s="19" t="n"/>
      <c r="X187" s="18" t="n"/>
      <c r="Y187" s="14">
        <f>IF($C187="","",$C187&amp;"|"&amp;$B187)</f>
        <v/>
      </c>
      <c r="Z187" s="14">
        <f>IF($C187="","",$C187&amp;"|"&amp;$B187&amp;"|"&amp;$H187)</f>
        <v/>
      </c>
      <c r="AA187" s="14">
        <f>IF($C187="","",$C187&amp;"|"&amp;$B187&amp;"|"&amp;$G187)</f>
        <v/>
      </c>
    </row>
    <row r="188">
      <c r="A188" s="19" t="n"/>
      <c r="B188" s="14">
        <f>IF($A188="","",VALUE(LEFT($A188,4))*4+VALUE(RIGHT($A188,1)))</f>
        <v/>
      </c>
      <c r="C188" s="19" t="n"/>
      <c r="D188" s="14">
        <f>IFERROR(INDEX(Pessoas!$B$5:$B$64,MATCH($C188,Pessoas!$A$5:$A$64,0)),"")</f>
        <v/>
      </c>
      <c r="E188" s="19" t="n"/>
      <c r="F188" s="14">
        <f>IFERROR(INDEX(Pessoas!$D$5:$D$64,MATCH($C188,Pessoas!$A$5:$A$64,0)),"")</f>
        <v/>
      </c>
      <c r="G188" s="19" t="n"/>
      <c r="H188" s="14">
        <f>IFERROR(INDEX(Config!$B$40:$B$45,MATCH($G188,Config!$C$40:$C$45,0)),"")</f>
        <v/>
      </c>
      <c r="I188" s="14">
        <f>IFERROR(INDEX(Config!$D$40:$D$45,MATCH($G188,Config!$C$40:$C$45,0)),"")</f>
        <v/>
      </c>
      <c r="J188" s="19" t="n"/>
      <c r="K188" s="19" t="n"/>
      <c r="L188" s="19" t="n"/>
      <c r="M188" s="19" t="n"/>
      <c r="N188" s="14">
        <f>IF(AND(ISNUMBER($J188),ISNUMBER($K188)),ABS($J188-$K188),"")</f>
        <v/>
      </c>
      <c r="O188" s="14">
        <f>IF(AND(NOT(ISNUMBER($J188)),NOT(ISNUMBER($K188))),"",IF(NOT(ISNUMBER($K188)),$J188,IF(NOT(ISNUMBER($J188)),$K188,IF($N188=0,$J188,IF(AND($N188=1,$T188&lt;&gt;"Sim"),IF($I188="Líder Técnico",$K188,IF($I188="GP",$J188,"CALIBRAR")),"CALIBRAR")))))</f>
        <v/>
      </c>
      <c r="P188" s="19" t="n"/>
      <c r="Q188" s="19" t="n"/>
      <c r="R188" s="14">
        <f>IF($P188="","",IF(AND(ISNUMBER($J188),$P188=$J188,ISNUMBER($K188),$P188=$K188),"= ambos",IF(AND(ISNUMBER($J188),$P188=$J188),"= GP",IF(AND(ISNUMBER($K188),$P188=$K188),"= LT","nenhuma das duas"))))</f>
        <v/>
      </c>
      <c r="S188" s="19" t="n"/>
      <c r="T188" s="19" t="n"/>
      <c r="U188" s="14">
        <f>IF($C188="","",COUNTIFS('Ocorrências'!$V$5:$V$604,$C188&amp;"|"&amp;$B188&amp;"|"&amp;$G188,'Ocorrências'!$X$5:$X$604,"Sim"))</f>
        <v/>
      </c>
      <c r="V188" s="14">
        <f>IF($P188="","",IF(OR($P188=1,$P188=2,$P188=5),IF($U188&gt;0,"OK","SEM LASTRO"),"OK"))</f>
        <v/>
      </c>
      <c r="W188" s="19" t="n"/>
      <c r="X188" s="18" t="n"/>
      <c r="Y188" s="14">
        <f>IF($C188="","",$C188&amp;"|"&amp;$B188)</f>
        <v/>
      </c>
      <c r="Z188" s="14">
        <f>IF($C188="","",$C188&amp;"|"&amp;$B188&amp;"|"&amp;$H188)</f>
        <v/>
      </c>
      <c r="AA188" s="14">
        <f>IF($C188="","",$C188&amp;"|"&amp;$B188&amp;"|"&amp;$G188)</f>
        <v/>
      </c>
    </row>
    <row r="189">
      <c r="A189" s="19" t="n"/>
      <c r="B189" s="14">
        <f>IF($A189="","",VALUE(LEFT($A189,4))*4+VALUE(RIGHT($A189,1)))</f>
        <v/>
      </c>
      <c r="C189" s="19" t="n"/>
      <c r="D189" s="14">
        <f>IFERROR(INDEX(Pessoas!$B$5:$B$64,MATCH($C189,Pessoas!$A$5:$A$64,0)),"")</f>
        <v/>
      </c>
      <c r="E189" s="19" t="n"/>
      <c r="F189" s="14">
        <f>IFERROR(INDEX(Pessoas!$D$5:$D$64,MATCH($C189,Pessoas!$A$5:$A$64,0)),"")</f>
        <v/>
      </c>
      <c r="G189" s="19" t="n"/>
      <c r="H189" s="14">
        <f>IFERROR(INDEX(Config!$B$40:$B$45,MATCH($G189,Config!$C$40:$C$45,0)),"")</f>
        <v/>
      </c>
      <c r="I189" s="14">
        <f>IFERROR(INDEX(Config!$D$40:$D$45,MATCH($G189,Config!$C$40:$C$45,0)),"")</f>
        <v/>
      </c>
      <c r="J189" s="19" t="n"/>
      <c r="K189" s="19" t="n"/>
      <c r="L189" s="19" t="n"/>
      <c r="M189" s="19" t="n"/>
      <c r="N189" s="14">
        <f>IF(AND(ISNUMBER($J189),ISNUMBER($K189)),ABS($J189-$K189),"")</f>
        <v/>
      </c>
      <c r="O189" s="14">
        <f>IF(AND(NOT(ISNUMBER($J189)),NOT(ISNUMBER($K189))),"",IF(NOT(ISNUMBER($K189)),$J189,IF(NOT(ISNUMBER($J189)),$K189,IF($N189=0,$J189,IF(AND($N189=1,$T189&lt;&gt;"Sim"),IF($I189="Líder Técnico",$K189,IF($I189="GP",$J189,"CALIBRAR")),"CALIBRAR")))))</f>
        <v/>
      </c>
      <c r="P189" s="19" t="n"/>
      <c r="Q189" s="19" t="n"/>
      <c r="R189" s="14">
        <f>IF($P189="","",IF(AND(ISNUMBER($J189),$P189=$J189,ISNUMBER($K189),$P189=$K189),"= ambos",IF(AND(ISNUMBER($J189),$P189=$J189),"= GP",IF(AND(ISNUMBER($K189),$P189=$K189),"= LT","nenhuma das duas"))))</f>
        <v/>
      </c>
      <c r="S189" s="19" t="n"/>
      <c r="T189" s="19" t="n"/>
      <c r="U189" s="14">
        <f>IF($C189="","",COUNTIFS('Ocorrências'!$V$5:$V$604,$C189&amp;"|"&amp;$B189&amp;"|"&amp;$G189,'Ocorrências'!$X$5:$X$604,"Sim"))</f>
        <v/>
      </c>
      <c r="V189" s="14">
        <f>IF($P189="","",IF(OR($P189=1,$P189=2,$P189=5),IF($U189&gt;0,"OK","SEM LASTRO"),"OK"))</f>
        <v/>
      </c>
      <c r="W189" s="19" t="n"/>
      <c r="X189" s="18" t="n"/>
      <c r="Y189" s="14">
        <f>IF($C189="","",$C189&amp;"|"&amp;$B189)</f>
        <v/>
      </c>
      <c r="Z189" s="14">
        <f>IF($C189="","",$C189&amp;"|"&amp;$B189&amp;"|"&amp;$H189)</f>
        <v/>
      </c>
      <c r="AA189" s="14">
        <f>IF($C189="","",$C189&amp;"|"&amp;$B189&amp;"|"&amp;$G189)</f>
        <v/>
      </c>
    </row>
    <row r="190">
      <c r="A190" s="19" t="n"/>
      <c r="B190" s="14">
        <f>IF($A190="","",VALUE(LEFT($A190,4))*4+VALUE(RIGHT($A190,1)))</f>
        <v/>
      </c>
      <c r="C190" s="19" t="n"/>
      <c r="D190" s="14">
        <f>IFERROR(INDEX(Pessoas!$B$5:$B$64,MATCH($C190,Pessoas!$A$5:$A$64,0)),"")</f>
        <v/>
      </c>
      <c r="E190" s="19" t="n"/>
      <c r="F190" s="14">
        <f>IFERROR(INDEX(Pessoas!$D$5:$D$64,MATCH($C190,Pessoas!$A$5:$A$64,0)),"")</f>
        <v/>
      </c>
      <c r="G190" s="19" t="n"/>
      <c r="H190" s="14">
        <f>IFERROR(INDEX(Config!$B$40:$B$45,MATCH($G190,Config!$C$40:$C$45,0)),"")</f>
        <v/>
      </c>
      <c r="I190" s="14">
        <f>IFERROR(INDEX(Config!$D$40:$D$45,MATCH($G190,Config!$C$40:$C$45,0)),"")</f>
        <v/>
      </c>
      <c r="J190" s="19" t="n"/>
      <c r="K190" s="19" t="n"/>
      <c r="L190" s="19" t="n"/>
      <c r="M190" s="19" t="n"/>
      <c r="N190" s="14">
        <f>IF(AND(ISNUMBER($J190),ISNUMBER($K190)),ABS($J190-$K190),"")</f>
        <v/>
      </c>
      <c r="O190" s="14">
        <f>IF(AND(NOT(ISNUMBER($J190)),NOT(ISNUMBER($K190))),"",IF(NOT(ISNUMBER($K190)),$J190,IF(NOT(ISNUMBER($J190)),$K190,IF($N190=0,$J190,IF(AND($N190=1,$T190&lt;&gt;"Sim"),IF($I190="Líder Técnico",$K190,IF($I190="GP",$J190,"CALIBRAR")),"CALIBRAR")))))</f>
        <v/>
      </c>
      <c r="P190" s="19" t="n"/>
      <c r="Q190" s="19" t="n"/>
      <c r="R190" s="14">
        <f>IF($P190="","",IF(AND(ISNUMBER($J190),$P190=$J190,ISNUMBER($K190),$P190=$K190),"= ambos",IF(AND(ISNUMBER($J190),$P190=$J190),"= GP",IF(AND(ISNUMBER($K190),$P190=$K190),"= LT","nenhuma das duas"))))</f>
        <v/>
      </c>
      <c r="S190" s="19" t="n"/>
      <c r="T190" s="19" t="n"/>
      <c r="U190" s="14">
        <f>IF($C190="","",COUNTIFS('Ocorrências'!$V$5:$V$604,$C190&amp;"|"&amp;$B190&amp;"|"&amp;$G190,'Ocorrências'!$X$5:$X$604,"Sim"))</f>
        <v/>
      </c>
      <c r="V190" s="14">
        <f>IF($P190="","",IF(OR($P190=1,$P190=2,$P190=5),IF($U190&gt;0,"OK","SEM LASTRO"),"OK"))</f>
        <v/>
      </c>
      <c r="W190" s="19" t="n"/>
      <c r="X190" s="18" t="n"/>
      <c r="Y190" s="14">
        <f>IF($C190="","",$C190&amp;"|"&amp;$B190)</f>
        <v/>
      </c>
      <c r="Z190" s="14">
        <f>IF($C190="","",$C190&amp;"|"&amp;$B190&amp;"|"&amp;$H190)</f>
        <v/>
      </c>
      <c r="AA190" s="14">
        <f>IF($C190="","",$C190&amp;"|"&amp;$B190&amp;"|"&amp;$G190)</f>
        <v/>
      </c>
    </row>
    <row r="191">
      <c r="A191" s="19" t="n"/>
      <c r="B191" s="14">
        <f>IF($A191="","",VALUE(LEFT($A191,4))*4+VALUE(RIGHT($A191,1)))</f>
        <v/>
      </c>
      <c r="C191" s="19" t="n"/>
      <c r="D191" s="14">
        <f>IFERROR(INDEX(Pessoas!$B$5:$B$64,MATCH($C191,Pessoas!$A$5:$A$64,0)),"")</f>
        <v/>
      </c>
      <c r="E191" s="19" t="n"/>
      <c r="F191" s="14">
        <f>IFERROR(INDEX(Pessoas!$D$5:$D$64,MATCH($C191,Pessoas!$A$5:$A$64,0)),"")</f>
        <v/>
      </c>
      <c r="G191" s="19" t="n"/>
      <c r="H191" s="14">
        <f>IFERROR(INDEX(Config!$B$40:$B$45,MATCH($G191,Config!$C$40:$C$45,0)),"")</f>
        <v/>
      </c>
      <c r="I191" s="14">
        <f>IFERROR(INDEX(Config!$D$40:$D$45,MATCH($G191,Config!$C$40:$C$45,0)),"")</f>
        <v/>
      </c>
      <c r="J191" s="19" t="n"/>
      <c r="K191" s="19" t="n"/>
      <c r="L191" s="19" t="n"/>
      <c r="M191" s="19" t="n"/>
      <c r="N191" s="14">
        <f>IF(AND(ISNUMBER($J191),ISNUMBER($K191)),ABS($J191-$K191),"")</f>
        <v/>
      </c>
      <c r="O191" s="14">
        <f>IF(AND(NOT(ISNUMBER($J191)),NOT(ISNUMBER($K191))),"",IF(NOT(ISNUMBER($K191)),$J191,IF(NOT(ISNUMBER($J191)),$K191,IF($N191=0,$J191,IF(AND($N191=1,$T191&lt;&gt;"Sim"),IF($I191="Líder Técnico",$K191,IF($I191="GP",$J191,"CALIBRAR")),"CALIBRAR")))))</f>
        <v/>
      </c>
      <c r="P191" s="19" t="n"/>
      <c r="Q191" s="19" t="n"/>
      <c r="R191" s="14">
        <f>IF($P191="","",IF(AND(ISNUMBER($J191),$P191=$J191,ISNUMBER($K191),$P191=$K191),"= ambos",IF(AND(ISNUMBER($J191),$P191=$J191),"= GP",IF(AND(ISNUMBER($K191),$P191=$K191),"= LT","nenhuma das duas"))))</f>
        <v/>
      </c>
      <c r="S191" s="19" t="n"/>
      <c r="T191" s="19" t="n"/>
      <c r="U191" s="14">
        <f>IF($C191="","",COUNTIFS('Ocorrências'!$V$5:$V$604,$C191&amp;"|"&amp;$B191&amp;"|"&amp;$G191,'Ocorrências'!$X$5:$X$604,"Sim"))</f>
        <v/>
      </c>
      <c r="V191" s="14">
        <f>IF($P191="","",IF(OR($P191=1,$P191=2,$P191=5),IF($U191&gt;0,"OK","SEM LASTRO"),"OK"))</f>
        <v/>
      </c>
      <c r="W191" s="19" t="n"/>
      <c r="X191" s="18" t="n"/>
      <c r="Y191" s="14">
        <f>IF($C191="","",$C191&amp;"|"&amp;$B191)</f>
        <v/>
      </c>
      <c r="Z191" s="14">
        <f>IF($C191="","",$C191&amp;"|"&amp;$B191&amp;"|"&amp;$H191)</f>
        <v/>
      </c>
      <c r="AA191" s="14">
        <f>IF($C191="","",$C191&amp;"|"&amp;$B191&amp;"|"&amp;$G191)</f>
        <v/>
      </c>
    </row>
    <row r="192">
      <c r="A192" s="19" t="n"/>
      <c r="B192" s="14">
        <f>IF($A192="","",VALUE(LEFT($A192,4))*4+VALUE(RIGHT($A192,1)))</f>
        <v/>
      </c>
      <c r="C192" s="19" t="n"/>
      <c r="D192" s="14">
        <f>IFERROR(INDEX(Pessoas!$B$5:$B$64,MATCH($C192,Pessoas!$A$5:$A$64,0)),"")</f>
        <v/>
      </c>
      <c r="E192" s="19" t="n"/>
      <c r="F192" s="14">
        <f>IFERROR(INDEX(Pessoas!$D$5:$D$64,MATCH($C192,Pessoas!$A$5:$A$64,0)),"")</f>
        <v/>
      </c>
      <c r="G192" s="19" t="n"/>
      <c r="H192" s="14">
        <f>IFERROR(INDEX(Config!$B$40:$B$45,MATCH($G192,Config!$C$40:$C$45,0)),"")</f>
        <v/>
      </c>
      <c r="I192" s="14">
        <f>IFERROR(INDEX(Config!$D$40:$D$45,MATCH($G192,Config!$C$40:$C$45,0)),"")</f>
        <v/>
      </c>
      <c r="J192" s="19" t="n"/>
      <c r="K192" s="19" t="n"/>
      <c r="L192" s="19" t="n"/>
      <c r="M192" s="19" t="n"/>
      <c r="N192" s="14">
        <f>IF(AND(ISNUMBER($J192),ISNUMBER($K192)),ABS($J192-$K192),"")</f>
        <v/>
      </c>
      <c r="O192" s="14">
        <f>IF(AND(NOT(ISNUMBER($J192)),NOT(ISNUMBER($K192))),"",IF(NOT(ISNUMBER($K192)),$J192,IF(NOT(ISNUMBER($J192)),$K192,IF($N192=0,$J192,IF(AND($N192=1,$T192&lt;&gt;"Sim"),IF($I192="Líder Técnico",$K192,IF($I192="GP",$J192,"CALIBRAR")),"CALIBRAR")))))</f>
        <v/>
      </c>
      <c r="P192" s="19" t="n"/>
      <c r="Q192" s="19" t="n"/>
      <c r="R192" s="14">
        <f>IF($P192="","",IF(AND(ISNUMBER($J192),$P192=$J192,ISNUMBER($K192),$P192=$K192),"= ambos",IF(AND(ISNUMBER($J192),$P192=$J192),"= GP",IF(AND(ISNUMBER($K192),$P192=$K192),"= LT","nenhuma das duas"))))</f>
        <v/>
      </c>
      <c r="S192" s="19" t="n"/>
      <c r="T192" s="19" t="n"/>
      <c r="U192" s="14">
        <f>IF($C192="","",COUNTIFS('Ocorrências'!$V$5:$V$604,$C192&amp;"|"&amp;$B192&amp;"|"&amp;$G192,'Ocorrências'!$X$5:$X$604,"Sim"))</f>
        <v/>
      </c>
      <c r="V192" s="14">
        <f>IF($P192="","",IF(OR($P192=1,$P192=2,$P192=5),IF($U192&gt;0,"OK","SEM LASTRO"),"OK"))</f>
        <v/>
      </c>
      <c r="W192" s="19" t="n"/>
      <c r="X192" s="18" t="n"/>
      <c r="Y192" s="14">
        <f>IF($C192="","",$C192&amp;"|"&amp;$B192)</f>
        <v/>
      </c>
      <c r="Z192" s="14">
        <f>IF($C192="","",$C192&amp;"|"&amp;$B192&amp;"|"&amp;$H192)</f>
        <v/>
      </c>
      <c r="AA192" s="14">
        <f>IF($C192="","",$C192&amp;"|"&amp;$B192&amp;"|"&amp;$G192)</f>
        <v/>
      </c>
    </row>
    <row r="193">
      <c r="A193" s="19" t="n"/>
      <c r="B193" s="14">
        <f>IF($A193="","",VALUE(LEFT($A193,4))*4+VALUE(RIGHT($A193,1)))</f>
        <v/>
      </c>
      <c r="C193" s="19" t="n"/>
      <c r="D193" s="14">
        <f>IFERROR(INDEX(Pessoas!$B$5:$B$64,MATCH($C193,Pessoas!$A$5:$A$64,0)),"")</f>
        <v/>
      </c>
      <c r="E193" s="19" t="n"/>
      <c r="F193" s="14">
        <f>IFERROR(INDEX(Pessoas!$D$5:$D$64,MATCH($C193,Pessoas!$A$5:$A$64,0)),"")</f>
        <v/>
      </c>
      <c r="G193" s="19" t="n"/>
      <c r="H193" s="14">
        <f>IFERROR(INDEX(Config!$B$40:$B$45,MATCH($G193,Config!$C$40:$C$45,0)),"")</f>
        <v/>
      </c>
      <c r="I193" s="14">
        <f>IFERROR(INDEX(Config!$D$40:$D$45,MATCH($G193,Config!$C$40:$C$45,0)),"")</f>
        <v/>
      </c>
      <c r="J193" s="19" t="n"/>
      <c r="K193" s="19" t="n"/>
      <c r="L193" s="19" t="n"/>
      <c r="M193" s="19" t="n"/>
      <c r="N193" s="14">
        <f>IF(AND(ISNUMBER($J193),ISNUMBER($K193)),ABS($J193-$K193),"")</f>
        <v/>
      </c>
      <c r="O193" s="14">
        <f>IF(AND(NOT(ISNUMBER($J193)),NOT(ISNUMBER($K193))),"",IF(NOT(ISNUMBER($K193)),$J193,IF(NOT(ISNUMBER($J193)),$K193,IF($N193=0,$J193,IF(AND($N193=1,$T193&lt;&gt;"Sim"),IF($I193="Líder Técnico",$K193,IF($I193="GP",$J193,"CALIBRAR")),"CALIBRAR")))))</f>
        <v/>
      </c>
      <c r="P193" s="19" t="n"/>
      <c r="Q193" s="19" t="n"/>
      <c r="R193" s="14">
        <f>IF($P193="","",IF(AND(ISNUMBER($J193),$P193=$J193,ISNUMBER($K193),$P193=$K193),"= ambos",IF(AND(ISNUMBER($J193),$P193=$J193),"= GP",IF(AND(ISNUMBER($K193),$P193=$K193),"= LT","nenhuma das duas"))))</f>
        <v/>
      </c>
      <c r="S193" s="19" t="n"/>
      <c r="T193" s="19" t="n"/>
      <c r="U193" s="14">
        <f>IF($C193="","",COUNTIFS('Ocorrências'!$V$5:$V$604,$C193&amp;"|"&amp;$B193&amp;"|"&amp;$G193,'Ocorrências'!$X$5:$X$604,"Sim"))</f>
        <v/>
      </c>
      <c r="V193" s="14">
        <f>IF($P193="","",IF(OR($P193=1,$P193=2,$P193=5),IF($U193&gt;0,"OK","SEM LASTRO"),"OK"))</f>
        <v/>
      </c>
      <c r="W193" s="19" t="n"/>
      <c r="X193" s="18" t="n"/>
      <c r="Y193" s="14">
        <f>IF($C193="","",$C193&amp;"|"&amp;$B193)</f>
        <v/>
      </c>
      <c r="Z193" s="14">
        <f>IF($C193="","",$C193&amp;"|"&amp;$B193&amp;"|"&amp;$H193)</f>
        <v/>
      </c>
      <c r="AA193" s="14">
        <f>IF($C193="","",$C193&amp;"|"&amp;$B193&amp;"|"&amp;$G193)</f>
        <v/>
      </c>
    </row>
    <row r="194">
      <c r="A194" s="19" t="n"/>
      <c r="B194" s="14">
        <f>IF($A194="","",VALUE(LEFT($A194,4))*4+VALUE(RIGHT($A194,1)))</f>
        <v/>
      </c>
      <c r="C194" s="19" t="n"/>
      <c r="D194" s="14">
        <f>IFERROR(INDEX(Pessoas!$B$5:$B$64,MATCH($C194,Pessoas!$A$5:$A$64,0)),"")</f>
        <v/>
      </c>
      <c r="E194" s="19" t="n"/>
      <c r="F194" s="14">
        <f>IFERROR(INDEX(Pessoas!$D$5:$D$64,MATCH($C194,Pessoas!$A$5:$A$64,0)),"")</f>
        <v/>
      </c>
      <c r="G194" s="19" t="n"/>
      <c r="H194" s="14">
        <f>IFERROR(INDEX(Config!$B$40:$B$45,MATCH($G194,Config!$C$40:$C$45,0)),"")</f>
        <v/>
      </c>
      <c r="I194" s="14">
        <f>IFERROR(INDEX(Config!$D$40:$D$45,MATCH($G194,Config!$C$40:$C$45,0)),"")</f>
        <v/>
      </c>
      <c r="J194" s="19" t="n"/>
      <c r="K194" s="19" t="n"/>
      <c r="L194" s="19" t="n"/>
      <c r="M194" s="19" t="n"/>
      <c r="N194" s="14">
        <f>IF(AND(ISNUMBER($J194),ISNUMBER($K194)),ABS($J194-$K194),"")</f>
        <v/>
      </c>
      <c r="O194" s="14">
        <f>IF(AND(NOT(ISNUMBER($J194)),NOT(ISNUMBER($K194))),"",IF(NOT(ISNUMBER($K194)),$J194,IF(NOT(ISNUMBER($J194)),$K194,IF($N194=0,$J194,IF(AND($N194=1,$T194&lt;&gt;"Sim"),IF($I194="Líder Técnico",$K194,IF($I194="GP",$J194,"CALIBRAR")),"CALIBRAR")))))</f>
        <v/>
      </c>
      <c r="P194" s="19" t="n"/>
      <c r="Q194" s="19" t="n"/>
      <c r="R194" s="14">
        <f>IF($P194="","",IF(AND(ISNUMBER($J194),$P194=$J194,ISNUMBER($K194),$P194=$K194),"= ambos",IF(AND(ISNUMBER($J194),$P194=$J194),"= GP",IF(AND(ISNUMBER($K194),$P194=$K194),"= LT","nenhuma das duas"))))</f>
        <v/>
      </c>
      <c r="S194" s="19" t="n"/>
      <c r="T194" s="19" t="n"/>
      <c r="U194" s="14">
        <f>IF($C194="","",COUNTIFS('Ocorrências'!$V$5:$V$604,$C194&amp;"|"&amp;$B194&amp;"|"&amp;$G194,'Ocorrências'!$X$5:$X$604,"Sim"))</f>
        <v/>
      </c>
      <c r="V194" s="14">
        <f>IF($P194="","",IF(OR($P194=1,$P194=2,$P194=5),IF($U194&gt;0,"OK","SEM LASTRO"),"OK"))</f>
        <v/>
      </c>
      <c r="W194" s="19" t="n"/>
      <c r="X194" s="18" t="n"/>
      <c r="Y194" s="14">
        <f>IF($C194="","",$C194&amp;"|"&amp;$B194)</f>
        <v/>
      </c>
      <c r="Z194" s="14">
        <f>IF($C194="","",$C194&amp;"|"&amp;$B194&amp;"|"&amp;$H194)</f>
        <v/>
      </c>
      <c r="AA194" s="14">
        <f>IF($C194="","",$C194&amp;"|"&amp;$B194&amp;"|"&amp;$G194)</f>
        <v/>
      </c>
    </row>
    <row r="195">
      <c r="A195" s="19" t="n"/>
      <c r="B195" s="14">
        <f>IF($A195="","",VALUE(LEFT($A195,4))*4+VALUE(RIGHT($A195,1)))</f>
        <v/>
      </c>
      <c r="C195" s="19" t="n"/>
      <c r="D195" s="14">
        <f>IFERROR(INDEX(Pessoas!$B$5:$B$64,MATCH($C195,Pessoas!$A$5:$A$64,0)),"")</f>
        <v/>
      </c>
      <c r="E195" s="19" t="n"/>
      <c r="F195" s="14">
        <f>IFERROR(INDEX(Pessoas!$D$5:$D$64,MATCH($C195,Pessoas!$A$5:$A$64,0)),"")</f>
        <v/>
      </c>
      <c r="G195" s="19" t="n"/>
      <c r="H195" s="14">
        <f>IFERROR(INDEX(Config!$B$40:$B$45,MATCH($G195,Config!$C$40:$C$45,0)),"")</f>
        <v/>
      </c>
      <c r="I195" s="14">
        <f>IFERROR(INDEX(Config!$D$40:$D$45,MATCH($G195,Config!$C$40:$C$45,0)),"")</f>
        <v/>
      </c>
      <c r="J195" s="19" t="n"/>
      <c r="K195" s="19" t="n"/>
      <c r="L195" s="19" t="n"/>
      <c r="M195" s="19" t="n"/>
      <c r="N195" s="14">
        <f>IF(AND(ISNUMBER($J195),ISNUMBER($K195)),ABS($J195-$K195),"")</f>
        <v/>
      </c>
      <c r="O195" s="14">
        <f>IF(AND(NOT(ISNUMBER($J195)),NOT(ISNUMBER($K195))),"",IF(NOT(ISNUMBER($K195)),$J195,IF(NOT(ISNUMBER($J195)),$K195,IF($N195=0,$J195,IF(AND($N195=1,$T195&lt;&gt;"Sim"),IF($I195="Líder Técnico",$K195,IF($I195="GP",$J195,"CALIBRAR")),"CALIBRAR")))))</f>
        <v/>
      </c>
      <c r="P195" s="19" t="n"/>
      <c r="Q195" s="19" t="n"/>
      <c r="R195" s="14">
        <f>IF($P195="","",IF(AND(ISNUMBER($J195),$P195=$J195,ISNUMBER($K195),$P195=$K195),"= ambos",IF(AND(ISNUMBER($J195),$P195=$J195),"= GP",IF(AND(ISNUMBER($K195),$P195=$K195),"= LT","nenhuma das duas"))))</f>
        <v/>
      </c>
      <c r="S195" s="19" t="n"/>
      <c r="T195" s="19" t="n"/>
      <c r="U195" s="14">
        <f>IF($C195="","",COUNTIFS('Ocorrências'!$V$5:$V$604,$C195&amp;"|"&amp;$B195&amp;"|"&amp;$G195,'Ocorrências'!$X$5:$X$604,"Sim"))</f>
        <v/>
      </c>
      <c r="V195" s="14">
        <f>IF($P195="","",IF(OR($P195=1,$P195=2,$P195=5),IF($U195&gt;0,"OK","SEM LASTRO"),"OK"))</f>
        <v/>
      </c>
      <c r="W195" s="19" t="n"/>
      <c r="X195" s="18" t="n"/>
      <c r="Y195" s="14">
        <f>IF($C195="","",$C195&amp;"|"&amp;$B195)</f>
        <v/>
      </c>
      <c r="Z195" s="14">
        <f>IF($C195="","",$C195&amp;"|"&amp;$B195&amp;"|"&amp;$H195)</f>
        <v/>
      </c>
      <c r="AA195" s="14">
        <f>IF($C195="","",$C195&amp;"|"&amp;$B195&amp;"|"&amp;$G195)</f>
        <v/>
      </c>
    </row>
    <row r="196">
      <c r="A196" s="19" t="n"/>
      <c r="B196" s="14">
        <f>IF($A196="","",VALUE(LEFT($A196,4))*4+VALUE(RIGHT($A196,1)))</f>
        <v/>
      </c>
      <c r="C196" s="19" t="n"/>
      <c r="D196" s="14">
        <f>IFERROR(INDEX(Pessoas!$B$5:$B$64,MATCH($C196,Pessoas!$A$5:$A$64,0)),"")</f>
        <v/>
      </c>
      <c r="E196" s="19" t="n"/>
      <c r="F196" s="14">
        <f>IFERROR(INDEX(Pessoas!$D$5:$D$64,MATCH($C196,Pessoas!$A$5:$A$64,0)),"")</f>
        <v/>
      </c>
      <c r="G196" s="19" t="n"/>
      <c r="H196" s="14">
        <f>IFERROR(INDEX(Config!$B$40:$B$45,MATCH($G196,Config!$C$40:$C$45,0)),"")</f>
        <v/>
      </c>
      <c r="I196" s="14">
        <f>IFERROR(INDEX(Config!$D$40:$D$45,MATCH($G196,Config!$C$40:$C$45,0)),"")</f>
        <v/>
      </c>
      <c r="J196" s="19" t="n"/>
      <c r="K196" s="19" t="n"/>
      <c r="L196" s="19" t="n"/>
      <c r="M196" s="19" t="n"/>
      <c r="N196" s="14">
        <f>IF(AND(ISNUMBER($J196),ISNUMBER($K196)),ABS($J196-$K196),"")</f>
        <v/>
      </c>
      <c r="O196" s="14">
        <f>IF(AND(NOT(ISNUMBER($J196)),NOT(ISNUMBER($K196))),"",IF(NOT(ISNUMBER($K196)),$J196,IF(NOT(ISNUMBER($J196)),$K196,IF($N196=0,$J196,IF(AND($N196=1,$T196&lt;&gt;"Sim"),IF($I196="Líder Técnico",$K196,IF($I196="GP",$J196,"CALIBRAR")),"CALIBRAR")))))</f>
        <v/>
      </c>
      <c r="P196" s="19" t="n"/>
      <c r="Q196" s="19" t="n"/>
      <c r="R196" s="14">
        <f>IF($P196="","",IF(AND(ISNUMBER($J196),$P196=$J196,ISNUMBER($K196),$P196=$K196),"= ambos",IF(AND(ISNUMBER($J196),$P196=$J196),"= GP",IF(AND(ISNUMBER($K196),$P196=$K196),"= LT","nenhuma das duas"))))</f>
        <v/>
      </c>
      <c r="S196" s="19" t="n"/>
      <c r="T196" s="19" t="n"/>
      <c r="U196" s="14">
        <f>IF($C196="","",COUNTIFS('Ocorrências'!$V$5:$V$604,$C196&amp;"|"&amp;$B196&amp;"|"&amp;$G196,'Ocorrências'!$X$5:$X$604,"Sim"))</f>
        <v/>
      </c>
      <c r="V196" s="14">
        <f>IF($P196="","",IF(OR($P196=1,$P196=2,$P196=5),IF($U196&gt;0,"OK","SEM LASTRO"),"OK"))</f>
        <v/>
      </c>
      <c r="W196" s="19" t="n"/>
      <c r="X196" s="18" t="n"/>
      <c r="Y196" s="14">
        <f>IF($C196="","",$C196&amp;"|"&amp;$B196)</f>
        <v/>
      </c>
      <c r="Z196" s="14">
        <f>IF($C196="","",$C196&amp;"|"&amp;$B196&amp;"|"&amp;$H196)</f>
        <v/>
      </c>
      <c r="AA196" s="14">
        <f>IF($C196="","",$C196&amp;"|"&amp;$B196&amp;"|"&amp;$G196)</f>
        <v/>
      </c>
    </row>
    <row r="197">
      <c r="A197" s="19" t="n"/>
      <c r="B197" s="14">
        <f>IF($A197="","",VALUE(LEFT($A197,4))*4+VALUE(RIGHT($A197,1)))</f>
        <v/>
      </c>
      <c r="C197" s="19" t="n"/>
      <c r="D197" s="14">
        <f>IFERROR(INDEX(Pessoas!$B$5:$B$64,MATCH($C197,Pessoas!$A$5:$A$64,0)),"")</f>
        <v/>
      </c>
      <c r="E197" s="19" t="n"/>
      <c r="F197" s="14">
        <f>IFERROR(INDEX(Pessoas!$D$5:$D$64,MATCH($C197,Pessoas!$A$5:$A$64,0)),"")</f>
        <v/>
      </c>
      <c r="G197" s="19" t="n"/>
      <c r="H197" s="14">
        <f>IFERROR(INDEX(Config!$B$40:$B$45,MATCH($G197,Config!$C$40:$C$45,0)),"")</f>
        <v/>
      </c>
      <c r="I197" s="14">
        <f>IFERROR(INDEX(Config!$D$40:$D$45,MATCH($G197,Config!$C$40:$C$45,0)),"")</f>
        <v/>
      </c>
      <c r="J197" s="19" t="n"/>
      <c r="K197" s="19" t="n"/>
      <c r="L197" s="19" t="n"/>
      <c r="M197" s="19" t="n"/>
      <c r="N197" s="14">
        <f>IF(AND(ISNUMBER($J197),ISNUMBER($K197)),ABS($J197-$K197),"")</f>
        <v/>
      </c>
      <c r="O197" s="14">
        <f>IF(AND(NOT(ISNUMBER($J197)),NOT(ISNUMBER($K197))),"",IF(NOT(ISNUMBER($K197)),$J197,IF(NOT(ISNUMBER($J197)),$K197,IF($N197=0,$J197,IF(AND($N197=1,$T197&lt;&gt;"Sim"),IF($I197="Líder Técnico",$K197,IF($I197="GP",$J197,"CALIBRAR")),"CALIBRAR")))))</f>
        <v/>
      </c>
      <c r="P197" s="19" t="n"/>
      <c r="Q197" s="19" t="n"/>
      <c r="R197" s="14">
        <f>IF($P197="","",IF(AND(ISNUMBER($J197),$P197=$J197,ISNUMBER($K197),$P197=$K197),"= ambos",IF(AND(ISNUMBER($J197),$P197=$J197),"= GP",IF(AND(ISNUMBER($K197),$P197=$K197),"= LT","nenhuma das duas"))))</f>
        <v/>
      </c>
      <c r="S197" s="19" t="n"/>
      <c r="T197" s="19" t="n"/>
      <c r="U197" s="14">
        <f>IF($C197="","",COUNTIFS('Ocorrências'!$V$5:$V$604,$C197&amp;"|"&amp;$B197&amp;"|"&amp;$G197,'Ocorrências'!$X$5:$X$604,"Sim"))</f>
        <v/>
      </c>
      <c r="V197" s="14">
        <f>IF($P197="","",IF(OR($P197=1,$P197=2,$P197=5),IF($U197&gt;0,"OK","SEM LASTRO"),"OK"))</f>
        <v/>
      </c>
      <c r="W197" s="19" t="n"/>
      <c r="X197" s="18" t="n"/>
      <c r="Y197" s="14">
        <f>IF($C197="","",$C197&amp;"|"&amp;$B197)</f>
        <v/>
      </c>
      <c r="Z197" s="14">
        <f>IF($C197="","",$C197&amp;"|"&amp;$B197&amp;"|"&amp;$H197)</f>
        <v/>
      </c>
      <c r="AA197" s="14">
        <f>IF($C197="","",$C197&amp;"|"&amp;$B197&amp;"|"&amp;$G197)</f>
        <v/>
      </c>
    </row>
    <row r="198">
      <c r="A198" s="19" t="n"/>
      <c r="B198" s="14">
        <f>IF($A198="","",VALUE(LEFT($A198,4))*4+VALUE(RIGHT($A198,1)))</f>
        <v/>
      </c>
      <c r="C198" s="19" t="n"/>
      <c r="D198" s="14">
        <f>IFERROR(INDEX(Pessoas!$B$5:$B$64,MATCH($C198,Pessoas!$A$5:$A$64,0)),"")</f>
        <v/>
      </c>
      <c r="E198" s="19" t="n"/>
      <c r="F198" s="14">
        <f>IFERROR(INDEX(Pessoas!$D$5:$D$64,MATCH($C198,Pessoas!$A$5:$A$64,0)),"")</f>
        <v/>
      </c>
      <c r="G198" s="19" t="n"/>
      <c r="H198" s="14">
        <f>IFERROR(INDEX(Config!$B$40:$B$45,MATCH($G198,Config!$C$40:$C$45,0)),"")</f>
        <v/>
      </c>
      <c r="I198" s="14">
        <f>IFERROR(INDEX(Config!$D$40:$D$45,MATCH($G198,Config!$C$40:$C$45,0)),"")</f>
        <v/>
      </c>
      <c r="J198" s="19" t="n"/>
      <c r="K198" s="19" t="n"/>
      <c r="L198" s="19" t="n"/>
      <c r="M198" s="19" t="n"/>
      <c r="N198" s="14">
        <f>IF(AND(ISNUMBER($J198),ISNUMBER($K198)),ABS($J198-$K198),"")</f>
        <v/>
      </c>
      <c r="O198" s="14">
        <f>IF(AND(NOT(ISNUMBER($J198)),NOT(ISNUMBER($K198))),"",IF(NOT(ISNUMBER($K198)),$J198,IF(NOT(ISNUMBER($J198)),$K198,IF($N198=0,$J198,IF(AND($N198=1,$T198&lt;&gt;"Sim"),IF($I198="Líder Técnico",$K198,IF($I198="GP",$J198,"CALIBRAR")),"CALIBRAR")))))</f>
        <v/>
      </c>
      <c r="P198" s="19" t="n"/>
      <c r="Q198" s="19" t="n"/>
      <c r="R198" s="14">
        <f>IF($P198="","",IF(AND(ISNUMBER($J198),$P198=$J198,ISNUMBER($K198),$P198=$K198),"= ambos",IF(AND(ISNUMBER($J198),$P198=$J198),"= GP",IF(AND(ISNUMBER($K198),$P198=$K198),"= LT","nenhuma das duas"))))</f>
        <v/>
      </c>
      <c r="S198" s="19" t="n"/>
      <c r="T198" s="19" t="n"/>
      <c r="U198" s="14">
        <f>IF($C198="","",COUNTIFS('Ocorrências'!$V$5:$V$604,$C198&amp;"|"&amp;$B198&amp;"|"&amp;$G198,'Ocorrências'!$X$5:$X$604,"Sim"))</f>
        <v/>
      </c>
      <c r="V198" s="14">
        <f>IF($P198="","",IF(OR($P198=1,$P198=2,$P198=5),IF($U198&gt;0,"OK","SEM LASTRO"),"OK"))</f>
        <v/>
      </c>
      <c r="W198" s="19" t="n"/>
      <c r="X198" s="18" t="n"/>
      <c r="Y198" s="14">
        <f>IF($C198="","",$C198&amp;"|"&amp;$B198)</f>
        <v/>
      </c>
      <c r="Z198" s="14">
        <f>IF($C198="","",$C198&amp;"|"&amp;$B198&amp;"|"&amp;$H198)</f>
        <v/>
      </c>
      <c r="AA198" s="14">
        <f>IF($C198="","",$C198&amp;"|"&amp;$B198&amp;"|"&amp;$G198)</f>
        <v/>
      </c>
    </row>
    <row r="199">
      <c r="A199" s="19" t="n"/>
      <c r="B199" s="14">
        <f>IF($A199="","",VALUE(LEFT($A199,4))*4+VALUE(RIGHT($A199,1)))</f>
        <v/>
      </c>
      <c r="C199" s="19" t="n"/>
      <c r="D199" s="14">
        <f>IFERROR(INDEX(Pessoas!$B$5:$B$64,MATCH($C199,Pessoas!$A$5:$A$64,0)),"")</f>
        <v/>
      </c>
      <c r="E199" s="19" t="n"/>
      <c r="F199" s="14">
        <f>IFERROR(INDEX(Pessoas!$D$5:$D$64,MATCH($C199,Pessoas!$A$5:$A$64,0)),"")</f>
        <v/>
      </c>
      <c r="G199" s="19" t="n"/>
      <c r="H199" s="14">
        <f>IFERROR(INDEX(Config!$B$40:$B$45,MATCH($G199,Config!$C$40:$C$45,0)),"")</f>
        <v/>
      </c>
      <c r="I199" s="14">
        <f>IFERROR(INDEX(Config!$D$40:$D$45,MATCH($G199,Config!$C$40:$C$45,0)),"")</f>
        <v/>
      </c>
      <c r="J199" s="19" t="n"/>
      <c r="K199" s="19" t="n"/>
      <c r="L199" s="19" t="n"/>
      <c r="M199" s="19" t="n"/>
      <c r="N199" s="14">
        <f>IF(AND(ISNUMBER($J199),ISNUMBER($K199)),ABS($J199-$K199),"")</f>
        <v/>
      </c>
      <c r="O199" s="14">
        <f>IF(AND(NOT(ISNUMBER($J199)),NOT(ISNUMBER($K199))),"",IF(NOT(ISNUMBER($K199)),$J199,IF(NOT(ISNUMBER($J199)),$K199,IF($N199=0,$J199,IF(AND($N199=1,$T199&lt;&gt;"Sim"),IF($I199="Líder Técnico",$K199,IF($I199="GP",$J199,"CALIBRAR")),"CALIBRAR")))))</f>
        <v/>
      </c>
      <c r="P199" s="19" t="n"/>
      <c r="Q199" s="19" t="n"/>
      <c r="R199" s="14">
        <f>IF($P199="","",IF(AND(ISNUMBER($J199),$P199=$J199,ISNUMBER($K199),$P199=$K199),"= ambos",IF(AND(ISNUMBER($J199),$P199=$J199),"= GP",IF(AND(ISNUMBER($K199),$P199=$K199),"= LT","nenhuma das duas"))))</f>
        <v/>
      </c>
      <c r="S199" s="19" t="n"/>
      <c r="T199" s="19" t="n"/>
      <c r="U199" s="14">
        <f>IF($C199="","",COUNTIFS('Ocorrências'!$V$5:$V$604,$C199&amp;"|"&amp;$B199&amp;"|"&amp;$G199,'Ocorrências'!$X$5:$X$604,"Sim"))</f>
        <v/>
      </c>
      <c r="V199" s="14">
        <f>IF($P199="","",IF(OR($P199=1,$P199=2,$P199=5),IF($U199&gt;0,"OK","SEM LASTRO"),"OK"))</f>
        <v/>
      </c>
      <c r="W199" s="19" t="n"/>
      <c r="X199" s="18" t="n"/>
      <c r="Y199" s="14">
        <f>IF($C199="","",$C199&amp;"|"&amp;$B199)</f>
        <v/>
      </c>
      <c r="Z199" s="14">
        <f>IF($C199="","",$C199&amp;"|"&amp;$B199&amp;"|"&amp;$H199)</f>
        <v/>
      </c>
      <c r="AA199" s="14">
        <f>IF($C199="","",$C199&amp;"|"&amp;$B199&amp;"|"&amp;$G199)</f>
        <v/>
      </c>
    </row>
    <row r="200">
      <c r="A200" s="19" t="n"/>
      <c r="B200" s="14">
        <f>IF($A200="","",VALUE(LEFT($A200,4))*4+VALUE(RIGHT($A200,1)))</f>
        <v/>
      </c>
      <c r="C200" s="19" t="n"/>
      <c r="D200" s="14">
        <f>IFERROR(INDEX(Pessoas!$B$5:$B$64,MATCH($C200,Pessoas!$A$5:$A$64,0)),"")</f>
        <v/>
      </c>
      <c r="E200" s="19" t="n"/>
      <c r="F200" s="14">
        <f>IFERROR(INDEX(Pessoas!$D$5:$D$64,MATCH($C200,Pessoas!$A$5:$A$64,0)),"")</f>
        <v/>
      </c>
      <c r="G200" s="19" t="n"/>
      <c r="H200" s="14">
        <f>IFERROR(INDEX(Config!$B$40:$B$45,MATCH($G200,Config!$C$40:$C$45,0)),"")</f>
        <v/>
      </c>
      <c r="I200" s="14">
        <f>IFERROR(INDEX(Config!$D$40:$D$45,MATCH($G200,Config!$C$40:$C$45,0)),"")</f>
        <v/>
      </c>
      <c r="J200" s="19" t="n"/>
      <c r="K200" s="19" t="n"/>
      <c r="L200" s="19" t="n"/>
      <c r="M200" s="19" t="n"/>
      <c r="N200" s="14">
        <f>IF(AND(ISNUMBER($J200),ISNUMBER($K200)),ABS($J200-$K200),"")</f>
        <v/>
      </c>
      <c r="O200" s="14">
        <f>IF(AND(NOT(ISNUMBER($J200)),NOT(ISNUMBER($K200))),"",IF(NOT(ISNUMBER($K200)),$J200,IF(NOT(ISNUMBER($J200)),$K200,IF($N200=0,$J200,IF(AND($N200=1,$T200&lt;&gt;"Sim"),IF($I200="Líder Técnico",$K200,IF($I200="GP",$J200,"CALIBRAR")),"CALIBRAR")))))</f>
        <v/>
      </c>
      <c r="P200" s="19" t="n"/>
      <c r="Q200" s="19" t="n"/>
      <c r="R200" s="14">
        <f>IF($P200="","",IF(AND(ISNUMBER($J200),$P200=$J200,ISNUMBER($K200),$P200=$K200),"= ambos",IF(AND(ISNUMBER($J200),$P200=$J200),"= GP",IF(AND(ISNUMBER($K200),$P200=$K200),"= LT","nenhuma das duas"))))</f>
        <v/>
      </c>
      <c r="S200" s="19" t="n"/>
      <c r="T200" s="19" t="n"/>
      <c r="U200" s="14">
        <f>IF($C200="","",COUNTIFS('Ocorrências'!$V$5:$V$604,$C200&amp;"|"&amp;$B200&amp;"|"&amp;$G200,'Ocorrências'!$X$5:$X$604,"Sim"))</f>
        <v/>
      </c>
      <c r="V200" s="14">
        <f>IF($P200="","",IF(OR($P200=1,$P200=2,$P200=5),IF($U200&gt;0,"OK","SEM LASTRO"),"OK"))</f>
        <v/>
      </c>
      <c r="W200" s="19" t="n"/>
      <c r="X200" s="18" t="n"/>
      <c r="Y200" s="14">
        <f>IF($C200="","",$C200&amp;"|"&amp;$B200)</f>
        <v/>
      </c>
      <c r="Z200" s="14">
        <f>IF($C200="","",$C200&amp;"|"&amp;$B200&amp;"|"&amp;$H200)</f>
        <v/>
      </c>
      <c r="AA200" s="14">
        <f>IF($C200="","",$C200&amp;"|"&amp;$B200&amp;"|"&amp;$G200)</f>
        <v/>
      </c>
    </row>
    <row r="201">
      <c r="A201" s="19" t="n"/>
      <c r="B201" s="14">
        <f>IF($A201="","",VALUE(LEFT($A201,4))*4+VALUE(RIGHT($A201,1)))</f>
        <v/>
      </c>
      <c r="C201" s="19" t="n"/>
      <c r="D201" s="14">
        <f>IFERROR(INDEX(Pessoas!$B$5:$B$64,MATCH($C201,Pessoas!$A$5:$A$64,0)),"")</f>
        <v/>
      </c>
      <c r="E201" s="19" t="n"/>
      <c r="F201" s="14">
        <f>IFERROR(INDEX(Pessoas!$D$5:$D$64,MATCH($C201,Pessoas!$A$5:$A$64,0)),"")</f>
        <v/>
      </c>
      <c r="G201" s="19" t="n"/>
      <c r="H201" s="14">
        <f>IFERROR(INDEX(Config!$B$40:$B$45,MATCH($G201,Config!$C$40:$C$45,0)),"")</f>
        <v/>
      </c>
      <c r="I201" s="14">
        <f>IFERROR(INDEX(Config!$D$40:$D$45,MATCH($G201,Config!$C$40:$C$45,0)),"")</f>
        <v/>
      </c>
      <c r="J201" s="19" t="n"/>
      <c r="K201" s="19" t="n"/>
      <c r="L201" s="19" t="n"/>
      <c r="M201" s="19" t="n"/>
      <c r="N201" s="14">
        <f>IF(AND(ISNUMBER($J201),ISNUMBER($K201)),ABS($J201-$K201),"")</f>
        <v/>
      </c>
      <c r="O201" s="14">
        <f>IF(AND(NOT(ISNUMBER($J201)),NOT(ISNUMBER($K201))),"",IF(NOT(ISNUMBER($K201)),$J201,IF(NOT(ISNUMBER($J201)),$K201,IF($N201=0,$J201,IF(AND($N201=1,$T201&lt;&gt;"Sim"),IF($I201="Líder Técnico",$K201,IF($I201="GP",$J201,"CALIBRAR")),"CALIBRAR")))))</f>
        <v/>
      </c>
      <c r="P201" s="19" t="n"/>
      <c r="Q201" s="19" t="n"/>
      <c r="R201" s="14">
        <f>IF($P201="","",IF(AND(ISNUMBER($J201),$P201=$J201,ISNUMBER($K201),$P201=$K201),"= ambos",IF(AND(ISNUMBER($J201),$P201=$J201),"= GP",IF(AND(ISNUMBER($K201),$P201=$K201),"= LT","nenhuma das duas"))))</f>
        <v/>
      </c>
      <c r="S201" s="19" t="n"/>
      <c r="T201" s="19" t="n"/>
      <c r="U201" s="14">
        <f>IF($C201="","",COUNTIFS('Ocorrências'!$V$5:$V$604,$C201&amp;"|"&amp;$B201&amp;"|"&amp;$G201,'Ocorrências'!$X$5:$X$604,"Sim"))</f>
        <v/>
      </c>
      <c r="V201" s="14">
        <f>IF($P201="","",IF(OR($P201=1,$P201=2,$P201=5),IF($U201&gt;0,"OK","SEM LASTRO"),"OK"))</f>
        <v/>
      </c>
      <c r="W201" s="19" t="n"/>
      <c r="X201" s="18" t="n"/>
      <c r="Y201" s="14">
        <f>IF($C201="","",$C201&amp;"|"&amp;$B201)</f>
        <v/>
      </c>
      <c r="Z201" s="14">
        <f>IF($C201="","",$C201&amp;"|"&amp;$B201&amp;"|"&amp;$H201)</f>
        <v/>
      </c>
      <c r="AA201" s="14">
        <f>IF($C201="","",$C201&amp;"|"&amp;$B201&amp;"|"&amp;$G201)</f>
        <v/>
      </c>
    </row>
    <row r="202">
      <c r="A202" s="19" t="n"/>
      <c r="B202" s="14">
        <f>IF($A202="","",VALUE(LEFT($A202,4))*4+VALUE(RIGHT($A202,1)))</f>
        <v/>
      </c>
      <c r="C202" s="19" t="n"/>
      <c r="D202" s="14">
        <f>IFERROR(INDEX(Pessoas!$B$5:$B$64,MATCH($C202,Pessoas!$A$5:$A$64,0)),"")</f>
        <v/>
      </c>
      <c r="E202" s="19" t="n"/>
      <c r="F202" s="14">
        <f>IFERROR(INDEX(Pessoas!$D$5:$D$64,MATCH($C202,Pessoas!$A$5:$A$64,0)),"")</f>
        <v/>
      </c>
      <c r="G202" s="19" t="n"/>
      <c r="H202" s="14">
        <f>IFERROR(INDEX(Config!$B$40:$B$45,MATCH($G202,Config!$C$40:$C$45,0)),"")</f>
        <v/>
      </c>
      <c r="I202" s="14">
        <f>IFERROR(INDEX(Config!$D$40:$D$45,MATCH($G202,Config!$C$40:$C$45,0)),"")</f>
        <v/>
      </c>
      <c r="J202" s="19" t="n"/>
      <c r="K202" s="19" t="n"/>
      <c r="L202" s="19" t="n"/>
      <c r="M202" s="19" t="n"/>
      <c r="N202" s="14">
        <f>IF(AND(ISNUMBER($J202),ISNUMBER($K202)),ABS($J202-$K202),"")</f>
        <v/>
      </c>
      <c r="O202" s="14">
        <f>IF(AND(NOT(ISNUMBER($J202)),NOT(ISNUMBER($K202))),"",IF(NOT(ISNUMBER($K202)),$J202,IF(NOT(ISNUMBER($J202)),$K202,IF($N202=0,$J202,IF(AND($N202=1,$T202&lt;&gt;"Sim"),IF($I202="Líder Técnico",$K202,IF($I202="GP",$J202,"CALIBRAR")),"CALIBRAR")))))</f>
        <v/>
      </c>
      <c r="P202" s="19" t="n"/>
      <c r="Q202" s="19" t="n"/>
      <c r="R202" s="14">
        <f>IF($P202="","",IF(AND(ISNUMBER($J202),$P202=$J202,ISNUMBER($K202),$P202=$K202),"= ambos",IF(AND(ISNUMBER($J202),$P202=$J202),"= GP",IF(AND(ISNUMBER($K202),$P202=$K202),"= LT","nenhuma das duas"))))</f>
        <v/>
      </c>
      <c r="S202" s="19" t="n"/>
      <c r="T202" s="19" t="n"/>
      <c r="U202" s="14">
        <f>IF($C202="","",COUNTIFS('Ocorrências'!$V$5:$V$604,$C202&amp;"|"&amp;$B202&amp;"|"&amp;$G202,'Ocorrências'!$X$5:$X$604,"Sim"))</f>
        <v/>
      </c>
      <c r="V202" s="14">
        <f>IF($P202="","",IF(OR($P202=1,$P202=2,$P202=5),IF($U202&gt;0,"OK","SEM LASTRO"),"OK"))</f>
        <v/>
      </c>
      <c r="W202" s="19" t="n"/>
      <c r="X202" s="18" t="n"/>
      <c r="Y202" s="14">
        <f>IF($C202="","",$C202&amp;"|"&amp;$B202)</f>
        <v/>
      </c>
      <c r="Z202" s="14">
        <f>IF($C202="","",$C202&amp;"|"&amp;$B202&amp;"|"&amp;$H202)</f>
        <v/>
      </c>
      <c r="AA202" s="14">
        <f>IF($C202="","",$C202&amp;"|"&amp;$B202&amp;"|"&amp;$G202)</f>
        <v/>
      </c>
    </row>
    <row r="203">
      <c r="A203" s="19" t="n"/>
      <c r="B203" s="14">
        <f>IF($A203="","",VALUE(LEFT($A203,4))*4+VALUE(RIGHT($A203,1)))</f>
        <v/>
      </c>
      <c r="C203" s="19" t="n"/>
      <c r="D203" s="14">
        <f>IFERROR(INDEX(Pessoas!$B$5:$B$64,MATCH($C203,Pessoas!$A$5:$A$64,0)),"")</f>
        <v/>
      </c>
      <c r="E203" s="19" t="n"/>
      <c r="F203" s="14">
        <f>IFERROR(INDEX(Pessoas!$D$5:$D$64,MATCH($C203,Pessoas!$A$5:$A$64,0)),"")</f>
        <v/>
      </c>
      <c r="G203" s="19" t="n"/>
      <c r="H203" s="14">
        <f>IFERROR(INDEX(Config!$B$40:$B$45,MATCH($G203,Config!$C$40:$C$45,0)),"")</f>
        <v/>
      </c>
      <c r="I203" s="14">
        <f>IFERROR(INDEX(Config!$D$40:$D$45,MATCH($G203,Config!$C$40:$C$45,0)),"")</f>
        <v/>
      </c>
      <c r="J203" s="19" t="n"/>
      <c r="K203" s="19" t="n"/>
      <c r="L203" s="19" t="n"/>
      <c r="M203" s="19" t="n"/>
      <c r="N203" s="14">
        <f>IF(AND(ISNUMBER($J203),ISNUMBER($K203)),ABS($J203-$K203),"")</f>
        <v/>
      </c>
      <c r="O203" s="14">
        <f>IF(AND(NOT(ISNUMBER($J203)),NOT(ISNUMBER($K203))),"",IF(NOT(ISNUMBER($K203)),$J203,IF(NOT(ISNUMBER($J203)),$K203,IF($N203=0,$J203,IF(AND($N203=1,$T203&lt;&gt;"Sim"),IF($I203="Líder Técnico",$K203,IF($I203="GP",$J203,"CALIBRAR")),"CALIBRAR")))))</f>
        <v/>
      </c>
      <c r="P203" s="19" t="n"/>
      <c r="Q203" s="19" t="n"/>
      <c r="R203" s="14">
        <f>IF($P203="","",IF(AND(ISNUMBER($J203),$P203=$J203,ISNUMBER($K203),$P203=$K203),"= ambos",IF(AND(ISNUMBER($J203),$P203=$J203),"= GP",IF(AND(ISNUMBER($K203),$P203=$K203),"= LT","nenhuma das duas"))))</f>
        <v/>
      </c>
      <c r="S203" s="19" t="n"/>
      <c r="T203" s="19" t="n"/>
      <c r="U203" s="14">
        <f>IF($C203="","",COUNTIFS('Ocorrências'!$V$5:$V$604,$C203&amp;"|"&amp;$B203&amp;"|"&amp;$G203,'Ocorrências'!$X$5:$X$604,"Sim"))</f>
        <v/>
      </c>
      <c r="V203" s="14">
        <f>IF($P203="","",IF(OR($P203=1,$P203=2,$P203=5),IF($U203&gt;0,"OK","SEM LASTRO"),"OK"))</f>
        <v/>
      </c>
      <c r="W203" s="19" t="n"/>
      <c r="X203" s="18" t="n"/>
      <c r="Y203" s="14">
        <f>IF($C203="","",$C203&amp;"|"&amp;$B203)</f>
        <v/>
      </c>
      <c r="Z203" s="14">
        <f>IF($C203="","",$C203&amp;"|"&amp;$B203&amp;"|"&amp;$H203)</f>
        <v/>
      </c>
      <c r="AA203" s="14">
        <f>IF($C203="","",$C203&amp;"|"&amp;$B203&amp;"|"&amp;$G203)</f>
        <v/>
      </c>
    </row>
    <row r="204">
      <c r="A204" s="19" t="n"/>
      <c r="B204" s="14">
        <f>IF($A204="","",VALUE(LEFT($A204,4))*4+VALUE(RIGHT($A204,1)))</f>
        <v/>
      </c>
      <c r="C204" s="19" t="n"/>
      <c r="D204" s="14">
        <f>IFERROR(INDEX(Pessoas!$B$5:$B$64,MATCH($C204,Pessoas!$A$5:$A$64,0)),"")</f>
        <v/>
      </c>
      <c r="E204" s="19" t="n"/>
      <c r="F204" s="14">
        <f>IFERROR(INDEX(Pessoas!$D$5:$D$64,MATCH($C204,Pessoas!$A$5:$A$64,0)),"")</f>
        <v/>
      </c>
      <c r="G204" s="19" t="n"/>
      <c r="H204" s="14">
        <f>IFERROR(INDEX(Config!$B$40:$B$45,MATCH($G204,Config!$C$40:$C$45,0)),"")</f>
        <v/>
      </c>
      <c r="I204" s="14">
        <f>IFERROR(INDEX(Config!$D$40:$D$45,MATCH($G204,Config!$C$40:$C$45,0)),"")</f>
        <v/>
      </c>
      <c r="J204" s="19" t="n"/>
      <c r="K204" s="19" t="n"/>
      <c r="L204" s="19" t="n"/>
      <c r="M204" s="19" t="n"/>
      <c r="N204" s="14">
        <f>IF(AND(ISNUMBER($J204),ISNUMBER($K204)),ABS($J204-$K204),"")</f>
        <v/>
      </c>
      <c r="O204" s="14">
        <f>IF(AND(NOT(ISNUMBER($J204)),NOT(ISNUMBER($K204))),"",IF(NOT(ISNUMBER($K204)),$J204,IF(NOT(ISNUMBER($J204)),$K204,IF($N204=0,$J204,IF(AND($N204=1,$T204&lt;&gt;"Sim"),IF($I204="Líder Técnico",$K204,IF($I204="GP",$J204,"CALIBRAR")),"CALIBRAR")))))</f>
        <v/>
      </c>
      <c r="P204" s="19" t="n"/>
      <c r="Q204" s="19" t="n"/>
      <c r="R204" s="14">
        <f>IF($P204="","",IF(AND(ISNUMBER($J204),$P204=$J204,ISNUMBER($K204),$P204=$K204),"= ambos",IF(AND(ISNUMBER($J204),$P204=$J204),"= GP",IF(AND(ISNUMBER($K204),$P204=$K204),"= LT","nenhuma das duas"))))</f>
        <v/>
      </c>
      <c r="S204" s="19" t="n"/>
      <c r="T204" s="19" t="n"/>
      <c r="U204" s="14">
        <f>IF($C204="","",COUNTIFS('Ocorrências'!$V$5:$V$604,$C204&amp;"|"&amp;$B204&amp;"|"&amp;$G204,'Ocorrências'!$X$5:$X$604,"Sim"))</f>
        <v/>
      </c>
      <c r="V204" s="14">
        <f>IF($P204="","",IF(OR($P204=1,$P204=2,$P204=5),IF($U204&gt;0,"OK","SEM LASTRO"),"OK"))</f>
        <v/>
      </c>
      <c r="W204" s="19" t="n"/>
      <c r="X204" s="18" t="n"/>
      <c r="Y204" s="14">
        <f>IF($C204="","",$C204&amp;"|"&amp;$B204)</f>
        <v/>
      </c>
      <c r="Z204" s="14">
        <f>IF($C204="","",$C204&amp;"|"&amp;$B204&amp;"|"&amp;$H204)</f>
        <v/>
      </c>
      <c r="AA204" s="14">
        <f>IF($C204="","",$C204&amp;"|"&amp;$B204&amp;"|"&amp;$G204)</f>
        <v/>
      </c>
    </row>
    <row r="205">
      <c r="A205" s="19" t="n"/>
      <c r="B205" s="14">
        <f>IF($A205="","",VALUE(LEFT($A205,4))*4+VALUE(RIGHT($A205,1)))</f>
        <v/>
      </c>
      <c r="C205" s="19" t="n"/>
      <c r="D205" s="14">
        <f>IFERROR(INDEX(Pessoas!$B$5:$B$64,MATCH($C205,Pessoas!$A$5:$A$64,0)),"")</f>
        <v/>
      </c>
      <c r="E205" s="19" t="n"/>
      <c r="F205" s="14">
        <f>IFERROR(INDEX(Pessoas!$D$5:$D$64,MATCH($C205,Pessoas!$A$5:$A$64,0)),"")</f>
        <v/>
      </c>
      <c r="G205" s="19" t="n"/>
      <c r="H205" s="14">
        <f>IFERROR(INDEX(Config!$B$40:$B$45,MATCH($G205,Config!$C$40:$C$45,0)),"")</f>
        <v/>
      </c>
      <c r="I205" s="14">
        <f>IFERROR(INDEX(Config!$D$40:$D$45,MATCH($G205,Config!$C$40:$C$45,0)),"")</f>
        <v/>
      </c>
      <c r="J205" s="19" t="n"/>
      <c r="K205" s="19" t="n"/>
      <c r="L205" s="19" t="n"/>
      <c r="M205" s="19" t="n"/>
      <c r="N205" s="14">
        <f>IF(AND(ISNUMBER($J205),ISNUMBER($K205)),ABS($J205-$K205),"")</f>
        <v/>
      </c>
      <c r="O205" s="14">
        <f>IF(AND(NOT(ISNUMBER($J205)),NOT(ISNUMBER($K205))),"",IF(NOT(ISNUMBER($K205)),$J205,IF(NOT(ISNUMBER($J205)),$K205,IF($N205=0,$J205,IF(AND($N205=1,$T205&lt;&gt;"Sim"),IF($I205="Líder Técnico",$K205,IF($I205="GP",$J205,"CALIBRAR")),"CALIBRAR")))))</f>
        <v/>
      </c>
      <c r="P205" s="19" t="n"/>
      <c r="Q205" s="19" t="n"/>
      <c r="R205" s="14">
        <f>IF($P205="","",IF(AND(ISNUMBER($J205),$P205=$J205,ISNUMBER($K205),$P205=$K205),"= ambos",IF(AND(ISNUMBER($J205),$P205=$J205),"= GP",IF(AND(ISNUMBER($K205),$P205=$K205),"= LT","nenhuma das duas"))))</f>
        <v/>
      </c>
      <c r="S205" s="19" t="n"/>
      <c r="T205" s="19" t="n"/>
      <c r="U205" s="14">
        <f>IF($C205="","",COUNTIFS('Ocorrências'!$V$5:$V$604,$C205&amp;"|"&amp;$B205&amp;"|"&amp;$G205,'Ocorrências'!$X$5:$X$604,"Sim"))</f>
        <v/>
      </c>
      <c r="V205" s="14">
        <f>IF($P205="","",IF(OR($P205=1,$P205=2,$P205=5),IF($U205&gt;0,"OK","SEM LASTRO"),"OK"))</f>
        <v/>
      </c>
      <c r="W205" s="19" t="n"/>
      <c r="X205" s="18" t="n"/>
      <c r="Y205" s="14">
        <f>IF($C205="","",$C205&amp;"|"&amp;$B205)</f>
        <v/>
      </c>
      <c r="Z205" s="14">
        <f>IF($C205="","",$C205&amp;"|"&amp;$B205&amp;"|"&amp;$H205)</f>
        <v/>
      </c>
      <c r="AA205" s="14">
        <f>IF($C205="","",$C205&amp;"|"&amp;$B205&amp;"|"&amp;$G205)</f>
        <v/>
      </c>
    </row>
    <row r="206">
      <c r="A206" s="19" t="n"/>
      <c r="B206" s="14">
        <f>IF($A206="","",VALUE(LEFT($A206,4))*4+VALUE(RIGHT($A206,1)))</f>
        <v/>
      </c>
      <c r="C206" s="19" t="n"/>
      <c r="D206" s="14">
        <f>IFERROR(INDEX(Pessoas!$B$5:$B$64,MATCH($C206,Pessoas!$A$5:$A$64,0)),"")</f>
        <v/>
      </c>
      <c r="E206" s="19" t="n"/>
      <c r="F206" s="14">
        <f>IFERROR(INDEX(Pessoas!$D$5:$D$64,MATCH($C206,Pessoas!$A$5:$A$64,0)),"")</f>
        <v/>
      </c>
      <c r="G206" s="19" t="n"/>
      <c r="H206" s="14">
        <f>IFERROR(INDEX(Config!$B$40:$B$45,MATCH($G206,Config!$C$40:$C$45,0)),"")</f>
        <v/>
      </c>
      <c r="I206" s="14">
        <f>IFERROR(INDEX(Config!$D$40:$D$45,MATCH($G206,Config!$C$40:$C$45,0)),"")</f>
        <v/>
      </c>
      <c r="J206" s="19" t="n"/>
      <c r="K206" s="19" t="n"/>
      <c r="L206" s="19" t="n"/>
      <c r="M206" s="19" t="n"/>
      <c r="N206" s="14">
        <f>IF(AND(ISNUMBER($J206),ISNUMBER($K206)),ABS($J206-$K206),"")</f>
        <v/>
      </c>
      <c r="O206" s="14">
        <f>IF(AND(NOT(ISNUMBER($J206)),NOT(ISNUMBER($K206))),"",IF(NOT(ISNUMBER($K206)),$J206,IF(NOT(ISNUMBER($J206)),$K206,IF($N206=0,$J206,IF(AND($N206=1,$T206&lt;&gt;"Sim"),IF($I206="Líder Técnico",$K206,IF($I206="GP",$J206,"CALIBRAR")),"CALIBRAR")))))</f>
        <v/>
      </c>
      <c r="P206" s="19" t="n"/>
      <c r="Q206" s="19" t="n"/>
      <c r="R206" s="14">
        <f>IF($P206="","",IF(AND(ISNUMBER($J206),$P206=$J206,ISNUMBER($K206),$P206=$K206),"= ambos",IF(AND(ISNUMBER($J206),$P206=$J206),"= GP",IF(AND(ISNUMBER($K206),$P206=$K206),"= LT","nenhuma das duas"))))</f>
        <v/>
      </c>
      <c r="S206" s="19" t="n"/>
      <c r="T206" s="19" t="n"/>
      <c r="U206" s="14">
        <f>IF($C206="","",COUNTIFS('Ocorrências'!$V$5:$V$604,$C206&amp;"|"&amp;$B206&amp;"|"&amp;$G206,'Ocorrências'!$X$5:$X$604,"Sim"))</f>
        <v/>
      </c>
      <c r="V206" s="14">
        <f>IF($P206="","",IF(OR($P206=1,$P206=2,$P206=5),IF($U206&gt;0,"OK","SEM LASTRO"),"OK"))</f>
        <v/>
      </c>
      <c r="W206" s="19" t="n"/>
      <c r="X206" s="18" t="n"/>
      <c r="Y206" s="14">
        <f>IF($C206="","",$C206&amp;"|"&amp;$B206)</f>
        <v/>
      </c>
      <c r="Z206" s="14">
        <f>IF($C206="","",$C206&amp;"|"&amp;$B206&amp;"|"&amp;$H206)</f>
        <v/>
      </c>
      <c r="AA206" s="14">
        <f>IF($C206="","",$C206&amp;"|"&amp;$B206&amp;"|"&amp;$G206)</f>
        <v/>
      </c>
    </row>
    <row r="207">
      <c r="A207" s="19" t="n"/>
      <c r="B207" s="14">
        <f>IF($A207="","",VALUE(LEFT($A207,4))*4+VALUE(RIGHT($A207,1)))</f>
        <v/>
      </c>
      <c r="C207" s="19" t="n"/>
      <c r="D207" s="14">
        <f>IFERROR(INDEX(Pessoas!$B$5:$B$64,MATCH($C207,Pessoas!$A$5:$A$64,0)),"")</f>
        <v/>
      </c>
      <c r="E207" s="19" t="n"/>
      <c r="F207" s="14">
        <f>IFERROR(INDEX(Pessoas!$D$5:$D$64,MATCH($C207,Pessoas!$A$5:$A$64,0)),"")</f>
        <v/>
      </c>
      <c r="G207" s="19" t="n"/>
      <c r="H207" s="14">
        <f>IFERROR(INDEX(Config!$B$40:$B$45,MATCH($G207,Config!$C$40:$C$45,0)),"")</f>
        <v/>
      </c>
      <c r="I207" s="14">
        <f>IFERROR(INDEX(Config!$D$40:$D$45,MATCH($G207,Config!$C$40:$C$45,0)),"")</f>
        <v/>
      </c>
      <c r="J207" s="19" t="n"/>
      <c r="K207" s="19" t="n"/>
      <c r="L207" s="19" t="n"/>
      <c r="M207" s="19" t="n"/>
      <c r="N207" s="14">
        <f>IF(AND(ISNUMBER($J207),ISNUMBER($K207)),ABS($J207-$K207),"")</f>
        <v/>
      </c>
      <c r="O207" s="14">
        <f>IF(AND(NOT(ISNUMBER($J207)),NOT(ISNUMBER($K207))),"",IF(NOT(ISNUMBER($K207)),$J207,IF(NOT(ISNUMBER($J207)),$K207,IF($N207=0,$J207,IF(AND($N207=1,$T207&lt;&gt;"Sim"),IF($I207="Líder Técnico",$K207,IF($I207="GP",$J207,"CALIBRAR")),"CALIBRAR")))))</f>
        <v/>
      </c>
      <c r="P207" s="19" t="n"/>
      <c r="Q207" s="19" t="n"/>
      <c r="R207" s="14">
        <f>IF($P207="","",IF(AND(ISNUMBER($J207),$P207=$J207,ISNUMBER($K207),$P207=$K207),"= ambos",IF(AND(ISNUMBER($J207),$P207=$J207),"= GP",IF(AND(ISNUMBER($K207),$P207=$K207),"= LT","nenhuma das duas"))))</f>
        <v/>
      </c>
      <c r="S207" s="19" t="n"/>
      <c r="T207" s="19" t="n"/>
      <c r="U207" s="14">
        <f>IF($C207="","",COUNTIFS('Ocorrências'!$V$5:$V$604,$C207&amp;"|"&amp;$B207&amp;"|"&amp;$G207,'Ocorrências'!$X$5:$X$604,"Sim"))</f>
        <v/>
      </c>
      <c r="V207" s="14">
        <f>IF($P207="","",IF(OR($P207=1,$P207=2,$P207=5),IF($U207&gt;0,"OK","SEM LASTRO"),"OK"))</f>
        <v/>
      </c>
      <c r="W207" s="19" t="n"/>
      <c r="X207" s="18" t="n"/>
      <c r="Y207" s="14">
        <f>IF($C207="","",$C207&amp;"|"&amp;$B207)</f>
        <v/>
      </c>
      <c r="Z207" s="14">
        <f>IF($C207="","",$C207&amp;"|"&amp;$B207&amp;"|"&amp;$H207)</f>
        <v/>
      </c>
      <c r="AA207" s="14">
        <f>IF($C207="","",$C207&amp;"|"&amp;$B207&amp;"|"&amp;$G207)</f>
        <v/>
      </c>
    </row>
    <row r="208">
      <c r="A208" s="19" t="n"/>
      <c r="B208" s="14">
        <f>IF($A208="","",VALUE(LEFT($A208,4))*4+VALUE(RIGHT($A208,1)))</f>
        <v/>
      </c>
      <c r="C208" s="19" t="n"/>
      <c r="D208" s="14">
        <f>IFERROR(INDEX(Pessoas!$B$5:$B$64,MATCH($C208,Pessoas!$A$5:$A$64,0)),"")</f>
        <v/>
      </c>
      <c r="E208" s="19" t="n"/>
      <c r="F208" s="14">
        <f>IFERROR(INDEX(Pessoas!$D$5:$D$64,MATCH($C208,Pessoas!$A$5:$A$64,0)),"")</f>
        <v/>
      </c>
      <c r="G208" s="19" t="n"/>
      <c r="H208" s="14">
        <f>IFERROR(INDEX(Config!$B$40:$B$45,MATCH($G208,Config!$C$40:$C$45,0)),"")</f>
        <v/>
      </c>
      <c r="I208" s="14">
        <f>IFERROR(INDEX(Config!$D$40:$D$45,MATCH($G208,Config!$C$40:$C$45,0)),"")</f>
        <v/>
      </c>
      <c r="J208" s="19" t="n"/>
      <c r="K208" s="19" t="n"/>
      <c r="L208" s="19" t="n"/>
      <c r="M208" s="19" t="n"/>
      <c r="N208" s="14">
        <f>IF(AND(ISNUMBER($J208),ISNUMBER($K208)),ABS($J208-$K208),"")</f>
        <v/>
      </c>
      <c r="O208" s="14">
        <f>IF(AND(NOT(ISNUMBER($J208)),NOT(ISNUMBER($K208))),"",IF(NOT(ISNUMBER($K208)),$J208,IF(NOT(ISNUMBER($J208)),$K208,IF($N208=0,$J208,IF(AND($N208=1,$T208&lt;&gt;"Sim"),IF($I208="Líder Técnico",$K208,IF($I208="GP",$J208,"CALIBRAR")),"CALIBRAR")))))</f>
        <v/>
      </c>
      <c r="P208" s="19" t="n"/>
      <c r="Q208" s="19" t="n"/>
      <c r="R208" s="14">
        <f>IF($P208="","",IF(AND(ISNUMBER($J208),$P208=$J208,ISNUMBER($K208),$P208=$K208),"= ambos",IF(AND(ISNUMBER($J208),$P208=$J208),"= GP",IF(AND(ISNUMBER($K208),$P208=$K208),"= LT","nenhuma das duas"))))</f>
        <v/>
      </c>
      <c r="S208" s="19" t="n"/>
      <c r="T208" s="19" t="n"/>
      <c r="U208" s="14">
        <f>IF($C208="","",COUNTIFS('Ocorrências'!$V$5:$V$604,$C208&amp;"|"&amp;$B208&amp;"|"&amp;$G208,'Ocorrências'!$X$5:$X$604,"Sim"))</f>
        <v/>
      </c>
      <c r="V208" s="14">
        <f>IF($P208="","",IF(OR($P208=1,$P208=2,$P208=5),IF($U208&gt;0,"OK","SEM LASTRO"),"OK"))</f>
        <v/>
      </c>
      <c r="W208" s="19" t="n"/>
      <c r="X208" s="18" t="n"/>
      <c r="Y208" s="14">
        <f>IF($C208="","",$C208&amp;"|"&amp;$B208)</f>
        <v/>
      </c>
      <c r="Z208" s="14">
        <f>IF($C208="","",$C208&amp;"|"&amp;$B208&amp;"|"&amp;$H208)</f>
        <v/>
      </c>
      <c r="AA208" s="14">
        <f>IF($C208="","",$C208&amp;"|"&amp;$B208&amp;"|"&amp;$G208)</f>
        <v/>
      </c>
    </row>
    <row r="209">
      <c r="A209" s="19" t="n"/>
      <c r="B209" s="14">
        <f>IF($A209="","",VALUE(LEFT($A209,4))*4+VALUE(RIGHT($A209,1)))</f>
        <v/>
      </c>
      <c r="C209" s="19" t="n"/>
      <c r="D209" s="14">
        <f>IFERROR(INDEX(Pessoas!$B$5:$B$64,MATCH($C209,Pessoas!$A$5:$A$64,0)),"")</f>
        <v/>
      </c>
      <c r="E209" s="19" t="n"/>
      <c r="F209" s="14">
        <f>IFERROR(INDEX(Pessoas!$D$5:$D$64,MATCH($C209,Pessoas!$A$5:$A$64,0)),"")</f>
        <v/>
      </c>
      <c r="G209" s="19" t="n"/>
      <c r="H209" s="14">
        <f>IFERROR(INDEX(Config!$B$40:$B$45,MATCH($G209,Config!$C$40:$C$45,0)),"")</f>
        <v/>
      </c>
      <c r="I209" s="14">
        <f>IFERROR(INDEX(Config!$D$40:$D$45,MATCH($G209,Config!$C$40:$C$45,0)),"")</f>
        <v/>
      </c>
      <c r="J209" s="19" t="n"/>
      <c r="K209" s="19" t="n"/>
      <c r="L209" s="19" t="n"/>
      <c r="M209" s="19" t="n"/>
      <c r="N209" s="14">
        <f>IF(AND(ISNUMBER($J209),ISNUMBER($K209)),ABS($J209-$K209),"")</f>
        <v/>
      </c>
      <c r="O209" s="14">
        <f>IF(AND(NOT(ISNUMBER($J209)),NOT(ISNUMBER($K209))),"",IF(NOT(ISNUMBER($K209)),$J209,IF(NOT(ISNUMBER($J209)),$K209,IF($N209=0,$J209,IF(AND($N209=1,$T209&lt;&gt;"Sim"),IF($I209="Líder Técnico",$K209,IF($I209="GP",$J209,"CALIBRAR")),"CALIBRAR")))))</f>
        <v/>
      </c>
      <c r="P209" s="19" t="n"/>
      <c r="Q209" s="19" t="n"/>
      <c r="R209" s="14">
        <f>IF($P209="","",IF(AND(ISNUMBER($J209),$P209=$J209,ISNUMBER($K209),$P209=$K209),"= ambos",IF(AND(ISNUMBER($J209),$P209=$J209),"= GP",IF(AND(ISNUMBER($K209),$P209=$K209),"= LT","nenhuma das duas"))))</f>
        <v/>
      </c>
      <c r="S209" s="19" t="n"/>
      <c r="T209" s="19" t="n"/>
      <c r="U209" s="14">
        <f>IF($C209="","",COUNTIFS('Ocorrências'!$V$5:$V$604,$C209&amp;"|"&amp;$B209&amp;"|"&amp;$G209,'Ocorrências'!$X$5:$X$604,"Sim"))</f>
        <v/>
      </c>
      <c r="V209" s="14">
        <f>IF($P209="","",IF(OR($P209=1,$P209=2,$P209=5),IF($U209&gt;0,"OK","SEM LASTRO"),"OK"))</f>
        <v/>
      </c>
      <c r="W209" s="19" t="n"/>
      <c r="X209" s="18" t="n"/>
      <c r="Y209" s="14">
        <f>IF($C209="","",$C209&amp;"|"&amp;$B209)</f>
        <v/>
      </c>
      <c r="Z209" s="14">
        <f>IF($C209="","",$C209&amp;"|"&amp;$B209&amp;"|"&amp;$H209)</f>
        <v/>
      </c>
      <c r="AA209" s="14">
        <f>IF($C209="","",$C209&amp;"|"&amp;$B209&amp;"|"&amp;$G209)</f>
        <v/>
      </c>
    </row>
    <row r="210">
      <c r="A210" s="19" t="n"/>
      <c r="B210" s="14">
        <f>IF($A210="","",VALUE(LEFT($A210,4))*4+VALUE(RIGHT($A210,1)))</f>
        <v/>
      </c>
      <c r="C210" s="19" t="n"/>
      <c r="D210" s="14">
        <f>IFERROR(INDEX(Pessoas!$B$5:$B$64,MATCH($C210,Pessoas!$A$5:$A$64,0)),"")</f>
        <v/>
      </c>
      <c r="E210" s="19" t="n"/>
      <c r="F210" s="14">
        <f>IFERROR(INDEX(Pessoas!$D$5:$D$64,MATCH($C210,Pessoas!$A$5:$A$64,0)),"")</f>
        <v/>
      </c>
      <c r="G210" s="19" t="n"/>
      <c r="H210" s="14">
        <f>IFERROR(INDEX(Config!$B$40:$B$45,MATCH($G210,Config!$C$40:$C$45,0)),"")</f>
        <v/>
      </c>
      <c r="I210" s="14">
        <f>IFERROR(INDEX(Config!$D$40:$D$45,MATCH($G210,Config!$C$40:$C$45,0)),"")</f>
        <v/>
      </c>
      <c r="J210" s="19" t="n"/>
      <c r="K210" s="19" t="n"/>
      <c r="L210" s="19" t="n"/>
      <c r="M210" s="19" t="n"/>
      <c r="N210" s="14">
        <f>IF(AND(ISNUMBER($J210),ISNUMBER($K210)),ABS($J210-$K210),"")</f>
        <v/>
      </c>
      <c r="O210" s="14">
        <f>IF(AND(NOT(ISNUMBER($J210)),NOT(ISNUMBER($K210))),"",IF(NOT(ISNUMBER($K210)),$J210,IF(NOT(ISNUMBER($J210)),$K210,IF($N210=0,$J210,IF(AND($N210=1,$T210&lt;&gt;"Sim"),IF($I210="Líder Técnico",$K210,IF($I210="GP",$J210,"CALIBRAR")),"CALIBRAR")))))</f>
        <v/>
      </c>
      <c r="P210" s="19" t="n"/>
      <c r="Q210" s="19" t="n"/>
      <c r="R210" s="14">
        <f>IF($P210="","",IF(AND(ISNUMBER($J210),$P210=$J210,ISNUMBER($K210),$P210=$K210),"= ambos",IF(AND(ISNUMBER($J210),$P210=$J210),"= GP",IF(AND(ISNUMBER($K210),$P210=$K210),"= LT","nenhuma das duas"))))</f>
        <v/>
      </c>
      <c r="S210" s="19" t="n"/>
      <c r="T210" s="19" t="n"/>
      <c r="U210" s="14">
        <f>IF($C210="","",COUNTIFS('Ocorrências'!$V$5:$V$604,$C210&amp;"|"&amp;$B210&amp;"|"&amp;$G210,'Ocorrências'!$X$5:$X$604,"Sim"))</f>
        <v/>
      </c>
      <c r="V210" s="14">
        <f>IF($P210="","",IF(OR($P210=1,$P210=2,$P210=5),IF($U210&gt;0,"OK","SEM LASTRO"),"OK"))</f>
        <v/>
      </c>
      <c r="W210" s="19" t="n"/>
      <c r="X210" s="18" t="n"/>
      <c r="Y210" s="14">
        <f>IF($C210="","",$C210&amp;"|"&amp;$B210)</f>
        <v/>
      </c>
      <c r="Z210" s="14">
        <f>IF($C210="","",$C210&amp;"|"&amp;$B210&amp;"|"&amp;$H210)</f>
        <v/>
      </c>
      <c r="AA210" s="14">
        <f>IF($C210="","",$C210&amp;"|"&amp;$B210&amp;"|"&amp;$G210)</f>
        <v/>
      </c>
    </row>
    <row r="211">
      <c r="A211" s="19" t="n"/>
      <c r="B211" s="14">
        <f>IF($A211="","",VALUE(LEFT($A211,4))*4+VALUE(RIGHT($A211,1)))</f>
        <v/>
      </c>
      <c r="C211" s="19" t="n"/>
      <c r="D211" s="14">
        <f>IFERROR(INDEX(Pessoas!$B$5:$B$64,MATCH($C211,Pessoas!$A$5:$A$64,0)),"")</f>
        <v/>
      </c>
      <c r="E211" s="19" t="n"/>
      <c r="F211" s="14">
        <f>IFERROR(INDEX(Pessoas!$D$5:$D$64,MATCH($C211,Pessoas!$A$5:$A$64,0)),"")</f>
        <v/>
      </c>
      <c r="G211" s="19" t="n"/>
      <c r="H211" s="14">
        <f>IFERROR(INDEX(Config!$B$40:$B$45,MATCH($G211,Config!$C$40:$C$45,0)),"")</f>
        <v/>
      </c>
      <c r="I211" s="14">
        <f>IFERROR(INDEX(Config!$D$40:$D$45,MATCH($G211,Config!$C$40:$C$45,0)),"")</f>
        <v/>
      </c>
      <c r="J211" s="19" t="n"/>
      <c r="K211" s="19" t="n"/>
      <c r="L211" s="19" t="n"/>
      <c r="M211" s="19" t="n"/>
      <c r="N211" s="14">
        <f>IF(AND(ISNUMBER($J211),ISNUMBER($K211)),ABS($J211-$K211),"")</f>
        <v/>
      </c>
      <c r="O211" s="14">
        <f>IF(AND(NOT(ISNUMBER($J211)),NOT(ISNUMBER($K211))),"",IF(NOT(ISNUMBER($K211)),$J211,IF(NOT(ISNUMBER($J211)),$K211,IF($N211=0,$J211,IF(AND($N211=1,$T211&lt;&gt;"Sim"),IF($I211="Líder Técnico",$K211,IF($I211="GP",$J211,"CALIBRAR")),"CALIBRAR")))))</f>
        <v/>
      </c>
      <c r="P211" s="19" t="n"/>
      <c r="Q211" s="19" t="n"/>
      <c r="R211" s="14">
        <f>IF($P211="","",IF(AND(ISNUMBER($J211),$P211=$J211,ISNUMBER($K211),$P211=$K211),"= ambos",IF(AND(ISNUMBER($J211),$P211=$J211),"= GP",IF(AND(ISNUMBER($K211),$P211=$K211),"= LT","nenhuma das duas"))))</f>
        <v/>
      </c>
      <c r="S211" s="19" t="n"/>
      <c r="T211" s="19" t="n"/>
      <c r="U211" s="14">
        <f>IF($C211="","",COUNTIFS('Ocorrências'!$V$5:$V$604,$C211&amp;"|"&amp;$B211&amp;"|"&amp;$G211,'Ocorrências'!$X$5:$X$604,"Sim"))</f>
        <v/>
      </c>
      <c r="V211" s="14">
        <f>IF($P211="","",IF(OR($P211=1,$P211=2,$P211=5),IF($U211&gt;0,"OK","SEM LASTRO"),"OK"))</f>
        <v/>
      </c>
      <c r="W211" s="19" t="n"/>
      <c r="X211" s="18" t="n"/>
      <c r="Y211" s="14">
        <f>IF($C211="","",$C211&amp;"|"&amp;$B211)</f>
        <v/>
      </c>
      <c r="Z211" s="14">
        <f>IF($C211="","",$C211&amp;"|"&amp;$B211&amp;"|"&amp;$H211)</f>
        <v/>
      </c>
      <c r="AA211" s="14">
        <f>IF($C211="","",$C211&amp;"|"&amp;$B211&amp;"|"&amp;$G211)</f>
        <v/>
      </c>
    </row>
    <row r="212">
      <c r="A212" s="19" t="n"/>
      <c r="B212" s="14">
        <f>IF($A212="","",VALUE(LEFT($A212,4))*4+VALUE(RIGHT($A212,1)))</f>
        <v/>
      </c>
      <c r="C212" s="19" t="n"/>
      <c r="D212" s="14">
        <f>IFERROR(INDEX(Pessoas!$B$5:$B$64,MATCH($C212,Pessoas!$A$5:$A$64,0)),"")</f>
        <v/>
      </c>
      <c r="E212" s="19" t="n"/>
      <c r="F212" s="14">
        <f>IFERROR(INDEX(Pessoas!$D$5:$D$64,MATCH($C212,Pessoas!$A$5:$A$64,0)),"")</f>
        <v/>
      </c>
      <c r="G212" s="19" t="n"/>
      <c r="H212" s="14">
        <f>IFERROR(INDEX(Config!$B$40:$B$45,MATCH($G212,Config!$C$40:$C$45,0)),"")</f>
        <v/>
      </c>
      <c r="I212" s="14">
        <f>IFERROR(INDEX(Config!$D$40:$D$45,MATCH($G212,Config!$C$40:$C$45,0)),"")</f>
        <v/>
      </c>
      <c r="J212" s="19" t="n"/>
      <c r="K212" s="19" t="n"/>
      <c r="L212" s="19" t="n"/>
      <c r="M212" s="19" t="n"/>
      <c r="N212" s="14">
        <f>IF(AND(ISNUMBER($J212),ISNUMBER($K212)),ABS($J212-$K212),"")</f>
        <v/>
      </c>
      <c r="O212" s="14">
        <f>IF(AND(NOT(ISNUMBER($J212)),NOT(ISNUMBER($K212))),"",IF(NOT(ISNUMBER($K212)),$J212,IF(NOT(ISNUMBER($J212)),$K212,IF($N212=0,$J212,IF(AND($N212=1,$T212&lt;&gt;"Sim"),IF($I212="Líder Técnico",$K212,IF($I212="GP",$J212,"CALIBRAR")),"CALIBRAR")))))</f>
        <v/>
      </c>
      <c r="P212" s="19" t="n"/>
      <c r="Q212" s="19" t="n"/>
      <c r="R212" s="14">
        <f>IF($P212="","",IF(AND(ISNUMBER($J212),$P212=$J212,ISNUMBER($K212),$P212=$K212),"= ambos",IF(AND(ISNUMBER($J212),$P212=$J212),"= GP",IF(AND(ISNUMBER($K212),$P212=$K212),"= LT","nenhuma das duas"))))</f>
        <v/>
      </c>
      <c r="S212" s="19" t="n"/>
      <c r="T212" s="19" t="n"/>
      <c r="U212" s="14">
        <f>IF($C212="","",COUNTIFS('Ocorrências'!$V$5:$V$604,$C212&amp;"|"&amp;$B212&amp;"|"&amp;$G212,'Ocorrências'!$X$5:$X$604,"Sim"))</f>
        <v/>
      </c>
      <c r="V212" s="14">
        <f>IF($P212="","",IF(OR($P212=1,$P212=2,$P212=5),IF($U212&gt;0,"OK","SEM LASTRO"),"OK"))</f>
        <v/>
      </c>
      <c r="W212" s="19" t="n"/>
      <c r="X212" s="18" t="n"/>
      <c r="Y212" s="14">
        <f>IF($C212="","",$C212&amp;"|"&amp;$B212)</f>
        <v/>
      </c>
      <c r="Z212" s="14">
        <f>IF($C212="","",$C212&amp;"|"&amp;$B212&amp;"|"&amp;$H212)</f>
        <v/>
      </c>
      <c r="AA212" s="14">
        <f>IF($C212="","",$C212&amp;"|"&amp;$B212&amp;"|"&amp;$G212)</f>
        <v/>
      </c>
    </row>
    <row r="213">
      <c r="A213" s="19" t="n"/>
      <c r="B213" s="14">
        <f>IF($A213="","",VALUE(LEFT($A213,4))*4+VALUE(RIGHT($A213,1)))</f>
        <v/>
      </c>
      <c r="C213" s="19" t="n"/>
      <c r="D213" s="14">
        <f>IFERROR(INDEX(Pessoas!$B$5:$B$64,MATCH($C213,Pessoas!$A$5:$A$64,0)),"")</f>
        <v/>
      </c>
      <c r="E213" s="19" t="n"/>
      <c r="F213" s="14">
        <f>IFERROR(INDEX(Pessoas!$D$5:$D$64,MATCH($C213,Pessoas!$A$5:$A$64,0)),"")</f>
        <v/>
      </c>
      <c r="G213" s="19" t="n"/>
      <c r="H213" s="14">
        <f>IFERROR(INDEX(Config!$B$40:$B$45,MATCH($G213,Config!$C$40:$C$45,0)),"")</f>
        <v/>
      </c>
      <c r="I213" s="14">
        <f>IFERROR(INDEX(Config!$D$40:$D$45,MATCH($G213,Config!$C$40:$C$45,0)),"")</f>
        <v/>
      </c>
      <c r="J213" s="19" t="n"/>
      <c r="K213" s="19" t="n"/>
      <c r="L213" s="19" t="n"/>
      <c r="M213" s="19" t="n"/>
      <c r="N213" s="14">
        <f>IF(AND(ISNUMBER($J213),ISNUMBER($K213)),ABS($J213-$K213),"")</f>
        <v/>
      </c>
      <c r="O213" s="14">
        <f>IF(AND(NOT(ISNUMBER($J213)),NOT(ISNUMBER($K213))),"",IF(NOT(ISNUMBER($K213)),$J213,IF(NOT(ISNUMBER($J213)),$K213,IF($N213=0,$J213,IF(AND($N213=1,$T213&lt;&gt;"Sim"),IF($I213="Líder Técnico",$K213,IF($I213="GP",$J213,"CALIBRAR")),"CALIBRAR")))))</f>
        <v/>
      </c>
      <c r="P213" s="19" t="n"/>
      <c r="Q213" s="19" t="n"/>
      <c r="R213" s="14">
        <f>IF($P213="","",IF(AND(ISNUMBER($J213),$P213=$J213,ISNUMBER($K213),$P213=$K213),"= ambos",IF(AND(ISNUMBER($J213),$P213=$J213),"= GP",IF(AND(ISNUMBER($K213),$P213=$K213),"= LT","nenhuma das duas"))))</f>
        <v/>
      </c>
      <c r="S213" s="19" t="n"/>
      <c r="T213" s="19" t="n"/>
      <c r="U213" s="14">
        <f>IF($C213="","",COUNTIFS('Ocorrências'!$V$5:$V$604,$C213&amp;"|"&amp;$B213&amp;"|"&amp;$G213,'Ocorrências'!$X$5:$X$604,"Sim"))</f>
        <v/>
      </c>
      <c r="V213" s="14">
        <f>IF($P213="","",IF(OR($P213=1,$P213=2,$P213=5),IF($U213&gt;0,"OK","SEM LASTRO"),"OK"))</f>
        <v/>
      </c>
      <c r="W213" s="19" t="n"/>
      <c r="X213" s="18" t="n"/>
      <c r="Y213" s="14">
        <f>IF($C213="","",$C213&amp;"|"&amp;$B213)</f>
        <v/>
      </c>
      <c r="Z213" s="14">
        <f>IF($C213="","",$C213&amp;"|"&amp;$B213&amp;"|"&amp;$H213)</f>
        <v/>
      </c>
      <c r="AA213" s="14">
        <f>IF($C213="","",$C213&amp;"|"&amp;$B213&amp;"|"&amp;$G213)</f>
        <v/>
      </c>
    </row>
    <row r="214">
      <c r="A214" s="19" t="n"/>
      <c r="B214" s="14">
        <f>IF($A214="","",VALUE(LEFT($A214,4))*4+VALUE(RIGHT($A214,1)))</f>
        <v/>
      </c>
      <c r="C214" s="19" t="n"/>
      <c r="D214" s="14">
        <f>IFERROR(INDEX(Pessoas!$B$5:$B$64,MATCH($C214,Pessoas!$A$5:$A$64,0)),"")</f>
        <v/>
      </c>
      <c r="E214" s="19" t="n"/>
      <c r="F214" s="14">
        <f>IFERROR(INDEX(Pessoas!$D$5:$D$64,MATCH($C214,Pessoas!$A$5:$A$64,0)),"")</f>
        <v/>
      </c>
      <c r="G214" s="19" t="n"/>
      <c r="H214" s="14">
        <f>IFERROR(INDEX(Config!$B$40:$B$45,MATCH($G214,Config!$C$40:$C$45,0)),"")</f>
        <v/>
      </c>
      <c r="I214" s="14">
        <f>IFERROR(INDEX(Config!$D$40:$D$45,MATCH($G214,Config!$C$40:$C$45,0)),"")</f>
        <v/>
      </c>
      <c r="J214" s="19" t="n"/>
      <c r="K214" s="19" t="n"/>
      <c r="L214" s="19" t="n"/>
      <c r="M214" s="19" t="n"/>
      <c r="N214" s="14">
        <f>IF(AND(ISNUMBER($J214),ISNUMBER($K214)),ABS($J214-$K214),"")</f>
        <v/>
      </c>
      <c r="O214" s="14">
        <f>IF(AND(NOT(ISNUMBER($J214)),NOT(ISNUMBER($K214))),"",IF(NOT(ISNUMBER($K214)),$J214,IF(NOT(ISNUMBER($J214)),$K214,IF($N214=0,$J214,IF(AND($N214=1,$T214&lt;&gt;"Sim"),IF($I214="Líder Técnico",$K214,IF($I214="GP",$J214,"CALIBRAR")),"CALIBRAR")))))</f>
        <v/>
      </c>
      <c r="P214" s="19" t="n"/>
      <c r="Q214" s="19" t="n"/>
      <c r="R214" s="14">
        <f>IF($P214="","",IF(AND(ISNUMBER($J214),$P214=$J214,ISNUMBER($K214),$P214=$K214),"= ambos",IF(AND(ISNUMBER($J214),$P214=$J214),"= GP",IF(AND(ISNUMBER($K214),$P214=$K214),"= LT","nenhuma das duas"))))</f>
        <v/>
      </c>
      <c r="S214" s="19" t="n"/>
      <c r="T214" s="19" t="n"/>
      <c r="U214" s="14">
        <f>IF($C214="","",COUNTIFS('Ocorrências'!$V$5:$V$604,$C214&amp;"|"&amp;$B214&amp;"|"&amp;$G214,'Ocorrências'!$X$5:$X$604,"Sim"))</f>
        <v/>
      </c>
      <c r="V214" s="14">
        <f>IF($P214="","",IF(OR($P214=1,$P214=2,$P214=5),IF($U214&gt;0,"OK","SEM LASTRO"),"OK"))</f>
        <v/>
      </c>
      <c r="W214" s="19" t="n"/>
      <c r="X214" s="18" t="n"/>
      <c r="Y214" s="14">
        <f>IF($C214="","",$C214&amp;"|"&amp;$B214)</f>
        <v/>
      </c>
      <c r="Z214" s="14">
        <f>IF($C214="","",$C214&amp;"|"&amp;$B214&amp;"|"&amp;$H214)</f>
        <v/>
      </c>
      <c r="AA214" s="14">
        <f>IF($C214="","",$C214&amp;"|"&amp;$B214&amp;"|"&amp;$G214)</f>
        <v/>
      </c>
    </row>
    <row r="215">
      <c r="A215" s="19" t="n"/>
      <c r="B215" s="14">
        <f>IF($A215="","",VALUE(LEFT($A215,4))*4+VALUE(RIGHT($A215,1)))</f>
        <v/>
      </c>
      <c r="C215" s="19" t="n"/>
      <c r="D215" s="14">
        <f>IFERROR(INDEX(Pessoas!$B$5:$B$64,MATCH($C215,Pessoas!$A$5:$A$64,0)),"")</f>
        <v/>
      </c>
      <c r="E215" s="19" t="n"/>
      <c r="F215" s="14">
        <f>IFERROR(INDEX(Pessoas!$D$5:$D$64,MATCH($C215,Pessoas!$A$5:$A$64,0)),"")</f>
        <v/>
      </c>
      <c r="G215" s="19" t="n"/>
      <c r="H215" s="14">
        <f>IFERROR(INDEX(Config!$B$40:$B$45,MATCH($G215,Config!$C$40:$C$45,0)),"")</f>
        <v/>
      </c>
      <c r="I215" s="14">
        <f>IFERROR(INDEX(Config!$D$40:$D$45,MATCH($G215,Config!$C$40:$C$45,0)),"")</f>
        <v/>
      </c>
      <c r="J215" s="19" t="n"/>
      <c r="K215" s="19" t="n"/>
      <c r="L215" s="19" t="n"/>
      <c r="M215" s="19" t="n"/>
      <c r="N215" s="14">
        <f>IF(AND(ISNUMBER($J215),ISNUMBER($K215)),ABS($J215-$K215),"")</f>
        <v/>
      </c>
      <c r="O215" s="14">
        <f>IF(AND(NOT(ISNUMBER($J215)),NOT(ISNUMBER($K215))),"",IF(NOT(ISNUMBER($K215)),$J215,IF(NOT(ISNUMBER($J215)),$K215,IF($N215=0,$J215,IF(AND($N215=1,$T215&lt;&gt;"Sim"),IF($I215="Líder Técnico",$K215,IF($I215="GP",$J215,"CALIBRAR")),"CALIBRAR")))))</f>
        <v/>
      </c>
      <c r="P215" s="19" t="n"/>
      <c r="Q215" s="19" t="n"/>
      <c r="R215" s="14">
        <f>IF($P215="","",IF(AND(ISNUMBER($J215),$P215=$J215,ISNUMBER($K215),$P215=$K215),"= ambos",IF(AND(ISNUMBER($J215),$P215=$J215),"= GP",IF(AND(ISNUMBER($K215),$P215=$K215),"= LT","nenhuma das duas"))))</f>
        <v/>
      </c>
      <c r="S215" s="19" t="n"/>
      <c r="T215" s="19" t="n"/>
      <c r="U215" s="14">
        <f>IF($C215="","",COUNTIFS('Ocorrências'!$V$5:$V$604,$C215&amp;"|"&amp;$B215&amp;"|"&amp;$G215,'Ocorrências'!$X$5:$X$604,"Sim"))</f>
        <v/>
      </c>
      <c r="V215" s="14">
        <f>IF($P215="","",IF(OR($P215=1,$P215=2,$P215=5),IF($U215&gt;0,"OK","SEM LASTRO"),"OK"))</f>
        <v/>
      </c>
      <c r="W215" s="19" t="n"/>
      <c r="X215" s="18" t="n"/>
      <c r="Y215" s="14">
        <f>IF($C215="","",$C215&amp;"|"&amp;$B215)</f>
        <v/>
      </c>
      <c r="Z215" s="14">
        <f>IF($C215="","",$C215&amp;"|"&amp;$B215&amp;"|"&amp;$H215)</f>
        <v/>
      </c>
      <c r="AA215" s="14">
        <f>IF($C215="","",$C215&amp;"|"&amp;$B215&amp;"|"&amp;$G215)</f>
        <v/>
      </c>
    </row>
    <row r="216">
      <c r="A216" s="19" t="n"/>
      <c r="B216" s="14">
        <f>IF($A216="","",VALUE(LEFT($A216,4))*4+VALUE(RIGHT($A216,1)))</f>
        <v/>
      </c>
      <c r="C216" s="19" t="n"/>
      <c r="D216" s="14">
        <f>IFERROR(INDEX(Pessoas!$B$5:$B$64,MATCH($C216,Pessoas!$A$5:$A$64,0)),"")</f>
        <v/>
      </c>
      <c r="E216" s="19" t="n"/>
      <c r="F216" s="14">
        <f>IFERROR(INDEX(Pessoas!$D$5:$D$64,MATCH($C216,Pessoas!$A$5:$A$64,0)),"")</f>
        <v/>
      </c>
      <c r="G216" s="19" t="n"/>
      <c r="H216" s="14">
        <f>IFERROR(INDEX(Config!$B$40:$B$45,MATCH($G216,Config!$C$40:$C$45,0)),"")</f>
        <v/>
      </c>
      <c r="I216" s="14">
        <f>IFERROR(INDEX(Config!$D$40:$D$45,MATCH($G216,Config!$C$40:$C$45,0)),"")</f>
        <v/>
      </c>
      <c r="J216" s="19" t="n"/>
      <c r="K216" s="19" t="n"/>
      <c r="L216" s="19" t="n"/>
      <c r="M216" s="19" t="n"/>
      <c r="N216" s="14">
        <f>IF(AND(ISNUMBER($J216),ISNUMBER($K216)),ABS($J216-$K216),"")</f>
        <v/>
      </c>
      <c r="O216" s="14">
        <f>IF(AND(NOT(ISNUMBER($J216)),NOT(ISNUMBER($K216))),"",IF(NOT(ISNUMBER($K216)),$J216,IF(NOT(ISNUMBER($J216)),$K216,IF($N216=0,$J216,IF(AND($N216=1,$T216&lt;&gt;"Sim"),IF($I216="Líder Técnico",$K216,IF($I216="GP",$J216,"CALIBRAR")),"CALIBRAR")))))</f>
        <v/>
      </c>
      <c r="P216" s="19" t="n"/>
      <c r="Q216" s="19" t="n"/>
      <c r="R216" s="14">
        <f>IF($P216="","",IF(AND(ISNUMBER($J216),$P216=$J216,ISNUMBER($K216),$P216=$K216),"= ambos",IF(AND(ISNUMBER($J216),$P216=$J216),"= GP",IF(AND(ISNUMBER($K216),$P216=$K216),"= LT","nenhuma das duas"))))</f>
        <v/>
      </c>
      <c r="S216" s="19" t="n"/>
      <c r="T216" s="19" t="n"/>
      <c r="U216" s="14">
        <f>IF($C216="","",COUNTIFS('Ocorrências'!$V$5:$V$604,$C216&amp;"|"&amp;$B216&amp;"|"&amp;$G216,'Ocorrências'!$X$5:$X$604,"Sim"))</f>
        <v/>
      </c>
      <c r="V216" s="14">
        <f>IF($P216="","",IF(OR($P216=1,$P216=2,$P216=5),IF($U216&gt;0,"OK","SEM LASTRO"),"OK"))</f>
        <v/>
      </c>
      <c r="W216" s="19" t="n"/>
      <c r="X216" s="18" t="n"/>
      <c r="Y216" s="14">
        <f>IF($C216="","",$C216&amp;"|"&amp;$B216)</f>
        <v/>
      </c>
      <c r="Z216" s="14">
        <f>IF($C216="","",$C216&amp;"|"&amp;$B216&amp;"|"&amp;$H216)</f>
        <v/>
      </c>
      <c r="AA216" s="14">
        <f>IF($C216="","",$C216&amp;"|"&amp;$B216&amp;"|"&amp;$G216)</f>
        <v/>
      </c>
    </row>
    <row r="217">
      <c r="A217" s="19" t="n"/>
      <c r="B217" s="14">
        <f>IF($A217="","",VALUE(LEFT($A217,4))*4+VALUE(RIGHT($A217,1)))</f>
        <v/>
      </c>
      <c r="C217" s="19" t="n"/>
      <c r="D217" s="14">
        <f>IFERROR(INDEX(Pessoas!$B$5:$B$64,MATCH($C217,Pessoas!$A$5:$A$64,0)),"")</f>
        <v/>
      </c>
      <c r="E217" s="19" t="n"/>
      <c r="F217" s="14">
        <f>IFERROR(INDEX(Pessoas!$D$5:$D$64,MATCH($C217,Pessoas!$A$5:$A$64,0)),"")</f>
        <v/>
      </c>
      <c r="G217" s="19" t="n"/>
      <c r="H217" s="14">
        <f>IFERROR(INDEX(Config!$B$40:$B$45,MATCH($G217,Config!$C$40:$C$45,0)),"")</f>
        <v/>
      </c>
      <c r="I217" s="14">
        <f>IFERROR(INDEX(Config!$D$40:$D$45,MATCH($G217,Config!$C$40:$C$45,0)),"")</f>
        <v/>
      </c>
      <c r="J217" s="19" t="n"/>
      <c r="K217" s="19" t="n"/>
      <c r="L217" s="19" t="n"/>
      <c r="M217" s="19" t="n"/>
      <c r="N217" s="14">
        <f>IF(AND(ISNUMBER($J217),ISNUMBER($K217)),ABS($J217-$K217),"")</f>
        <v/>
      </c>
      <c r="O217" s="14">
        <f>IF(AND(NOT(ISNUMBER($J217)),NOT(ISNUMBER($K217))),"",IF(NOT(ISNUMBER($K217)),$J217,IF(NOT(ISNUMBER($J217)),$K217,IF($N217=0,$J217,IF(AND($N217=1,$T217&lt;&gt;"Sim"),IF($I217="Líder Técnico",$K217,IF($I217="GP",$J217,"CALIBRAR")),"CALIBRAR")))))</f>
        <v/>
      </c>
      <c r="P217" s="19" t="n"/>
      <c r="Q217" s="19" t="n"/>
      <c r="R217" s="14">
        <f>IF($P217="","",IF(AND(ISNUMBER($J217),$P217=$J217,ISNUMBER($K217),$P217=$K217),"= ambos",IF(AND(ISNUMBER($J217),$P217=$J217),"= GP",IF(AND(ISNUMBER($K217),$P217=$K217),"= LT","nenhuma das duas"))))</f>
        <v/>
      </c>
      <c r="S217" s="19" t="n"/>
      <c r="T217" s="19" t="n"/>
      <c r="U217" s="14">
        <f>IF($C217="","",COUNTIFS('Ocorrências'!$V$5:$V$604,$C217&amp;"|"&amp;$B217&amp;"|"&amp;$G217,'Ocorrências'!$X$5:$X$604,"Sim"))</f>
        <v/>
      </c>
      <c r="V217" s="14">
        <f>IF($P217="","",IF(OR($P217=1,$P217=2,$P217=5),IF($U217&gt;0,"OK","SEM LASTRO"),"OK"))</f>
        <v/>
      </c>
      <c r="W217" s="19" t="n"/>
      <c r="X217" s="18" t="n"/>
      <c r="Y217" s="14">
        <f>IF($C217="","",$C217&amp;"|"&amp;$B217)</f>
        <v/>
      </c>
      <c r="Z217" s="14">
        <f>IF($C217="","",$C217&amp;"|"&amp;$B217&amp;"|"&amp;$H217)</f>
        <v/>
      </c>
      <c r="AA217" s="14">
        <f>IF($C217="","",$C217&amp;"|"&amp;$B217&amp;"|"&amp;$G217)</f>
        <v/>
      </c>
    </row>
    <row r="218">
      <c r="A218" s="19" t="n"/>
      <c r="B218" s="14">
        <f>IF($A218="","",VALUE(LEFT($A218,4))*4+VALUE(RIGHT($A218,1)))</f>
        <v/>
      </c>
      <c r="C218" s="19" t="n"/>
      <c r="D218" s="14">
        <f>IFERROR(INDEX(Pessoas!$B$5:$B$64,MATCH($C218,Pessoas!$A$5:$A$64,0)),"")</f>
        <v/>
      </c>
      <c r="E218" s="19" t="n"/>
      <c r="F218" s="14">
        <f>IFERROR(INDEX(Pessoas!$D$5:$D$64,MATCH($C218,Pessoas!$A$5:$A$64,0)),"")</f>
        <v/>
      </c>
      <c r="G218" s="19" t="n"/>
      <c r="H218" s="14">
        <f>IFERROR(INDEX(Config!$B$40:$B$45,MATCH($G218,Config!$C$40:$C$45,0)),"")</f>
        <v/>
      </c>
      <c r="I218" s="14">
        <f>IFERROR(INDEX(Config!$D$40:$D$45,MATCH($G218,Config!$C$40:$C$45,0)),"")</f>
        <v/>
      </c>
      <c r="J218" s="19" t="n"/>
      <c r="K218" s="19" t="n"/>
      <c r="L218" s="19" t="n"/>
      <c r="M218" s="19" t="n"/>
      <c r="N218" s="14">
        <f>IF(AND(ISNUMBER($J218),ISNUMBER($K218)),ABS($J218-$K218),"")</f>
        <v/>
      </c>
      <c r="O218" s="14">
        <f>IF(AND(NOT(ISNUMBER($J218)),NOT(ISNUMBER($K218))),"",IF(NOT(ISNUMBER($K218)),$J218,IF(NOT(ISNUMBER($J218)),$K218,IF($N218=0,$J218,IF(AND($N218=1,$T218&lt;&gt;"Sim"),IF($I218="Líder Técnico",$K218,IF($I218="GP",$J218,"CALIBRAR")),"CALIBRAR")))))</f>
        <v/>
      </c>
      <c r="P218" s="19" t="n"/>
      <c r="Q218" s="19" t="n"/>
      <c r="R218" s="14">
        <f>IF($P218="","",IF(AND(ISNUMBER($J218),$P218=$J218,ISNUMBER($K218),$P218=$K218),"= ambos",IF(AND(ISNUMBER($J218),$P218=$J218),"= GP",IF(AND(ISNUMBER($K218),$P218=$K218),"= LT","nenhuma das duas"))))</f>
        <v/>
      </c>
      <c r="S218" s="19" t="n"/>
      <c r="T218" s="19" t="n"/>
      <c r="U218" s="14">
        <f>IF($C218="","",COUNTIFS('Ocorrências'!$V$5:$V$604,$C218&amp;"|"&amp;$B218&amp;"|"&amp;$G218,'Ocorrências'!$X$5:$X$604,"Sim"))</f>
        <v/>
      </c>
      <c r="V218" s="14">
        <f>IF($P218="","",IF(OR($P218=1,$P218=2,$P218=5),IF($U218&gt;0,"OK","SEM LASTRO"),"OK"))</f>
        <v/>
      </c>
      <c r="W218" s="19" t="n"/>
      <c r="X218" s="18" t="n"/>
      <c r="Y218" s="14">
        <f>IF($C218="","",$C218&amp;"|"&amp;$B218)</f>
        <v/>
      </c>
      <c r="Z218" s="14">
        <f>IF($C218="","",$C218&amp;"|"&amp;$B218&amp;"|"&amp;$H218)</f>
        <v/>
      </c>
      <c r="AA218" s="14">
        <f>IF($C218="","",$C218&amp;"|"&amp;$B218&amp;"|"&amp;$G218)</f>
        <v/>
      </c>
    </row>
    <row r="219">
      <c r="A219" s="19" t="n"/>
      <c r="B219" s="14">
        <f>IF($A219="","",VALUE(LEFT($A219,4))*4+VALUE(RIGHT($A219,1)))</f>
        <v/>
      </c>
      <c r="C219" s="19" t="n"/>
      <c r="D219" s="14">
        <f>IFERROR(INDEX(Pessoas!$B$5:$B$64,MATCH($C219,Pessoas!$A$5:$A$64,0)),"")</f>
        <v/>
      </c>
      <c r="E219" s="19" t="n"/>
      <c r="F219" s="14">
        <f>IFERROR(INDEX(Pessoas!$D$5:$D$64,MATCH($C219,Pessoas!$A$5:$A$64,0)),"")</f>
        <v/>
      </c>
      <c r="G219" s="19" t="n"/>
      <c r="H219" s="14">
        <f>IFERROR(INDEX(Config!$B$40:$B$45,MATCH($G219,Config!$C$40:$C$45,0)),"")</f>
        <v/>
      </c>
      <c r="I219" s="14">
        <f>IFERROR(INDEX(Config!$D$40:$D$45,MATCH($G219,Config!$C$40:$C$45,0)),"")</f>
        <v/>
      </c>
      <c r="J219" s="19" t="n"/>
      <c r="K219" s="19" t="n"/>
      <c r="L219" s="19" t="n"/>
      <c r="M219" s="19" t="n"/>
      <c r="N219" s="14">
        <f>IF(AND(ISNUMBER($J219),ISNUMBER($K219)),ABS($J219-$K219),"")</f>
        <v/>
      </c>
      <c r="O219" s="14">
        <f>IF(AND(NOT(ISNUMBER($J219)),NOT(ISNUMBER($K219))),"",IF(NOT(ISNUMBER($K219)),$J219,IF(NOT(ISNUMBER($J219)),$K219,IF($N219=0,$J219,IF(AND($N219=1,$T219&lt;&gt;"Sim"),IF($I219="Líder Técnico",$K219,IF($I219="GP",$J219,"CALIBRAR")),"CALIBRAR")))))</f>
        <v/>
      </c>
      <c r="P219" s="19" t="n"/>
      <c r="Q219" s="19" t="n"/>
      <c r="R219" s="14">
        <f>IF($P219="","",IF(AND(ISNUMBER($J219),$P219=$J219,ISNUMBER($K219),$P219=$K219),"= ambos",IF(AND(ISNUMBER($J219),$P219=$J219),"= GP",IF(AND(ISNUMBER($K219),$P219=$K219),"= LT","nenhuma das duas"))))</f>
        <v/>
      </c>
      <c r="S219" s="19" t="n"/>
      <c r="T219" s="19" t="n"/>
      <c r="U219" s="14">
        <f>IF($C219="","",COUNTIFS('Ocorrências'!$V$5:$V$604,$C219&amp;"|"&amp;$B219&amp;"|"&amp;$G219,'Ocorrências'!$X$5:$X$604,"Sim"))</f>
        <v/>
      </c>
      <c r="V219" s="14">
        <f>IF($P219="","",IF(OR($P219=1,$P219=2,$P219=5),IF($U219&gt;0,"OK","SEM LASTRO"),"OK"))</f>
        <v/>
      </c>
      <c r="W219" s="19" t="n"/>
      <c r="X219" s="18" t="n"/>
      <c r="Y219" s="14">
        <f>IF($C219="","",$C219&amp;"|"&amp;$B219)</f>
        <v/>
      </c>
      <c r="Z219" s="14">
        <f>IF($C219="","",$C219&amp;"|"&amp;$B219&amp;"|"&amp;$H219)</f>
        <v/>
      </c>
      <c r="AA219" s="14">
        <f>IF($C219="","",$C219&amp;"|"&amp;$B219&amp;"|"&amp;$G219)</f>
        <v/>
      </c>
    </row>
    <row r="220">
      <c r="A220" s="19" t="n"/>
      <c r="B220" s="14">
        <f>IF($A220="","",VALUE(LEFT($A220,4))*4+VALUE(RIGHT($A220,1)))</f>
        <v/>
      </c>
      <c r="C220" s="19" t="n"/>
      <c r="D220" s="14">
        <f>IFERROR(INDEX(Pessoas!$B$5:$B$64,MATCH($C220,Pessoas!$A$5:$A$64,0)),"")</f>
        <v/>
      </c>
      <c r="E220" s="19" t="n"/>
      <c r="F220" s="14">
        <f>IFERROR(INDEX(Pessoas!$D$5:$D$64,MATCH($C220,Pessoas!$A$5:$A$64,0)),"")</f>
        <v/>
      </c>
      <c r="G220" s="19" t="n"/>
      <c r="H220" s="14">
        <f>IFERROR(INDEX(Config!$B$40:$B$45,MATCH($G220,Config!$C$40:$C$45,0)),"")</f>
        <v/>
      </c>
      <c r="I220" s="14">
        <f>IFERROR(INDEX(Config!$D$40:$D$45,MATCH($G220,Config!$C$40:$C$45,0)),"")</f>
        <v/>
      </c>
      <c r="J220" s="19" t="n"/>
      <c r="K220" s="19" t="n"/>
      <c r="L220" s="19" t="n"/>
      <c r="M220" s="19" t="n"/>
      <c r="N220" s="14">
        <f>IF(AND(ISNUMBER($J220),ISNUMBER($K220)),ABS($J220-$K220),"")</f>
        <v/>
      </c>
      <c r="O220" s="14">
        <f>IF(AND(NOT(ISNUMBER($J220)),NOT(ISNUMBER($K220))),"",IF(NOT(ISNUMBER($K220)),$J220,IF(NOT(ISNUMBER($J220)),$K220,IF($N220=0,$J220,IF(AND($N220=1,$T220&lt;&gt;"Sim"),IF($I220="Líder Técnico",$K220,IF($I220="GP",$J220,"CALIBRAR")),"CALIBRAR")))))</f>
        <v/>
      </c>
      <c r="P220" s="19" t="n"/>
      <c r="Q220" s="19" t="n"/>
      <c r="R220" s="14">
        <f>IF($P220="","",IF(AND(ISNUMBER($J220),$P220=$J220,ISNUMBER($K220),$P220=$K220),"= ambos",IF(AND(ISNUMBER($J220),$P220=$J220),"= GP",IF(AND(ISNUMBER($K220),$P220=$K220),"= LT","nenhuma das duas"))))</f>
        <v/>
      </c>
      <c r="S220" s="19" t="n"/>
      <c r="T220" s="19" t="n"/>
      <c r="U220" s="14">
        <f>IF($C220="","",COUNTIFS('Ocorrências'!$V$5:$V$604,$C220&amp;"|"&amp;$B220&amp;"|"&amp;$G220,'Ocorrências'!$X$5:$X$604,"Sim"))</f>
        <v/>
      </c>
      <c r="V220" s="14">
        <f>IF($P220="","",IF(OR($P220=1,$P220=2,$P220=5),IF($U220&gt;0,"OK","SEM LASTRO"),"OK"))</f>
        <v/>
      </c>
      <c r="W220" s="19" t="n"/>
      <c r="X220" s="18" t="n"/>
      <c r="Y220" s="14">
        <f>IF($C220="","",$C220&amp;"|"&amp;$B220)</f>
        <v/>
      </c>
      <c r="Z220" s="14">
        <f>IF($C220="","",$C220&amp;"|"&amp;$B220&amp;"|"&amp;$H220)</f>
        <v/>
      </c>
      <c r="AA220" s="14">
        <f>IF($C220="","",$C220&amp;"|"&amp;$B220&amp;"|"&amp;$G220)</f>
        <v/>
      </c>
    </row>
    <row r="221">
      <c r="A221" s="19" t="n"/>
      <c r="B221" s="14">
        <f>IF($A221="","",VALUE(LEFT($A221,4))*4+VALUE(RIGHT($A221,1)))</f>
        <v/>
      </c>
      <c r="C221" s="19" t="n"/>
      <c r="D221" s="14">
        <f>IFERROR(INDEX(Pessoas!$B$5:$B$64,MATCH($C221,Pessoas!$A$5:$A$64,0)),"")</f>
        <v/>
      </c>
      <c r="E221" s="19" t="n"/>
      <c r="F221" s="14">
        <f>IFERROR(INDEX(Pessoas!$D$5:$D$64,MATCH($C221,Pessoas!$A$5:$A$64,0)),"")</f>
        <v/>
      </c>
      <c r="G221" s="19" t="n"/>
      <c r="H221" s="14">
        <f>IFERROR(INDEX(Config!$B$40:$B$45,MATCH($G221,Config!$C$40:$C$45,0)),"")</f>
        <v/>
      </c>
      <c r="I221" s="14">
        <f>IFERROR(INDEX(Config!$D$40:$D$45,MATCH($G221,Config!$C$40:$C$45,0)),"")</f>
        <v/>
      </c>
      <c r="J221" s="19" t="n"/>
      <c r="K221" s="19" t="n"/>
      <c r="L221" s="19" t="n"/>
      <c r="M221" s="19" t="n"/>
      <c r="N221" s="14">
        <f>IF(AND(ISNUMBER($J221),ISNUMBER($K221)),ABS($J221-$K221),"")</f>
        <v/>
      </c>
      <c r="O221" s="14">
        <f>IF(AND(NOT(ISNUMBER($J221)),NOT(ISNUMBER($K221))),"",IF(NOT(ISNUMBER($K221)),$J221,IF(NOT(ISNUMBER($J221)),$K221,IF($N221=0,$J221,IF(AND($N221=1,$T221&lt;&gt;"Sim"),IF($I221="Líder Técnico",$K221,IF($I221="GP",$J221,"CALIBRAR")),"CALIBRAR")))))</f>
        <v/>
      </c>
      <c r="P221" s="19" t="n"/>
      <c r="Q221" s="19" t="n"/>
      <c r="R221" s="14">
        <f>IF($P221="","",IF(AND(ISNUMBER($J221),$P221=$J221,ISNUMBER($K221),$P221=$K221),"= ambos",IF(AND(ISNUMBER($J221),$P221=$J221),"= GP",IF(AND(ISNUMBER($K221),$P221=$K221),"= LT","nenhuma das duas"))))</f>
        <v/>
      </c>
      <c r="S221" s="19" t="n"/>
      <c r="T221" s="19" t="n"/>
      <c r="U221" s="14">
        <f>IF($C221="","",COUNTIFS('Ocorrências'!$V$5:$V$604,$C221&amp;"|"&amp;$B221&amp;"|"&amp;$G221,'Ocorrências'!$X$5:$X$604,"Sim"))</f>
        <v/>
      </c>
      <c r="V221" s="14">
        <f>IF($P221="","",IF(OR($P221=1,$P221=2,$P221=5),IF($U221&gt;0,"OK","SEM LASTRO"),"OK"))</f>
        <v/>
      </c>
      <c r="W221" s="19" t="n"/>
      <c r="X221" s="18" t="n"/>
      <c r="Y221" s="14">
        <f>IF($C221="","",$C221&amp;"|"&amp;$B221)</f>
        <v/>
      </c>
      <c r="Z221" s="14">
        <f>IF($C221="","",$C221&amp;"|"&amp;$B221&amp;"|"&amp;$H221)</f>
        <v/>
      </c>
      <c r="AA221" s="14">
        <f>IF($C221="","",$C221&amp;"|"&amp;$B221&amp;"|"&amp;$G221)</f>
        <v/>
      </c>
    </row>
    <row r="222">
      <c r="A222" s="19" t="n"/>
      <c r="B222" s="14">
        <f>IF($A222="","",VALUE(LEFT($A222,4))*4+VALUE(RIGHT($A222,1)))</f>
        <v/>
      </c>
      <c r="C222" s="19" t="n"/>
      <c r="D222" s="14">
        <f>IFERROR(INDEX(Pessoas!$B$5:$B$64,MATCH($C222,Pessoas!$A$5:$A$64,0)),"")</f>
        <v/>
      </c>
      <c r="E222" s="19" t="n"/>
      <c r="F222" s="14">
        <f>IFERROR(INDEX(Pessoas!$D$5:$D$64,MATCH($C222,Pessoas!$A$5:$A$64,0)),"")</f>
        <v/>
      </c>
      <c r="G222" s="19" t="n"/>
      <c r="H222" s="14">
        <f>IFERROR(INDEX(Config!$B$40:$B$45,MATCH($G222,Config!$C$40:$C$45,0)),"")</f>
        <v/>
      </c>
      <c r="I222" s="14">
        <f>IFERROR(INDEX(Config!$D$40:$D$45,MATCH($G222,Config!$C$40:$C$45,0)),"")</f>
        <v/>
      </c>
      <c r="J222" s="19" t="n"/>
      <c r="K222" s="19" t="n"/>
      <c r="L222" s="19" t="n"/>
      <c r="M222" s="19" t="n"/>
      <c r="N222" s="14">
        <f>IF(AND(ISNUMBER($J222),ISNUMBER($K222)),ABS($J222-$K222),"")</f>
        <v/>
      </c>
      <c r="O222" s="14">
        <f>IF(AND(NOT(ISNUMBER($J222)),NOT(ISNUMBER($K222))),"",IF(NOT(ISNUMBER($K222)),$J222,IF(NOT(ISNUMBER($J222)),$K222,IF($N222=0,$J222,IF(AND($N222=1,$T222&lt;&gt;"Sim"),IF($I222="Líder Técnico",$K222,IF($I222="GP",$J222,"CALIBRAR")),"CALIBRAR")))))</f>
        <v/>
      </c>
      <c r="P222" s="19" t="n"/>
      <c r="Q222" s="19" t="n"/>
      <c r="R222" s="14">
        <f>IF($P222="","",IF(AND(ISNUMBER($J222),$P222=$J222,ISNUMBER($K222),$P222=$K222),"= ambos",IF(AND(ISNUMBER($J222),$P222=$J222),"= GP",IF(AND(ISNUMBER($K222),$P222=$K222),"= LT","nenhuma das duas"))))</f>
        <v/>
      </c>
      <c r="S222" s="19" t="n"/>
      <c r="T222" s="19" t="n"/>
      <c r="U222" s="14">
        <f>IF($C222="","",COUNTIFS('Ocorrências'!$V$5:$V$604,$C222&amp;"|"&amp;$B222&amp;"|"&amp;$G222,'Ocorrências'!$X$5:$X$604,"Sim"))</f>
        <v/>
      </c>
      <c r="V222" s="14">
        <f>IF($P222="","",IF(OR($P222=1,$P222=2,$P222=5),IF($U222&gt;0,"OK","SEM LASTRO"),"OK"))</f>
        <v/>
      </c>
      <c r="W222" s="19" t="n"/>
      <c r="X222" s="18" t="n"/>
      <c r="Y222" s="14">
        <f>IF($C222="","",$C222&amp;"|"&amp;$B222)</f>
        <v/>
      </c>
      <c r="Z222" s="14">
        <f>IF($C222="","",$C222&amp;"|"&amp;$B222&amp;"|"&amp;$H222)</f>
        <v/>
      </c>
      <c r="AA222" s="14">
        <f>IF($C222="","",$C222&amp;"|"&amp;$B222&amp;"|"&amp;$G222)</f>
        <v/>
      </c>
    </row>
    <row r="223">
      <c r="A223" s="19" t="n"/>
      <c r="B223" s="14">
        <f>IF($A223="","",VALUE(LEFT($A223,4))*4+VALUE(RIGHT($A223,1)))</f>
        <v/>
      </c>
      <c r="C223" s="19" t="n"/>
      <c r="D223" s="14">
        <f>IFERROR(INDEX(Pessoas!$B$5:$B$64,MATCH($C223,Pessoas!$A$5:$A$64,0)),"")</f>
        <v/>
      </c>
      <c r="E223" s="19" t="n"/>
      <c r="F223" s="14">
        <f>IFERROR(INDEX(Pessoas!$D$5:$D$64,MATCH($C223,Pessoas!$A$5:$A$64,0)),"")</f>
        <v/>
      </c>
      <c r="G223" s="19" t="n"/>
      <c r="H223" s="14">
        <f>IFERROR(INDEX(Config!$B$40:$B$45,MATCH($G223,Config!$C$40:$C$45,0)),"")</f>
        <v/>
      </c>
      <c r="I223" s="14">
        <f>IFERROR(INDEX(Config!$D$40:$D$45,MATCH($G223,Config!$C$40:$C$45,0)),"")</f>
        <v/>
      </c>
      <c r="J223" s="19" t="n"/>
      <c r="K223" s="19" t="n"/>
      <c r="L223" s="19" t="n"/>
      <c r="M223" s="19" t="n"/>
      <c r="N223" s="14">
        <f>IF(AND(ISNUMBER($J223),ISNUMBER($K223)),ABS($J223-$K223),"")</f>
        <v/>
      </c>
      <c r="O223" s="14">
        <f>IF(AND(NOT(ISNUMBER($J223)),NOT(ISNUMBER($K223))),"",IF(NOT(ISNUMBER($K223)),$J223,IF(NOT(ISNUMBER($J223)),$K223,IF($N223=0,$J223,IF(AND($N223=1,$T223&lt;&gt;"Sim"),IF($I223="Líder Técnico",$K223,IF($I223="GP",$J223,"CALIBRAR")),"CALIBRAR")))))</f>
        <v/>
      </c>
      <c r="P223" s="19" t="n"/>
      <c r="Q223" s="19" t="n"/>
      <c r="R223" s="14">
        <f>IF($P223="","",IF(AND(ISNUMBER($J223),$P223=$J223,ISNUMBER($K223),$P223=$K223),"= ambos",IF(AND(ISNUMBER($J223),$P223=$J223),"= GP",IF(AND(ISNUMBER($K223),$P223=$K223),"= LT","nenhuma das duas"))))</f>
        <v/>
      </c>
      <c r="S223" s="19" t="n"/>
      <c r="T223" s="19" t="n"/>
      <c r="U223" s="14">
        <f>IF($C223="","",COUNTIFS('Ocorrências'!$V$5:$V$604,$C223&amp;"|"&amp;$B223&amp;"|"&amp;$G223,'Ocorrências'!$X$5:$X$604,"Sim"))</f>
        <v/>
      </c>
      <c r="V223" s="14">
        <f>IF($P223="","",IF(OR($P223=1,$P223=2,$P223=5),IF($U223&gt;0,"OK","SEM LASTRO"),"OK"))</f>
        <v/>
      </c>
      <c r="W223" s="19" t="n"/>
      <c r="X223" s="18" t="n"/>
      <c r="Y223" s="14">
        <f>IF($C223="","",$C223&amp;"|"&amp;$B223)</f>
        <v/>
      </c>
      <c r="Z223" s="14">
        <f>IF($C223="","",$C223&amp;"|"&amp;$B223&amp;"|"&amp;$H223)</f>
        <v/>
      </c>
      <c r="AA223" s="14">
        <f>IF($C223="","",$C223&amp;"|"&amp;$B223&amp;"|"&amp;$G223)</f>
        <v/>
      </c>
    </row>
    <row r="224">
      <c r="A224" s="19" t="n"/>
      <c r="B224" s="14">
        <f>IF($A224="","",VALUE(LEFT($A224,4))*4+VALUE(RIGHT($A224,1)))</f>
        <v/>
      </c>
      <c r="C224" s="19" t="n"/>
      <c r="D224" s="14">
        <f>IFERROR(INDEX(Pessoas!$B$5:$B$64,MATCH($C224,Pessoas!$A$5:$A$64,0)),"")</f>
        <v/>
      </c>
      <c r="E224" s="19" t="n"/>
      <c r="F224" s="14">
        <f>IFERROR(INDEX(Pessoas!$D$5:$D$64,MATCH($C224,Pessoas!$A$5:$A$64,0)),"")</f>
        <v/>
      </c>
      <c r="G224" s="19" t="n"/>
      <c r="H224" s="14">
        <f>IFERROR(INDEX(Config!$B$40:$B$45,MATCH($G224,Config!$C$40:$C$45,0)),"")</f>
        <v/>
      </c>
      <c r="I224" s="14">
        <f>IFERROR(INDEX(Config!$D$40:$D$45,MATCH($G224,Config!$C$40:$C$45,0)),"")</f>
        <v/>
      </c>
      <c r="J224" s="19" t="n"/>
      <c r="K224" s="19" t="n"/>
      <c r="L224" s="19" t="n"/>
      <c r="M224" s="19" t="n"/>
      <c r="N224" s="14">
        <f>IF(AND(ISNUMBER($J224),ISNUMBER($K224)),ABS($J224-$K224),"")</f>
        <v/>
      </c>
      <c r="O224" s="14">
        <f>IF(AND(NOT(ISNUMBER($J224)),NOT(ISNUMBER($K224))),"",IF(NOT(ISNUMBER($K224)),$J224,IF(NOT(ISNUMBER($J224)),$K224,IF($N224=0,$J224,IF(AND($N224=1,$T224&lt;&gt;"Sim"),IF($I224="Líder Técnico",$K224,IF($I224="GP",$J224,"CALIBRAR")),"CALIBRAR")))))</f>
        <v/>
      </c>
      <c r="P224" s="19" t="n"/>
      <c r="Q224" s="19" t="n"/>
      <c r="R224" s="14">
        <f>IF($P224="","",IF(AND(ISNUMBER($J224),$P224=$J224,ISNUMBER($K224),$P224=$K224),"= ambos",IF(AND(ISNUMBER($J224),$P224=$J224),"= GP",IF(AND(ISNUMBER($K224),$P224=$K224),"= LT","nenhuma das duas"))))</f>
        <v/>
      </c>
      <c r="S224" s="19" t="n"/>
      <c r="T224" s="19" t="n"/>
      <c r="U224" s="14">
        <f>IF($C224="","",COUNTIFS('Ocorrências'!$V$5:$V$604,$C224&amp;"|"&amp;$B224&amp;"|"&amp;$G224,'Ocorrências'!$X$5:$X$604,"Sim"))</f>
        <v/>
      </c>
      <c r="V224" s="14">
        <f>IF($P224="","",IF(OR($P224=1,$P224=2,$P224=5),IF($U224&gt;0,"OK","SEM LASTRO"),"OK"))</f>
        <v/>
      </c>
      <c r="W224" s="19" t="n"/>
      <c r="X224" s="18" t="n"/>
      <c r="Y224" s="14">
        <f>IF($C224="","",$C224&amp;"|"&amp;$B224)</f>
        <v/>
      </c>
      <c r="Z224" s="14">
        <f>IF($C224="","",$C224&amp;"|"&amp;$B224&amp;"|"&amp;$H224)</f>
        <v/>
      </c>
      <c r="AA224" s="14">
        <f>IF($C224="","",$C224&amp;"|"&amp;$B224&amp;"|"&amp;$G224)</f>
        <v/>
      </c>
    </row>
    <row r="225">
      <c r="A225" s="19" t="n"/>
      <c r="B225" s="14">
        <f>IF($A225="","",VALUE(LEFT($A225,4))*4+VALUE(RIGHT($A225,1)))</f>
        <v/>
      </c>
      <c r="C225" s="19" t="n"/>
      <c r="D225" s="14">
        <f>IFERROR(INDEX(Pessoas!$B$5:$B$64,MATCH($C225,Pessoas!$A$5:$A$64,0)),"")</f>
        <v/>
      </c>
      <c r="E225" s="19" t="n"/>
      <c r="F225" s="14">
        <f>IFERROR(INDEX(Pessoas!$D$5:$D$64,MATCH($C225,Pessoas!$A$5:$A$64,0)),"")</f>
        <v/>
      </c>
      <c r="G225" s="19" t="n"/>
      <c r="H225" s="14">
        <f>IFERROR(INDEX(Config!$B$40:$B$45,MATCH($G225,Config!$C$40:$C$45,0)),"")</f>
        <v/>
      </c>
      <c r="I225" s="14">
        <f>IFERROR(INDEX(Config!$D$40:$D$45,MATCH($G225,Config!$C$40:$C$45,0)),"")</f>
        <v/>
      </c>
      <c r="J225" s="19" t="n"/>
      <c r="K225" s="19" t="n"/>
      <c r="L225" s="19" t="n"/>
      <c r="M225" s="19" t="n"/>
      <c r="N225" s="14">
        <f>IF(AND(ISNUMBER($J225),ISNUMBER($K225)),ABS($J225-$K225),"")</f>
        <v/>
      </c>
      <c r="O225" s="14">
        <f>IF(AND(NOT(ISNUMBER($J225)),NOT(ISNUMBER($K225))),"",IF(NOT(ISNUMBER($K225)),$J225,IF(NOT(ISNUMBER($J225)),$K225,IF($N225=0,$J225,IF(AND($N225=1,$T225&lt;&gt;"Sim"),IF($I225="Líder Técnico",$K225,IF($I225="GP",$J225,"CALIBRAR")),"CALIBRAR")))))</f>
        <v/>
      </c>
      <c r="P225" s="19" t="n"/>
      <c r="Q225" s="19" t="n"/>
      <c r="R225" s="14">
        <f>IF($P225="","",IF(AND(ISNUMBER($J225),$P225=$J225,ISNUMBER($K225),$P225=$K225),"= ambos",IF(AND(ISNUMBER($J225),$P225=$J225),"= GP",IF(AND(ISNUMBER($K225),$P225=$K225),"= LT","nenhuma das duas"))))</f>
        <v/>
      </c>
      <c r="S225" s="19" t="n"/>
      <c r="T225" s="19" t="n"/>
      <c r="U225" s="14">
        <f>IF($C225="","",COUNTIFS('Ocorrências'!$V$5:$V$604,$C225&amp;"|"&amp;$B225&amp;"|"&amp;$G225,'Ocorrências'!$X$5:$X$604,"Sim"))</f>
        <v/>
      </c>
      <c r="V225" s="14">
        <f>IF($P225="","",IF(OR($P225=1,$P225=2,$P225=5),IF($U225&gt;0,"OK","SEM LASTRO"),"OK"))</f>
        <v/>
      </c>
      <c r="W225" s="19" t="n"/>
      <c r="X225" s="18" t="n"/>
      <c r="Y225" s="14">
        <f>IF($C225="","",$C225&amp;"|"&amp;$B225)</f>
        <v/>
      </c>
      <c r="Z225" s="14">
        <f>IF($C225="","",$C225&amp;"|"&amp;$B225&amp;"|"&amp;$H225)</f>
        <v/>
      </c>
      <c r="AA225" s="14">
        <f>IF($C225="","",$C225&amp;"|"&amp;$B225&amp;"|"&amp;$G225)</f>
        <v/>
      </c>
    </row>
    <row r="226">
      <c r="A226" s="19" t="n"/>
      <c r="B226" s="14">
        <f>IF($A226="","",VALUE(LEFT($A226,4))*4+VALUE(RIGHT($A226,1)))</f>
        <v/>
      </c>
      <c r="C226" s="19" t="n"/>
      <c r="D226" s="14">
        <f>IFERROR(INDEX(Pessoas!$B$5:$B$64,MATCH($C226,Pessoas!$A$5:$A$64,0)),"")</f>
        <v/>
      </c>
      <c r="E226" s="19" t="n"/>
      <c r="F226" s="14">
        <f>IFERROR(INDEX(Pessoas!$D$5:$D$64,MATCH($C226,Pessoas!$A$5:$A$64,0)),"")</f>
        <v/>
      </c>
      <c r="G226" s="19" t="n"/>
      <c r="H226" s="14">
        <f>IFERROR(INDEX(Config!$B$40:$B$45,MATCH($G226,Config!$C$40:$C$45,0)),"")</f>
        <v/>
      </c>
      <c r="I226" s="14">
        <f>IFERROR(INDEX(Config!$D$40:$D$45,MATCH($G226,Config!$C$40:$C$45,0)),"")</f>
        <v/>
      </c>
      <c r="J226" s="19" t="n"/>
      <c r="K226" s="19" t="n"/>
      <c r="L226" s="19" t="n"/>
      <c r="M226" s="19" t="n"/>
      <c r="N226" s="14">
        <f>IF(AND(ISNUMBER($J226),ISNUMBER($K226)),ABS($J226-$K226),"")</f>
        <v/>
      </c>
      <c r="O226" s="14">
        <f>IF(AND(NOT(ISNUMBER($J226)),NOT(ISNUMBER($K226))),"",IF(NOT(ISNUMBER($K226)),$J226,IF(NOT(ISNUMBER($J226)),$K226,IF($N226=0,$J226,IF(AND($N226=1,$T226&lt;&gt;"Sim"),IF($I226="Líder Técnico",$K226,IF($I226="GP",$J226,"CALIBRAR")),"CALIBRAR")))))</f>
        <v/>
      </c>
      <c r="P226" s="19" t="n"/>
      <c r="Q226" s="19" t="n"/>
      <c r="R226" s="14">
        <f>IF($P226="","",IF(AND(ISNUMBER($J226),$P226=$J226,ISNUMBER($K226),$P226=$K226),"= ambos",IF(AND(ISNUMBER($J226),$P226=$J226),"= GP",IF(AND(ISNUMBER($K226),$P226=$K226),"= LT","nenhuma das duas"))))</f>
        <v/>
      </c>
      <c r="S226" s="19" t="n"/>
      <c r="T226" s="19" t="n"/>
      <c r="U226" s="14">
        <f>IF($C226="","",COUNTIFS('Ocorrências'!$V$5:$V$604,$C226&amp;"|"&amp;$B226&amp;"|"&amp;$G226,'Ocorrências'!$X$5:$X$604,"Sim"))</f>
        <v/>
      </c>
      <c r="V226" s="14">
        <f>IF($P226="","",IF(OR($P226=1,$P226=2,$P226=5),IF($U226&gt;0,"OK","SEM LASTRO"),"OK"))</f>
        <v/>
      </c>
      <c r="W226" s="19" t="n"/>
      <c r="X226" s="18" t="n"/>
      <c r="Y226" s="14">
        <f>IF($C226="","",$C226&amp;"|"&amp;$B226)</f>
        <v/>
      </c>
      <c r="Z226" s="14">
        <f>IF($C226="","",$C226&amp;"|"&amp;$B226&amp;"|"&amp;$H226)</f>
        <v/>
      </c>
      <c r="AA226" s="14">
        <f>IF($C226="","",$C226&amp;"|"&amp;$B226&amp;"|"&amp;$G226)</f>
        <v/>
      </c>
    </row>
    <row r="227">
      <c r="A227" s="19" t="n"/>
      <c r="B227" s="14">
        <f>IF($A227="","",VALUE(LEFT($A227,4))*4+VALUE(RIGHT($A227,1)))</f>
        <v/>
      </c>
      <c r="C227" s="19" t="n"/>
      <c r="D227" s="14">
        <f>IFERROR(INDEX(Pessoas!$B$5:$B$64,MATCH($C227,Pessoas!$A$5:$A$64,0)),"")</f>
        <v/>
      </c>
      <c r="E227" s="19" t="n"/>
      <c r="F227" s="14">
        <f>IFERROR(INDEX(Pessoas!$D$5:$D$64,MATCH($C227,Pessoas!$A$5:$A$64,0)),"")</f>
        <v/>
      </c>
      <c r="G227" s="19" t="n"/>
      <c r="H227" s="14">
        <f>IFERROR(INDEX(Config!$B$40:$B$45,MATCH($G227,Config!$C$40:$C$45,0)),"")</f>
        <v/>
      </c>
      <c r="I227" s="14">
        <f>IFERROR(INDEX(Config!$D$40:$D$45,MATCH($G227,Config!$C$40:$C$45,0)),"")</f>
        <v/>
      </c>
      <c r="J227" s="19" t="n"/>
      <c r="K227" s="19" t="n"/>
      <c r="L227" s="19" t="n"/>
      <c r="M227" s="19" t="n"/>
      <c r="N227" s="14">
        <f>IF(AND(ISNUMBER($J227),ISNUMBER($K227)),ABS($J227-$K227),"")</f>
        <v/>
      </c>
      <c r="O227" s="14">
        <f>IF(AND(NOT(ISNUMBER($J227)),NOT(ISNUMBER($K227))),"",IF(NOT(ISNUMBER($K227)),$J227,IF(NOT(ISNUMBER($J227)),$K227,IF($N227=0,$J227,IF(AND($N227=1,$T227&lt;&gt;"Sim"),IF($I227="Líder Técnico",$K227,IF($I227="GP",$J227,"CALIBRAR")),"CALIBRAR")))))</f>
        <v/>
      </c>
      <c r="P227" s="19" t="n"/>
      <c r="Q227" s="19" t="n"/>
      <c r="R227" s="14">
        <f>IF($P227="","",IF(AND(ISNUMBER($J227),$P227=$J227,ISNUMBER($K227),$P227=$K227),"= ambos",IF(AND(ISNUMBER($J227),$P227=$J227),"= GP",IF(AND(ISNUMBER($K227),$P227=$K227),"= LT","nenhuma das duas"))))</f>
        <v/>
      </c>
      <c r="S227" s="19" t="n"/>
      <c r="T227" s="19" t="n"/>
      <c r="U227" s="14">
        <f>IF($C227="","",COUNTIFS('Ocorrências'!$V$5:$V$604,$C227&amp;"|"&amp;$B227&amp;"|"&amp;$G227,'Ocorrências'!$X$5:$X$604,"Sim"))</f>
        <v/>
      </c>
      <c r="V227" s="14">
        <f>IF($P227="","",IF(OR($P227=1,$P227=2,$P227=5),IF($U227&gt;0,"OK","SEM LASTRO"),"OK"))</f>
        <v/>
      </c>
      <c r="W227" s="19" t="n"/>
      <c r="X227" s="18" t="n"/>
      <c r="Y227" s="14">
        <f>IF($C227="","",$C227&amp;"|"&amp;$B227)</f>
        <v/>
      </c>
      <c r="Z227" s="14">
        <f>IF($C227="","",$C227&amp;"|"&amp;$B227&amp;"|"&amp;$H227)</f>
        <v/>
      </c>
      <c r="AA227" s="14">
        <f>IF($C227="","",$C227&amp;"|"&amp;$B227&amp;"|"&amp;$G227)</f>
        <v/>
      </c>
    </row>
    <row r="228">
      <c r="A228" s="19" t="n"/>
      <c r="B228" s="14">
        <f>IF($A228="","",VALUE(LEFT($A228,4))*4+VALUE(RIGHT($A228,1)))</f>
        <v/>
      </c>
      <c r="C228" s="19" t="n"/>
      <c r="D228" s="14">
        <f>IFERROR(INDEX(Pessoas!$B$5:$B$64,MATCH($C228,Pessoas!$A$5:$A$64,0)),"")</f>
        <v/>
      </c>
      <c r="E228" s="19" t="n"/>
      <c r="F228" s="14">
        <f>IFERROR(INDEX(Pessoas!$D$5:$D$64,MATCH($C228,Pessoas!$A$5:$A$64,0)),"")</f>
        <v/>
      </c>
      <c r="G228" s="19" t="n"/>
      <c r="H228" s="14">
        <f>IFERROR(INDEX(Config!$B$40:$B$45,MATCH($G228,Config!$C$40:$C$45,0)),"")</f>
        <v/>
      </c>
      <c r="I228" s="14">
        <f>IFERROR(INDEX(Config!$D$40:$D$45,MATCH($G228,Config!$C$40:$C$45,0)),"")</f>
        <v/>
      </c>
      <c r="J228" s="19" t="n"/>
      <c r="K228" s="19" t="n"/>
      <c r="L228" s="19" t="n"/>
      <c r="M228" s="19" t="n"/>
      <c r="N228" s="14">
        <f>IF(AND(ISNUMBER($J228),ISNUMBER($K228)),ABS($J228-$K228),"")</f>
        <v/>
      </c>
      <c r="O228" s="14">
        <f>IF(AND(NOT(ISNUMBER($J228)),NOT(ISNUMBER($K228))),"",IF(NOT(ISNUMBER($K228)),$J228,IF(NOT(ISNUMBER($J228)),$K228,IF($N228=0,$J228,IF(AND($N228=1,$T228&lt;&gt;"Sim"),IF($I228="Líder Técnico",$K228,IF($I228="GP",$J228,"CALIBRAR")),"CALIBRAR")))))</f>
        <v/>
      </c>
      <c r="P228" s="19" t="n"/>
      <c r="Q228" s="19" t="n"/>
      <c r="R228" s="14">
        <f>IF($P228="","",IF(AND(ISNUMBER($J228),$P228=$J228,ISNUMBER($K228),$P228=$K228),"= ambos",IF(AND(ISNUMBER($J228),$P228=$J228),"= GP",IF(AND(ISNUMBER($K228),$P228=$K228),"= LT","nenhuma das duas"))))</f>
        <v/>
      </c>
      <c r="S228" s="19" t="n"/>
      <c r="T228" s="19" t="n"/>
      <c r="U228" s="14">
        <f>IF($C228="","",COUNTIFS('Ocorrências'!$V$5:$V$604,$C228&amp;"|"&amp;$B228&amp;"|"&amp;$G228,'Ocorrências'!$X$5:$X$604,"Sim"))</f>
        <v/>
      </c>
      <c r="V228" s="14">
        <f>IF($P228="","",IF(OR($P228=1,$P228=2,$P228=5),IF($U228&gt;0,"OK","SEM LASTRO"),"OK"))</f>
        <v/>
      </c>
      <c r="W228" s="19" t="n"/>
      <c r="X228" s="18" t="n"/>
      <c r="Y228" s="14">
        <f>IF($C228="","",$C228&amp;"|"&amp;$B228)</f>
        <v/>
      </c>
      <c r="Z228" s="14">
        <f>IF($C228="","",$C228&amp;"|"&amp;$B228&amp;"|"&amp;$H228)</f>
        <v/>
      </c>
      <c r="AA228" s="14">
        <f>IF($C228="","",$C228&amp;"|"&amp;$B228&amp;"|"&amp;$G228)</f>
        <v/>
      </c>
    </row>
    <row r="229">
      <c r="A229" s="19" t="n"/>
      <c r="B229" s="14">
        <f>IF($A229="","",VALUE(LEFT($A229,4))*4+VALUE(RIGHT($A229,1)))</f>
        <v/>
      </c>
      <c r="C229" s="19" t="n"/>
      <c r="D229" s="14">
        <f>IFERROR(INDEX(Pessoas!$B$5:$B$64,MATCH($C229,Pessoas!$A$5:$A$64,0)),"")</f>
        <v/>
      </c>
      <c r="E229" s="19" t="n"/>
      <c r="F229" s="14">
        <f>IFERROR(INDEX(Pessoas!$D$5:$D$64,MATCH($C229,Pessoas!$A$5:$A$64,0)),"")</f>
        <v/>
      </c>
      <c r="G229" s="19" t="n"/>
      <c r="H229" s="14">
        <f>IFERROR(INDEX(Config!$B$40:$B$45,MATCH($G229,Config!$C$40:$C$45,0)),"")</f>
        <v/>
      </c>
      <c r="I229" s="14">
        <f>IFERROR(INDEX(Config!$D$40:$D$45,MATCH($G229,Config!$C$40:$C$45,0)),"")</f>
        <v/>
      </c>
      <c r="J229" s="19" t="n"/>
      <c r="K229" s="19" t="n"/>
      <c r="L229" s="19" t="n"/>
      <c r="M229" s="19" t="n"/>
      <c r="N229" s="14">
        <f>IF(AND(ISNUMBER($J229),ISNUMBER($K229)),ABS($J229-$K229),"")</f>
        <v/>
      </c>
      <c r="O229" s="14">
        <f>IF(AND(NOT(ISNUMBER($J229)),NOT(ISNUMBER($K229))),"",IF(NOT(ISNUMBER($K229)),$J229,IF(NOT(ISNUMBER($J229)),$K229,IF($N229=0,$J229,IF(AND($N229=1,$T229&lt;&gt;"Sim"),IF($I229="Líder Técnico",$K229,IF($I229="GP",$J229,"CALIBRAR")),"CALIBRAR")))))</f>
        <v/>
      </c>
      <c r="P229" s="19" t="n"/>
      <c r="Q229" s="19" t="n"/>
      <c r="R229" s="14">
        <f>IF($P229="","",IF(AND(ISNUMBER($J229),$P229=$J229,ISNUMBER($K229),$P229=$K229),"= ambos",IF(AND(ISNUMBER($J229),$P229=$J229),"= GP",IF(AND(ISNUMBER($K229),$P229=$K229),"= LT","nenhuma das duas"))))</f>
        <v/>
      </c>
      <c r="S229" s="19" t="n"/>
      <c r="T229" s="19" t="n"/>
      <c r="U229" s="14">
        <f>IF($C229="","",COUNTIFS('Ocorrências'!$V$5:$V$604,$C229&amp;"|"&amp;$B229&amp;"|"&amp;$G229,'Ocorrências'!$X$5:$X$604,"Sim"))</f>
        <v/>
      </c>
      <c r="V229" s="14">
        <f>IF($P229="","",IF(OR($P229=1,$P229=2,$P229=5),IF($U229&gt;0,"OK","SEM LASTRO"),"OK"))</f>
        <v/>
      </c>
      <c r="W229" s="19" t="n"/>
      <c r="X229" s="18" t="n"/>
      <c r="Y229" s="14">
        <f>IF($C229="","",$C229&amp;"|"&amp;$B229)</f>
        <v/>
      </c>
      <c r="Z229" s="14">
        <f>IF($C229="","",$C229&amp;"|"&amp;$B229&amp;"|"&amp;$H229)</f>
        <v/>
      </c>
      <c r="AA229" s="14">
        <f>IF($C229="","",$C229&amp;"|"&amp;$B229&amp;"|"&amp;$G229)</f>
        <v/>
      </c>
    </row>
    <row r="230">
      <c r="A230" s="19" t="n"/>
      <c r="B230" s="14">
        <f>IF($A230="","",VALUE(LEFT($A230,4))*4+VALUE(RIGHT($A230,1)))</f>
        <v/>
      </c>
      <c r="C230" s="19" t="n"/>
      <c r="D230" s="14">
        <f>IFERROR(INDEX(Pessoas!$B$5:$B$64,MATCH($C230,Pessoas!$A$5:$A$64,0)),"")</f>
        <v/>
      </c>
      <c r="E230" s="19" t="n"/>
      <c r="F230" s="14">
        <f>IFERROR(INDEX(Pessoas!$D$5:$D$64,MATCH($C230,Pessoas!$A$5:$A$64,0)),"")</f>
        <v/>
      </c>
      <c r="G230" s="19" t="n"/>
      <c r="H230" s="14">
        <f>IFERROR(INDEX(Config!$B$40:$B$45,MATCH($G230,Config!$C$40:$C$45,0)),"")</f>
        <v/>
      </c>
      <c r="I230" s="14">
        <f>IFERROR(INDEX(Config!$D$40:$D$45,MATCH($G230,Config!$C$40:$C$45,0)),"")</f>
        <v/>
      </c>
      <c r="J230" s="19" t="n"/>
      <c r="K230" s="19" t="n"/>
      <c r="L230" s="19" t="n"/>
      <c r="M230" s="19" t="n"/>
      <c r="N230" s="14">
        <f>IF(AND(ISNUMBER($J230),ISNUMBER($K230)),ABS($J230-$K230),"")</f>
        <v/>
      </c>
      <c r="O230" s="14">
        <f>IF(AND(NOT(ISNUMBER($J230)),NOT(ISNUMBER($K230))),"",IF(NOT(ISNUMBER($K230)),$J230,IF(NOT(ISNUMBER($J230)),$K230,IF($N230=0,$J230,IF(AND($N230=1,$T230&lt;&gt;"Sim"),IF($I230="Líder Técnico",$K230,IF($I230="GP",$J230,"CALIBRAR")),"CALIBRAR")))))</f>
        <v/>
      </c>
      <c r="P230" s="19" t="n"/>
      <c r="Q230" s="19" t="n"/>
      <c r="R230" s="14">
        <f>IF($P230="","",IF(AND(ISNUMBER($J230),$P230=$J230,ISNUMBER($K230),$P230=$K230),"= ambos",IF(AND(ISNUMBER($J230),$P230=$J230),"= GP",IF(AND(ISNUMBER($K230),$P230=$K230),"= LT","nenhuma das duas"))))</f>
        <v/>
      </c>
      <c r="S230" s="19" t="n"/>
      <c r="T230" s="19" t="n"/>
      <c r="U230" s="14">
        <f>IF($C230="","",COUNTIFS('Ocorrências'!$V$5:$V$604,$C230&amp;"|"&amp;$B230&amp;"|"&amp;$G230,'Ocorrências'!$X$5:$X$604,"Sim"))</f>
        <v/>
      </c>
      <c r="V230" s="14">
        <f>IF($P230="","",IF(OR($P230=1,$P230=2,$P230=5),IF($U230&gt;0,"OK","SEM LASTRO"),"OK"))</f>
        <v/>
      </c>
      <c r="W230" s="19" t="n"/>
      <c r="X230" s="18" t="n"/>
      <c r="Y230" s="14">
        <f>IF($C230="","",$C230&amp;"|"&amp;$B230)</f>
        <v/>
      </c>
      <c r="Z230" s="14">
        <f>IF($C230="","",$C230&amp;"|"&amp;$B230&amp;"|"&amp;$H230)</f>
        <v/>
      </c>
      <c r="AA230" s="14">
        <f>IF($C230="","",$C230&amp;"|"&amp;$B230&amp;"|"&amp;$G230)</f>
        <v/>
      </c>
    </row>
    <row r="231">
      <c r="A231" s="19" t="n"/>
      <c r="B231" s="14">
        <f>IF($A231="","",VALUE(LEFT($A231,4))*4+VALUE(RIGHT($A231,1)))</f>
        <v/>
      </c>
      <c r="C231" s="19" t="n"/>
      <c r="D231" s="14">
        <f>IFERROR(INDEX(Pessoas!$B$5:$B$64,MATCH($C231,Pessoas!$A$5:$A$64,0)),"")</f>
        <v/>
      </c>
      <c r="E231" s="19" t="n"/>
      <c r="F231" s="14">
        <f>IFERROR(INDEX(Pessoas!$D$5:$D$64,MATCH($C231,Pessoas!$A$5:$A$64,0)),"")</f>
        <v/>
      </c>
      <c r="G231" s="19" t="n"/>
      <c r="H231" s="14">
        <f>IFERROR(INDEX(Config!$B$40:$B$45,MATCH($G231,Config!$C$40:$C$45,0)),"")</f>
        <v/>
      </c>
      <c r="I231" s="14">
        <f>IFERROR(INDEX(Config!$D$40:$D$45,MATCH($G231,Config!$C$40:$C$45,0)),"")</f>
        <v/>
      </c>
      <c r="J231" s="19" t="n"/>
      <c r="K231" s="19" t="n"/>
      <c r="L231" s="19" t="n"/>
      <c r="M231" s="19" t="n"/>
      <c r="N231" s="14">
        <f>IF(AND(ISNUMBER($J231),ISNUMBER($K231)),ABS($J231-$K231),"")</f>
        <v/>
      </c>
      <c r="O231" s="14">
        <f>IF(AND(NOT(ISNUMBER($J231)),NOT(ISNUMBER($K231))),"",IF(NOT(ISNUMBER($K231)),$J231,IF(NOT(ISNUMBER($J231)),$K231,IF($N231=0,$J231,IF(AND($N231=1,$T231&lt;&gt;"Sim"),IF($I231="Líder Técnico",$K231,IF($I231="GP",$J231,"CALIBRAR")),"CALIBRAR")))))</f>
        <v/>
      </c>
      <c r="P231" s="19" t="n"/>
      <c r="Q231" s="19" t="n"/>
      <c r="R231" s="14">
        <f>IF($P231="","",IF(AND(ISNUMBER($J231),$P231=$J231,ISNUMBER($K231),$P231=$K231),"= ambos",IF(AND(ISNUMBER($J231),$P231=$J231),"= GP",IF(AND(ISNUMBER($K231),$P231=$K231),"= LT","nenhuma das duas"))))</f>
        <v/>
      </c>
      <c r="S231" s="19" t="n"/>
      <c r="T231" s="19" t="n"/>
      <c r="U231" s="14">
        <f>IF($C231="","",COUNTIFS('Ocorrências'!$V$5:$V$604,$C231&amp;"|"&amp;$B231&amp;"|"&amp;$G231,'Ocorrências'!$X$5:$X$604,"Sim"))</f>
        <v/>
      </c>
      <c r="V231" s="14">
        <f>IF($P231="","",IF(OR($P231=1,$P231=2,$P231=5),IF($U231&gt;0,"OK","SEM LASTRO"),"OK"))</f>
        <v/>
      </c>
      <c r="W231" s="19" t="n"/>
      <c r="X231" s="18" t="n"/>
      <c r="Y231" s="14">
        <f>IF($C231="","",$C231&amp;"|"&amp;$B231)</f>
        <v/>
      </c>
      <c r="Z231" s="14">
        <f>IF($C231="","",$C231&amp;"|"&amp;$B231&amp;"|"&amp;$H231)</f>
        <v/>
      </c>
      <c r="AA231" s="14">
        <f>IF($C231="","",$C231&amp;"|"&amp;$B231&amp;"|"&amp;$G231)</f>
        <v/>
      </c>
    </row>
    <row r="232">
      <c r="A232" s="19" t="n"/>
      <c r="B232" s="14">
        <f>IF($A232="","",VALUE(LEFT($A232,4))*4+VALUE(RIGHT($A232,1)))</f>
        <v/>
      </c>
      <c r="C232" s="19" t="n"/>
      <c r="D232" s="14">
        <f>IFERROR(INDEX(Pessoas!$B$5:$B$64,MATCH($C232,Pessoas!$A$5:$A$64,0)),"")</f>
        <v/>
      </c>
      <c r="E232" s="19" t="n"/>
      <c r="F232" s="14">
        <f>IFERROR(INDEX(Pessoas!$D$5:$D$64,MATCH($C232,Pessoas!$A$5:$A$64,0)),"")</f>
        <v/>
      </c>
      <c r="G232" s="19" t="n"/>
      <c r="H232" s="14">
        <f>IFERROR(INDEX(Config!$B$40:$B$45,MATCH($G232,Config!$C$40:$C$45,0)),"")</f>
        <v/>
      </c>
      <c r="I232" s="14">
        <f>IFERROR(INDEX(Config!$D$40:$D$45,MATCH($G232,Config!$C$40:$C$45,0)),"")</f>
        <v/>
      </c>
      <c r="J232" s="19" t="n"/>
      <c r="K232" s="19" t="n"/>
      <c r="L232" s="19" t="n"/>
      <c r="M232" s="19" t="n"/>
      <c r="N232" s="14">
        <f>IF(AND(ISNUMBER($J232),ISNUMBER($K232)),ABS($J232-$K232),"")</f>
        <v/>
      </c>
      <c r="O232" s="14">
        <f>IF(AND(NOT(ISNUMBER($J232)),NOT(ISNUMBER($K232))),"",IF(NOT(ISNUMBER($K232)),$J232,IF(NOT(ISNUMBER($J232)),$K232,IF($N232=0,$J232,IF(AND($N232=1,$T232&lt;&gt;"Sim"),IF($I232="Líder Técnico",$K232,IF($I232="GP",$J232,"CALIBRAR")),"CALIBRAR")))))</f>
        <v/>
      </c>
      <c r="P232" s="19" t="n"/>
      <c r="Q232" s="19" t="n"/>
      <c r="R232" s="14">
        <f>IF($P232="","",IF(AND(ISNUMBER($J232),$P232=$J232,ISNUMBER($K232),$P232=$K232),"= ambos",IF(AND(ISNUMBER($J232),$P232=$J232),"= GP",IF(AND(ISNUMBER($K232),$P232=$K232),"= LT","nenhuma das duas"))))</f>
        <v/>
      </c>
      <c r="S232" s="19" t="n"/>
      <c r="T232" s="19" t="n"/>
      <c r="U232" s="14">
        <f>IF($C232="","",COUNTIFS('Ocorrências'!$V$5:$V$604,$C232&amp;"|"&amp;$B232&amp;"|"&amp;$G232,'Ocorrências'!$X$5:$X$604,"Sim"))</f>
        <v/>
      </c>
      <c r="V232" s="14">
        <f>IF($P232="","",IF(OR($P232=1,$P232=2,$P232=5),IF($U232&gt;0,"OK","SEM LASTRO"),"OK"))</f>
        <v/>
      </c>
      <c r="W232" s="19" t="n"/>
      <c r="X232" s="18" t="n"/>
      <c r="Y232" s="14">
        <f>IF($C232="","",$C232&amp;"|"&amp;$B232)</f>
        <v/>
      </c>
      <c r="Z232" s="14">
        <f>IF($C232="","",$C232&amp;"|"&amp;$B232&amp;"|"&amp;$H232)</f>
        <v/>
      </c>
      <c r="AA232" s="14">
        <f>IF($C232="","",$C232&amp;"|"&amp;$B232&amp;"|"&amp;$G232)</f>
        <v/>
      </c>
    </row>
    <row r="233">
      <c r="A233" s="19" t="n"/>
      <c r="B233" s="14">
        <f>IF($A233="","",VALUE(LEFT($A233,4))*4+VALUE(RIGHT($A233,1)))</f>
        <v/>
      </c>
      <c r="C233" s="19" t="n"/>
      <c r="D233" s="14">
        <f>IFERROR(INDEX(Pessoas!$B$5:$B$64,MATCH($C233,Pessoas!$A$5:$A$64,0)),"")</f>
        <v/>
      </c>
      <c r="E233" s="19" t="n"/>
      <c r="F233" s="14">
        <f>IFERROR(INDEX(Pessoas!$D$5:$D$64,MATCH($C233,Pessoas!$A$5:$A$64,0)),"")</f>
        <v/>
      </c>
      <c r="G233" s="19" t="n"/>
      <c r="H233" s="14">
        <f>IFERROR(INDEX(Config!$B$40:$B$45,MATCH($G233,Config!$C$40:$C$45,0)),"")</f>
        <v/>
      </c>
      <c r="I233" s="14">
        <f>IFERROR(INDEX(Config!$D$40:$D$45,MATCH($G233,Config!$C$40:$C$45,0)),"")</f>
        <v/>
      </c>
      <c r="J233" s="19" t="n"/>
      <c r="K233" s="19" t="n"/>
      <c r="L233" s="19" t="n"/>
      <c r="M233" s="19" t="n"/>
      <c r="N233" s="14">
        <f>IF(AND(ISNUMBER($J233),ISNUMBER($K233)),ABS($J233-$K233),"")</f>
        <v/>
      </c>
      <c r="O233" s="14">
        <f>IF(AND(NOT(ISNUMBER($J233)),NOT(ISNUMBER($K233))),"",IF(NOT(ISNUMBER($K233)),$J233,IF(NOT(ISNUMBER($J233)),$K233,IF($N233=0,$J233,IF(AND($N233=1,$T233&lt;&gt;"Sim"),IF($I233="Líder Técnico",$K233,IF($I233="GP",$J233,"CALIBRAR")),"CALIBRAR")))))</f>
        <v/>
      </c>
      <c r="P233" s="19" t="n"/>
      <c r="Q233" s="19" t="n"/>
      <c r="R233" s="14">
        <f>IF($P233="","",IF(AND(ISNUMBER($J233),$P233=$J233,ISNUMBER($K233),$P233=$K233),"= ambos",IF(AND(ISNUMBER($J233),$P233=$J233),"= GP",IF(AND(ISNUMBER($K233),$P233=$K233),"= LT","nenhuma das duas"))))</f>
        <v/>
      </c>
      <c r="S233" s="19" t="n"/>
      <c r="T233" s="19" t="n"/>
      <c r="U233" s="14">
        <f>IF($C233="","",COUNTIFS('Ocorrências'!$V$5:$V$604,$C233&amp;"|"&amp;$B233&amp;"|"&amp;$G233,'Ocorrências'!$X$5:$X$604,"Sim"))</f>
        <v/>
      </c>
      <c r="V233" s="14">
        <f>IF($P233="","",IF(OR($P233=1,$P233=2,$P233=5),IF($U233&gt;0,"OK","SEM LASTRO"),"OK"))</f>
        <v/>
      </c>
      <c r="W233" s="19" t="n"/>
      <c r="X233" s="18" t="n"/>
      <c r="Y233" s="14">
        <f>IF($C233="","",$C233&amp;"|"&amp;$B233)</f>
        <v/>
      </c>
      <c r="Z233" s="14">
        <f>IF($C233="","",$C233&amp;"|"&amp;$B233&amp;"|"&amp;$H233)</f>
        <v/>
      </c>
      <c r="AA233" s="14">
        <f>IF($C233="","",$C233&amp;"|"&amp;$B233&amp;"|"&amp;$G233)</f>
        <v/>
      </c>
    </row>
    <row r="234">
      <c r="A234" s="19" t="n"/>
      <c r="B234" s="14">
        <f>IF($A234="","",VALUE(LEFT($A234,4))*4+VALUE(RIGHT($A234,1)))</f>
        <v/>
      </c>
      <c r="C234" s="19" t="n"/>
      <c r="D234" s="14">
        <f>IFERROR(INDEX(Pessoas!$B$5:$B$64,MATCH($C234,Pessoas!$A$5:$A$64,0)),"")</f>
        <v/>
      </c>
      <c r="E234" s="19" t="n"/>
      <c r="F234" s="14">
        <f>IFERROR(INDEX(Pessoas!$D$5:$D$64,MATCH($C234,Pessoas!$A$5:$A$64,0)),"")</f>
        <v/>
      </c>
      <c r="G234" s="19" t="n"/>
      <c r="H234" s="14">
        <f>IFERROR(INDEX(Config!$B$40:$B$45,MATCH($G234,Config!$C$40:$C$45,0)),"")</f>
        <v/>
      </c>
      <c r="I234" s="14">
        <f>IFERROR(INDEX(Config!$D$40:$D$45,MATCH($G234,Config!$C$40:$C$45,0)),"")</f>
        <v/>
      </c>
      <c r="J234" s="19" t="n"/>
      <c r="K234" s="19" t="n"/>
      <c r="L234" s="19" t="n"/>
      <c r="M234" s="19" t="n"/>
      <c r="N234" s="14">
        <f>IF(AND(ISNUMBER($J234),ISNUMBER($K234)),ABS($J234-$K234),"")</f>
        <v/>
      </c>
      <c r="O234" s="14">
        <f>IF(AND(NOT(ISNUMBER($J234)),NOT(ISNUMBER($K234))),"",IF(NOT(ISNUMBER($K234)),$J234,IF(NOT(ISNUMBER($J234)),$K234,IF($N234=0,$J234,IF(AND($N234=1,$T234&lt;&gt;"Sim"),IF($I234="Líder Técnico",$K234,IF($I234="GP",$J234,"CALIBRAR")),"CALIBRAR")))))</f>
        <v/>
      </c>
      <c r="P234" s="19" t="n"/>
      <c r="Q234" s="19" t="n"/>
      <c r="R234" s="14">
        <f>IF($P234="","",IF(AND(ISNUMBER($J234),$P234=$J234,ISNUMBER($K234),$P234=$K234),"= ambos",IF(AND(ISNUMBER($J234),$P234=$J234),"= GP",IF(AND(ISNUMBER($K234),$P234=$K234),"= LT","nenhuma das duas"))))</f>
        <v/>
      </c>
      <c r="S234" s="19" t="n"/>
      <c r="T234" s="19" t="n"/>
      <c r="U234" s="14">
        <f>IF($C234="","",COUNTIFS('Ocorrências'!$V$5:$V$604,$C234&amp;"|"&amp;$B234&amp;"|"&amp;$G234,'Ocorrências'!$X$5:$X$604,"Sim"))</f>
        <v/>
      </c>
      <c r="V234" s="14">
        <f>IF($P234="","",IF(OR($P234=1,$P234=2,$P234=5),IF($U234&gt;0,"OK","SEM LASTRO"),"OK"))</f>
        <v/>
      </c>
      <c r="W234" s="19" t="n"/>
      <c r="X234" s="18" t="n"/>
      <c r="Y234" s="14">
        <f>IF($C234="","",$C234&amp;"|"&amp;$B234)</f>
        <v/>
      </c>
      <c r="Z234" s="14">
        <f>IF($C234="","",$C234&amp;"|"&amp;$B234&amp;"|"&amp;$H234)</f>
        <v/>
      </c>
      <c r="AA234" s="14">
        <f>IF($C234="","",$C234&amp;"|"&amp;$B234&amp;"|"&amp;$G234)</f>
        <v/>
      </c>
    </row>
    <row r="235">
      <c r="A235" s="19" t="n"/>
      <c r="B235" s="14">
        <f>IF($A235="","",VALUE(LEFT($A235,4))*4+VALUE(RIGHT($A235,1)))</f>
        <v/>
      </c>
      <c r="C235" s="19" t="n"/>
      <c r="D235" s="14">
        <f>IFERROR(INDEX(Pessoas!$B$5:$B$64,MATCH($C235,Pessoas!$A$5:$A$64,0)),"")</f>
        <v/>
      </c>
      <c r="E235" s="19" t="n"/>
      <c r="F235" s="14">
        <f>IFERROR(INDEX(Pessoas!$D$5:$D$64,MATCH($C235,Pessoas!$A$5:$A$64,0)),"")</f>
        <v/>
      </c>
      <c r="G235" s="19" t="n"/>
      <c r="H235" s="14">
        <f>IFERROR(INDEX(Config!$B$40:$B$45,MATCH($G235,Config!$C$40:$C$45,0)),"")</f>
        <v/>
      </c>
      <c r="I235" s="14">
        <f>IFERROR(INDEX(Config!$D$40:$D$45,MATCH($G235,Config!$C$40:$C$45,0)),"")</f>
        <v/>
      </c>
      <c r="J235" s="19" t="n"/>
      <c r="K235" s="19" t="n"/>
      <c r="L235" s="19" t="n"/>
      <c r="M235" s="19" t="n"/>
      <c r="N235" s="14">
        <f>IF(AND(ISNUMBER($J235),ISNUMBER($K235)),ABS($J235-$K235),"")</f>
        <v/>
      </c>
      <c r="O235" s="14">
        <f>IF(AND(NOT(ISNUMBER($J235)),NOT(ISNUMBER($K235))),"",IF(NOT(ISNUMBER($K235)),$J235,IF(NOT(ISNUMBER($J235)),$K235,IF($N235=0,$J235,IF(AND($N235=1,$T235&lt;&gt;"Sim"),IF($I235="Líder Técnico",$K235,IF($I235="GP",$J235,"CALIBRAR")),"CALIBRAR")))))</f>
        <v/>
      </c>
      <c r="P235" s="19" t="n"/>
      <c r="Q235" s="19" t="n"/>
      <c r="R235" s="14">
        <f>IF($P235="","",IF(AND(ISNUMBER($J235),$P235=$J235,ISNUMBER($K235),$P235=$K235),"= ambos",IF(AND(ISNUMBER($J235),$P235=$J235),"= GP",IF(AND(ISNUMBER($K235),$P235=$K235),"= LT","nenhuma das duas"))))</f>
        <v/>
      </c>
      <c r="S235" s="19" t="n"/>
      <c r="T235" s="19" t="n"/>
      <c r="U235" s="14">
        <f>IF($C235="","",COUNTIFS('Ocorrências'!$V$5:$V$604,$C235&amp;"|"&amp;$B235&amp;"|"&amp;$G235,'Ocorrências'!$X$5:$X$604,"Sim"))</f>
        <v/>
      </c>
      <c r="V235" s="14">
        <f>IF($P235="","",IF(OR($P235=1,$P235=2,$P235=5),IF($U235&gt;0,"OK","SEM LASTRO"),"OK"))</f>
        <v/>
      </c>
      <c r="W235" s="19" t="n"/>
      <c r="X235" s="18" t="n"/>
      <c r="Y235" s="14">
        <f>IF($C235="","",$C235&amp;"|"&amp;$B235)</f>
        <v/>
      </c>
      <c r="Z235" s="14">
        <f>IF($C235="","",$C235&amp;"|"&amp;$B235&amp;"|"&amp;$H235)</f>
        <v/>
      </c>
      <c r="AA235" s="14">
        <f>IF($C235="","",$C235&amp;"|"&amp;$B235&amp;"|"&amp;$G235)</f>
        <v/>
      </c>
    </row>
    <row r="236">
      <c r="A236" s="19" t="n"/>
      <c r="B236" s="14">
        <f>IF($A236="","",VALUE(LEFT($A236,4))*4+VALUE(RIGHT($A236,1)))</f>
        <v/>
      </c>
      <c r="C236" s="19" t="n"/>
      <c r="D236" s="14">
        <f>IFERROR(INDEX(Pessoas!$B$5:$B$64,MATCH($C236,Pessoas!$A$5:$A$64,0)),"")</f>
        <v/>
      </c>
      <c r="E236" s="19" t="n"/>
      <c r="F236" s="14">
        <f>IFERROR(INDEX(Pessoas!$D$5:$D$64,MATCH($C236,Pessoas!$A$5:$A$64,0)),"")</f>
        <v/>
      </c>
      <c r="G236" s="19" t="n"/>
      <c r="H236" s="14">
        <f>IFERROR(INDEX(Config!$B$40:$B$45,MATCH($G236,Config!$C$40:$C$45,0)),"")</f>
        <v/>
      </c>
      <c r="I236" s="14">
        <f>IFERROR(INDEX(Config!$D$40:$D$45,MATCH($G236,Config!$C$40:$C$45,0)),"")</f>
        <v/>
      </c>
      <c r="J236" s="19" t="n"/>
      <c r="K236" s="19" t="n"/>
      <c r="L236" s="19" t="n"/>
      <c r="M236" s="19" t="n"/>
      <c r="N236" s="14">
        <f>IF(AND(ISNUMBER($J236),ISNUMBER($K236)),ABS($J236-$K236),"")</f>
        <v/>
      </c>
      <c r="O236" s="14">
        <f>IF(AND(NOT(ISNUMBER($J236)),NOT(ISNUMBER($K236))),"",IF(NOT(ISNUMBER($K236)),$J236,IF(NOT(ISNUMBER($J236)),$K236,IF($N236=0,$J236,IF(AND($N236=1,$T236&lt;&gt;"Sim"),IF($I236="Líder Técnico",$K236,IF($I236="GP",$J236,"CALIBRAR")),"CALIBRAR")))))</f>
        <v/>
      </c>
      <c r="P236" s="19" t="n"/>
      <c r="Q236" s="19" t="n"/>
      <c r="R236" s="14">
        <f>IF($P236="","",IF(AND(ISNUMBER($J236),$P236=$J236,ISNUMBER($K236),$P236=$K236),"= ambos",IF(AND(ISNUMBER($J236),$P236=$J236),"= GP",IF(AND(ISNUMBER($K236),$P236=$K236),"= LT","nenhuma das duas"))))</f>
        <v/>
      </c>
      <c r="S236" s="19" t="n"/>
      <c r="T236" s="19" t="n"/>
      <c r="U236" s="14">
        <f>IF($C236="","",COUNTIFS('Ocorrências'!$V$5:$V$604,$C236&amp;"|"&amp;$B236&amp;"|"&amp;$G236,'Ocorrências'!$X$5:$X$604,"Sim"))</f>
        <v/>
      </c>
      <c r="V236" s="14">
        <f>IF($P236="","",IF(OR($P236=1,$P236=2,$P236=5),IF($U236&gt;0,"OK","SEM LASTRO"),"OK"))</f>
        <v/>
      </c>
      <c r="W236" s="19" t="n"/>
      <c r="X236" s="18" t="n"/>
      <c r="Y236" s="14">
        <f>IF($C236="","",$C236&amp;"|"&amp;$B236)</f>
        <v/>
      </c>
      <c r="Z236" s="14">
        <f>IF($C236="","",$C236&amp;"|"&amp;$B236&amp;"|"&amp;$H236)</f>
        <v/>
      </c>
      <c r="AA236" s="14">
        <f>IF($C236="","",$C236&amp;"|"&amp;$B236&amp;"|"&amp;$G236)</f>
        <v/>
      </c>
    </row>
    <row r="237">
      <c r="A237" s="19" t="n"/>
      <c r="B237" s="14">
        <f>IF($A237="","",VALUE(LEFT($A237,4))*4+VALUE(RIGHT($A237,1)))</f>
        <v/>
      </c>
      <c r="C237" s="19" t="n"/>
      <c r="D237" s="14">
        <f>IFERROR(INDEX(Pessoas!$B$5:$B$64,MATCH($C237,Pessoas!$A$5:$A$64,0)),"")</f>
        <v/>
      </c>
      <c r="E237" s="19" t="n"/>
      <c r="F237" s="14">
        <f>IFERROR(INDEX(Pessoas!$D$5:$D$64,MATCH($C237,Pessoas!$A$5:$A$64,0)),"")</f>
        <v/>
      </c>
      <c r="G237" s="19" t="n"/>
      <c r="H237" s="14">
        <f>IFERROR(INDEX(Config!$B$40:$B$45,MATCH($G237,Config!$C$40:$C$45,0)),"")</f>
        <v/>
      </c>
      <c r="I237" s="14">
        <f>IFERROR(INDEX(Config!$D$40:$D$45,MATCH($G237,Config!$C$40:$C$45,0)),"")</f>
        <v/>
      </c>
      <c r="J237" s="19" t="n"/>
      <c r="K237" s="19" t="n"/>
      <c r="L237" s="19" t="n"/>
      <c r="M237" s="19" t="n"/>
      <c r="N237" s="14">
        <f>IF(AND(ISNUMBER($J237),ISNUMBER($K237)),ABS($J237-$K237),"")</f>
        <v/>
      </c>
      <c r="O237" s="14">
        <f>IF(AND(NOT(ISNUMBER($J237)),NOT(ISNUMBER($K237))),"",IF(NOT(ISNUMBER($K237)),$J237,IF(NOT(ISNUMBER($J237)),$K237,IF($N237=0,$J237,IF(AND($N237=1,$T237&lt;&gt;"Sim"),IF($I237="Líder Técnico",$K237,IF($I237="GP",$J237,"CALIBRAR")),"CALIBRAR")))))</f>
        <v/>
      </c>
      <c r="P237" s="19" t="n"/>
      <c r="Q237" s="19" t="n"/>
      <c r="R237" s="14">
        <f>IF($P237="","",IF(AND(ISNUMBER($J237),$P237=$J237,ISNUMBER($K237),$P237=$K237),"= ambos",IF(AND(ISNUMBER($J237),$P237=$J237),"= GP",IF(AND(ISNUMBER($K237),$P237=$K237),"= LT","nenhuma das duas"))))</f>
        <v/>
      </c>
      <c r="S237" s="19" t="n"/>
      <c r="T237" s="19" t="n"/>
      <c r="U237" s="14">
        <f>IF($C237="","",COUNTIFS('Ocorrências'!$V$5:$V$604,$C237&amp;"|"&amp;$B237&amp;"|"&amp;$G237,'Ocorrências'!$X$5:$X$604,"Sim"))</f>
        <v/>
      </c>
      <c r="V237" s="14">
        <f>IF($P237="","",IF(OR($P237=1,$P237=2,$P237=5),IF($U237&gt;0,"OK","SEM LASTRO"),"OK"))</f>
        <v/>
      </c>
      <c r="W237" s="19" t="n"/>
      <c r="X237" s="18" t="n"/>
      <c r="Y237" s="14">
        <f>IF($C237="","",$C237&amp;"|"&amp;$B237)</f>
        <v/>
      </c>
      <c r="Z237" s="14">
        <f>IF($C237="","",$C237&amp;"|"&amp;$B237&amp;"|"&amp;$H237)</f>
        <v/>
      </c>
      <c r="AA237" s="14">
        <f>IF($C237="","",$C237&amp;"|"&amp;$B237&amp;"|"&amp;$G237)</f>
        <v/>
      </c>
    </row>
    <row r="238">
      <c r="A238" s="19" t="n"/>
      <c r="B238" s="14">
        <f>IF($A238="","",VALUE(LEFT($A238,4))*4+VALUE(RIGHT($A238,1)))</f>
        <v/>
      </c>
      <c r="C238" s="19" t="n"/>
      <c r="D238" s="14">
        <f>IFERROR(INDEX(Pessoas!$B$5:$B$64,MATCH($C238,Pessoas!$A$5:$A$64,0)),"")</f>
        <v/>
      </c>
      <c r="E238" s="19" t="n"/>
      <c r="F238" s="14">
        <f>IFERROR(INDEX(Pessoas!$D$5:$D$64,MATCH($C238,Pessoas!$A$5:$A$64,0)),"")</f>
        <v/>
      </c>
      <c r="G238" s="19" t="n"/>
      <c r="H238" s="14">
        <f>IFERROR(INDEX(Config!$B$40:$B$45,MATCH($G238,Config!$C$40:$C$45,0)),"")</f>
        <v/>
      </c>
      <c r="I238" s="14">
        <f>IFERROR(INDEX(Config!$D$40:$D$45,MATCH($G238,Config!$C$40:$C$45,0)),"")</f>
        <v/>
      </c>
      <c r="J238" s="19" t="n"/>
      <c r="K238" s="19" t="n"/>
      <c r="L238" s="19" t="n"/>
      <c r="M238" s="19" t="n"/>
      <c r="N238" s="14">
        <f>IF(AND(ISNUMBER($J238),ISNUMBER($K238)),ABS($J238-$K238),"")</f>
        <v/>
      </c>
      <c r="O238" s="14">
        <f>IF(AND(NOT(ISNUMBER($J238)),NOT(ISNUMBER($K238))),"",IF(NOT(ISNUMBER($K238)),$J238,IF(NOT(ISNUMBER($J238)),$K238,IF($N238=0,$J238,IF(AND($N238=1,$T238&lt;&gt;"Sim"),IF($I238="Líder Técnico",$K238,IF($I238="GP",$J238,"CALIBRAR")),"CALIBRAR")))))</f>
        <v/>
      </c>
      <c r="P238" s="19" t="n"/>
      <c r="Q238" s="19" t="n"/>
      <c r="R238" s="14">
        <f>IF($P238="","",IF(AND(ISNUMBER($J238),$P238=$J238,ISNUMBER($K238),$P238=$K238),"= ambos",IF(AND(ISNUMBER($J238),$P238=$J238),"= GP",IF(AND(ISNUMBER($K238),$P238=$K238),"= LT","nenhuma das duas"))))</f>
        <v/>
      </c>
      <c r="S238" s="19" t="n"/>
      <c r="T238" s="19" t="n"/>
      <c r="U238" s="14">
        <f>IF($C238="","",COUNTIFS('Ocorrências'!$V$5:$V$604,$C238&amp;"|"&amp;$B238&amp;"|"&amp;$G238,'Ocorrências'!$X$5:$X$604,"Sim"))</f>
        <v/>
      </c>
      <c r="V238" s="14">
        <f>IF($P238="","",IF(OR($P238=1,$P238=2,$P238=5),IF($U238&gt;0,"OK","SEM LASTRO"),"OK"))</f>
        <v/>
      </c>
      <c r="W238" s="19" t="n"/>
      <c r="X238" s="18" t="n"/>
      <c r="Y238" s="14">
        <f>IF($C238="","",$C238&amp;"|"&amp;$B238)</f>
        <v/>
      </c>
      <c r="Z238" s="14">
        <f>IF($C238="","",$C238&amp;"|"&amp;$B238&amp;"|"&amp;$H238)</f>
        <v/>
      </c>
      <c r="AA238" s="14">
        <f>IF($C238="","",$C238&amp;"|"&amp;$B238&amp;"|"&amp;$G238)</f>
        <v/>
      </c>
    </row>
    <row r="239">
      <c r="A239" s="19" t="n"/>
      <c r="B239" s="14">
        <f>IF($A239="","",VALUE(LEFT($A239,4))*4+VALUE(RIGHT($A239,1)))</f>
        <v/>
      </c>
      <c r="C239" s="19" t="n"/>
      <c r="D239" s="14">
        <f>IFERROR(INDEX(Pessoas!$B$5:$B$64,MATCH($C239,Pessoas!$A$5:$A$64,0)),"")</f>
        <v/>
      </c>
      <c r="E239" s="19" t="n"/>
      <c r="F239" s="14">
        <f>IFERROR(INDEX(Pessoas!$D$5:$D$64,MATCH($C239,Pessoas!$A$5:$A$64,0)),"")</f>
        <v/>
      </c>
      <c r="G239" s="19" t="n"/>
      <c r="H239" s="14">
        <f>IFERROR(INDEX(Config!$B$40:$B$45,MATCH($G239,Config!$C$40:$C$45,0)),"")</f>
        <v/>
      </c>
      <c r="I239" s="14">
        <f>IFERROR(INDEX(Config!$D$40:$D$45,MATCH($G239,Config!$C$40:$C$45,0)),"")</f>
        <v/>
      </c>
      <c r="J239" s="19" t="n"/>
      <c r="K239" s="19" t="n"/>
      <c r="L239" s="19" t="n"/>
      <c r="M239" s="19" t="n"/>
      <c r="N239" s="14">
        <f>IF(AND(ISNUMBER($J239),ISNUMBER($K239)),ABS($J239-$K239),"")</f>
        <v/>
      </c>
      <c r="O239" s="14">
        <f>IF(AND(NOT(ISNUMBER($J239)),NOT(ISNUMBER($K239))),"",IF(NOT(ISNUMBER($K239)),$J239,IF(NOT(ISNUMBER($J239)),$K239,IF($N239=0,$J239,IF(AND($N239=1,$T239&lt;&gt;"Sim"),IF($I239="Líder Técnico",$K239,IF($I239="GP",$J239,"CALIBRAR")),"CALIBRAR")))))</f>
        <v/>
      </c>
      <c r="P239" s="19" t="n"/>
      <c r="Q239" s="19" t="n"/>
      <c r="R239" s="14">
        <f>IF($P239="","",IF(AND(ISNUMBER($J239),$P239=$J239,ISNUMBER($K239),$P239=$K239),"= ambos",IF(AND(ISNUMBER($J239),$P239=$J239),"= GP",IF(AND(ISNUMBER($K239),$P239=$K239),"= LT","nenhuma das duas"))))</f>
        <v/>
      </c>
      <c r="S239" s="19" t="n"/>
      <c r="T239" s="19" t="n"/>
      <c r="U239" s="14">
        <f>IF($C239="","",COUNTIFS('Ocorrências'!$V$5:$V$604,$C239&amp;"|"&amp;$B239&amp;"|"&amp;$G239,'Ocorrências'!$X$5:$X$604,"Sim"))</f>
        <v/>
      </c>
      <c r="V239" s="14">
        <f>IF($P239="","",IF(OR($P239=1,$P239=2,$P239=5),IF($U239&gt;0,"OK","SEM LASTRO"),"OK"))</f>
        <v/>
      </c>
      <c r="W239" s="19" t="n"/>
      <c r="X239" s="18" t="n"/>
      <c r="Y239" s="14">
        <f>IF($C239="","",$C239&amp;"|"&amp;$B239)</f>
        <v/>
      </c>
      <c r="Z239" s="14">
        <f>IF($C239="","",$C239&amp;"|"&amp;$B239&amp;"|"&amp;$H239)</f>
        <v/>
      </c>
      <c r="AA239" s="14">
        <f>IF($C239="","",$C239&amp;"|"&amp;$B239&amp;"|"&amp;$G239)</f>
        <v/>
      </c>
    </row>
    <row r="240">
      <c r="A240" s="19" t="n"/>
      <c r="B240" s="14">
        <f>IF($A240="","",VALUE(LEFT($A240,4))*4+VALUE(RIGHT($A240,1)))</f>
        <v/>
      </c>
      <c r="C240" s="19" t="n"/>
      <c r="D240" s="14">
        <f>IFERROR(INDEX(Pessoas!$B$5:$B$64,MATCH($C240,Pessoas!$A$5:$A$64,0)),"")</f>
        <v/>
      </c>
      <c r="E240" s="19" t="n"/>
      <c r="F240" s="14">
        <f>IFERROR(INDEX(Pessoas!$D$5:$D$64,MATCH($C240,Pessoas!$A$5:$A$64,0)),"")</f>
        <v/>
      </c>
      <c r="G240" s="19" t="n"/>
      <c r="H240" s="14">
        <f>IFERROR(INDEX(Config!$B$40:$B$45,MATCH($G240,Config!$C$40:$C$45,0)),"")</f>
        <v/>
      </c>
      <c r="I240" s="14">
        <f>IFERROR(INDEX(Config!$D$40:$D$45,MATCH($G240,Config!$C$40:$C$45,0)),"")</f>
        <v/>
      </c>
      <c r="J240" s="19" t="n"/>
      <c r="K240" s="19" t="n"/>
      <c r="L240" s="19" t="n"/>
      <c r="M240" s="19" t="n"/>
      <c r="N240" s="14">
        <f>IF(AND(ISNUMBER($J240),ISNUMBER($K240)),ABS($J240-$K240),"")</f>
        <v/>
      </c>
      <c r="O240" s="14">
        <f>IF(AND(NOT(ISNUMBER($J240)),NOT(ISNUMBER($K240))),"",IF(NOT(ISNUMBER($K240)),$J240,IF(NOT(ISNUMBER($J240)),$K240,IF($N240=0,$J240,IF(AND($N240=1,$T240&lt;&gt;"Sim"),IF($I240="Líder Técnico",$K240,IF($I240="GP",$J240,"CALIBRAR")),"CALIBRAR")))))</f>
        <v/>
      </c>
      <c r="P240" s="19" t="n"/>
      <c r="Q240" s="19" t="n"/>
      <c r="R240" s="14">
        <f>IF($P240="","",IF(AND(ISNUMBER($J240),$P240=$J240,ISNUMBER($K240),$P240=$K240),"= ambos",IF(AND(ISNUMBER($J240),$P240=$J240),"= GP",IF(AND(ISNUMBER($K240),$P240=$K240),"= LT","nenhuma das duas"))))</f>
        <v/>
      </c>
      <c r="S240" s="19" t="n"/>
      <c r="T240" s="19" t="n"/>
      <c r="U240" s="14">
        <f>IF($C240="","",COUNTIFS('Ocorrências'!$V$5:$V$604,$C240&amp;"|"&amp;$B240&amp;"|"&amp;$G240,'Ocorrências'!$X$5:$X$604,"Sim"))</f>
        <v/>
      </c>
      <c r="V240" s="14">
        <f>IF($P240="","",IF(OR($P240=1,$P240=2,$P240=5),IF($U240&gt;0,"OK","SEM LASTRO"),"OK"))</f>
        <v/>
      </c>
      <c r="W240" s="19" t="n"/>
      <c r="X240" s="18" t="n"/>
      <c r="Y240" s="14">
        <f>IF($C240="","",$C240&amp;"|"&amp;$B240)</f>
        <v/>
      </c>
      <c r="Z240" s="14">
        <f>IF($C240="","",$C240&amp;"|"&amp;$B240&amp;"|"&amp;$H240)</f>
        <v/>
      </c>
      <c r="AA240" s="14">
        <f>IF($C240="","",$C240&amp;"|"&amp;$B240&amp;"|"&amp;$G240)</f>
        <v/>
      </c>
    </row>
    <row r="241">
      <c r="A241" s="19" t="n"/>
      <c r="B241" s="14">
        <f>IF($A241="","",VALUE(LEFT($A241,4))*4+VALUE(RIGHT($A241,1)))</f>
        <v/>
      </c>
      <c r="C241" s="19" t="n"/>
      <c r="D241" s="14">
        <f>IFERROR(INDEX(Pessoas!$B$5:$B$64,MATCH($C241,Pessoas!$A$5:$A$64,0)),"")</f>
        <v/>
      </c>
      <c r="E241" s="19" t="n"/>
      <c r="F241" s="14">
        <f>IFERROR(INDEX(Pessoas!$D$5:$D$64,MATCH($C241,Pessoas!$A$5:$A$64,0)),"")</f>
        <v/>
      </c>
      <c r="G241" s="19" t="n"/>
      <c r="H241" s="14">
        <f>IFERROR(INDEX(Config!$B$40:$B$45,MATCH($G241,Config!$C$40:$C$45,0)),"")</f>
        <v/>
      </c>
      <c r="I241" s="14">
        <f>IFERROR(INDEX(Config!$D$40:$D$45,MATCH($G241,Config!$C$40:$C$45,0)),"")</f>
        <v/>
      </c>
      <c r="J241" s="19" t="n"/>
      <c r="K241" s="19" t="n"/>
      <c r="L241" s="19" t="n"/>
      <c r="M241" s="19" t="n"/>
      <c r="N241" s="14">
        <f>IF(AND(ISNUMBER($J241),ISNUMBER($K241)),ABS($J241-$K241),"")</f>
        <v/>
      </c>
      <c r="O241" s="14">
        <f>IF(AND(NOT(ISNUMBER($J241)),NOT(ISNUMBER($K241))),"",IF(NOT(ISNUMBER($K241)),$J241,IF(NOT(ISNUMBER($J241)),$K241,IF($N241=0,$J241,IF(AND($N241=1,$T241&lt;&gt;"Sim"),IF($I241="Líder Técnico",$K241,IF($I241="GP",$J241,"CALIBRAR")),"CALIBRAR")))))</f>
        <v/>
      </c>
      <c r="P241" s="19" t="n"/>
      <c r="Q241" s="19" t="n"/>
      <c r="R241" s="14">
        <f>IF($P241="","",IF(AND(ISNUMBER($J241),$P241=$J241,ISNUMBER($K241),$P241=$K241),"= ambos",IF(AND(ISNUMBER($J241),$P241=$J241),"= GP",IF(AND(ISNUMBER($K241),$P241=$K241),"= LT","nenhuma das duas"))))</f>
        <v/>
      </c>
      <c r="S241" s="19" t="n"/>
      <c r="T241" s="19" t="n"/>
      <c r="U241" s="14">
        <f>IF($C241="","",COUNTIFS('Ocorrências'!$V$5:$V$604,$C241&amp;"|"&amp;$B241&amp;"|"&amp;$G241,'Ocorrências'!$X$5:$X$604,"Sim"))</f>
        <v/>
      </c>
      <c r="V241" s="14">
        <f>IF($P241="","",IF(OR($P241=1,$P241=2,$P241=5),IF($U241&gt;0,"OK","SEM LASTRO"),"OK"))</f>
        <v/>
      </c>
      <c r="W241" s="19" t="n"/>
      <c r="X241" s="18" t="n"/>
      <c r="Y241" s="14">
        <f>IF($C241="","",$C241&amp;"|"&amp;$B241)</f>
        <v/>
      </c>
      <c r="Z241" s="14">
        <f>IF($C241="","",$C241&amp;"|"&amp;$B241&amp;"|"&amp;$H241)</f>
        <v/>
      </c>
      <c r="AA241" s="14">
        <f>IF($C241="","",$C241&amp;"|"&amp;$B241&amp;"|"&amp;$G241)</f>
        <v/>
      </c>
    </row>
    <row r="242">
      <c r="A242" s="19" t="n"/>
      <c r="B242" s="14">
        <f>IF($A242="","",VALUE(LEFT($A242,4))*4+VALUE(RIGHT($A242,1)))</f>
        <v/>
      </c>
      <c r="C242" s="19" t="n"/>
      <c r="D242" s="14">
        <f>IFERROR(INDEX(Pessoas!$B$5:$B$64,MATCH($C242,Pessoas!$A$5:$A$64,0)),"")</f>
        <v/>
      </c>
      <c r="E242" s="19" t="n"/>
      <c r="F242" s="14">
        <f>IFERROR(INDEX(Pessoas!$D$5:$D$64,MATCH($C242,Pessoas!$A$5:$A$64,0)),"")</f>
        <v/>
      </c>
      <c r="G242" s="19" t="n"/>
      <c r="H242" s="14">
        <f>IFERROR(INDEX(Config!$B$40:$B$45,MATCH($G242,Config!$C$40:$C$45,0)),"")</f>
        <v/>
      </c>
      <c r="I242" s="14">
        <f>IFERROR(INDEX(Config!$D$40:$D$45,MATCH($G242,Config!$C$40:$C$45,0)),"")</f>
        <v/>
      </c>
      <c r="J242" s="19" t="n"/>
      <c r="K242" s="19" t="n"/>
      <c r="L242" s="19" t="n"/>
      <c r="M242" s="19" t="n"/>
      <c r="N242" s="14">
        <f>IF(AND(ISNUMBER($J242),ISNUMBER($K242)),ABS($J242-$K242),"")</f>
        <v/>
      </c>
      <c r="O242" s="14">
        <f>IF(AND(NOT(ISNUMBER($J242)),NOT(ISNUMBER($K242))),"",IF(NOT(ISNUMBER($K242)),$J242,IF(NOT(ISNUMBER($J242)),$K242,IF($N242=0,$J242,IF(AND($N242=1,$T242&lt;&gt;"Sim"),IF($I242="Líder Técnico",$K242,IF($I242="GP",$J242,"CALIBRAR")),"CALIBRAR")))))</f>
        <v/>
      </c>
      <c r="P242" s="19" t="n"/>
      <c r="Q242" s="19" t="n"/>
      <c r="R242" s="14">
        <f>IF($P242="","",IF(AND(ISNUMBER($J242),$P242=$J242,ISNUMBER($K242),$P242=$K242),"= ambos",IF(AND(ISNUMBER($J242),$P242=$J242),"= GP",IF(AND(ISNUMBER($K242),$P242=$K242),"= LT","nenhuma das duas"))))</f>
        <v/>
      </c>
      <c r="S242" s="19" t="n"/>
      <c r="T242" s="19" t="n"/>
      <c r="U242" s="14">
        <f>IF($C242="","",COUNTIFS('Ocorrências'!$V$5:$V$604,$C242&amp;"|"&amp;$B242&amp;"|"&amp;$G242,'Ocorrências'!$X$5:$X$604,"Sim"))</f>
        <v/>
      </c>
      <c r="V242" s="14">
        <f>IF($P242="","",IF(OR($P242=1,$P242=2,$P242=5),IF($U242&gt;0,"OK","SEM LASTRO"),"OK"))</f>
        <v/>
      </c>
      <c r="W242" s="19" t="n"/>
      <c r="X242" s="18" t="n"/>
      <c r="Y242" s="14">
        <f>IF($C242="","",$C242&amp;"|"&amp;$B242)</f>
        <v/>
      </c>
      <c r="Z242" s="14">
        <f>IF($C242="","",$C242&amp;"|"&amp;$B242&amp;"|"&amp;$H242)</f>
        <v/>
      </c>
      <c r="AA242" s="14">
        <f>IF($C242="","",$C242&amp;"|"&amp;$B242&amp;"|"&amp;$G242)</f>
        <v/>
      </c>
    </row>
    <row r="243">
      <c r="A243" s="19" t="n"/>
      <c r="B243" s="14">
        <f>IF($A243="","",VALUE(LEFT($A243,4))*4+VALUE(RIGHT($A243,1)))</f>
        <v/>
      </c>
      <c r="C243" s="19" t="n"/>
      <c r="D243" s="14">
        <f>IFERROR(INDEX(Pessoas!$B$5:$B$64,MATCH($C243,Pessoas!$A$5:$A$64,0)),"")</f>
        <v/>
      </c>
      <c r="E243" s="19" t="n"/>
      <c r="F243" s="14">
        <f>IFERROR(INDEX(Pessoas!$D$5:$D$64,MATCH($C243,Pessoas!$A$5:$A$64,0)),"")</f>
        <v/>
      </c>
      <c r="G243" s="19" t="n"/>
      <c r="H243" s="14">
        <f>IFERROR(INDEX(Config!$B$40:$B$45,MATCH($G243,Config!$C$40:$C$45,0)),"")</f>
        <v/>
      </c>
      <c r="I243" s="14">
        <f>IFERROR(INDEX(Config!$D$40:$D$45,MATCH($G243,Config!$C$40:$C$45,0)),"")</f>
        <v/>
      </c>
      <c r="J243" s="19" t="n"/>
      <c r="K243" s="19" t="n"/>
      <c r="L243" s="19" t="n"/>
      <c r="M243" s="19" t="n"/>
      <c r="N243" s="14">
        <f>IF(AND(ISNUMBER($J243),ISNUMBER($K243)),ABS($J243-$K243),"")</f>
        <v/>
      </c>
      <c r="O243" s="14">
        <f>IF(AND(NOT(ISNUMBER($J243)),NOT(ISNUMBER($K243))),"",IF(NOT(ISNUMBER($K243)),$J243,IF(NOT(ISNUMBER($J243)),$K243,IF($N243=0,$J243,IF(AND($N243=1,$T243&lt;&gt;"Sim"),IF($I243="Líder Técnico",$K243,IF($I243="GP",$J243,"CALIBRAR")),"CALIBRAR")))))</f>
        <v/>
      </c>
      <c r="P243" s="19" t="n"/>
      <c r="Q243" s="19" t="n"/>
      <c r="R243" s="14">
        <f>IF($P243="","",IF(AND(ISNUMBER($J243),$P243=$J243,ISNUMBER($K243),$P243=$K243),"= ambos",IF(AND(ISNUMBER($J243),$P243=$J243),"= GP",IF(AND(ISNUMBER($K243),$P243=$K243),"= LT","nenhuma das duas"))))</f>
        <v/>
      </c>
      <c r="S243" s="19" t="n"/>
      <c r="T243" s="19" t="n"/>
      <c r="U243" s="14">
        <f>IF($C243="","",COUNTIFS('Ocorrências'!$V$5:$V$604,$C243&amp;"|"&amp;$B243&amp;"|"&amp;$G243,'Ocorrências'!$X$5:$X$604,"Sim"))</f>
        <v/>
      </c>
      <c r="V243" s="14">
        <f>IF($P243="","",IF(OR($P243=1,$P243=2,$P243=5),IF($U243&gt;0,"OK","SEM LASTRO"),"OK"))</f>
        <v/>
      </c>
      <c r="W243" s="19" t="n"/>
      <c r="X243" s="18" t="n"/>
      <c r="Y243" s="14">
        <f>IF($C243="","",$C243&amp;"|"&amp;$B243)</f>
        <v/>
      </c>
      <c r="Z243" s="14">
        <f>IF($C243="","",$C243&amp;"|"&amp;$B243&amp;"|"&amp;$H243)</f>
        <v/>
      </c>
      <c r="AA243" s="14">
        <f>IF($C243="","",$C243&amp;"|"&amp;$B243&amp;"|"&amp;$G243)</f>
        <v/>
      </c>
    </row>
    <row r="244">
      <c r="A244" s="19" t="n"/>
      <c r="B244" s="14">
        <f>IF($A244="","",VALUE(LEFT($A244,4))*4+VALUE(RIGHT($A244,1)))</f>
        <v/>
      </c>
      <c r="C244" s="19" t="n"/>
      <c r="D244" s="14">
        <f>IFERROR(INDEX(Pessoas!$B$5:$B$64,MATCH($C244,Pessoas!$A$5:$A$64,0)),"")</f>
        <v/>
      </c>
      <c r="E244" s="19" t="n"/>
      <c r="F244" s="14">
        <f>IFERROR(INDEX(Pessoas!$D$5:$D$64,MATCH($C244,Pessoas!$A$5:$A$64,0)),"")</f>
        <v/>
      </c>
      <c r="G244" s="19" t="n"/>
      <c r="H244" s="14">
        <f>IFERROR(INDEX(Config!$B$40:$B$45,MATCH($G244,Config!$C$40:$C$45,0)),"")</f>
        <v/>
      </c>
      <c r="I244" s="14">
        <f>IFERROR(INDEX(Config!$D$40:$D$45,MATCH($G244,Config!$C$40:$C$45,0)),"")</f>
        <v/>
      </c>
      <c r="J244" s="19" t="n"/>
      <c r="K244" s="19" t="n"/>
      <c r="L244" s="19" t="n"/>
      <c r="M244" s="19" t="n"/>
      <c r="N244" s="14">
        <f>IF(AND(ISNUMBER($J244),ISNUMBER($K244)),ABS($J244-$K244),"")</f>
        <v/>
      </c>
      <c r="O244" s="14">
        <f>IF(AND(NOT(ISNUMBER($J244)),NOT(ISNUMBER($K244))),"",IF(NOT(ISNUMBER($K244)),$J244,IF(NOT(ISNUMBER($J244)),$K244,IF($N244=0,$J244,IF(AND($N244=1,$T244&lt;&gt;"Sim"),IF($I244="Líder Técnico",$K244,IF($I244="GP",$J244,"CALIBRAR")),"CALIBRAR")))))</f>
        <v/>
      </c>
      <c r="P244" s="19" t="n"/>
      <c r="Q244" s="19" t="n"/>
      <c r="R244" s="14">
        <f>IF($P244="","",IF(AND(ISNUMBER($J244),$P244=$J244,ISNUMBER($K244),$P244=$K244),"= ambos",IF(AND(ISNUMBER($J244),$P244=$J244),"= GP",IF(AND(ISNUMBER($K244),$P244=$K244),"= LT","nenhuma das duas"))))</f>
        <v/>
      </c>
      <c r="S244" s="19" t="n"/>
      <c r="T244" s="19" t="n"/>
      <c r="U244" s="14">
        <f>IF($C244="","",COUNTIFS('Ocorrências'!$V$5:$V$604,$C244&amp;"|"&amp;$B244&amp;"|"&amp;$G244,'Ocorrências'!$X$5:$X$604,"Sim"))</f>
        <v/>
      </c>
      <c r="V244" s="14">
        <f>IF($P244="","",IF(OR($P244=1,$P244=2,$P244=5),IF($U244&gt;0,"OK","SEM LASTRO"),"OK"))</f>
        <v/>
      </c>
      <c r="W244" s="19" t="n"/>
      <c r="X244" s="18" t="n"/>
      <c r="Y244" s="14">
        <f>IF($C244="","",$C244&amp;"|"&amp;$B244)</f>
        <v/>
      </c>
      <c r="Z244" s="14">
        <f>IF($C244="","",$C244&amp;"|"&amp;$B244&amp;"|"&amp;$H244)</f>
        <v/>
      </c>
      <c r="AA244" s="14">
        <f>IF($C244="","",$C244&amp;"|"&amp;$B244&amp;"|"&amp;$G244)</f>
        <v/>
      </c>
    </row>
    <row r="245">
      <c r="A245" s="19" t="n"/>
      <c r="B245" s="14">
        <f>IF($A245="","",VALUE(LEFT($A245,4))*4+VALUE(RIGHT($A245,1)))</f>
        <v/>
      </c>
      <c r="C245" s="19" t="n"/>
      <c r="D245" s="14">
        <f>IFERROR(INDEX(Pessoas!$B$5:$B$64,MATCH($C245,Pessoas!$A$5:$A$64,0)),"")</f>
        <v/>
      </c>
      <c r="E245" s="19" t="n"/>
      <c r="F245" s="14">
        <f>IFERROR(INDEX(Pessoas!$D$5:$D$64,MATCH($C245,Pessoas!$A$5:$A$64,0)),"")</f>
        <v/>
      </c>
      <c r="G245" s="19" t="n"/>
      <c r="H245" s="14">
        <f>IFERROR(INDEX(Config!$B$40:$B$45,MATCH($G245,Config!$C$40:$C$45,0)),"")</f>
        <v/>
      </c>
      <c r="I245" s="14">
        <f>IFERROR(INDEX(Config!$D$40:$D$45,MATCH($G245,Config!$C$40:$C$45,0)),"")</f>
        <v/>
      </c>
      <c r="J245" s="19" t="n"/>
      <c r="K245" s="19" t="n"/>
      <c r="L245" s="19" t="n"/>
      <c r="M245" s="19" t="n"/>
      <c r="N245" s="14">
        <f>IF(AND(ISNUMBER($J245),ISNUMBER($K245)),ABS($J245-$K245),"")</f>
        <v/>
      </c>
      <c r="O245" s="14">
        <f>IF(AND(NOT(ISNUMBER($J245)),NOT(ISNUMBER($K245))),"",IF(NOT(ISNUMBER($K245)),$J245,IF(NOT(ISNUMBER($J245)),$K245,IF($N245=0,$J245,IF(AND($N245=1,$T245&lt;&gt;"Sim"),IF($I245="Líder Técnico",$K245,IF($I245="GP",$J245,"CALIBRAR")),"CALIBRAR")))))</f>
        <v/>
      </c>
      <c r="P245" s="19" t="n"/>
      <c r="Q245" s="19" t="n"/>
      <c r="R245" s="14">
        <f>IF($P245="","",IF(AND(ISNUMBER($J245),$P245=$J245,ISNUMBER($K245),$P245=$K245),"= ambos",IF(AND(ISNUMBER($J245),$P245=$J245),"= GP",IF(AND(ISNUMBER($K245),$P245=$K245),"= LT","nenhuma das duas"))))</f>
        <v/>
      </c>
      <c r="S245" s="19" t="n"/>
      <c r="T245" s="19" t="n"/>
      <c r="U245" s="14">
        <f>IF($C245="","",COUNTIFS('Ocorrências'!$V$5:$V$604,$C245&amp;"|"&amp;$B245&amp;"|"&amp;$G245,'Ocorrências'!$X$5:$X$604,"Sim"))</f>
        <v/>
      </c>
      <c r="V245" s="14">
        <f>IF($P245="","",IF(OR($P245=1,$P245=2,$P245=5),IF($U245&gt;0,"OK","SEM LASTRO"),"OK"))</f>
        <v/>
      </c>
      <c r="W245" s="19" t="n"/>
      <c r="X245" s="18" t="n"/>
      <c r="Y245" s="14">
        <f>IF($C245="","",$C245&amp;"|"&amp;$B245)</f>
        <v/>
      </c>
      <c r="Z245" s="14">
        <f>IF($C245="","",$C245&amp;"|"&amp;$B245&amp;"|"&amp;$H245)</f>
        <v/>
      </c>
      <c r="AA245" s="14">
        <f>IF($C245="","",$C245&amp;"|"&amp;$B245&amp;"|"&amp;$G245)</f>
        <v/>
      </c>
    </row>
    <row r="246">
      <c r="A246" s="19" t="n"/>
      <c r="B246" s="14">
        <f>IF($A246="","",VALUE(LEFT($A246,4))*4+VALUE(RIGHT($A246,1)))</f>
        <v/>
      </c>
      <c r="C246" s="19" t="n"/>
      <c r="D246" s="14">
        <f>IFERROR(INDEX(Pessoas!$B$5:$B$64,MATCH($C246,Pessoas!$A$5:$A$64,0)),"")</f>
        <v/>
      </c>
      <c r="E246" s="19" t="n"/>
      <c r="F246" s="14">
        <f>IFERROR(INDEX(Pessoas!$D$5:$D$64,MATCH($C246,Pessoas!$A$5:$A$64,0)),"")</f>
        <v/>
      </c>
      <c r="G246" s="19" t="n"/>
      <c r="H246" s="14">
        <f>IFERROR(INDEX(Config!$B$40:$B$45,MATCH($G246,Config!$C$40:$C$45,0)),"")</f>
        <v/>
      </c>
      <c r="I246" s="14">
        <f>IFERROR(INDEX(Config!$D$40:$D$45,MATCH($G246,Config!$C$40:$C$45,0)),"")</f>
        <v/>
      </c>
      <c r="J246" s="19" t="n"/>
      <c r="K246" s="19" t="n"/>
      <c r="L246" s="19" t="n"/>
      <c r="M246" s="19" t="n"/>
      <c r="N246" s="14">
        <f>IF(AND(ISNUMBER($J246),ISNUMBER($K246)),ABS($J246-$K246),"")</f>
        <v/>
      </c>
      <c r="O246" s="14">
        <f>IF(AND(NOT(ISNUMBER($J246)),NOT(ISNUMBER($K246))),"",IF(NOT(ISNUMBER($K246)),$J246,IF(NOT(ISNUMBER($J246)),$K246,IF($N246=0,$J246,IF(AND($N246=1,$T246&lt;&gt;"Sim"),IF($I246="Líder Técnico",$K246,IF($I246="GP",$J246,"CALIBRAR")),"CALIBRAR")))))</f>
        <v/>
      </c>
      <c r="P246" s="19" t="n"/>
      <c r="Q246" s="19" t="n"/>
      <c r="R246" s="14">
        <f>IF($P246="","",IF(AND(ISNUMBER($J246),$P246=$J246,ISNUMBER($K246),$P246=$K246),"= ambos",IF(AND(ISNUMBER($J246),$P246=$J246),"= GP",IF(AND(ISNUMBER($K246),$P246=$K246),"= LT","nenhuma das duas"))))</f>
        <v/>
      </c>
      <c r="S246" s="19" t="n"/>
      <c r="T246" s="19" t="n"/>
      <c r="U246" s="14">
        <f>IF($C246="","",COUNTIFS('Ocorrências'!$V$5:$V$604,$C246&amp;"|"&amp;$B246&amp;"|"&amp;$G246,'Ocorrências'!$X$5:$X$604,"Sim"))</f>
        <v/>
      </c>
      <c r="V246" s="14">
        <f>IF($P246="","",IF(OR($P246=1,$P246=2,$P246=5),IF($U246&gt;0,"OK","SEM LASTRO"),"OK"))</f>
        <v/>
      </c>
      <c r="W246" s="19" t="n"/>
      <c r="X246" s="18" t="n"/>
      <c r="Y246" s="14">
        <f>IF($C246="","",$C246&amp;"|"&amp;$B246)</f>
        <v/>
      </c>
      <c r="Z246" s="14">
        <f>IF($C246="","",$C246&amp;"|"&amp;$B246&amp;"|"&amp;$H246)</f>
        <v/>
      </c>
      <c r="AA246" s="14">
        <f>IF($C246="","",$C246&amp;"|"&amp;$B246&amp;"|"&amp;$G246)</f>
        <v/>
      </c>
    </row>
    <row r="247">
      <c r="A247" s="19" t="n"/>
      <c r="B247" s="14">
        <f>IF($A247="","",VALUE(LEFT($A247,4))*4+VALUE(RIGHT($A247,1)))</f>
        <v/>
      </c>
      <c r="C247" s="19" t="n"/>
      <c r="D247" s="14">
        <f>IFERROR(INDEX(Pessoas!$B$5:$B$64,MATCH($C247,Pessoas!$A$5:$A$64,0)),"")</f>
        <v/>
      </c>
      <c r="E247" s="19" t="n"/>
      <c r="F247" s="14">
        <f>IFERROR(INDEX(Pessoas!$D$5:$D$64,MATCH($C247,Pessoas!$A$5:$A$64,0)),"")</f>
        <v/>
      </c>
      <c r="G247" s="19" t="n"/>
      <c r="H247" s="14">
        <f>IFERROR(INDEX(Config!$B$40:$B$45,MATCH($G247,Config!$C$40:$C$45,0)),"")</f>
        <v/>
      </c>
      <c r="I247" s="14">
        <f>IFERROR(INDEX(Config!$D$40:$D$45,MATCH($G247,Config!$C$40:$C$45,0)),"")</f>
        <v/>
      </c>
      <c r="J247" s="19" t="n"/>
      <c r="K247" s="19" t="n"/>
      <c r="L247" s="19" t="n"/>
      <c r="M247" s="19" t="n"/>
      <c r="N247" s="14">
        <f>IF(AND(ISNUMBER($J247),ISNUMBER($K247)),ABS($J247-$K247),"")</f>
        <v/>
      </c>
      <c r="O247" s="14">
        <f>IF(AND(NOT(ISNUMBER($J247)),NOT(ISNUMBER($K247))),"",IF(NOT(ISNUMBER($K247)),$J247,IF(NOT(ISNUMBER($J247)),$K247,IF($N247=0,$J247,IF(AND($N247=1,$T247&lt;&gt;"Sim"),IF($I247="Líder Técnico",$K247,IF($I247="GP",$J247,"CALIBRAR")),"CALIBRAR")))))</f>
        <v/>
      </c>
      <c r="P247" s="19" t="n"/>
      <c r="Q247" s="19" t="n"/>
      <c r="R247" s="14">
        <f>IF($P247="","",IF(AND(ISNUMBER($J247),$P247=$J247,ISNUMBER($K247),$P247=$K247),"= ambos",IF(AND(ISNUMBER($J247),$P247=$J247),"= GP",IF(AND(ISNUMBER($K247),$P247=$K247),"= LT","nenhuma das duas"))))</f>
        <v/>
      </c>
      <c r="S247" s="19" t="n"/>
      <c r="T247" s="19" t="n"/>
      <c r="U247" s="14">
        <f>IF($C247="","",COUNTIFS('Ocorrências'!$V$5:$V$604,$C247&amp;"|"&amp;$B247&amp;"|"&amp;$G247,'Ocorrências'!$X$5:$X$604,"Sim"))</f>
        <v/>
      </c>
      <c r="V247" s="14">
        <f>IF($P247="","",IF(OR($P247=1,$P247=2,$P247=5),IF($U247&gt;0,"OK","SEM LASTRO"),"OK"))</f>
        <v/>
      </c>
      <c r="W247" s="19" t="n"/>
      <c r="X247" s="18" t="n"/>
      <c r="Y247" s="14">
        <f>IF($C247="","",$C247&amp;"|"&amp;$B247)</f>
        <v/>
      </c>
      <c r="Z247" s="14">
        <f>IF($C247="","",$C247&amp;"|"&amp;$B247&amp;"|"&amp;$H247)</f>
        <v/>
      </c>
      <c r="AA247" s="14">
        <f>IF($C247="","",$C247&amp;"|"&amp;$B247&amp;"|"&amp;$G247)</f>
        <v/>
      </c>
    </row>
    <row r="248">
      <c r="A248" s="19" t="n"/>
      <c r="B248" s="14">
        <f>IF($A248="","",VALUE(LEFT($A248,4))*4+VALUE(RIGHT($A248,1)))</f>
        <v/>
      </c>
      <c r="C248" s="19" t="n"/>
      <c r="D248" s="14">
        <f>IFERROR(INDEX(Pessoas!$B$5:$B$64,MATCH($C248,Pessoas!$A$5:$A$64,0)),"")</f>
        <v/>
      </c>
      <c r="E248" s="19" t="n"/>
      <c r="F248" s="14">
        <f>IFERROR(INDEX(Pessoas!$D$5:$D$64,MATCH($C248,Pessoas!$A$5:$A$64,0)),"")</f>
        <v/>
      </c>
      <c r="G248" s="19" t="n"/>
      <c r="H248" s="14">
        <f>IFERROR(INDEX(Config!$B$40:$B$45,MATCH($G248,Config!$C$40:$C$45,0)),"")</f>
        <v/>
      </c>
      <c r="I248" s="14">
        <f>IFERROR(INDEX(Config!$D$40:$D$45,MATCH($G248,Config!$C$40:$C$45,0)),"")</f>
        <v/>
      </c>
      <c r="J248" s="19" t="n"/>
      <c r="K248" s="19" t="n"/>
      <c r="L248" s="19" t="n"/>
      <c r="M248" s="19" t="n"/>
      <c r="N248" s="14">
        <f>IF(AND(ISNUMBER($J248),ISNUMBER($K248)),ABS($J248-$K248),"")</f>
        <v/>
      </c>
      <c r="O248" s="14">
        <f>IF(AND(NOT(ISNUMBER($J248)),NOT(ISNUMBER($K248))),"",IF(NOT(ISNUMBER($K248)),$J248,IF(NOT(ISNUMBER($J248)),$K248,IF($N248=0,$J248,IF(AND($N248=1,$T248&lt;&gt;"Sim"),IF($I248="Líder Técnico",$K248,IF($I248="GP",$J248,"CALIBRAR")),"CALIBRAR")))))</f>
        <v/>
      </c>
      <c r="P248" s="19" t="n"/>
      <c r="Q248" s="19" t="n"/>
      <c r="R248" s="14">
        <f>IF($P248="","",IF(AND(ISNUMBER($J248),$P248=$J248,ISNUMBER($K248),$P248=$K248),"= ambos",IF(AND(ISNUMBER($J248),$P248=$J248),"= GP",IF(AND(ISNUMBER($K248),$P248=$K248),"= LT","nenhuma das duas"))))</f>
        <v/>
      </c>
      <c r="S248" s="19" t="n"/>
      <c r="T248" s="19" t="n"/>
      <c r="U248" s="14">
        <f>IF($C248="","",COUNTIFS('Ocorrências'!$V$5:$V$604,$C248&amp;"|"&amp;$B248&amp;"|"&amp;$G248,'Ocorrências'!$X$5:$X$604,"Sim"))</f>
        <v/>
      </c>
      <c r="V248" s="14">
        <f>IF($P248="","",IF(OR($P248=1,$P248=2,$P248=5),IF($U248&gt;0,"OK","SEM LASTRO"),"OK"))</f>
        <v/>
      </c>
      <c r="W248" s="19" t="n"/>
      <c r="X248" s="18" t="n"/>
      <c r="Y248" s="14">
        <f>IF($C248="","",$C248&amp;"|"&amp;$B248)</f>
        <v/>
      </c>
      <c r="Z248" s="14">
        <f>IF($C248="","",$C248&amp;"|"&amp;$B248&amp;"|"&amp;$H248)</f>
        <v/>
      </c>
      <c r="AA248" s="14">
        <f>IF($C248="","",$C248&amp;"|"&amp;$B248&amp;"|"&amp;$G248)</f>
        <v/>
      </c>
    </row>
    <row r="249">
      <c r="A249" s="19" t="n"/>
      <c r="B249" s="14">
        <f>IF($A249="","",VALUE(LEFT($A249,4))*4+VALUE(RIGHT($A249,1)))</f>
        <v/>
      </c>
      <c r="C249" s="19" t="n"/>
      <c r="D249" s="14">
        <f>IFERROR(INDEX(Pessoas!$B$5:$B$64,MATCH($C249,Pessoas!$A$5:$A$64,0)),"")</f>
        <v/>
      </c>
      <c r="E249" s="19" t="n"/>
      <c r="F249" s="14">
        <f>IFERROR(INDEX(Pessoas!$D$5:$D$64,MATCH($C249,Pessoas!$A$5:$A$64,0)),"")</f>
        <v/>
      </c>
      <c r="G249" s="19" t="n"/>
      <c r="H249" s="14">
        <f>IFERROR(INDEX(Config!$B$40:$B$45,MATCH($G249,Config!$C$40:$C$45,0)),"")</f>
        <v/>
      </c>
      <c r="I249" s="14">
        <f>IFERROR(INDEX(Config!$D$40:$D$45,MATCH($G249,Config!$C$40:$C$45,0)),"")</f>
        <v/>
      </c>
      <c r="J249" s="19" t="n"/>
      <c r="K249" s="19" t="n"/>
      <c r="L249" s="19" t="n"/>
      <c r="M249" s="19" t="n"/>
      <c r="N249" s="14">
        <f>IF(AND(ISNUMBER($J249),ISNUMBER($K249)),ABS($J249-$K249),"")</f>
        <v/>
      </c>
      <c r="O249" s="14">
        <f>IF(AND(NOT(ISNUMBER($J249)),NOT(ISNUMBER($K249))),"",IF(NOT(ISNUMBER($K249)),$J249,IF(NOT(ISNUMBER($J249)),$K249,IF($N249=0,$J249,IF(AND($N249=1,$T249&lt;&gt;"Sim"),IF($I249="Líder Técnico",$K249,IF($I249="GP",$J249,"CALIBRAR")),"CALIBRAR")))))</f>
        <v/>
      </c>
      <c r="P249" s="19" t="n"/>
      <c r="Q249" s="19" t="n"/>
      <c r="R249" s="14">
        <f>IF($P249="","",IF(AND(ISNUMBER($J249),$P249=$J249,ISNUMBER($K249),$P249=$K249),"= ambos",IF(AND(ISNUMBER($J249),$P249=$J249),"= GP",IF(AND(ISNUMBER($K249),$P249=$K249),"= LT","nenhuma das duas"))))</f>
        <v/>
      </c>
      <c r="S249" s="19" t="n"/>
      <c r="T249" s="19" t="n"/>
      <c r="U249" s="14">
        <f>IF($C249="","",COUNTIFS('Ocorrências'!$V$5:$V$604,$C249&amp;"|"&amp;$B249&amp;"|"&amp;$G249,'Ocorrências'!$X$5:$X$604,"Sim"))</f>
        <v/>
      </c>
      <c r="V249" s="14">
        <f>IF($P249="","",IF(OR($P249=1,$P249=2,$P249=5),IF($U249&gt;0,"OK","SEM LASTRO"),"OK"))</f>
        <v/>
      </c>
      <c r="W249" s="19" t="n"/>
      <c r="X249" s="18" t="n"/>
      <c r="Y249" s="14">
        <f>IF($C249="","",$C249&amp;"|"&amp;$B249)</f>
        <v/>
      </c>
      <c r="Z249" s="14">
        <f>IF($C249="","",$C249&amp;"|"&amp;$B249&amp;"|"&amp;$H249)</f>
        <v/>
      </c>
      <c r="AA249" s="14">
        <f>IF($C249="","",$C249&amp;"|"&amp;$B249&amp;"|"&amp;$G249)</f>
        <v/>
      </c>
    </row>
    <row r="250">
      <c r="A250" s="19" t="n"/>
      <c r="B250" s="14">
        <f>IF($A250="","",VALUE(LEFT($A250,4))*4+VALUE(RIGHT($A250,1)))</f>
        <v/>
      </c>
      <c r="C250" s="19" t="n"/>
      <c r="D250" s="14">
        <f>IFERROR(INDEX(Pessoas!$B$5:$B$64,MATCH($C250,Pessoas!$A$5:$A$64,0)),"")</f>
        <v/>
      </c>
      <c r="E250" s="19" t="n"/>
      <c r="F250" s="14">
        <f>IFERROR(INDEX(Pessoas!$D$5:$D$64,MATCH($C250,Pessoas!$A$5:$A$64,0)),"")</f>
        <v/>
      </c>
      <c r="G250" s="19" t="n"/>
      <c r="H250" s="14">
        <f>IFERROR(INDEX(Config!$B$40:$B$45,MATCH($G250,Config!$C$40:$C$45,0)),"")</f>
        <v/>
      </c>
      <c r="I250" s="14">
        <f>IFERROR(INDEX(Config!$D$40:$D$45,MATCH($G250,Config!$C$40:$C$45,0)),"")</f>
        <v/>
      </c>
      <c r="J250" s="19" t="n"/>
      <c r="K250" s="19" t="n"/>
      <c r="L250" s="19" t="n"/>
      <c r="M250" s="19" t="n"/>
      <c r="N250" s="14">
        <f>IF(AND(ISNUMBER($J250),ISNUMBER($K250)),ABS($J250-$K250),"")</f>
        <v/>
      </c>
      <c r="O250" s="14">
        <f>IF(AND(NOT(ISNUMBER($J250)),NOT(ISNUMBER($K250))),"",IF(NOT(ISNUMBER($K250)),$J250,IF(NOT(ISNUMBER($J250)),$K250,IF($N250=0,$J250,IF(AND($N250=1,$T250&lt;&gt;"Sim"),IF($I250="Líder Técnico",$K250,IF($I250="GP",$J250,"CALIBRAR")),"CALIBRAR")))))</f>
        <v/>
      </c>
      <c r="P250" s="19" t="n"/>
      <c r="Q250" s="19" t="n"/>
      <c r="R250" s="14">
        <f>IF($P250="","",IF(AND(ISNUMBER($J250),$P250=$J250,ISNUMBER($K250),$P250=$K250),"= ambos",IF(AND(ISNUMBER($J250),$P250=$J250),"= GP",IF(AND(ISNUMBER($K250),$P250=$K250),"= LT","nenhuma das duas"))))</f>
        <v/>
      </c>
      <c r="S250" s="19" t="n"/>
      <c r="T250" s="19" t="n"/>
      <c r="U250" s="14">
        <f>IF($C250="","",COUNTIFS('Ocorrências'!$V$5:$V$604,$C250&amp;"|"&amp;$B250&amp;"|"&amp;$G250,'Ocorrências'!$X$5:$X$604,"Sim"))</f>
        <v/>
      </c>
      <c r="V250" s="14">
        <f>IF($P250="","",IF(OR($P250=1,$P250=2,$P250=5),IF($U250&gt;0,"OK","SEM LASTRO"),"OK"))</f>
        <v/>
      </c>
      <c r="W250" s="19" t="n"/>
      <c r="X250" s="18" t="n"/>
      <c r="Y250" s="14">
        <f>IF($C250="","",$C250&amp;"|"&amp;$B250)</f>
        <v/>
      </c>
      <c r="Z250" s="14">
        <f>IF($C250="","",$C250&amp;"|"&amp;$B250&amp;"|"&amp;$H250)</f>
        <v/>
      </c>
      <c r="AA250" s="14">
        <f>IF($C250="","",$C250&amp;"|"&amp;$B250&amp;"|"&amp;$G250)</f>
        <v/>
      </c>
    </row>
    <row r="251">
      <c r="A251" s="19" t="n"/>
      <c r="B251" s="14">
        <f>IF($A251="","",VALUE(LEFT($A251,4))*4+VALUE(RIGHT($A251,1)))</f>
        <v/>
      </c>
      <c r="C251" s="19" t="n"/>
      <c r="D251" s="14">
        <f>IFERROR(INDEX(Pessoas!$B$5:$B$64,MATCH($C251,Pessoas!$A$5:$A$64,0)),"")</f>
        <v/>
      </c>
      <c r="E251" s="19" t="n"/>
      <c r="F251" s="14">
        <f>IFERROR(INDEX(Pessoas!$D$5:$D$64,MATCH($C251,Pessoas!$A$5:$A$64,0)),"")</f>
        <v/>
      </c>
      <c r="G251" s="19" t="n"/>
      <c r="H251" s="14">
        <f>IFERROR(INDEX(Config!$B$40:$B$45,MATCH($G251,Config!$C$40:$C$45,0)),"")</f>
        <v/>
      </c>
      <c r="I251" s="14">
        <f>IFERROR(INDEX(Config!$D$40:$D$45,MATCH($G251,Config!$C$40:$C$45,0)),"")</f>
        <v/>
      </c>
      <c r="J251" s="19" t="n"/>
      <c r="K251" s="19" t="n"/>
      <c r="L251" s="19" t="n"/>
      <c r="M251" s="19" t="n"/>
      <c r="N251" s="14">
        <f>IF(AND(ISNUMBER($J251),ISNUMBER($K251)),ABS($J251-$K251),"")</f>
        <v/>
      </c>
      <c r="O251" s="14">
        <f>IF(AND(NOT(ISNUMBER($J251)),NOT(ISNUMBER($K251))),"",IF(NOT(ISNUMBER($K251)),$J251,IF(NOT(ISNUMBER($J251)),$K251,IF($N251=0,$J251,IF(AND($N251=1,$T251&lt;&gt;"Sim"),IF($I251="Líder Técnico",$K251,IF($I251="GP",$J251,"CALIBRAR")),"CALIBRAR")))))</f>
        <v/>
      </c>
      <c r="P251" s="19" t="n"/>
      <c r="Q251" s="19" t="n"/>
      <c r="R251" s="14">
        <f>IF($P251="","",IF(AND(ISNUMBER($J251),$P251=$J251,ISNUMBER($K251),$P251=$K251),"= ambos",IF(AND(ISNUMBER($J251),$P251=$J251),"= GP",IF(AND(ISNUMBER($K251),$P251=$K251),"= LT","nenhuma das duas"))))</f>
        <v/>
      </c>
      <c r="S251" s="19" t="n"/>
      <c r="T251" s="19" t="n"/>
      <c r="U251" s="14">
        <f>IF($C251="","",COUNTIFS('Ocorrências'!$V$5:$V$604,$C251&amp;"|"&amp;$B251&amp;"|"&amp;$G251,'Ocorrências'!$X$5:$X$604,"Sim"))</f>
        <v/>
      </c>
      <c r="V251" s="14">
        <f>IF($P251="","",IF(OR($P251=1,$P251=2,$P251=5),IF($U251&gt;0,"OK","SEM LASTRO"),"OK"))</f>
        <v/>
      </c>
      <c r="W251" s="19" t="n"/>
      <c r="X251" s="18" t="n"/>
      <c r="Y251" s="14">
        <f>IF($C251="","",$C251&amp;"|"&amp;$B251)</f>
        <v/>
      </c>
      <c r="Z251" s="14">
        <f>IF($C251="","",$C251&amp;"|"&amp;$B251&amp;"|"&amp;$H251)</f>
        <v/>
      </c>
      <c r="AA251" s="14">
        <f>IF($C251="","",$C251&amp;"|"&amp;$B251&amp;"|"&amp;$G251)</f>
        <v/>
      </c>
    </row>
    <row r="252">
      <c r="A252" s="19" t="n"/>
      <c r="B252" s="14">
        <f>IF($A252="","",VALUE(LEFT($A252,4))*4+VALUE(RIGHT($A252,1)))</f>
        <v/>
      </c>
      <c r="C252" s="19" t="n"/>
      <c r="D252" s="14">
        <f>IFERROR(INDEX(Pessoas!$B$5:$B$64,MATCH($C252,Pessoas!$A$5:$A$64,0)),"")</f>
        <v/>
      </c>
      <c r="E252" s="19" t="n"/>
      <c r="F252" s="14">
        <f>IFERROR(INDEX(Pessoas!$D$5:$D$64,MATCH($C252,Pessoas!$A$5:$A$64,0)),"")</f>
        <v/>
      </c>
      <c r="G252" s="19" t="n"/>
      <c r="H252" s="14">
        <f>IFERROR(INDEX(Config!$B$40:$B$45,MATCH($G252,Config!$C$40:$C$45,0)),"")</f>
        <v/>
      </c>
      <c r="I252" s="14">
        <f>IFERROR(INDEX(Config!$D$40:$D$45,MATCH($G252,Config!$C$40:$C$45,0)),"")</f>
        <v/>
      </c>
      <c r="J252" s="19" t="n"/>
      <c r="K252" s="19" t="n"/>
      <c r="L252" s="19" t="n"/>
      <c r="M252" s="19" t="n"/>
      <c r="N252" s="14">
        <f>IF(AND(ISNUMBER($J252),ISNUMBER($K252)),ABS($J252-$K252),"")</f>
        <v/>
      </c>
      <c r="O252" s="14">
        <f>IF(AND(NOT(ISNUMBER($J252)),NOT(ISNUMBER($K252))),"",IF(NOT(ISNUMBER($K252)),$J252,IF(NOT(ISNUMBER($J252)),$K252,IF($N252=0,$J252,IF(AND($N252=1,$T252&lt;&gt;"Sim"),IF($I252="Líder Técnico",$K252,IF($I252="GP",$J252,"CALIBRAR")),"CALIBRAR")))))</f>
        <v/>
      </c>
      <c r="P252" s="19" t="n"/>
      <c r="Q252" s="19" t="n"/>
      <c r="R252" s="14">
        <f>IF($P252="","",IF(AND(ISNUMBER($J252),$P252=$J252,ISNUMBER($K252),$P252=$K252),"= ambos",IF(AND(ISNUMBER($J252),$P252=$J252),"= GP",IF(AND(ISNUMBER($K252),$P252=$K252),"= LT","nenhuma das duas"))))</f>
        <v/>
      </c>
      <c r="S252" s="19" t="n"/>
      <c r="T252" s="19" t="n"/>
      <c r="U252" s="14">
        <f>IF($C252="","",COUNTIFS('Ocorrências'!$V$5:$V$604,$C252&amp;"|"&amp;$B252&amp;"|"&amp;$G252,'Ocorrências'!$X$5:$X$604,"Sim"))</f>
        <v/>
      </c>
      <c r="V252" s="14">
        <f>IF($P252="","",IF(OR($P252=1,$P252=2,$P252=5),IF($U252&gt;0,"OK","SEM LASTRO"),"OK"))</f>
        <v/>
      </c>
      <c r="W252" s="19" t="n"/>
      <c r="X252" s="18" t="n"/>
      <c r="Y252" s="14">
        <f>IF($C252="","",$C252&amp;"|"&amp;$B252)</f>
        <v/>
      </c>
      <c r="Z252" s="14">
        <f>IF($C252="","",$C252&amp;"|"&amp;$B252&amp;"|"&amp;$H252)</f>
        <v/>
      </c>
      <c r="AA252" s="14">
        <f>IF($C252="","",$C252&amp;"|"&amp;$B252&amp;"|"&amp;$G252)</f>
        <v/>
      </c>
    </row>
    <row r="253">
      <c r="A253" s="19" t="n"/>
      <c r="B253" s="14">
        <f>IF($A253="","",VALUE(LEFT($A253,4))*4+VALUE(RIGHT($A253,1)))</f>
        <v/>
      </c>
      <c r="C253" s="19" t="n"/>
      <c r="D253" s="14">
        <f>IFERROR(INDEX(Pessoas!$B$5:$B$64,MATCH($C253,Pessoas!$A$5:$A$64,0)),"")</f>
        <v/>
      </c>
      <c r="E253" s="19" t="n"/>
      <c r="F253" s="14">
        <f>IFERROR(INDEX(Pessoas!$D$5:$D$64,MATCH($C253,Pessoas!$A$5:$A$64,0)),"")</f>
        <v/>
      </c>
      <c r="G253" s="19" t="n"/>
      <c r="H253" s="14">
        <f>IFERROR(INDEX(Config!$B$40:$B$45,MATCH($G253,Config!$C$40:$C$45,0)),"")</f>
        <v/>
      </c>
      <c r="I253" s="14">
        <f>IFERROR(INDEX(Config!$D$40:$D$45,MATCH($G253,Config!$C$40:$C$45,0)),"")</f>
        <v/>
      </c>
      <c r="J253" s="19" t="n"/>
      <c r="K253" s="19" t="n"/>
      <c r="L253" s="19" t="n"/>
      <c r="M253" s="19" t="n"/>
      <c r="N253" s="14">
        <f>IF(AND(ISNUMBER($J253),ISNUMBER($K253)),ABS($J253-$K253),"")</f>
        <v/>
      </c>
      <c r="O253" s="14">
        <f>IF(AND(NOT(ISNUMBER($J253)),NOT(ISNUMBER($K253))),"",IF(NOT(ISNUMBER($K253)),$J253,IF(NOT(ISNUMBER($J253)),$K253,IF($N253=0,$J253,IF(AND($N253=1,$T253&lt;&gt;"Sim"),IF($I253="Líder Técnico",$K253,IF($I253="GP",$J253,"CALIBRAR")),"CALIBRAR")))))</f>
        <v/>
      </c>
      <c r="P253" s="19" t="n"/>
      <c r="Q253" s="19" t="n"/>
      <c r="R253" s="14">
        <f>IF($P253="","",IF(AND(ISNUMBER($J253),$P253=$J253,ISNUMBER($K253),$P253=$K253),"= ambos",IF(AND(ISNUMBER($J253),$P253=$J253),"= GP",IF(AND(ISNUMBER($K253),$P253=$K253),"= LT","nenhuma das duas"))))</f>
        <v/>
      </c>
      <c r="S253" s="19" t="n"/>
      <c r="T253" s="19" t="n"/>
      <c r="U253" s="14">
        <f>IF($C253="","",COUNTIFS('Ocorrências'!$V$5:$V$604,$C253&amp;"|"&amp;$B253&amp;"|"&amp;$G253,'Ocorrências'!$X$5:$X$604,"Sim"))</f>
        <v/>
      </c>
      <c r="V253" s="14">
        <f>IF($P253="","",IF(OR($P253=1,$P253=2,$P253=5),IF($U253&gt;0,"OK","SEM LASTRO"),"OK"))</f>
        <v/>
      </c>
      <c r="W253" s="19" t="n"/>
      <c r="X253" s="18" t="n"/>
      <c r="Y253" s="14">
        <f>IF($C253="","",$C253&amp;"|"&amp;$B253)</f>
        <v/>
      </c>
      <c r="Z253" s="14">
        <f>IF($C253="","",$C253&amp;"|"&amp;$B253&amp;"|"&amp;$H253)</f>
        <v/>
      </c>
      <c r="AA253" s="14">
        <f>IF($C253="","",$C253&amp;"|"&amp;$B253&amp;"|"&amp;$G253)</f>
        <v/>
      </c>
    </row>
    <row r="254">
      <c r="A254" s="19" t="n"/>
      <c r="B254" s="14">
        <f>IF($A254="","",VALUE(LEFT($A254,4))*4+VALUE(RIGHT($A254,1)))</f>
        <v/>
      </c>
      <c r="C254" s="19" t="n"/>
      <c r="D254" s="14">
        <f>IFERROR(INDEX(Pessoas!$B$5:$B$64,MATCH($C254,Pessoas!$A$5:$A$64,0)),"")</f>
        <v/>
      </c>
      <c r="E254" s="19" t="n"/>
      <c r="F254" s="14">
        <f>IFERROR(INDEX(Pessoas!$D$5:$D$64,MATCH($C254,Pessoas!$A$5:$A$64,0)),"")</f>
        <v/>
      </c>
      <c r="G254" s="19" t="n"/>
      <c r="H254" s="14">
        <f>IFERROR(INDEX(Config!$B$40:$B$45,MATCH($G254,Config!$C$40:$C$45,0)),"")</f>
        <v/>
      </c>
      <c r="I254" s="14">
        <f>IFERROR(INDEX(Config!$D$40:$D$45,MATCH($G254,Config!$C$40:$C$45,0)),"")</f>
        <v/>
      </c>
      <c r="J254" s="19" t="n"/>
      <c r="K254" s="19" t="n"/>
      <c r="L254" s="19" t="n"/>
      <c r="M254" s="19" t="n"/>
      <c r="N254" s="14">
        <f>IF(AND(ISNUMBER($J254),ISNUMBER($K254)),ABS($J254-$K254),"")</f>
        <v/>
      </c>
      <c r="O254" s="14">
        <f>IF(AND(NOT(ISNUMBER($J254)),NOT(ISNUMBER($K254))),"",IF(NOT(ISNUMBER($K254)),$J254,IF(NOT(ISNUMBER($J254)),$K254,IF($N254=0,$J254,IF(AND($N254=1,$T254&lt;&gt;"Sim"),IF($I254="Líder Técnico",$K254,IF($I254="GP",$J254,"CALIBRAR")),"CALIBRAR")))))</f>
        <v/>
      </c>
      <c r="P254" s="19" t="n"/>
      <c r="Q254" s="19" t="n"/>
      <c r="R254" s="14">
        <f>IF($P254="","",IF(AND(ISNUMBER($J254),$P254=$J254,ISNUMBER($K254),$P254=$K254),"= ambos",IF(AND(ISNUMBER($J254),$P254=$J254),"= GP",IF(AND(ISNUMBER($K254),$P254=$K254),"= LT","nenhuma das duas"))))</f>
        <v/>
      </c>
      <c r="S254" s="19" t="n"/>
      <c r="T254" s="19" t="n"/>
      <c r="U254" s="14">
        <f>IF($C254="","",COUNTIFS('Ocorrências'!$V$5:$V$604,$C254&amp;"|"&amp;$B254&amp;"|"&amp;$G254,'Ocorrências'!$X$5:$X$604,"Sim"))</f>
        <v/>
      </c>
      <c r="V254" s="14">
        <f>IF($P254="","",IF(OR($P254=1,$P254=2,$P254=5),IF($U254&gt;0,"OK","SEM LASTRO"),"OK"))</f>
        <v/>
      </c>
      <c r="W254" s="19" t="n"/>
      <c r="X254" s="18" t="n"/>
      <c r="Y254" s="14">
        <f>IF($C254="","",$C254&amp;"|"&amp;$B254)</f>
        <v/>
      </c>
      <c r="Z254" s="14">
        <f>IF($C254="","",$C254&amp;"|"&amp;$B254&amp;"|"&amp;$H254)</f>
        <v/>
      </c>
      <c r="AA254" s="14">
        <f>IF($C254="","",$C254&amp;"|"&amp;$B254&amp;"|"&amp;$G254)</f>
        <v/>
      </c>
    </row>
    <row r="255">
      <c r="A255" s="19" t="n"/>
      <c r="B255" s="14">
        <f>IF($A255="","",VALUE(LEFT($A255,4))*4+VALUE(RIGHT($A255,1)))</f>
        <v/>
      </c>
      <c r="C255" s="19" t="n"/>
      <c r="D255" s="14">
        <f>IFERROR(INDEX(Pessoas!$B$5:$B$64,MATCH($C255,Pessoas!$A$5:$A$64,0)),"")</f>
        <v/>
      </c>
      <c r="E255" s="19" t="n"/>
      <c r="F255" s="14">
        <f>IFERROR(INDEX(Pessoas!$D$5:$D$64,MATCH($C255,Pessoas!$A$5:$A$64,0)),"")</f>
        <v/>
      </c>
      <c r="G255" s="19" t="n"/>
      <c r="H255" s="14">
        <f>IFERROR(INDEX(Config!$B$40:$B$45,MATCH($G255,Config!$C$40:$C$45,0)),"")</f>
        <v/>
      </c>
      <c r="I255" s="14">
        <f>IFERROR(INDEX(Config!$D$40:$D$45,MATCH($G255,Config!$C$40:$C$45,0)),"")</f>
        <v/>
      </c>
      <c r="J255" s="19" t="n"/>
      <c r="K255" s="19" t="n"/>
      <c r="L255" s="19" t="n"/>
      <c r="M255" s="19" t="n"/>
      <c r="N255" s="14">
        <f>IF(AND(ISNUMBER($J255),ISNUMBER($K255)),ABS($J255-$K255),"")</f>
        <v/>
      </c>
      <c r="O255" s="14">
        <f>IF(AND(NOT(ISNUMBER($J255)),NOT(ISNUMBER($K255))),"",IF(NOT(ISNUMBER($K255)),$J255,IF(NOT(ISNUMBER($J255)),$K255,IF($N255=0,$J255,IF(AND($N255=1,$T255&lt;&gt;"Sim"),IF($I255="Líder Técnico",$K255,IF($I255="GP",$J255,"CALIBRAR")),"CALIBRAR")))))</f>
        <v/>
      </c>
      <c r="P255" s="19" t="n"/>
      <c r="Q255" s="19" t="n"/>
      <c r="R255" s="14">
        <f>IF($P255="","",IF(AND(ISNUMBER($J255),$P255=$J255,ISNUMBER($K255),$P255=$K255),"= ambos",IF(AND(ISNUMBER($J255),$P255=$J255),"= GP",IF(AND(ISNUMBER($K255),$P255=$K255),"= LT","nenhuma das duas"))))</f>
        <v/>
      </c>
      <c r="S255" s="19" t="n"/>
      <c r="T255" s="19" t="n"/>
      <c r="U255" s="14">
        <f>IF($C255="","",COUNTIFS('Ocorrências'!$V$5:$V$604,$C255&amp;"|"&amp;$B255&amp;"|"&amp;$G255,'Ocorrências'!$X$5:$X$604,"Sim"))</f>
        <v/>
      </c>
      <c r="V255" s="14">
        <f>IF($P255="","",IF(OR($P255=1,$P255=2,$P255=5),IF($U255&gt;0,"OK","SEM LASTRO"),"OK"))</f>
        <v/>
      </c>
      <c r="W255" s="19" t="n"/>
      <c r="X255" s="18" t="n"/>
      <c r="Y255" s="14">
        <f>IF($C255="","",$C255&amp;"|"&amp;$B255)</f>
        <v/>
      </c>
      <c r="Z255" s="14">
        <f>IF($C255="","",$C255&amp;"|"&amp;$B255&amp;"|"&amp;$H255)</f>
        <v/>
      </c>
      <c r="AA255" s="14">
        <f>IF($C255="","",$C255&amp;"|"&amp;$B255&amp;"|"&amp;$G255)</f>
        <v/>
      </c>
    </row>
    <row r="256">
      <c r="A256" s="19" t="n"/>
      <c r="B256" s="14">
        <f>IF($A256="","",VALUE(LEFT($A256,4))*4+VALUE(RIGHT($A256,1)))</f>
        <v/>
      </c>
      <c r="C256" s="19" t="n"/>
      <c r="D256" s="14">
        <f>IFERROR(INDEX(Pessoas!$B$5:$B$64,MATCH($C256,Pessoas!$A$5:$A$64,0)),"")</f>
        <v/>
      </c>
      <c r="E256" s="19" t="n"/>
      <c r="F256" s="14">
        <f>IFERROR(INDEX(Pessoas!$D$5:$D$64,MATCH($C256,Pessoas!$A$5:$A$64,0)),"")</f>
        <v/>
      </c>
      <c r="G256" s="19" t="n"/>
      <c r="H256" s="14">
        <f>IFERROR(INDEX(Config!$B$40:$B$45,MATCH($G256,Config!$C$40:$C$45,0)),"")</f>
        <v/>
      </c>
      <c r="I256" s="14">
        <f>IFERROR(INDEX(Config!$D$40:$D$45,MATCH($G256,Config!$C$40:$C$45,0)),"")</f>
        <v/>
      </c>
      <c r="J256" s="19" t="n"/>
      <c r="K256" s="19" t="n"/>
      <c r="L256" s="19" t="n"/>
      <c r="M256" s="19" t="n"/>
      <c r="N256" s="14">
        <f>IF(AND(ISNUMBER($J256),ISNUMBER($K256)),ABS($J256-$K256),"")</f>
        <v/>
      </c>
      <c r="O256" s="14">
        <f>IF(AND(NOT(ISNUMBER($J256)),NOT(ISNUMBER($K256))),"",IF(NOT(ISNUMBER($K256)),$J256,IF(NOT(ISNUMBER($J256)),$K256,IF($N256=0,$J256,IF(AND($N256=1,$T256&lt;&gt;"Sim"),IF($I256="Líder Técnico",$K256,IF($I256="GP",$J256,"CALIBRAR")),"CALIBRAR")))))</f>
        <v/>
      </c>
      <c r="P256" s="19" t="n"/>
      <c r="Q256" s="19" t="n"/>
      <c r="R256" s="14">
        <f>IF($P256="","",IF(AND(ISNUMBER($J256),$P256=$J256,ISNUMBER($K256),$P256=$K256),"= ambos",IF(AND(ISNUMBER($J256),$P256=$J256),"= GP",IF(AND(ISNUMBER($K256),$P256=$K256),"= LT","nenhuma das duas"))))</f>
        <v/>
      </c>
      <c r="S256" s="19" t="n"/>
      <c r="T256" s="19" t="n"/>
      <c r="U256" s="14">
        <f>IF($C256="","",COUNTIFS('Ocorrências'!$V$5:$V$604,$C256&amp;"|"&amp;$B256&amp;"|"&amp;$G256,'Ocorrências'!$X$5:$X$604,"Sim"))</f>
        <v/>
      </c>
      <c r="V256" s="14">
        <f>IF($P256="","",IF(OR($P256=1,$P256=2,$P256=5),IF($U256&gt;0,"OK","SEM LASTRO"),"OK"))</f>
        <v/>
      </c>
      <c r="W256" s="19" t="n"/>
      <c r="X256" s="18" t="n"/>
      <c r="Y256" s="14">
        <f>IF($C256="","",$C256&amp;"|"&amp;$B256)</f>
        <v/>
      </c>
      <c r="Z256" s="14">
        <f>IF($C256="","",$C256&amp;"|"&amp;$B256&amp;"|"&amp;$H256)</f>
        <v/>
      </c>
      <c r="AA256" s="14">
        <f>IF($C256="","",$C256&amp;"|"&amp;$B256&amp;"|"&amp;$G256)</f>
        <v/>
      </c>
    </row>
    <row r="257">
      <c r="A257" s="19" t="n"/>
      <c r="B257" s="14">
        <f>IF($A257="","",VALUE(LEFT($A257,4))*4+VALUE(RIGHT($A257,1)))</f>
        <v/>
      </c>
      <c r="C257" s="19" t="n"/>
      <c r="D257" s="14">
        <f>IFERROR(INDEX(Pessoas!$B$5:$B$64,MATCH($C257,Pessoas!$A$5:$A$64,0)),"")</f>
        <v/>
      </c>
      <c r="E257" s="19" t="n"/>
      <c r="F257" s="14">
        <f>IFERROR(INDEX(Pessoas!$D$5:$D$64,MATCH($C257,Pessoas!$A$5:$A$64,0)),"")</f>
        <v/>
      </c>
      <c r="G257" s="19" t="n"/>
      <c r="H257" s="14">
        <f>IFERROR(INDEX(Config!$B$40:$B$45,MATCH($G257,Config!$C$40:$C$45,0)),"")</f>
        <v/>
      </c>
      <c r="I257" s="14">
        <f>IFERROR(INDEX(Config!$D$40:$D$45,MATCH($G257,Config!$C$40:$C$45,0)),"")</f>
        <v/>
      </c>
      <c r="J257" s="19" t="n"/>
      <c r="K257" s="19" t="n"/>
      <c r="L257" s="19" t="n"/>
      <c r="M257" s="19" t="n"/>
      <c r="N257" s="14">
        <f>IF(AND(ISNUMBER($J257),ISNUMBER($K257)),ABS($J257-$K257),"")</f>
        <v/>
      </c>
      <c r="O257" s="14">
        <f>IF(AND(NOT(ISNUMBER($J257)),NOT(ISNUMBER($K257))),"",IF(NOT(ISNUMBER($K257)),$J257,IF(NOT(ISNUMBER($J257)),$K257,IF($N257=0,$J257,IF(AND($N257=1,$T257&lt;&gt;"Sim"),IF($I257="Líder Técnico",$K257,IF($I257="GP",$J257,"CALIBRAR")),"CALIBRAR")))))</f>
        <v/>
      </c>
      <c r="P257" s="19" t="n"/>
      <c r="Q257" s="19" t="n"/>
      <c r="R257" s="14">
        <f>IF($P257="","",IF(AND(ISNUMBER($J257),$P257=$J257,ISNUMBER($K257),$P257=$K257),"= ambos",IF(AND(ISNUMBER($J257),$P257=$J257),"= GP",IF(AND(ISNUMBER($K257),$P257=$K257),"= LT","nenhuma das duas"))))</f>
        <v/>
      </c>
      <c r="S257" s="19" t="n"/>
      <c r="T257" s="19" t="n"/>
      <c r="U257" s="14">
        <f>IF($C257="","",COUNTIFS('Ocorrências'!$V$5:$V$604,$C257&amp;"|"&amp;$B257&amp;"|"&amp;$G257,'Ocorrências'!$X$5:$X$604,"Sim"))</f>
        <v/>
      </c>
      <c r="V257" s="14">
        <f>IF($P257="","",IF(OR($P257=1,$P257=2,$P257=5),IF($U257&gt;0,"OK","SEM LASTRO"),"OK"))</f>
        <v/>
      </c>
      <c r="W257" s="19" t="n"/>
      <c r="X257" s="18" t="n"/>
      <c r="Y257" s="14">
        <f>IF($C257="","",$C257&amp;"|"&amp;$B257)</f>
        <v/>
      </c>
      <c r="Z257" s="14">
        <f>IF($C257="","",$C257&amp;"|"&amp;$B257&amp;"|"&amp;$H257)</f>
        <v/>
      </c>
      <c r="AA257" s="14">
        <f>IF($C257="","",$C257&amp;"|"&amp;$B257&amp;"|"&amp;$G257)</f>
        <v/>
      </c>
    </row>
    <row r="258">
      <c r="A258" s="19" t="n"/>
      <c r="B258" s="14">
        <f>IF($A258="","",VALUE(LEFT($A258,4))*4+VALUE(RIGHT($A258,1)))</f>
        <v/>
      </c>
      <c r="C258" s="19" t="n"/>
      <c r="D258" s="14">
        <f>IFERROR(INDEX(Pessoas!$B$5:$B$64,MATCH($C258,Pessoas!$A$5:$A$64,0)),"")</f>
        <v/>
      </c>
      <c r="E258" s="19" t="n"/>
      <c r="F258" s="14">
        <f>IFERROR(INDEX(Pessoas!$D$5:$D$64,MATCH($C258,Pessoas!$A$5:$A$64,0)),"")</f>
        <v/>
      </c>
      <c r="G258" s="19" t="n"/>
      <c r="H258" s="14">
        <f>IFERROR(INDEX(Config!$B$40:$B$45,MATCH($G258,Config!$C$40:$C$45,0)),"")</f>
        <v/>
      </c>
      <c r="I258" s="14">
        <f>IFERROR(INDEX(Config!$D$40:$D$45,MATCH($G258,Config!$C$40:$C$45,0)),"")</f>
        <v/>
      </c>
      <c r="J258" s="19" t="n"/>
      <c r="K258" s="19" t="n"/>
      <c r="L258" s="19" t="n"/>
      <c r="M258" s="19" t="n"/>
      <c r="N258" s="14">
        <f>IF(AND(ISNUMBER($J258),ISNUMBER($K258)),ABS($J258-$K258),"")</f>
        <v/>
      </c>
      <c r="O258" s="14">
        <f>IF(AND(NOT(ISNUMBER($J258)),NOT(ISNUMBER($K258))),"",IF(NOT(ISNUMBER($K258)),$J258,IF(NOT(ISNUMBER($J258)),$K258,IF($N258=0,$J258,IF(AND($N258=1,$T258&lt;&gt;"Sim"),IF($I258="Líder Técnico",$K258,IF($I258="GP",$J258,"CALIBRAR")),"CALIBRAR")))))</f>
        <v/>
      </c>
      <c r="P258" s="19" t="n"/>
      <c r="Q258" s="19" t="n"/>
      <c r="R258" s="14">
        <f>IF($P258="","",IF(AND(ISNUMBER($J258),$P258=$J258,ISNUMBER($K258),$P258=$K258),"= ambos",IF(AND(ISNUMBER($J258),$P258=$J258),"= GP",IF(AND(ISNUMBER($K258),$P258=$K258),"= LT","nenhuma das duas"))))</f>
        <v/>
      </c>
      <c r="S258" s="19" t="n"/>
      <c r="T258" s="19" t="n"/>
      <c r="U258" s="14">
        <f>IF($C258="","",COUNTIFS('Ocorrências'!$V$5:$V$604,$C258&amp;"|"&amp;$B258&amp;"|"&amp;$G258,'Ocorrências'!$X$5:$X$604,"Sim"))</f>
        <v/>
      </c>
      <c r="V258" s="14">
        <f>IF($P258="","",IF(OR($P258=1,$P258=2,$P258=5),IF($U258&gt;0,"OK","SEM LASTRO"),"OK"))</f>
        <v/>
      </c>
      <c r="W258" s="19" t="n"/>
      <c r="X258" s="18" t="n"/>
      <c r="Y258" s="14">
        <f>IF($C258="","",$C258&amp;"|"&amp;$B258)</f>
        <v/>
      </c>
      <c r="Z258" s="14">
        <f>IF($C258="","",$C258&amp;"|"&amp;$B258&amp;"|"&amp;$H258)</f>
        <v/>
      </c>
      <c r="AA258" s="14">
        <f>IF($C258="","",$C258&amp;"|"&amp;$B258&amp;"|"&amp;$G258)</f>
        <v/>
      </c>
    </row>
    <row r="259">
      <c r="A259" s="19" t="n"/>
      <c r="B259" s="14">
        <f>IF($A259="","",VALUE(LEFT($A259,4))*4+VALUE(RIGHT($A259,1)))</f>
        <v/>
      </c>
      <c r="C259" s="19" t="n"/>
      <c r="D259" s="14">
        <f>IFERROR(INDEX(Pessoas!$B$5:$B$64,MATCH($C259,Pessoas!$A$5:$A$64,0)),"")</f>
        <v/>
      </c>
      <c r="E259" s="19" t="n"/>
      <c r="F259" s="14">
        <f>IFERROR(INDEX(Pessoas!$D$5:$D$64,MATCH($C259,Pessoas!$A$5:$A$64,0)),"")</f>
        <v/>
      </c>
      <c r="G259" s="19" t="n"/>
      <c r="H259" s="14">
        <f>IFERROR(INDEX(Config!$B$40:$B$45,MATCH($G259,Config!$C$40:$C$45,0)),"")</f>
        <v/>
      </c>
      <c r="I259" s="14">
        <f>IFERROR(INDEX(Config!$D$40:$D$45,MATCH($G259,Config!$C$40:$C$45,0)),"")</f>
        <v/>
      </c>
      <c r="J259" s="19" t="n"/>
      <c r="K259" s="19" t="n"/>
      <c r="L259" s="19" t="n"/>
      <c r="M259" s="19" t="n"/>
      <c r="N259" s="14">
        <f>IF(AND(ISNUMBER($J259),ISNUMBER($K259)),ABS($J259-$K259),"")</f>
        <v/>
      </c>
      <c r="O259" s="14">
        <f>IF(AND(NOT(ISNUMBER($J259)),NOT(ISNUMBER($K259))),"",IF(NOT(ISNUMBER($K259)),$J259,IF(NOT(ISNUMBER($J259)),$K259,IF($N259=0,$J259,IF(AND($N259=1,$T259&lt;&gt;"Sim"),IF($I259="Líder Técnico",$K259,IF($I259="GP",$J259,"CALIBRAR")),"CALIBRAR")))))</f>
        <v/>
      </c>
      <c r="P259" s="19" t="n"/>
      <c r="Q259" s="19" t="n"/>
      <c r="R259" s="14">
        <f>IF($P259="","",IF(AND(ISNUMBER($J259),$P259=$J259,ISNUMBER($K259),$P259=$K259),"= ambos",IF(AND(ISNUMBER($J259),$P259=$J259),"= GP",IF(AND(ISNUMBER($K259),$P259=$K259),"= LT","nenhuma das duas"))))</f>
        <v/>
      </c>
      <c r="S259" s="19" t="n"/>
      <c r="T259" s="19" t="n"/>
      <c r="U259" s="14">
        <f>IF($C259="","",COUNTIFS('Ocorrências'!$V$5:$V$604,$C259&amp;"|"&amp;$B259&amp;"|"&amp;$G259,'Ocorrências'!$X$5:$X$604,"Sim"))</f>
        <v/>
      </c>
      <c r="V259" s="14">
        <f>IF($P259="","",IF(OR($P259=1,$P259=2,$P259=5),IF($U259&gt;0,"OK","SEM LASTRO"),"OK"))</f>
        <v/>
      </c>
      <c r="W259" s="19" t="n"/>
      <c r="X259" s="18" t="n"/>
      <c r="Y259" s="14">
        <f>IF($C259="","",$C259&amp;"|"&amp;$B259)</f>
        <v/>
      </c>
      <c r="Z259" s="14">
        <f>IF($C259="","",$C259&amp;"|"&amp;$B259&amp;"|"&amp;$H259)</f>
        <v/>
      </c>
      <c r="AA259" s="14">
        <f>IF($C259="","",$C259&amp;"|"&amp;$B259&amp;"|"&amp;$G259)</f>
        <v/>
      </c>
    </row>
    <row r="260">
      <c r="A260" s="19" t="n"/>
      <c r="B260" s="14">
        <f>IF($A260="","",VALUE(LEFT($A260,4))*4+VALUE(RIGHT($A260,1)))</f>
        <v/>
      </c>
      <c r="C260" s="19" t="n"/>
      <c r="D260" s="14">
        <f>IFERROR(INDEX(Pessoas!$B$5:$B$64,MATCH($C260,Pessoas!$A$5:$A$64,0)),"")</f>
        <v/>
      </c>
      <c r="E260" s="19" t="n"/>
      <c r="F260" s="14">
        <f>IFERROR(INDEX(Pessoas!$D$5:$D$64,MATCH($C260,Pessoas!$A$5:$A$64,0)),"")</f>
        <v/>
      </c>
      <c r="G260" s="19" t="n"/>
      <c r="H260" s="14">
        <f>IFERROR(INDEX(Config!$B$40:$B$45,MATCH($G260,Config!$C$40:$C$45,0)),"")</f>
        <v/>
      </c>
      <c r="I260" s="14">
        <f>IFERROR(INDEX(Config!$D$40:$D$45,MATCH($G260,Config!$C$40:$C$45,0)),"")</f>
        <v/>
      </c>
      <c r="J260" s="19" t="n"/>
      <c r="K260" s="19" t="n"/>
      <c r="L260" s="19" t="n"/>
      <c r="M260" s="19" t="n"/>
      <c r="N260" s="14">
        <f>IF(AND(ISNUMBER($J260),ISNUMBER($K260)),ABS($J260-$K260),"")</f>
        <v/>
      </c>
      <c r="O260" s="14">
        <f>IF(AND(NOT(ISNUMBER($J260)),NOT(ISNUMBER($K260))),"",IF(NOT(ISNUMBER($K260)),$J260,IF(NOT(ISNUMBER($J260)),$K260,IF($N260=0,$J260,IF(AND($N260=1,$T260&lt;&gt;"Sim"),IF($I260="Líder Técnico",$K260,IF($I260="GP",$J260,"CALIBRAR")),"CALIBRAR")))))</f>
        <v/>
      </c>
      <c r="P260" s="19" t="n"/>
      <c r="Q260" s="19" t="n"/>
      <c r="R260" s="14">
        <f>IF($P260="","",IF(AND(ISNUMBER($J260),$P260=$J260,ISNUMBER($K260),$P260=$K260),"= ambos",IF(AND(ISNUMBER($J260),$P260=$J260),"= GP",IF(AND(ISNUMBER($K260),$P260=$K260),"= LT","nenhuma das duas"))))</f>
        <v/>
      </c>
      <c r="S260" s="19" t="n"/>
      <c r="T260" s="19" t="n"/>
      <c r="U260" s="14">
        <f>IF($C260="","",COUNTIFS('Ocorrências'!$V$5:$V$604,$C260&amp;"|"&amp;$B260&amp;"|"&amp;$G260,'Ocorrências'!$X$5:$X$604,"Sim"))</f>
        <v/>
      </c>
      <c r="V260" s="14">
        <f>IF($P260="","",IF(OR($P260=1,$P260=2,$P260=5),IF($U260&gt;0,"OK","SEM LASTRO"),"OK"))</f>
        <v/>
      </c>
      <c r="W260" s="19" t="n"/>
      <c r="X260" s="18" t="n"/>
      <c r="Y260" s="14">
        <f>IF($C260="","",$C260&amp;"|"&amp;$B260)</f>
        <v/>
      </c>
      <c r="Z260" s="14">
        <f>IF($C260="","",$C260&amp;"|"&amp;$B260&amp;"|"&amp;$H260)</f>
        <v/>
      </c>
      <c r="AA260" s="14">
        <f>IF($C260="","",$C260&amp;"|"&amp;$B260&amp;"|"&amp;$G260)</f>
        <v/>
      </c>
    </row>
    <row r="261">
      <c r="A261" s="19" t="n"/>
      <c r="B261" s="14">
        <f>IF($A261="","",VALUE(LEFT($A261,4))*4+VALUE(RIGHT($A261,1)))</f>
        <v/>
      </c>
      <c r="C261" s="19" t="n"/>
      <c r="D261" s="14">
        <f>IFERROR(INDEX(Pessoas!$B$5:$B$64,MATCH($C261,Pessoas!$A$5:$A$64,0)),"")</f>
        <v/>
      </c>
      <c r="E261" s="19" t="n"/>
      <c r="F261" s="14">
        <f>IFERROR(INDEX(Pessoas!$D$5:$D$64,MATCH($C261,Pessoas!$A$5:$A$64,0)),"")</f>
        <v/>
      </c>
      <c r="G261" s="19" t="n"/>
      <c r="H261" s="14">
        <f>IFERROR(INDEX(Config!$B$40:$B$45,MATCH($G261,Config!$C$40:$C$45,0)),"")</f>
        <v/>
      </c>
      <c r="I261" s="14">
        <f>IFERROR(INDEX(Config!$D$40:$D$45,MATCH($G261,Config!$C$40:$C$45,0)),"")</f>
        <v/>
      </c>
      <c r="J261" s="19" t="n"/>
      <c r="K261" s="19" t="n"/>
      <c r="L261" s="19" t="n"/>
      <c r="M261" s="19" t="n"/>
      <c r="N261" s="14">
        <f>IF(AND(ISNUMBER($J261),ISNUMBER($K261)),ABS($J261-$K261),"")</f>
        <v/>
      </c>
      <c r="O261" s="14">
        <f>IF(AND(NOT(ISNUMBER($J261)),NOT(ISNUMBER($K261))),"",IF(NOT(ISNUMBER($K261)),$J261,IF(NOT(ISNUMBER($J261)),$K261,IF($N261=0,$J261,IF(AND($N261=1,$T261&lt;&gt;"Sim"),IF($I261="Líder Técnico",$K261,IF($I261="GP",$J261,"CALIBRAR")),"CALIBRAR")))))</f>
        <v/>
      </c>
      <c r="P261" s="19" t="n"/>
      <c r="Q261" s="19" t="n"/>
      <c r="R261" s="14">
        <f>IF($P261="","",IF(AND(ISNUMBER($J261),$P261=$J261,ISNUMBER($K261),$P261=$K261),"= ambos",IF(AND(ISNUMBER($J261),$P261=$J261),"= GP",IF(AND(ISNUMBER($K261),$P261=$K261),"= LT","nenhuma das duas"))))</f>
        <v/>
      </c>
      <c r="S261" s="19" t="n"/>
      <c r="T261" s="19" t="n"/>
      <c r="U261" s="14">
        <f>IF($C261="","",COUNTIFS('Ocorrências'!$V$5:$V$604,$C261&amp;"|"&amp;$B261&amp;"|"&amp;$G261,'Ocorrências'!$X$5:$X$604,"Sim"))</f>
        <v/>
      </c>
      <c r="V261" s="14">
        <f>IF($P261="","",IF(OR($P261=1,$P261=2,$P261=5),IF($U261&gt;0,"OK","SEM LASTRO"),"OK"))</f>
        <v/>
      </c>
      <c r="W261" s="19" t="n"/>
      <c r="X261" s="18" t="n"/>
      <c r="Y261" s="14">
        <f>IF($C261="","",$C261&amp;"|"&amp;$B261)</f>
        <v/>
      </c>
      <c r="Z261" s="14">
        <f>IF($C261="","",$C261&amp;"|"&amp;$B261&amp;"|"&amp;$H261)</f>
        <v/>
      </c>
      <c r="AA261" s="14">
        <f>IF($C261="","",$C261&amp;"|"&amp;$B261&amp;"|"&amp;$G261)</f>
        <v/>
      </c>
    </row>
    <row r="262">
      <c r="A262" s="19" t="n"/>
      <c r="B262" s="14">
        <f>IF($A262="","",VALUE(LEFT($A262,4))*4+VALUE(RIGHT($A262,1)))</f>
        <v/>
      </c>
      <c r="C262" s="19" t="n"/>
      <c r="D262" s="14">
        <f>IFERROR(INDEX(Pessoas!$B$5:$B$64,MATCH($C262,Pessoas!$A$5:$A$64,0)),"")</f>
        <v/>
      </c>
      <c r="E262" s="19" t="n"/>
      <c r="F262" s="14">
        <f>IFERROR(INDEX(Pessoas!$D$5:$D$64,MATCH($C262,Pessoas!$A$5:$A$64,0)),"")</f>
        <v/>
      </c>
      <c r="G262" s="19" t="n"/>
      <c r="H262" s="14">
        <f>IFERROR(INDEX(Config!$B$40:$B$45,MATCH($G262,Config!$C$40:$C$45,0)),"")</f>
        <v/>
      </c>
      <c r="I262" s="14">
        <f>IFERROR(INDEX(Config!$D$40:$D$45,MATCH($G262,Config!$C$40:$C$45,0)),"")</f>
        <v/>
      </c>
      <c r="J262" s="19" t="n"/>
      <c r="K262" s="19" t="n"/>
      <c r="L262" s="19" t="n"/>
      <c r="M262" s="19" t="n"/>
      <c r="N262" s="14">
        <f>IF(AND(ISNUMBER($J262),ISNUMBER($K262)),ABS($J262-$K262),"")</f>
        <v/>
      </c>
      <c r="O262" s="14">
        <f>IF(AND(NOT(ISNUMBER($J262)),NOT(ISNUMBER($K262))),"",IF(NOT(ISNUMBER($K262)),$J262,IF(NOT(ISNUMBER($J262)),$K262,IF($N262=0,$J262,IF(AND($N262=1,$T262&lt;&gt;"Sim"),IF($I262="Líder Técnico",$K262,IF($I262="GP",$J262,"CALIBRAR")),"CALIBRAR")))))</f>
        <v/>
      </c>
      <c r="P262" s="19" t="n"/>
      <c r="Q262" s="19" t="n"/>
      <c r="R262" s="14">
        <f>IF($P262="","",IF(AND(ISNUMBER($J262),$P262=$J262,ISNUMBER($K262),$P262=$K262),"= ambos",IF(AND(ISNUMBER($J262),$P262=$J262),"= GP",IF(AND(ISNUMBER($K262),$P262=$K262),"= LT","nenhuma das duas"))))</f>
        <v/>
      </c>
      <c r="S262" s="19" t="n"/>
      <c r="T262" s="19" t="n"/>
      <c r="U262" s="14">
        <f>IF($C262="","",COUNTIFS('Ocorrências'!$V$5:$V$604,$C262&amp;"|"&amp;$B262&amp;"|"&amp;$G262,'Ocorrências'!$X$5:$X$604,"Sim"))</f>
        <v/>
      </c>
      <c r="V262" s="14">
        <f>IF($P262="","",IF(OR($P262=1,$P262=2,$P262=5),IF($U262&gt;0,"OK","SEM LASTRO"),"OK"))</f>
        <v/>
      </c>
      <c r="W262" s="19" t="n"/>
      <c r="X262" s="18" t="n"/>
      <c r="Y262" s="14">
        <f>IF($C262="","",$C262&amp;"|"&amp;$B262)</f>
        <v/>
      </c>
      <c r="Z262" s="14">
        <f>IF($C262="","",$C262&amp;"|"&amp;$B262&amp;"|"&amp;$H262)</f>
        <v/>
      </c>
      <c r="AA262" s="14">
        <f>IF($C262="","",$C262&amp;"|"&amp;$B262&amp;"|"&amp;$G262)</f>
        <v/>
      </c>
    </row>
    <row r="263">
      <c r="A263" s="19" t="n"/>
      <c r="B263" s="14">
        <f>IF($A263="","",VALUE(LEFT($A263,4))*4+VALUE(RIGHT($A263,1)))</f>
        <v/>
      </c>
      <c r="C263" s="19" t="n"/>
      <c r="D263" s="14">
        <f>IFERROR(INDEX(Pessoas!$B$5:$B$64,MATCH($C263,Pessoas!$A$5:$A$64,0)),"")</f>
        <v/>
      </c>
      <c r="E263" s="19" t="n"/>
      <c r="F263" s="14">
        <f>IFERROR(INDEX(Pessoas!$D$5:$D$64,MATCH($C263,Pessoas!$A$5:$A$64,0)),"")</f>
        <v/>
      </c>
      <c r="G263" s="19" t="n"/>
      <c r="H263" s="14">
        <f>IFERROR(INDEX(Config!$B$40:$B$45,MATCH($G263,Config!$C$40:$C$45,0)),"")</f>
        <v/>
      </c>
      <c r="I263" s="14">
        <f>IFERROR(INDEX(Config!$D$40:$D$45,MATCH($G263,Config!$C$40:$C$45,0)),"")</f>
        <v/>
      </c>
      <c r="J263" s="19" t="n"/>
      <c r="K263" s="19" t="n"/>
      <c r="L263" s="19" t="n"/>
      <c r="M263" s="19" t="n"/>
      <c r="N263" s="14">
        <f>IF(AND(ISNUMBER($J263),ISNUMBER($K263)),ABS($J263-$K263),"")</f>
        <v/>
      </c>
      <c r="O263" s="14">
        <f>IF(AND(NOT(ISNUMBER($J263)),NOT(ISNUMBER($K263))),"",IF(NOT(ISNUMBER($K263)),$J263,IF(NOT(ISNUMBER($J263)),$K263,IF($N263=0,$J263,IF(AND($N263=1,$T263&lt;&gt;"Sim"),IF($I263="Líder Técnico",$K263,IF($I263="GP",$J263,"CALIBRAR")),"CALIBRAR")))))</f>
        <v/>
      </c>
      <c r="P263" s="19" t="n"/>
      <c r="Q263" s="19" t="n"/>
      <c r="R263" s="14">
        <f>IF($P263="","",IF(AND(ISNUMBER($J263),$P263=$J263,ISNUMBER($K263),$P263=$K263),"= ambos",IF(AND(ISNUMBER($J263),$P263=$J263),"= GP",IF(AND(ISNUMBER($K263),$P263=$K263),"= LT","nenhuma das duas"))))</f>
        <v/>
      </c>
      <c r="S263" s="19" t="n"/>
      <c r="T263" s="19" t="n"/>
      <c r="U263" s="14">
        <f>IF($C263="","",COUNTIFS('Ocorrências'!$V$5:$V$604,$C263&amp;"|"&amp;$B263&amp;"|"&amp;$G263,'Ocorrências'!$X$5:$X$604,"Sim"))</f>
        <v/>
      </c>
      <c r="V263" s="14">
        <f>IF($P263="","",IF(OR($P263=1,$P263=2,$P263=5),IF($U263&gt;0,"OK","SEM LASTRO"),"OK"))</f>
        <v/>
      </c>
      <c r="W263" s="19" t="n"/>
      <c r="X263" s="18" t="n"/>
      <c r="Y263" s="14">
        <f>IF($C263="","",$C263&amp;"|"&amp;$B263)</f>
        <v/>
      </c>
      <c r="Z263" s="14">
        <f>IF($C263="","",$C263&amp;"|"&amp;$B263&amp;"|"&amp;$H263)</f>
        <v/>
      </c>
      <c r="AA263" s="14">
        <f>IF($C263="","",$C263&amp;"|"&amp;$B263&amp;"|"&amp;$G263)</f>
        <v/>
      </c>
    </row>
    <row r="264">
      <c r="A264" s="19" t="n"/>
      <c r="B264" s="14">
        <f>IF($A264="","",VALUE(LEFT($A264,4))*4+VALUE(RIGHT($A264,1)))</f>
        <v/>
      </c>
      <c r="C264" s="19" t="n"/>
      <c r="D264" s="14">
        <f>IFERROR(INDEX(Pessoas!$B$5:$B$64,MATCH($C264,Pessoas!$A$5:$A$64,0)),"")</f>
        <v/>
      </c>
      <c r="E264" s="19" t="n"/>
      <c r="F264" s="14">
        <f>IFERROR(INDEX(Pessoas!$D$5:$D$64,MATCH($C264,Pessoas!$A$5:$A$64,0)),"")</f>
        <v/>
      </c>
      <c r="G264" s="19" t="n"/>
      <c r="H264" s="14">
        <f>IFERROR(INDEX(Config!$B$40:$B$45,MATCH($G264,Config!$C$40:$C$45,0)),"")</f>
        <v/>
      </c>
      <c r="I264" s="14">
        <f>IFERROR(INDEX(Config!$D$40:$D$45,MATCH($G264,Config!$C$40:$C$45,0)),"")</f>
        <v/>
      </c>
      <c r="J264" s="19" t="n"/>
      <c r="K264" s="19" t="n"/>
      <c r="L264" s="19" t="n"/>
      <c r="M264" s="19" t="n"/>
      <c r="N264" s="14">
        <f>IF(AND(ISNUMBER($J264),ISNUMBER($K264)),ABS($J264-$K264),"")</f>
        <v/>
      </c>
      <c r="O264" s="14">
        <f>IF(AND(NOT(ISNUMBER($J264)),NOT(ISNUMBER($K264))),"",IF(NOT(ISNUMBER($K264)),$J264,IF(NOT(ISNUMBER($J264)),$K264,IF($N264=0,$J264,IF(AND($N264=1,$T264&lt;&gt;"Sim"),IF($I264="Líder Técnico",$K264,IF($I264="GP",$J264,"CALIBRAR")),"CALIBRAR")))))</f>
        <v/>
      </c>
      <c r="P264" s="19" t="n"/>
      <c r="Q264" s="19" t="n"/>
      <c r="R264" s="14">
        <f>IF($P264="","",IF(AND(ISNUMBER($J264),$P264=$J264,ISNUMBER($K264),$P264=$K264),"= ambos",IF(AND(ISNUMBER($J264),$P264=$J264),"= GP",IF(AND(ISNUMBER($K264),$P264=$K264),"= LT","nenhuma das duas"))))</f>
        <v/>
      </c>
      <c r="S264" s="19" t="n"/>
      <c r="T264" s="19" t="n"/>
      <c r="U264" s="14">
        <f>IF($C264="","",COUNTIFS('Ocorrências'!$V$5:$V$604,$C264&amp;"|"&amp;$B264&amp;"|"&amp;$G264,'Ocorrências'!$X$5:$X$604,"Sim"))</f>
        <v/>
      </c>
      <c r="V264" s="14">
        <f>IF($P264="","",IF(OR($P264=1,$P264=2,$P264=5),IF($U264&gt;0,"OK","SEM LASTRO"),"OK"))</f>
        <v/>
      </c>
      <c r="W264" s="19" t="n"/>
      <c r="X264" s="18" t="n"/>
      <c r="Y264" s="14">
        <f>IF($C264="","",$C264&amp;"|"&amp;$B264)</f>
        <v/>
      </c>
      <c r="Z264" s="14">
        <f>IF($C264="","",$C264&amp;"|"&amp;$B264&amp;"|"&amp;$H264)</f>
        <v/>
      </c>
      <c r="AA264" s="14">
        <f>IF($C264="","",$C264&amp;"|"&amp;$B264&amp;"|"&amp;$G264)</f>
        <v/>
      </c>
    </row>
    <row r="265">
      <c r="A265" s="19" t="n"/>
      <c r="B265" s="14">
        <f>IF($A265="","",VALUE(LEFT($A265,4))*4+VALUE(RIGHT($A265,1)))</f>
        <v/>
      </c>
      <c r="C265" s="19" t="n"/>
      <c r="D265" s="14">
        <f>IFERROR(INDEX(Pessoas!$B$5:$B$64,MATCH($C265,Pessoas!$A$5:$A$64,0)),"")</f>
        <v/>
      </c>
      <c r="E265" s="19" t="n"/>
      <c r="F265" s="14">
        <f>IFERROR(INDEX(Pessoas!$D$5:$D$64,MATCH($C265,Pessoas!$A$5:$A$64,0)),"")</f>
        <v/>
      </c>
      <c r="G265" s="19" t="n"/>
      <c r="H265" s="14">
        <f>IFERROR(INDEX(Config!$B$40:$B$45,MATCH($G265,Config!$C$40:$C$45,0)),"")</f>
        <v/>
      </c>
      <c r="I265" s="14">
        <f>IFERROR(INDEX(Config!$D$40:$D$45,MATCH($G265,Config!$C$40:$C$45,0)),"")</f>
        <v/>
      </c>
      <c r="J265" s="19" t="n"/>
      <c r="K265" s="19" t="n"/>
      <c r="L265" s="19" t="n"/>
      <c r="M265" s="19" t="n"/>
      <c r="N265" s="14">
        <f>IF(AND(ISNUMBER($J265),ISNUMBER($K265)),ABS($J265-$K265),"")</f>
        <v/>
      </c>
      <c r="O265" s="14">
        <f>IF(AND(NOT(ISNUMBER($J265)),NOT(ISNUMBER($K265))),"",IF(NOT(ISNUMBER($K265)),$J265,IF(NOT(ISNUMBER($J265)),$K265,IF($N265=0,$J265,IF(AND($N265=1,$T265&lt;&gt;"Sim"),IF($I265="Líder Técnico",$K265,IF($I265="GP",$J265,"CALIBRAR")),"CALIBRAR")))))</f>
        <v/>
      </c>
      <c r="P265" s="19" t="n"/>
      <c r="Q265" s="19" t="n"/>
      <c r="R265" s="14">
        <f>IF($P265="","",IF(AND(ISNUMBER($J265),$P265=$J265,ISNUMBER($K265),$P265=$K265),"= ambos",IF(AND(ISNUMBER($J265),$P265=$J265),"= GP",IF(AND(ISNUMBER($K265),$P265=$K265),"= LT","nenhuma das duas"))))</f>
        <v/>
      </c>
      <c r="S265" s="19" t="n"/>
      <c r="T265" s="19" t="n"/>
      <c r="U265" s="14">
        <f>IF($C265="","",COUNTIFS('Ocorrências'!$V$5:$V$604,$C265&amp;"|"&amp;$B265&amp;"|"&amp;$G265,'Ocorrências'!$X$5:$X$604,"Sim"))</f>
        <v/>
      </c>
      <c r="V265" s="14">
        <f>IF($P265="","",IF(OR($P265=1,$P265=2,$P265=5),IF($U265&gt;0,"OK","SEM LASTRO"),"OK"))</f>
        <v/>
      </c>
      <c r="W265" s="19" t="n"/>
      <c r="X265" s="18" t="n"/>
      <c r="Y265" s="14">
        <f>IF($C265="","",$C265&amp;"|"&amp;$B265)</f>
        <v/>
      </c>
      <c r="Z265" s="14">
        <f>IF($C265="","",$C265&amp;"|"&amp;$B265&amp;"|"&amp;$H265)</f>
        <v/>
      </c>
      <c r="AA265" s="14">
        <f>IF($C265="","",$C265&amp;"|"&amp;$B265&amp;"|"&amp;$G265)</f>
        <v/>
      </c>
    </row>
    <row r="266">
      <c r="A266" s="19" t="n"/>
      <c r="B266" s="14">
        <f>IF($A266="","",VALUE(LEFT($A266,4))*4+VALUE(RIGHT($A266,1)))</f>
        <v/>
      </c>
      <c r="C266" s="19" t="n"/>
      <c r="D266" s="14">
        <f>IFERROR(INDEX(Pessoas!$B$5:$B$64,MATCH($C266,Pessoas!$A$5:$A$64,0)),"")</f>
        <v/>
      </c>
      <c r="E266" s="19" t="n"/>
      <c r="F266" s="14">
        <f>IFERROR(INDEX(Pessoas!$D$5:$D$64,MATCH($C266,Pessoas!$A$5:$A$64,0)),"")</f>
        <v/>
      </c>
      <c r="G266" s="19" t="n"/>
      <c r="H266" s="14">
        <f>IFERROR(INDEX(Config!$B$40:$B$45,MATCH($G266,Config!$C$40:$C$45,0)),"")</f>
        <v/>
      </c>
      <c r="I266" s="14">
        <f>IFERROR(INDEX(Config!$D$40:$D$45,MATCH($G266,Config!$C$40:$C$45,0)),"")</f>
        <v/>
      </c>
      <c r="J266" s="19" t="n"/>
      <c r="K266" s="19" t="n"/>
      <c r="L266" s="19" t="n"/>
      <c r="M266" s="19" t="n"/>
      <c r="N266" s="14">
        <f>IF(AND(ISNUMBER($J266),ISNUMBER($K266)),ABS($J266-$K266),"")</f>
        <v/>
      </c>
      <c r="O266" s="14">
        <f>IF(AND(NOT(ISNUMBER($J266)),NOT(ISNUMBER($K266))),"",IF(NOT(ISNUMBER($K266)),$J266,IF(NOT(ISNUMBER($J266)),$K266,IF($N266=0,$J266,IF(AND($N266=1,$T266&lt;&gt;"Sim"),IF($I266="Líder Técnico",$K266,IF($I266="GP",$J266,"CALIBRAR")),"CALIBRAR")))))</f>
        <v/>
      </c>
      <c r="P266" s="19" t="n"/>
      <c r="Q266" s="19" t="n"/>
      <c r="R266" s="14">
        <f>IF($P266="","",IF(AND(ISNUMBER($J266),$P266=$J266,ISNUMBER($K266),$P266=$K266),"= ambos",IF(AND(ISNUMBER($J266),$P266=$J266),"= GP",IF(AND(ISNUMBER($K266),$P266=$K266),"= LT","nenhuma das duas"))))</f>
        <v/>
      </c>
      <c r="S266" s="19" t="n"/>
      <c r="T266" s="19" t="n"/>
      <c r="U266" s="14">
        <f>IF($C266="","",COUNTIFS('Ocorrências'!$V$5:$V$604,$C266&amp;"|"&amp;$B266&amp;"|"&amp;$G266,'Ocorrências'!$X$5:$X$604,"Sim"))</f>
        <v/>
      </c>
      <c r="V266" s="14">
        <f>IF($P266="","",IF(OR($P266=1,$P266=2,$P266=5),IF($U266&gt;0,"OK","SEM LASTRO"),"OK"))</f>
        <v/>
      </c>
      <c r="W266" s="19" t="n"/>
      <c r="X266" s="18" t="n"/>
      <c r="Y266" s="14">
        <f>IF($C266="","",$C266&amp;"|"&amp;$B266)</f>
        <v/>
      </c>
      <c r="Z266" s="14">
        <f>IF($C266="","",$C266&amp;"|"&amp;$B266&amp;"|"&amp;$H266)</f>
        <v/>
      </c>
      <c r="AA266" s="14">
        <f>IF($C266="","",$C266&amp;"|"&amp;$B266&amp;"|"&amp;$G266)</f>
        <v/>
      </c>
    </row>
    <row r="267">
      <c r="A267" s="19" t="n"/>
      <c r="B267" s="14">
        <f>IF($A267="","",VALUE(LEFT($A267,4))*4+VALUE(RIGHT($A267,1)))</f>
        <v/>
      </c>
      <c r="C267" s="19" t="n"/>
      <c r="D267" s="14">
        <f>IFERROR(INDEX(Pessoas!$B$5:$B$64,MATCH($C267,Pessoas!$A$5:$A$64,0)),"")</f>
        <v/>
      </c>
      <c r="E267" s="19" t="n"/>
      <c r="F267" s="14">
        <f>IFERROR(INDEX(Pessoas!$D$5:$D$64,MATCH($C267,Pessoas!$A$5:$A$64,0)),"")</f>
        <v/>
      </c>
      <c r="G267" s="19" t="n"/>
      <c r="H267" s="14">
        <f>IFERROR(INDEX(Config!$B$40:$B$45,MATCH($G267,Config!$C$40:$C$45,0)),"")</f>
        <v/>
      </c>
      <c r="I267" s="14">
        <f>IFERROR(INDEX(Config!$D$40:$D$45,MATCH($G267,Config!$C$40:$C$45,0)),"")</f>
        <v/>
      </c>
      <c r="J267" s="19" t="n"/>
      <c r="K267" s="19" t="n"/>
      <c r="L267" s="19" t="n"/>
      <c r="M267" s="19" t="n"/>
      <c r="N267" s="14">
        <f>IF(AND(ISNUMBER($J267),ISNUMBER($K267)),ABS($J267-$K267),"")</f>
        <v/>
      </c>
      <c r="O267" s="14">
        <f>IF(AND(NOT(ISNUMBER($J267)),NOT(ISNUMBER($K267))),"",IF(NOT(ISNUMBER($K267)),$J267,IF(NOT(ISNUMBER($J267)),$K267,IF($N267=0,$J267,IF(AND($N267=1,$T267&lt;&gt;"Sim"),IF($I267="Líder Técnico",$K267,IF($I267="GP",$J267,"CALIBRAR")),"CALIBRAR")))))</f>
        <v/>
      </c>
      <c r="P267" s="19" t="n"/>
      <c r="Q267" s="19" t="n"/>
      <c r="R267" s="14">
        <f>IF($P267="","",IF(AND(ISNUMBER($J267),$P267=$J267,ISNUMBER($K267),$P267=$K267),"= ambos",IF(AND(ISNUMBER($J267),$P267=$J267),"= GP",IF(AND(ISNUMBER($K267),$P267=$K267),"= LT","nenhuma das duas"))))</f>
        <v/>
      </c>
      <c r="S267" s="19" t="n"/>
      <c r="T267" s="19" t="n"/>
      <c r="U267" s="14">
        <f>IF($C267="","",COUNTIFS('Ocorrências'!$V$5:$V$604,$C267&amp;"|"&amp;$B267&amp;"|"&amp;$G267,'Ocorrências'!$X$5:$X$604,"Sim"))</f>
        <v/>
      </c>
      <c r="V267" s="14">
        <f>IF($P267="","",IF(OR($P267=1,$P267=2,$P267=5),IF($U267&gt;0,"OK","SEM LASTRO"),"OK"))</f>
        <v/>
      </c>
      <c r="W267" s="19" t="n"/>
      <c r="X267" s="18" t="n"/>
      <c r="Y267" s="14">
        <f>IF($C267="","",$C267&amp;"|"&amp;$B267)</f>
        <v/>
      </c>
      <c r="Z267" s="14">
        <f>IF($C267="","",$C267&amp;"|"&amp;$B267&amp;"|"&amp;$H267)</f>
        <v/>
      </c>
      <c r="AA267" s="14">
        <f>IF($C267="","",$C267&amp;"|"&amp;$B267&amp;"|"&amp;$G267)</f>
        <v/>
      </c>
    </row>
    <row r="268">
      <c r="A268" s="19" t="n"/>
      <c r="B268" s="14">
        <f>IF($A268="","",VALUE(LEFT($A268,4))*4+VALUE(RIGHT($A268,1)))</f>
        <v/>
      </c>
      <c r="C268" s="19" t="n"/>
      <c r="D268" s="14">
        <f>IFERROR(INDEX(Pessoas!$B$5:$B$64,MATCH($C268,Pessoas!$A$5:$A$64,0)),"")</f>
        <v/>
      </c>
      <c r="E268" s="19" t="n"/>
      <c r="F268" s="14">
        <f>IFERROR(INDEX(Pessoas!$D$5:$D$64,MATCH($C268,Pessoas!$A$5:$A$64,0)),"")</f>
        <v/>
      </c>
      <c r="G268" s="19" t="n"/>
      <c r="H268" s="14">
        <f>IFERROR(INDEX(Config!$B$40:$B$45,MATCH($G268,Config!$C$40:$C$45,0)),"")</f>
        <v/>
      </c>
      <c r="I268" s="14">
        <f>IFERROR(INDEX(Config!$D$40:$D$45,MATCH($G268,Config!$C$40:$C$45,0)),"")</f>
        <v/>
      </c>
      <c r="J268" s="19" t="n"/>
      <c r="K268" s="19" t="n"/>
      <c r="L268" s="19" t="n"/>
      <c r="M268" s="19" t="n"/>
      <c r="N268" s="14">
        <f>IF(AND(ISNUMBER($J268),ISNUMBER($K268)),ABS($J268-$K268),"")</f>
        <v/>
      </c>
      <c r="O268" s="14">
        <f>IF(AND(NOT(ISNUMBER($J268)),NOT(ISNUMBER($K268))),"",IF(NOT(ISNUMBER($K268)),$J268,IF(NOT(ISNUMBER($J268)),$K268,IF($N268=0,$J268,IF(AND($N268=1,$T268&lt;&gt;"Sim"),IF($I268="Líder Técnico",$K268,IF($I268="GP",$J268,"CALIBRAR")),"CALIBRAR")))))</f>
        <v/>
      </c>
      <c r="P268" s="19" t="n"/>
      <c r="Q268" s="19" t="n"/>
      <c r="R268" s="14">
        <f>IF($P268="","",IF(AND(ISNUMBER($J268),$P268=$J268,ISNUMBER($K268),$P268=$K268),"= ambos",IF(AND(ISNUMBER($J268),$P268=$J268),"= GP",IF(AND(ISNUMBER($K268),$P268=$K268),"= LT","nenhuma das duas"))))</f>
        <v/>
      </c>
      <c r="S268" s="19" t="n"/>
      <c r="T268" s="19" t="n"/>
      <c r="U268" s="14">
        <f>IF($C268="","",COUNTIFS('Ocorrências'!$V$5:$V$604,$C268&amp;"|"&amp;$B268&amp;"|"&amp;$G268,'Ocorrências'!$X$5:$X$604,"Sim"))</f>
        <v/>
      </c>
      <c r="V268" s="14">
        <f>IF($P268="","",IF(OR($P268=1,$P268=2,$P268=5),IF($U268&gt;0,"OK","SEM LASTRO"),"OK"))</f>
        <v/>
      </c>
      <c r="W268" s="19" t="n"/>
      <c r="X268" s="18" t="n"/>
      <c r="Y268" s="14">
        <f>IF($C268="","",$C268&amp;"|"&amp;$B268)</f>
        <v/>
      </c>
      <c r="Z268" s="14">
        <f>IF($C268="","",$C268&amp;"|"&amp;$B268&amp;"|"&amp;$H268)</f>
        <v/>
      </c>
      <c r="AA268" s="14">
        <f>IF($C268="","",$C268&amp;"|"&amp;$B268&amp;"|"&amp;$G268)</f>
        <v/>
      </c>
    </row>
    <row r="269">
      <c r="A269" s="19" t="n"/>
      <c r="B269" s="14">
        <f>IF($A269="","",VALUE(LEFT($A269,4))*4+VALUE(RIGHT($A269,1)))</f>
        <v/>
      </c>
      <c r="C269" s="19" t="n"/>
      <c r="D269" s="14">
        <f>IFERROR(INDEX(Pessoas!$B$5:$B$64,MATCH($C269,Pessoas!$A$5:$A$64,0)),"")</f>
        <v/>
      </c>
      <c r="E269" s="19" t="n"/>
      <c r="F269" s="14">
        <f>IFERROR(INDEX(Pessoas!$D$5:$D$64,MATCH($C269,Pessoas!$A$5:$A$64,0)),"")</f>
        <v/>
      </c>
      <c r="G269" s="19" t="n"/>
      <c r="H269" s="14">
        <f>IFERROR(INDEX(Config!$B$40:$B$45,MATCH($G269,Config!$C$40:$C$45,0)),"")</f>
        <v/>
      </c>
      <c r="I269" s="14">
        <f>IFERROR(INDEX(Config!$D$40:$D$45,MATCH($G269,Config!$C$40:$C$45,0)),"")</f>
        <v/>
      </c>
      <c r="J269" s="19" t="n"/>
      <c r="K269" s="19" t="n"/>
      <c r="L269" s="19" t="n"/>
      <c r="M269" s="19" t="n"/>
      <c r="N269" s="14">
        <f>IF(AND(ISNUMBER($J269),ISNUMBER($K269)),ABS($J269-$K269),"")</f>
        <v/>
      </c>
      <c r="O269" s="14">
        <f>IF(AND(NOT(ISNUMBER($J269)),NOT(ISNUMBER($K269))),"",IF(NOT(ISNUMBER($K269)),$J269,IF(NOT(ISNUMBER($J269)),$K269,IF($N269=0,$J269,IF(AND($N269=1,$T269&lt;&gt;"Sim"),IF($I269="Líder Técnico",$K269,IF($I269="GP",$J269,"CALIBRAR")),"CALIBRAR")))))</f>
        <v/>
      </c>
      <c r="P269" s="19" t="n"/>
      <c r="Q269" s="19" t="n"/>
      <c r="R269" s="14">
        <f>IF($P269="","",IF(AND(ISNUMBER($J269),$P269=$J269,ISNUMBER($K269),$P269=$K269),"= ambos",IF(AND(ISNUMBER($J269),$P269=$J269),"= GP",IF(AND(ISNUMBER($K269),$P269=$K269),"= LT","nenhuma das duas"))))</f>
        <v/>
      </c>
      <c r="S269" s="19" t="n"/>
      <c r="T269" s="19" t="n"/>
      <c r="U269" s="14">
        <f>IF($C269="","",COUNTIFS('Ocorrências'!$V$5:$V$604,$C269&amp;"|"&amp;$B269&amp;"|"&amp;$G269,'Ocorrências'!$X$5:$X$604,"Sim"))</f>
        <v/>
      </c>
      <c r="V269" s="14">
        <f>IF($P269="","",IF(OR($P269=1,$P269=2,$P269=5),IF($U269&gt;0,"OK","SEM LASTRO"),"OK"))</f>
        <v/>
      </c>
      <c r="W269" s="19" t="n"/>
      <c r="X269" s="18" t="n"/>
      <c r="Y269" s="14">
        <f>IF($C269="","",$C269&amp;"|"&amp;$B269)</f>
        <v/>
      </c>
      <c r="Z269" s="14">
        <f>IF($C269="","",$C269&amp;"|"&amp;$B269&amp;"|"&amp;$H269)</f>
        <v/>
      </c>
      <c r="AA269" s="14">
        <f>IF($C269="","",$C269&amp;"|"&amp;$B269&amp;"|"&amp;$G269)</f>
        <v/>
      </c>
    </row>
    <row r="270">
      <c r="A270" s="19" t="n"/>
      <c r="B270" s="14">
        <f>IF($A270="","",VALUE(LEFT($A270,4))*4+VALUE(RIGHT($A270,1)))</f>
        <v/>
      </c>
      <c r="C270" s="19" t="n"/>
      <c r="D270" s="14">
        <f>IFERROR(INDEX(Pessoas!$B$5:$B$64,MATCH($C270,Pessoas!$A$5:$A$64,0)),"")</f>
        <v/>
      </c>
      <c r="E270" s="19" t="n"/>
      <c r="F270" s="14">
        <f>IFERROR(INDEX(Pessoas!$D$5:$D$64,MATCH($C270,Pessoas!$A$5:$A$64,0)),"")</f>
        <v/>
      </c>
      <c r="G270" s="19" t="n"/>
      <c r="H270" s="14">
        <f>IFERROR(INDEX(Config!$B$40:$B$45,MATCH($G270,Config!$C$40:$C$45,0)),"")</f>
        <v/>
      </c>
      <c r="I270" s="14">
        <f>IFERROR(INDEX(Config!$D$40:$D$45,MATCH($G270,Config!$C$40:$C$45,0)),"")</f>
        <v/>
      </c>
      <c r="J270" s="19" t="n"/>
      <c r="K270" s="19" t="n"/>
      <c r="L270" s="19" t="n"/>
      <c r="M270" s="19" t="n"/>
      <c r="N270" s="14">
        <f>IF(AND(ISNUMBER($J270),ISNUMBER($K270)),ABS($J270-$K270),"")</f>
        <v/>
      </c>
      <c r="O270" s="14">
        <f>IF(AND(NOT(ISNUMBER($J270)),NOT(ISNUMBER($K270))),"",IF(NOT(ISNUMBER($K270)),$J270,IF(NOT(ISNUMBER($J270)),$K270,IF($N270=0,$J270,IF(AND($N270=1,$T270&lt;&gt;"Sim"),IF($I270="Líder Técnico",$K270,IF($I270="GP",$J270,"CALIBRAR")),"CALIBRAR")))))</f>
        <v/>
      </c>
      <c r="P270" s="19" t="n"/>
      <c r="Q270" s="19" t="n"/>
      <c r="R270" s="14">
        <f>IF($P270="","",IF(AND(ISNUMBER($J270),$P270=$J270,ISNUMBER($K270),$P270=$K270),"= ambos",IF(AND(ISNUMBER($J270),$P270=$J270),"= GP",IF(AND(ISNUMBER($K270),$P270=$K270),"= LT","nenhuma das duas"))))</f>
        <v/>
      </c>
      <c r="S270" s="19" t="n"/>
      <c r="T270" s="19" t="n"/>
      <c r="U270" s="14">
        <f>IF($C270="","",COUNTIFS('Ocorrências'!$V$5:$V$604,$C270&amp;"|"&amp;$B270&amp;"|"&amp;$G270,'Ocorrências'!$X$5:$X$604,"Sim"))</f>
        <v/>
      </c>
      <c r="V270" s="14">
        <f>IF($P270="","",IF(OR($P270=1,$P270=2,$P270=5),IF($U270&gt;0,"OK","SEM LASTRO"),"OK"))</f>
        <v/>
      </c>
      <c r="W270" s="19" t="n"/>
      <c r="X270" s="18" t="n"/>
      <c r="Y270" s="14">
        <f>IF($C270="","",$C270&amp;"|"&amp;$B270)</f>
        <v/>
      </c>
      <c r="Z270" s="14">
        <f>IF($C270="","",$C270&amp;"|"&amp;$B270&amp;"|"&amp;$H270)</f>
        <v/>
      </c>
      <c r="AA270" s="14">
        <f>IF($C270="","",$C270&amp;"|"&amp;$B270&amp;"|"&amp;$G270)</f>
        <v/>
      </c>
    </row>
    <row r="271">
      <c r="A271" s="19" t="n"/>
      <c r="B271" s="14">
        <f>IF($A271="","",VALUE(LEFT($A271,4))*4+VALUE(RIGHT($A271,1)))</f>
        <v/>
      </c>
      <c r="C271" s="19" t="n"/>
      <c r="D271" s="14">
        <f>IFERROR(INDEX(Pessoas!$B$5:$B$64,MATCH($C271,Pessoas!$A$5:$A$64,0)),"")</f>
        <v/>
      </c>
      <c r="E271" s="19" t="n"/>
      <c r="F271" s="14">
        <f>IFERROR(INDEX(Pessoas!$D$5:$D$64,MATCH($C271,Pessoas!$A$5:$A$64,0)),"")</f>
        <v/>
      </c>
      <c r="G271" s="19" t="n"/>
      <c r="H271" s="14">
        <f>IFERROR(INDEX(Config!$B$40:$B$45,MATCH($G271,Config!$C$40:$C$45,0)),"")</f>
        <v/>
      </c>
      <c r="I271" s="14">
        <f>IFERROR(INDEX(Config!$D$40:$D$45,MATCH($G271,Config!$C$40:$C$45,0)),"")</f>
        <v/>
      </c>
      <c r="J271" s="19" t="n"/>
      <c r="K271" s="19" t="n"/>
      <c r="L271" s="19" t="n"/>
      <c r="M271" s="19" t="n"/>
      <c r="N271" s="14">
        <f>IF(AND(ISNUMBER($J271),ISNUMBER($K271)),ABS($J271-$K271),"")</f>
        <v/>
      </c>
      <c r="O271" s="14">
        <f>IF(AND(NOT(ISNUMBER($J271)),NOT(ISNUMBER($K271))),"",IF(NOT(ISNUMBER($K271)),$J271,IF(NOT(ISNUMBER($J271)),$K271,IF($N271=0,$J271,IF(AND($N271=1,$T271&lt;&gt;"Sim"),IF($I271="Líder Técnico",$K271,IF($I271="GP",$J271,"CALIBRAR")),"CALIBRAR")))))</f>
        <v/>
      </c>
      <c r="P271" s="19" t="n"/>
      <c r="Q271" s="19" t="n"/>
      <c r="R271" s="14">
        <f>IF($P271="","",IF(AND(ISNUMBER($J271),$P271=$J271,ISNUMBER($K271),$P271=$K271),"= ambos",IF(AND(ISNUMBER($J271),$P271=$J271),"= GP",IF(AND(ISNUMBER($K271),$P271=$K271),"= LT","nenhuma das duas"))))</f>
        <v/>
      </c>
      <c r="S271" s="19" t="n"/>
      <c r="T271" s="19" t="n"/>
      <c r="U271" s="14">
        <f>IF($C271="","",COUNTIFS('Ocorrências'!$V$5:$V$604,$C271&amp;"|"&amp;$B271&amp;"|"&amp;$G271,'Ocorrências'!$X$5:$X$604,"Sim"))</f>
        <v/>
      </c>
      <c r="V271" s="14">
        <f>IF($P271="","",IF(OR($P271=1,$P271=2,$P271=5),IF($U271&gt;0,"OK","SEM LASTRO"),"OK"))</f>
        <v/>
      </c>
      <c r="W271" s="19" t="n"/>
      <c r="X271" s="18" t="n"/>
      <c r="Y271" s="14">
        <f>IF($C271="","",$C271&amp;"|"&amp;$B271)</f>
        <v/>
      </c>
      <c r="Z271" s="14">
        <f>IF($C271="","",$C271&amp;"|"&amp;$B271&amp;"|"&amp;$H271)</f>
        <v/>
      </c>
      <c r="AA271" s="14">
        <f>IF($C271="","",$C271&amp;"|"&amp;$B271&amp;"|"&amp;$G271)</f>
        <v/>
      </c>
    </row>
    <row r="272">
      <c r="A272" s="19" t="n"/>
      <c r="B272" s="14">
        <f>IF($A272="","",VALUE(LEFT($A272,4))*4+VALUE(RIGHT($A272,1)))</f>
        <v/>
      </c>
      <c r="C272" s="19" t="n"/>
      <c r="D272" s="14">
        <f>IFERROR(INDEX(Pessoas!$B$5:$B$64,MATCH($C272,Pessoas!$A$5:$A$64,0)),"")</f>
        <v/>
      </c>
      <c r="E272" s="19" t="n"/>
      <c r="F272" s="14">
        <f>IFERROR(INDEX(Pessoas!$D$5:$D$64,MATCH($C272,Pessoas!$A$5:$A$64,0)),"")</f>
        <v/>
      </c>
      <c r="G272" s="19" t="n"/>
      <c r="H272" s="14">
        <f>IFERROR(INDEX(Config!$B$40:$B$45,MATCH($G272,Config!$C$40:$C$45,0)),"")</f>
        <v/>
      </c>
      <c r="I272" s="14">
        <f>IFERROR(INDEX(Config!$D$40:$D$45,MATCH($G272,Config!$C$40:$C$45,0)),"")</f>
        <v/>
      </c>
      <c r="J272" s="19" t="n"/>
      <c r="K272" s="19" t="n"/>
      <c r="L272" s="19" t="n"/>
      <c r="M272" s="19" t="n"/>
      <c r="N272" s="14">
        <f>IF(AND(ISNUMBER($J272),ISNUMBER($K272)),ABS($J272-$K272),"")</f>
        <v/>
      </c>
      <c r="O272" s="14">
        <f>IF(AND(NOT(ISNUMBER($J272)),NOT(ISNUMBER($K272))),"",IF(NOT(ISNUMBER($K272)),$J272,IF(NOT(ISNUMBER($J272)),$K272,IF($N272=0,$J272,IF(AND($N272=1,$T272&lt;&gt;"Sim"),IF($I272="Líder Técnico",$K272,IF($I272="GP",$J272,"CALIBRAR")),"CALIBRAR")))))</f>
        <v/>
      </c>
      <c r="P272" s="19" t="n"/>
      <c r="Q272" s="19" t="n"/>
      <c r="R272" s="14">
        <f>IF($P272="","",IF(AND(ISNUMBER($J272),$P272=$J272,ISNUMBER($K272),$P272=$K272),"= ambos",IF(AND(ISNUMBER($J272),$P272=$J272),"= GP",IF(AND(ISNUMBER($K272),$P272=$K272),"= LT","nenhuma das duas"))))</f>
        <v/>
      </c>
      <c r="S272" s="19" t="n"/>
      <c r="T272" s="19" t="n"/>
      <c r="U272" s="14">
        <f>IF($C272="","",COUNTIFS('Ocorrências'!$V$5:$V$604,$C272&amp;"|"&amp;$B272&amp;"|"&amp;$G272,'Ocorrências'!$X$5:$X$604,"Sim"))</f>
        <v/>
      </c>
      <c r="V272" s="14">
        <f>IF($P272="","",IF(OR($P272=1,$P272=2,$P272=5),IF($U272&gt;0,"OK","SEM LASTRO"),"OK"))</f>
        <v/>
      </c>
      <c r="W272" s="19" t="n"/>
      <c r="X272" s="18" t="n"/>
      <c r="Y272" s="14">
        <f>IF($C272="","",$C272&amp;"|"&amp;$B272)</f>
        <v/>
      </c>
      <c r="Z272" s="14">
        <f>IF($C272="","",$C272&amp;"|"&amp;$B272&amp;"|"&amp;$H272)</f>
        <v/>
      </c>
      <c r="AA272" s="14">
        <f>IF($C272="","",$C272&amp;"|"&amp;$B272&amp;"|"&amp;$G272)</f>
        <v/>
      </c>
    </row>
    <row r="273">
      <c r="A273" s="19" t="n"/>
      <c r="B273" s="14">
        <f>IF($A273="","",VALUE(LEFT($A273,4))*4+VALUE(RIGHT($A273,1)))</f>
        <v/>
      </c>
      <c r="C273" s="19" t="n"/>
      <c r="D273" s="14">
        <f>IFERROR(INDEX(Pessoas!$B$5:$B$64,MATCH($C273,Pessoas!$A$5:$A$64,0)),"")</f>
        <v/>
      </c>
      <c r="E273" s="19" t="n"/>
      <c r="F273" s="14">
        <f>IFERROR(INDEX(Pessoas!$D$5:$D$64,MATCH($C273,Pessoas!$A$5:$A$64,0)),"")</f>
        <v/>
      </c>
      <c r="G273" s="19" t="n"/>
      <c r="H273" s="14">
        <f>IFERROR(INDEX(Config!$B$40:$B$45,MATCH($G273,Config!$C$40:$C$45,0)),"")</f>
        <v/>
      </c>
      <c r="I273" s="14">
        <f>IFERROR(INDEX(Config!$D$40:$D$45,MATCH($G273,Config!$C$40:$C$45,0)),"")</f>
        <v/>
      </c>
      <c r="J273" s="19" t="n"/>
      <c r="K273" s="19" t="n"/>
      <c r="L273" s="19" t="n"/>
      <c r="M273" s="19" t="n"/>
      <c r="N273" s="14">
        <f>IF(AND(ISNUMBER($J273),ISNUMBER($K273)),ABS($J273-$K273),"")</f>
        <v/>
      </c>
      <c r="O273" s="14">
        <f>IF(AND(NOT(ISNUMBER($J273)),NOT(ISNUMBER($K273))),"",IF(NOT(ISNUMBER($K273)),$J273,IF(NOT(ISNUMBER($J273)),$K273,IF($N273=0,$J273,IF(AND($N273=1,$T273&lt;&gt;"Sim"),IF($I273="Líder Técnico",$K273,IF($I273="GP",$J273,"CALIBRAR")),"CALIBRAR")))))</f>
        <v/>
      </c>
      <c r="P273" s="19" t="n"/>
      <c r="Q273" s="19" t="n"/>
      <c r="R273" s="14">
        <f>IF($P273="","",IF(AND(ISNUMBER($J273),$P273=$J273,ISNUMBER($K273),$P273=$K273),"= ambos",IF(AND(ISNUMBER($J273),$P273=$J273),"= GP",IF(AND(ISNUMBER($K273),$P273=$K273),"= LT","nenhuma das duas"))))</f>
        <v/>
      </c>
      <c r="S273" s="19" t="n"/>
      <c r="T273" s="19" t="n"/>
      <c r="U273" s="14">
        <f>IF($C273="","",COUNTIFS('Ocorrências'!$V$5:$V$604,$C273&amp;"|"&amp;$B273&amp;"|"&amp;$G273,'Ocorrências'!$X$5:$X$604,"Sim"))</f>
        <v/>
      </c>
      <c r="V273" s="14">
        <f>IF($P273="","",IF(OR($P273=1,$P273=2,$P273=5),IF($U273&gt;0,"OK","SEM LASTRO"),"OK"))</f>
        <v/>
      </c>
      <c r="W273" s="19" t="n"/>
      <c r="X273" s="18" t="n"/>
      <c r="Y273" s="14">
        <f>IF($C273="","",$C273&amp;"|"&amp;$B273)</f>
        <v/>
      </c>
      <c r="Z273" s="14">
        <f>IF($C273="","",$C273&amp;"|"&amp;$B273&amp;"|"&amp;$H273)</f>
        <v/>
      </c>
      <c r="AA273" s="14">
        <f>IF($C273="","",$C273&amp;"|"&amp;$B273&amp;"|"&amp;$G273)</f>
        <v/>
      </c>
    </row>
    <row r="274">
      <c r="A274" s="19" t="n"/>
      <c r="B274" s="14">
        <f>IF($A274="","",VALUE(LEFT($A274,4))*4+VALUE(RIGHT($A274,1)))</f>
        <v/>
      </c>
      <c r="C274" s="19" t="n"/>
      <c r="D274" s="14">
        <f>IFERROR(INDEX(Pessoas!$B$5:$B$64,MATCH($C274,Pessoas!$A$5:$A$64,0)),"")</f>
        <v/>
      </c>
      <c r="E274" s="19" t="n"/>
      <c r="F274" s="14">
        <f>IFERROR(INDEX(Pessoas!$D$5:$D$64,MATCH($C274,Pessoas!$A$5:$A$64,0)),"")</f>
        <v/>
      </c>
      <c r="G274" s="19" t="n"/>
      <c r="H274" s="14">
        <f>IFERROR(INDEX(Config!$B$40:$B$45,MATCH($G274,Config!$C$40:$C$45,0)),"")</f>
        <v/>
      </c>
      <c r="I274" s="14">
        <f>IFERROR(INDEX(Config!$D$40:$D$45,MATCH($G274,Config!$C$40:$C$45,0)),"")</f>
        <v/>
      </c>
      <c r="J274" s="19" t="n"/>
      <c r="K274" s="19" t="n"/>
      <c r="L274" s="19" t="n"/>
      <c r="M274" s="19" t="n"/>
      <c r="N274" s="14">
        <f>IF(AND(ISNUMBER($J274),ISNUMBER($K274)),ABS($J274-$K274),"")</f>
        <v/>
      </c>
      <c r="O274" s="14">
        <f>IF(AND(NOT(ISNUMBER($J274)),NOT(ISNUMBER($K274))),"",IF(NOT(ISNUMBER($K274)),$J274,IF(NOT(ISNUMBER($J274)),$K274,IF($N274=0,$J274,IF(AND($N274=1,$T274&lt;&gt;"Sim"),IF($I274="Líder Técnico",$K274,IF($I274="GP",$J274,"CALIBRAR")),"CALIBRAR")))))</f>
        <v/>
      </c>
      <c r="P274" s="19" t="n"/>
      <c r="Q274" s="19" t="n"/>
      <c r="R274" s="14">
        <f>IF($P274="","",IF(AND(ISNUMBER($J274),$P274=$J274,ISNUMBER($K274),$P274=$K274),"= ambos",IF(AND(ISNUMBER($J274),$P274=$J274),"= GP",IF(AND(ISNUMBER($K274),$P274=$K274),"= LT","nenhuma das duas"))))</f>
        <v/>
      </c>
      <c r="S274" s="19" t="n"/>
      <c r="T274" s="19" t="n"/>
      <c r="U274" s="14">
        <f>IF($C274="","",COUNTIFS('Ocorrências'!$V$5:$V$604,$C274&amp;"|"&amp;$B274&amp;"|"&amp;$G274,'Ocorrências'!$X$5:$X$604,"Sim"))</f>
        <v/>
      </c>
      <c r="V274" s="14">
        <f>IF($P274="","",IF(OR($P274=1,$P274=2,$P274=5),IF($U274&gt;0,"OK","SEM LASTRO"),"OK"))</f>
        <v/>
      </c>
      <c r="W274" s="19" t="n"/>
      <c r="X274" s="18" t="n"/>
      <c r="Y274" s="14">
        <f>IF($C274="","",$C274&amp;"|"&amp;$B274)</f>
        <v/>
      </c>
      <c r="Z274" s="14">
        <f>IF($C274="","",$C274&amp;"|"&amp;$B274&amp;"|"&amp;$H274)</f>
        <v/>
      </c>
      <c r="AA274" s="14">
        <f>IF($C274="","",$C274&amp;"|"&amp;$B274&amp;"|"&amp;$G274)</f>
        <v/>
      </c>
    </row>
    <row r="275">
      <c r="A275" s="19" t="n"/>
      <c r="B275" s="14">
        <f>IF($A275="","",VALUE(LEFT($A275,4))*4+VALUE(RIGHT($A275,1)))</f>
        <v/>
      </c>
      <c r="C275" s="19" t="n"/>
      <c r="D275" s="14">
        <f>IFERROR(INDEX(Pessoas!$B$5:$B$64,MATCH($C275,Pessoas!$A$5:$A$64,0)),"")</f>
        <v/>
      </c>
      <c r="E275" s="19" t="n"/>
      <c r="F275" s="14">
        <f>IFERROR(INDEX(Pessoas!$D$5:$D$64,MATCH($C275,Pessoas!$A$5:$A$64,0)),"")</f>
        <v/>
      </c>
      <c r="G275" s="19" t="n"/>
      <c r="H275" s="14">
        <f>IFERROR(INDEX(Config!$B$40:$B$45,MATCH($G275,Config!$C$40:$C$45,0)),"")</f>
        <v/>
      </c>
      <c r="I275" s="14">
        <f>IFERROR(INDEX(Config!$D$40:$D$45,MATCH($G275,Config!$C$40:$C$45,0)),"")</f>
        <v/>
      </c>
      <c r="J275" s="19" t="n"/>
      <c r="K275" s="19" t="n"/>
      <c r="L275" s="19" t="n"/>
      <c r="M275" s="19" t="n"/>
      <c r="N275" s="14">
        <f>IF(AND(ISNUMBER($J275),ISNUMBER($K275)),ABS($J275-$K275),"")</f>
        <v/>
      </c>
      <c r="O275" s="14">
        <f>IF(AND(NOT(ISNUMBER($J275)),NOT(ISNUMBER($K275))),"",IF(NOT(ISNUMBER($K275)),$J275,IF(NOT(ISNUMBER($J275)),$K275,IF($N275=0,$J275,IF(AND($N275=1,$T275&lt;&gt;"Sim"),IF($I275="Líder Técnico",$K275,IF($I275="GP",$J275,"CALIBRAR")),"CALIBRAR")))))</f>
        <v/>
      </c>
      <c r="P275" s="19" t="n"/>
      <c r="Q275" s="19" t="n"/>
      <c r="R275" s="14">
        <f>IF($P275="","",IF(AND(ISNUMBER($J275),$P275=$J275,ISNUMBER($K275),$P275=$K275),"= ambos",IF(AND(ISNUMBER($J275),$P275=$J275),"= GP",IF(AND(ISNUMBER($K275),$P275=$K275),"= LT","nenhuma das duas"))))</f>
        <v/>
      </c>
      <c r="S275" s="19" t="n"/>
      <c r="T275" s="19" t="n"/>
      <c r="U275" s="14">
        <f>IF($C275="","",COUNTIFS('Ocorrências'!$V$5:$V$604,$C275&amp;"|"&amp;$B275&amp;"|"&amp;$G275,'Ocorrências'!$X$5:$X$604,"Sim"))</f>
        <v/>
      </c>
      <c r="V275" s="14">
        <f>IF($P275="","",IF(OR($P275=1,$P275=2,$P275=5),IF($U275&gt;0,"OK","SEM LASTRO"),"OK"))</f>
        <v/>
      </c>
      <c r="W275" s="19" t="n"/>
      <c r="X275" s="18" t="n"/>
      <c r="Y275" s="14">
        <f>IF($C275="","",$C275&amp;"|"&amp;$B275)</f>
        <v/>
      </c>
      <c r="Z275" s="14">
        <f>IF($C275="","",$C275&amp;"|"&amp;$B275&amp;"|"&amp;$H275)</f>
        <v/>
      </c>
      <c r="AA275" s="14">
        <f>IF($C275="","",$C275&amp;"|"&amp;$B275&amp;"|"&amp;$G275)</f>
        <v/>
      </c>
    </row>
    <row r="276">
      <c r="A276" s="19" t="n"/>
      <c r="B276" s="14">
        <f>IF($A276="","",VALUE(LEFT($A276,4))*4+VALUE(RIGHT($A276,1)))</f>
        <v/>
      </c>
      <c r="C276" s="19" t="n"/>
      <c r="D276" s="14">
        <f>IFERROR(INDEX(Pessoas!$B$5:$B$64,MATCH($C276,Pessoas!$A$5:$A$64,0)),"")</f>
        <v/>
      </c>
      <c r="E276" s="19" t="n"/>
      <c r="F276" s="14">
        <f>IFERROR(INDEX(Pessoas!$D$5:$D$64,MATCH($C276,Pessoas!$A$5:$A$64,0)),"")</f>
        <v/>
      </c>
      <c r="G276" s="19" t="n"/>
      <c r="H276" s="14">
        <f>IFERROR(INDEX(Config!$B$40:$B$45,MATCH($G276,Config!$C$40:$C$45,0)),"")</f>
        <v/>
      </c>
      <c r="I276" s="14">
        <f>IFERROR(INDEX(Config!$D$40:$D$45,MATCH($G276,Config!$C$40:$C$45,0)),"")</f>
        <v/>
      </c>
      <c r="J276" s="19" t="n"/>
      <c r="K276" s="19" t="n"/>
      <c r="L276" s="19" t="n"/>
      <c r="M276" s="19" t="n"/>
      <c r="N276" s="14">
        <f>IF(AND(ISNUMBER($J276),ISNUMBER($K276)),ABS($J276-$K276),"")</f>
        <v/>
      </c>
      <c r="O276" s="14">
        <f>IF(AND(NOT(ISNUMBER($J276)),NOT(ISNUMBER($K276))),"",IF(NOT(ISNUMBER($K276)),$J276,IF(NOT(ISNUMBER($J276)),$K276,IF($N276=0,$J276,IF(AND($N276=1,$T276&lt;&gt;"Sim"),IF($I276="Líder Técnico",$K276,IF($I276="GP",$J276,"CALIBRAR")),"CALIBRAR")))))</f>
        <v/>
      </c>
      <c r="P276" s="19" t="n"/>
      <c r="Q276" s="19" t="n"/>
      <c r="R276" s="14">
        <f>IF($P276="","",IF(AND(ISNUMBER($J276),$P276=$J276,ISNUMBER($K276),$P276=$K276),"= ambos",IF(AND(ISNUMBER($J276),$P276=$J276),"= GP",IF(AND(ISNUMBER($K276),$P276=$K276),"= LT","nenhuma das duas"))))</f>
        <v/>
      </c>
      <c r="S276" s="19" t="n"/>
      <c r="T276" s="19" t="n"/>
      <c r="U276" s="14">
        <f>IF($C276="","",COUNTIFS('Ocorrências'!$V$5:$V$604,$C276&amp;"|"&amp;$B276&amp;"|"&amp;$G276,'Ocorrências'!$X$5:$X$604,"Sim"))</f>
        <v/>
      </c>
      <c r="V276" s="14">
        <f>IF($P276="","",IF(OR($P276=1,$P276=2,$P276=5),IF($U276&gt;0,"OK","SEM LASTRO"),"OK"))</f>
        <v/>
      </c>
      <c r="W276" s="19" t="n"/>
      <c r="X276" s="18" t="n"/>
      <c r="Y276" s="14">
        <f>IF($C276="","",$C276&amp;"|"&amp;$B276)</f>
        <v/>
      </c>
      <c r="Z276" s="14">
        <f>IF($C276="","",$C276&amp;"|"&amp;$B276&amp;"|"&amp;$H276)</f>
        <v/>
      </c>
      <c r="AA276" s="14">
        <f>IF($C276="","",$C276&amp;"|"&amp;$B276&amp;"|"&amp;$G276)</f>
        <v/>
      </c>
    </row>
    <row r="277">
      <c r="A277" s="19" t="n"/>
      <c r="B277" s="14">
        <f>IF($A277="","",VALUE(LEFT($A277,4))*4+VALUE(RIGHT($A277,1)))</f>
        <v/>
      </c>
      <c r="C277" s="19" t="n"/>
      <c r="D277" s="14">
        <f>IFERROR(INDEX(Pessoas!$B$5:$B$64,MATCH($C277,Pessoas!$A$5:$A$64,0)),"")</f>
        <v/>
      </c>
      <c r="E277" s="19" t="n"/>
      <c r="F277" s="14">
        <f>IFERROR(INDEX(Pessoas!$D$5:$D$64,MATCH($C277,Pessoas!$A$5:$A$64,0)),"")</f>
        <v/>
      </c>
      <c r="G277" s="19" t="n"/>
      <c r="H277" s="14">
        <f>IFERROR(INDEX(Config!$B$40:$B$45,MATCH($G277,Config!$C$40:$C$45,0)),"")</f>
        <v/>
      </c>
      <c r="I277" s="14">
        <f>IFERROR(INDEX(Config!$D$40:$D$45,MATCH($G277,Config!$C$40:$C$45,0)),"")</f>
        <v/>
      </c>
      <c r="J277" s="19" t="n"/>
      <c r="K277" s="19" t="n"/>
      <c r="L277" s="19" t="n"/>
      <c r="M277" s="19" t="n"/>
      <c r="N277" s="14">
        <f>IF(AND(ISNUMBER($J277),ISNUMBER($K277)),ABS($J277-$K277),"")</f>
        <v/>
      </c>
      <c r="O277" s="14">
        <f>IF(AND(NOT(ISNUMBER($J277)),NOT(ISNUMBER($K277))),"",IF(NOT(ISNUMBER($K277)),$J277,IF(NOT(ISNUMBER($J277)),$K277,IF($N277=0,$J277,IF(AND($N277=1,$T277&lt;&gt;"Sim"),IF($I277="Líder Técnico",$K277,IF($I277="GP",$J277,"CALIBRAR")),"CALIBRAR")))))</f>
        <v/>
      </c>
      <c r="P277" s="19" t="n"/>
      <c r="Q277" s="19" t="n"/>
      <c r="R277" s="14">
        <f>IF($P277="","",IF(AND(ISNUMBER($J277),$P277=$J277,ISNUMBER($K277),$P277=$K277),"= ambos",IF(AND(ISNUMBER($J277),$P277=$J277),"= GP",IF(AND(ISNUMBER($K277),$P277=$K277),"= LT","nenhuma das duas"))))</f>
        <v/>
      </c>
      <c r="S277" s="19" t="n"/>
      <c r="T277" s="19" t="n"/>
      <c r="U277" s="14">
        <f>IF($C277="","",COUNTIFS('Ocorrências'!$V$5:$V$604,$C277&amp;"|"&amp;$B277&amp;"|"&amp;$G277,'Ocorrências'!$X$5:$X$604,"Sim"))</f>
        <v/>
      </c>
      <c r="V277" s="14">
        <f>IF($P277="","",IF(OR($P277=1,$P277=2,$P277=5),IF($U277&gt;0,"OK","SEM LASTRO"),"OK"))</f>
        <v/>
      </c>
      <c r="W277" s="19" t="n"/>
      <c r="X277" s="18" t="n"/>
      <c r="Y277" s="14">
        <f>IF($C277="","",$C277&amp;"|"&amp;$B277)</f>
        <v/>
      </c>
      <c r="Z277" s="14">
        <f>IF($C277="","",$C277&amp;"|"&amp;$B277&amp;"|"&amp;$H277)</f>
        <v/>
      </c>
      <c r="AA277" s="14">
        <f>IF($C277="","",$C277&amp;"|"&amp;$B277&amp;"|"&amp;$G277)</f>
        <v/>
      </c>
    </row>
    <row r="278">
      <c r="A278" s="19" t="n"/>
      <c r="B278" s="14">
        <f>IF($A278="","",VALUE(LEFT($A278,4))*4+VALUE(RIGHT($A278,1)))</f>
        <v/>
      </c>
      <c r="C278" s="19" t="n"/>
      <c r="D278" s="14">
        <f>IFERROR(INDEX(Pessoas!$B$5:$B$64,MATCH($C278,Pessoas!$A$5:$A$64,0)),"")</f>
        <v/>
      </c>
      <c r="E278" s="19" t="n"/>
      <c r="F278" s="14">
        <f>IFERROR(INDEX(Pessoas!$D$5:$D$64,MATCH($C278,Pessoas!$A$5:$A$64,0)),"")</f>
        <v/>
      </c>
      <c r="G278" s="19" t="n"/>
      <c r="H278" s="14">
        <f>IFERROR(INDEX(Config!$B$40:$B$45,MATCH($G278,Config!$C$40:$C$45,0)),"")</f>
        <v/>
      </c>
      <c r="I278" s="14">
        <f>IFERROR(INDEX(Config!$D$40:$D$45,MATCH($G278,Config!$C$40:$C$45,0)),"")</f>
        <v/>
      </c>
      <c r="J278" s="19" t="n"/>
      <c r="K278" s="19" t="n"/>
      <c r="L278" s="19" t="n"/>
      <c r="M278" s="19" t="n"/>
      <c r="N278" s="14">
        <f>IF(AND(ISNUMBER($J278),ISNUMBER($K278)),ABS($J278-$K278),"")</f>
        <v/>
      </c>
      <c r="O278" s="14">
        <f>IF(AND(NOT(ISNUMBER($J278)),NOT(ISNUMBER($K278))),"",IF(NOT(ISNUMBER($K278)),$J278,IF(NOT(ISNUMBER($J278)),$K278,IF($N278=0,$J278,IF(AND($N278=1,$T278&lt;&gt;"Sim"),IF($I278="Líder Técnico",$K278,IF($I278="GP",$J278,"CALIBRAR")),"CALIBRAR")))))</f>
        <v/>
      </c>
      <c r="P278" s="19" t="n"/>
      <c r="Q278" s="19" t="n"/>
      <c r="R278" s="14">
        <f>IF($P278="","",IF(AND(ISNUMBER($J278),$P278=$J278,ISNUMBER($K278),$P278=$K278),"= ambos",IF(AND(ISNUMBER($J278),$P278=$J278),"= GP",IF(AND(ISNUMBER($K278),$P278=$K278),"= LT","nenhuma das duas"))))</f>
        <v/>
      </c>
      <c r="S278" s="19" t="n"/>
      <c r="T278" s="19" t="n"/>
      <c r="U278" s="14">
        <f>IF($C278="","",COUNTIFS('Ocorrências'!$V$5:$V$604,$C278&amp;"|"&amp;$B278&amp;"|"&amp;$G278,'Ocorrências'!$X$5:$X$604,"Sim"))</f>
        <v/>
      </c>
      <c r="V278" s="14">
        <f>IF($P278="","",IF(OR($P278=1,$P278=2,$P278=5),IF($U278&gt;0,"OK","SEM LASTRO"),"OK"))</f>
        <v/>
      </c>
      <c r="W278" s="19" t="n"/>
      <c r="X278" s="18" t="n"/>
      <c r="Y278" s="14">
        <f>IF($C278="","",$C278&amp;"|"&amp;$B278)</f>
        <v/>
      </c>
      <c r="Z278" s="14">
        <f>IF($C278="","",$C278&amp;"|"&amp;$B278&amp;"|"&amp;$H278)</f>
        <v/>
      </c>
      <c r="AA278" s="14">
        <f>IF($C278="","",$C278&amp;"|"&amp;$B278&amp;"|"&amp;$G278)</f>
        <v/>
      </c>
    </row>
    <row r="279">
      <c r="A279" s="19" t="n"/>
      <c r="B279" s="14">
        <f>IF($A279="","",VALUE(LEFT($A279,4))*4+VALUE(RIGHT($A279,1)))</f>
        <v/>
      </c>
      <c r="C279" s="19" t="n"/>
      <c r="D279" s="14">
        <f>IFERROR(INDEX(Pessoas!$B$5:$B$64,MATCH($C279,Pessoas!$A$5:$A$64,0)),"")</f>
        <v/>
      </c>
      <c r="E279" s="19" t="n"/>
      <c r="F279" s="14">
        <f>IFERROR(INDEX(Pessoas!$D$5:$D$64,MATCH($C279,Pessoas!$A$5:$A$64,0)),"")</f>
        <v/>
      </c>
      <c r="G279" s="19" t="n"/>
      <c r="H279" s="14">
        <f>IFERROR(INDEX(Config!$B$40:$B$45,MATCH($G279,Config!$C$40:$C$45,0)),"")</f>
        <v/>
      </c>
      <c r="I279" s="14">
        <f>IFERROR(INDEX(Config!$D$40:$D$45,MATCH($G279,Config!$C$40:$C$45,0)),"")</f>
        <v/>
      </c>
      <c r="J279" s="19" t="n"/>
      <c r="K279" s="19" t="n"/>
      <c r="L279" s="19" t="n"/>
      <c r="M279" s="19" t="n"/>
      <c r="N279" s="14">
        <f>IF(AND(ISNUMBER($J279),ISNUMBER($K279)),ABS($J279-$K279),"")</f>
        <v/>
      </c>
      <c r="O279" s="14">
        <f>IF(AND(NOT(ISNUMBER($J279)),NOT(ISNUMBER($K279))),"",IF(NOT(ISNUMBER($K279)),$J279,IF(NOT(ISNUMBER($J279)),$K279,IF($N279=0,$J279,IF(AND($N279=1,$T279&lt;&gt;"Sim"),IF($I279="Líder Técnico",$K279,IF($I279="GP",$J279,"CALIBRAR")),"CALIBRAR")))))</f>
        <v/>
      </c>
      <c r="P279" s="19" t="n"/>
      <c r="Q279" s="19" t="n"/>
      <c r="R279" s="14">
        <f>IF($P279="","",IF(AND(ISNUMBER($J279),$P279=$J279,ISNUMBER($K279),$P279=$K279),"= ambos",IF(AND(ISNUMBER($J279),$P279=$J279),"= GP",IF(AND(ISNUMBER($K279),$P279=$K279),"= LT","nenhuma das duas"))))</f>
        <v/>
      </c>
      <c r="S279" s="19" t="n"/>
      <c r="T279" s="19" t="n"/>
      <c r="U279" s="14">
        <f>IF($C279="","",COUNTIFS('Ocorrências'!$V$5:$V$604,$C279&amp;"|"&amp;$B279&amp;"|"&amp;$G279,'Ocorrências'!$X$5:$X$604,"Sim"))</f>
        <v/>
      </c>
      <c r="V279" s="14">
        <f>IF($P279="","",IF(OR($P279=1,$P279=2,$P279=5),IF($U279&gt;0,"OK","SEM LASTRO"),"OK"))</f>
        <v/>
      </c>
      <c r="W279" s="19" t="n"/>
      <c r="X279" s="18" t="n"/>
      <c r="Y279" s="14">
        <f>IF($C279="","",$C279&amp;"|"&amp;$B279)</f>
        <v/>
      </c>
      <c r="Z279" s="14">
        <f>IF($C279="","",$C279&amp;"|"&amp;$B279&amp;"|"&amp;$H279)</f>
        <v/>
      </c>
      <c r="AA279" s="14">
        <f>IF($C279="","",$C279&amp;"|"&amp;$B279&amp;"|"&amp;$G279)</f>
        <v/>
      </c>
    </row>
    <row r="280">
      <c r="A280" s="19" t="n"/>
      <c r="B280" s="14">
        <f>IF($A280="","",VALUE(LEFT($A280,4))*4+VALUE(RIGHT($A280,1)))</f>
        <v/>
      </c>
      <c r="C280" s="19" t="n"/>
      <c r="D280" s="14">
        <f>IFERROR(INDEX(Pessoas!$B$5:$B$64,MATCH($C280,Pessoas!$A$5:$A$64,0)),"")</f>
        <v/>
      </c>
      <c r="E280" s="19" t="n"/>
      <c r="F280" s="14">
        <f>IFERROR(INDEX(Pessoas!$D$5:$D$64,MATCH($C280,Pessoas!$A$5:$A$64,0)),"")</f>
        <v/>
      </c>
      <c r="G280" s="19" t="n"/>
      <c r="H280" s="14">
        <f>IFERROR(INDEX(Config!$B$40:$B$45,MATCH($G280,Config!$C$40:$C$45,0)),"")</f>
        <v/>
      </c>
      <c r="I280" s="14">
        <f>IFERROR(INDEX(Config!$D$40:$D$45,MATCH($G280,Config!$C$40:$C$45,0)),"")</f>
        <v/>
      </c>
      <c r="J280" s="19" t="n"/>
      <c r="K280" s="19" t="n"/>
      <c r="L280" s="19" t="n"/>
      <c r="M280" s="19" t="n"/>
      <c r="N280" s="14">
        <f>IF(AND(ISNUMBER($J280),ISNUMBER($K280)),ABS($J280-$K280),"")</f>
        <v/>
      </c>
      <c r="O280" s="14">
        <f>IF(AND(NOT(ISNUMBER($J280)),NOT(ISNUMBER($K280))),"",IF(NOT(ISNUMBER($K280)),$J280,IF(NOT(ISNUMBER($J280)),$K280,IF($N280=0,$J280,IF(AND($N280=1,$T280&lt;&gt;"Sim"),IF($I280="Líder Técnico",$K280,IF($I280="GP",$J280,"CALIBRAR")),"CALIBRAR")))))</f>
        <v/>
      </c>
      <c r="P280" s="19" t="n"/>
      <c r="Q280" s="19" t="n"/>
      <c r="R280" s="14">
        <f>IF($P280="","",IF(AND(ISNUMBER($J280),$P280=$J280,ISNUMBER($K280),$P280=$K280),"= ambos",IF(AND(ISNUMBER($J280),$P280=$J280),"= GP",IF(AND(ISNUMBER($K280),$P280=$K280),"= LT","nenhuma das duas"))))</f>
        <v/>
      </c>
      <c r="S280" s="19" t="n"/>
      <c r="T280" s="19" t="n"/>
      <c r="U280" s="14">
        <f>IF($C280="","",COUNTIFS('Ocorrências'!$V$5:$V$604,$C280&amp;"|"&amp;$B280&amp;"|"&amp;$G280,'Ocorrências'!$X$5:$X$604,"Sim"))</f>
        <v/>
      </c>
      <c r="V280" s="14">
        <f>IF($P280="","",IF(OR($P280=1,$P280=2,$P280=5),IF($U280&gt;0,"OK","SEM LASTRO"),"OK"))</f>
        <v/>
      </c>
      <c r="W280" s="19" t="n"/>
      <c r="X280" s="18" t="n"/>
      <c r="Y280" s="14">
        <f>IF($C280="","",$C280&amp;"|"&amp;$B280)</f>
        <v/>
      </c>
      <c r="Z280" s="14">
        <f>IF($C280="","",$C280&amp;"|"&amp;$B280&amp;"|"&amp;$H280)</f>
        <v/>
      </c>
      <c r="AA280" s="14">
        <f>IF($C280="","",$C280&amp;"|"&amp;$B280&amp;"|"&amp;$G280)</f>
        <v/>
      </c>
    </row>
    <row r="281">
      <c r="A281" s="19" t="n"/>
      <c r="B281" s="14">
        <f>IF($A281="","",VALUE(LEFT($A281,4))*4+VALUE(RIGHT($A281,1)))</f>
        <v/>
      </c>
      <c r="C281" s="19" t="n"/>
      <c r="D281" s="14">
        <f>IFERROR(INDEX(Pessoas!$B$5:$B$64,MATCH($C281,Pessoas!$A$5:$A$64,0)),"")</f>
        <v/>
      </c>
      <c r="E281" s="19" t="n"/>
      <c r="F281" s="14">
        <f>IFERROR(INDEX(Pessoas!$D$5:$D$64,MATCH($C281,Pessoas!$A$5:$A$64,0)),"")</f>
        <v/>
      </c>
      <c r="G281" s="19" t="n"/>
      <c r="H281" s="14">
        <f>IFERROR(INDEX(Config!$B$40:$B$45,MATCH($G281,Config!$C$40:$C$45,0)),"")</f>
        <v/>
      </c>
      <c r="I281" s="14">
        <f>IFERROR(INDEX(Config!$D$40:$D$45,MATCH($G281,Config!$C$40:$C$45,0)),"")</f>
        <v/>
      </c>
      <c r="J281" s="19" t="n"/>
      <c r="K281" s="19" t="n"/>
      <c r="L281" s="19" t="n"/>
      <c r="M281" s="19" t="n"/>
      <c r="N281" s="14">
        <f>IF(AND(ISNUMBER($J281),ISNUMBER($K281)),ABS($J281-$K281),"")</f>
        <v/>
      </c>
      <c r="O281" s="14">
        <f>IF(AND(NOT(ISNUMBER($J281)),NOT(ISNUMBER($K281))),"",IF(NOT(ISNUMBER($K281)),$J281,IF(NOT(ISNUMBER($J281)),$K281,IF($N281=0,$J281,IF(AND($N281=1,$T281&lt;&gt;"Sim"),IF($I281="Líder Técnico",$K281,IF($I281="GP",$J281,"CALIBRAR")),"CALIBRAR")))))</f>
        <v/>
      </c>
      <c r="P281" s="19" t="n"/>
      <c r="Q281" s="19" t="n"/>
      <c r="R281" s="14">
        <f>IF($P281="","",IF(AND(ISNUMBER($J281),$P281=$J281,ISNUMBER($K281),$P281=$K281),"= ambos",IF(AND(ISNUMBER($J281),$P281=$J281),"= GP",IF(AND(ISNUMBER($K281),$P281=$K281),"= LT","nenhuma das duas"))))</f>
        <v/>
      </c>
      <c r="S281" s="19" t="n"/>
      <c r="T281" s="19" t="n"/>
      <c r="U281" s="14">
        <f>IF($C281="","",COUNTIFS('Ocorrências'!$V$5:$V$604,$C281&amp;"|"&amp;$B281&amp;"|"&amp;$G281,'Ocorrências'!$X$5:$X$604,"Sim"))</f>
        <v/>
      </c>
      <c r="V281" s="14">
        <f>IF($P281="","",IF(OR($P281=1,$P281=2,$P281=5),IF($U281&gt;0,"OK","SEM LASTRO"),"OK"))</f>
        <v/>
      </c>
      <c r="W281" s="19" t="n"/>
      <c r="X281" s="18" t="n"/>
      <c r="Y281" s="14">
        <f>IF($C281="","",$C281&amp;"|"&amp;$B281)</f>
        <v/>
      </c>
      <c r="Z281" s="14">
        <f>IF($C281="","",$C281&amp;"|"&amp;$B281&amp;"|"&amp;$H281)</f>
        <v/>
      </c>
      <c r="AA281" s="14">
        <f>IF($C281="","",$C281&amp;"|"&amp;$B281&amp;"|"&amp;$G281)</f>
        <v/>
      </c>
    </row>
    <row r="282">
      <c r="A282" s="19" t="n"/>
      <c r="B282" s="14">
        <f>IF($A282="","",VALUE(LEFT($A282,4))*4+VALUE(RIGHT($A282,1)))</f>
        <v/>
      </c>
      <c r="C282" s="19" t="n"/>
      <c r="D282" s="14">
        <f>IFERROR(INDEX(Pessoas!$B$5:$B$64,MATCH($C282,Pessoas!$A$5:$A$64,0)),"")</f>
        <v/>
      </c>
      <c r="E282" s="19" t="n"/>
      <c r="F282" s="14">
        <f>IFERROR(INDEX(Pessoas!$D$5:$D$64,MATCH($C282,Pessoas!$A$5:$A$64,0)),"")</f>
        <v/>
      </c>
      <c r="G282" s="19" t="n"/>
      <c r="H282" s="14">
        <f>IFERROR(INDEX(Config!$B$40:$B$45,MATCH($G282,Config!$C$40:$C$45,0)),"")</f>
        <v/>
      </c>
      <c r="I282" s="14">
        <f>IFERROR(INDEX(Config!$D$40:$D$45,MATCH($G282,Config!$C$40:$C$45,0)),"")</f>
        <v/>
      </c>
      <c r="J282" s="19" t="n"/>
      <c r="K282" s="19" t="n"/>
      <c r="L282" s="19" t="n"/>
      <c r="M282" s="19" t="n"/>
      <c r="N282" s="14">
        <f>IF(AND(ISNUMBER($J282),ISNUMBER($K282)),ABS($J282-$K282),"")</f>
        <v/>
      </c>
      <c r="O282" s="14">
        <f>IF(AND(NOT(ISNUMBER($J282)),NOT(ISNUMBER($K282))),"",IF(NOT(ISNUMBER($K282)),$J282,IF(NOT(ISNUMBER($J282)),$K282,IF($N282=0,$J282,IF(AND($N282=1,$T282&lt;&gt;"Sim"),IF($I282="Líder Técnico",$K282,IF($I282="GP",$J282,"CALIBRAR")),"CALIBRAR")))))</f>
        <v/>
      </c>
      <c r="P282" s="19" t="n"/>
      <c r="Q282" s="19" t="n"/>
      <c r="R282" s="14">
        <f>IF($P282="","",IF(AND(ISNUMBER($J282),$P282=$J282,ISNUMBER($K282),$P282=$K282),"= ambos",IF(AND(ISNUMBER($J282),$P282=$J282),"= GP",IF(AND(ISNUMBER($K282),$P282=$K282),"= LT","nenhuma das duas"))))</f>
        <v/>
      </c>
      <c r="S282" s="19" t="n"/>
      <c r="T282" s="19" t="n"/>
      <c r="U282" s="14">
        <f>IF($C282="","",COUNTIFS('Ocorrências'!$V$5:$V$604,$C282&amp;"|"&amp;$B282&amp;"|"&amp;$G282,'Ocorrências'!$X$5:$X$604,"Sim"))</f>
        <v/>
      </c>
      <c r="V282" s="14">
        <f>IF($P282="","",IF(OR($P282=1,$P282=2,$P282=5),IF($U282&gt;0,"OK","SEM LASTRO"),"OK"))</f>
        <v/>
      </c>
      <c r="W282" s="19" t="n"/>
      <c r="X282" s="18" t="n"/>
      <c r="Y282" s="14">
        <f>IF($C282="","",$C282&amp;"|"&amp;$B282)</f>
        <v/>
      </c>
      <c r="Z282" s="14">
        <f>IF($C282="","",$C282&amp;"|"&amp;$B282&amp;"|"&amp;$H282)</f>
        <v/>
      </c>
      <c r="AA282" s="14">
        <f>IF($C282="","",$C282&amp;"|"&amp;$B282&amp;"|"&amp;$G282)</f>
        <v/>
      </c>
    </row>
    <row r="283">
      <c r="A283" s="19" t="n"/>
      <c r="B283" s="14">
        <f>IF($A283="","",VALUE(LEFT($A283,4))*4+VALUE(RIGHT($A283,1)))</f>
        <v/>
      </c>
      <c r="C283" s="19" t="n"/>
      <c r="D283" s="14">
        <f>IFERROR(INDEX(Pessoas!$B$5:$B$64,MATCH($C283,Pessoas!$A$5:$A$64,0)),"")</f>
        <v/>
      </c>
      <c r="E283" s="19" t="n"/>
      <c r="F283" s="14">
        <f>IFERROR(INDEX(Pessoas!$D$5:$D$64,MATCH($C283,Pessoas!$A$5:$A$64,0)),"")</f>
        <v/>
      </c>
      <c r="G283" s="19" t="n"/>
      <c r="H283" s="14">
        <f>IFERROR(INDEX(Config!$B$40:$B$45,MATCH($G283,Config!$C$40:$C$45,0)),"")</f>
        <v/>
      </c>
      <c r="I283" s="14">
        <f>IFERROR(INDEX(Config!$D$40:$D$45,MATCH($G283,Config!$C$40:$C$45,0)),"")</f>
        <v/>
      </c>
      <c r="J283" s="19" t="n"/>
      <c r="K283" s="19" t="n"/>
      <c r="L283" s="19" t="n"/>
      <c r="M283" s="19" t="n"/>
      <c r="N283" s="14">
        <f>IF(AND(ISNUMBER($J283),ISNUMBER($K283)),ABS($J283-$K283),"")</f>
        <v/>
      </c>
      <c r="O283" s="14">
        <f>IF(AND(NOT(ISNUMBER($J283)),NOT(ISNUMBER($K283))),"",IF(NOT(ISNUMBER($K283)),$J283,IF(NOT(ISNUMBER($J283)),$K283,IF($N283=0,$J283,IF(AND($N283=1,$T283&lt;&gt;"Sim"),IF($I283="Líder Técnico",$K283,IF($I283="GP",$J283,"CALIBRAR")),"CALIBRAR")))))</f>
        <v/>
      </c>
      <c r="P283" s="19" t="n"/>
      <c r="Q283" s="19" t="n"/>
      <c r="R283" s="14">
        <f>IF($P283="","",IF(AND(ISNUMBER($J283),$P283=$J283,ISNUMBER($K283),$P283=$K283),"= ambos",IF(AND(ISNUMBER($J283),$P283=$J283),"= GP",IF(AND(ISNUMBER($K283),$P283=$K283),"= LT","nenhuma das duas"))))</f>
        <v/>
      </c>
      <c r="S283" s="19" t="n"/>
      <c r="T283" s="19" t="n"/>
      <c r="U283" s="14">
        <f>IF($C283="","",COUNTIFS('Ocorrências'!$V$5:$V$604,$C283&amp;"|"&amp;$B283&amp;"|"&amp;$G283,'Ocorrências'!$X$5:$X$604,"Sim"))</f>
        <v/>
      </c>
      <c r="V283" s="14">
        <f>IF($P283="","",IF(OR($P283=1,$P283=2,$P283=5),IF($U283&gt;0,"OK","SEM LASTRO"),"OK"))</f>
        <v/>
      </c>
      <c r="W283" s="19" t="n"/>
      <c r="X283" s="18" t="n"/>
      <c r="Y283" s="14">
        <f>IF($C283="","",$C283&amp;"|"&amp;$B283)</f>
        <v/>
      </c>
      <c r="Z283" s="14">
        <f>IF($C283="","",$C283&amp;"|"&amp;$B283&amp;"|"&amp;$H283)</f>
        <v/>
      </c>
      <c r="AA283" s="14">
        <f>IF($C283="","",$C283&amp;"|"&amp;$B283&amp;"|"&amp;$G283)</f>
        <v/>
      </c>
    </row>
    <row r="284">
      <c r="A284" s="19" t="n"/>
      <c r="B284" s="14">
        <f>IF($A284="","",VALUE(LEFT($A284,4))*4+VALUE(RIGHT($A284,1)))</f>
        <v/>
      </c>
      <c r="C284" s="19" t="n"/>
      <c r="D284" s="14">
        <f>IFERROR(INDEX(Pessoas!$B$5:$B$64,MATCH($C284,Pessoas!$A$5:$A$64,0)),"")</f>
        <v/>
      </c>
      <c r="E284" s="19" t="n"/>
      <c r="F284" s="14">
        <f>IFERROR(INDEX(Pessoas!$D$5:$D$64,MATCH($C284,Pessoas!$A$5:$A$64,0)),"")</f>
        <v/>
      </c>
      <c r="G284" s="19" t="n"/>
      <c r="H284" s="14">
        <f>IFERROR(INDEX(Config!$B$40:$B$45,MATCH($G284,Config!$C$40:$C$45,0)),"")</f>
        <v/>
      </c>
      <c r="I284" s="14">
        <f>IFERROR(INDEX(Config!$D$40:$D$45,MATCH($G284,Config!$C$40:$C$45,0)),"")</f>
        <v/>
      </c>
      <c r="J284" s="19" t="n"/>
      <c r="K284" s="19" t="n"/>
      <c r="L284" s="19" t="n"/>
      <c r="M284" s="19" t="n"/>
      <c r="N284" s="14">
        <f>IF(AND(ISNUMBER($J284),ISNUMBER($K284)),ABS($J284-$K284),"")</f>
        <v/>
      </c>
      <c r="O284" s="14">
        <f>IF(AND(NOT(ISNUMBER($J284)),NOT(ISNUMBER($K284))),"",IF(NOT(ISNUMBER($K284)),$J284,IF(NOT(ISNUMBER($J284)),$K284,IF($N284=0,$J284,IF(AND($N284=1,$T284&lt;&gt;"Sim"),IF($I284="Líder Técnico",$K284,IF($I284="GP",$J284,"CALIBRAR")),"CALIBRAR")))))</f>
        <v/>
      </c>
      <c r="P284" s="19" t="n"/>
      <c r="Q284" s="19" t="n"/>
      <c r="R284" s="14">
        <f>IF($P284="","",IF(AND(ISNUMBER($J284),$P284=$J284,ISNUMBER($K284),$P284=$K284),"= ambos",IF(AND(ISNUMBER($J284),$P284=$J284),"= GP",IF(AND(ISNUMBER($K284),$P284=$K284),"= LT","nenhuma das duas"))))</f>
        <v/>
      </c>
      <c r="S284" s="19" t="n"/>
      <c r="T284" s="19" t="n"/>
      <c r="U284" s="14">
        <f>IF($C284="","",COUNTIFS('Ocorrências'!$V$5:$V$604,$C284&amp;"|"&amp;$B284&amp;"|"&amp;$G284,'Ocorrências'!$X$5:$X$604,"Sim"))</f>
        <v/>
      </c>
      <c r="V284" s="14">
        <f>IF($P284="","",IF(OR($P284=1,$P284=2,$P284=5),IF($U284&gt;0,"OK","SEM LASTRO"),"OK"))</f>
        <v/>
      </c>
      <c r="W284" s="19" t="n"/>
      <c r="X284" s="18" t="n"/>
      <c r="Y284" s="14">
        <f>IF($C284="","",$C284&amp;"|"&amp;$B284)</f>
        <v/>
      </c>
      <c r="Z284" s="14">
        <f>IF($C284="","",$C284&amp;"|"&amp;$B284&amp;"|"&amp;$H284)</f>
        <v/>
      </c>
      <c r="AA284" s="14">
        <f>IF($C284="","",$C284&amp;"|"&amp;$B284&amp;"|"&amp;$G284)</f>
        <v/>
      </c>
    </row>
    <row r="285">
      <c r="A285" s="19" t="n"/>
      <c r="B285" s="14">
        <f>IF($A285="","",VALUE(LEFT($A285,4))*4+VALUE(RIGHT($A285,1)))</f>
        <v/>
      </c>
      <c r="C285" s="19" t="n"/>
      <c r="D285" s="14">
        <f>IFERROR(INDEX(Pessoas!$B$5:$B$64,MATCH($C285,Pessoas!$A$5:$A$64,0)),"")</f>
        <v/>
      </c>
      <c r="E285" s="19" t="n"/>
      <c r="F285" s="14">
        <f>IFERROR(INDEX(Pessoas!$D$5:$D$64,MATCH($C285,Pessoas!$A$5:$A$64,0)),"")</f>
        <v/>
      </c>
      <c r="G285" s="19" t="n"/>
      <c r="H285" s="14">
        <f>IFERROR(INDEX(Config!$B$40:$B$45,MATCH($G285,Config!$C$40:$C$45,0)),"")</f>
        <v/>
      </c>
      <c r="I285" s="14">
        <f>IFERROR(INDEX(Config!$D$40:$D$45,MATCH($G285,Config!$C$40:$C$45,0)),"")</f>
        <v/>
      </c>
      <c r="J285" s="19" t="n"/>
      <c r="K285" s="19" t="n"/>
      <c r="L285" s="19" t="n"/>
      <c r="M285" s="19" t="n"/>
      <c r="N285" s="14">
        <f>IF(AND(ISNUMBER($J285),ISNUMBER($K285)),ABS($J285-$K285),"")</f>
        <v/>
      </c>
      <c r="O285" s="14">
        <f>IF(AND(NOT(ISNUMBER($J285)),NOT(ISNUMBER($K285))),"",IF(NOT(ISNUMBER($K285)),$J285,IF(NOT(ISNUMBER($J285)),$K285,IF($N285=0,$J285,IF(AND($N285=1,$T285&lt;&gt;"Sim"),IF($I285="Líder Técnico",$K285,IF($I285="GP",$J285,"CALIBRAR")),"CALIBRAR")))))</f>
        <v/>
      </c>
      <c r="P285" s="19" t="n"/>
      <c r="Q285" s="19" t="n"/>
      <c r="R285" s="14">
        <f>IF($P285="","",IF(AND(ISNUMBER($J285),$P285=$J285,ISNUMBER($K285),$P285=$K285),"= ambos",IF(AND(ISNUMBER($J285),$P285=$J285),"= GP",IF(AND(ISNUMBER($K285),$P285=$K285),"= LT","nenhuma das duas"))))</f>
        <v/>
      </c>
      <c r="S285" s="19" t="n"/>
      <c r="T285" s="19" t="n"/>
      <c r="U285" s="14">
        <f>IF($C285="","",COUNTIFS('Ocorrências'!$V$5:$V$604,$C285&amp;"|"&amp;$B285&amp;"|"&amp;$G285,'Ocorrências'!$X$5:$X$604,"Sim"))</f>
        <v/>
      </c>
      <c r="V285" s="14">
        <f>IF($P285="","",IF(OR($P285=1,$P285=2,$P285=5),IF($U285&gt;0,"OK","SEM LASTRO"),"OK"))</f>
        <v/>
      </c>
      <c r="W285" s="19" t="n"/>
      <c r="X285" s="18" t="n"/>
      <c r="Y285" s="14">
        <f>IF($C285="","",$C285&amp;"|"&amp;$B285)</f>
        <v/>
      </c>
      <c r="Z285" s="14">
        <f>IF($C285="","",$C285&amp;"|"&amp;$B285&amp;"|"&amp;$H285)</f>
        <v/>
      </c>
      <c r="AA285" s="14">
        <f>IF($C285="","",$C285&amp;"|"&amp;$B285&amp;"|"&amp;$G285)</f>
        <v/>
      </c>
    </row>
    <row r="286">
      <c r="A286" s="19" t="n"/>
      <c r="B286" s="14">
        <f>IF($A286="","",VALUE(LEFT($A286,4))*4+VALUE(RIGHT($A286,1)))</f>
        <v/>
      </c>
      <c r="C286" s="19" t="n"/>
      <c r="D286" s="14">
        <f>IFERROR(INDEX(Pessoas!$B$5:$B$64,MATCH($C286,Pessoas!$A$5:$A$64,0)),"")</f>
        <v/>
      </c>
      <c r="E286" s="19" t="n"/>
      <c r="F286" s="14">
        <f>IFERROR(INDEX(Pessoas!$D$5:$D$64,MATCH($C286,Pessoas!$A$5:$A$64,0)),"")</f>
        <v/>
      </c>
      <c r="G286" s="19" t="n"/>
      <c r="H286" s="14">
        <f>IFERROR(INDEX(Config!$B$40:$B$45,MATCH($G286,Config!$C$40:$C$45,0)),"")</f>
        <v/>
      </c>
      <c r="I286" s="14">
        <f>IFERROR(INDEX(Config!$D$40:$D$45,MATCH($G286,Config!$C$40:$C$45,0)),"")</f>
        <v/>
      </c>
      <c r="J286" s="19" t="n"/>
      <c r="K286" s="19" t="n"/>
      <c r="L286" s="19" t="n"/>
      <c r="M286" s="19" t="n"/>
      <c r="N286" s="14">
        <f>IF(AND(ISNUMBER($J286),ISNUMBER($K286)),ABS($J286-$K286),"")</f>
        <v/>
      </c>
      <c r="O286" s="14">
        <f>IF(AND(NOT(ISNUMBER($J286)),NOT(ISNUMBER($K286))),"",IF(NOT(ISNUMBER($K286)),$J286,IF(NOT(ISNUMBER($J286)),$K286,IF($N286=0,$J286,IF(AND($N286=1,$T286&lt;&gt;"Sim"),IF($I286="Líder Técnico",$K286,IF($I286="GP",$J286,"CALIBRAR")),"CALIBRAR")))))</f>
        <v/>
      </c>
      <c r="P286" s="19" t="n"/>
      <c r="Q286" s="19" t="n"/>
      <c r="R286" s="14">
        <f>IF($P286="","",IF(AND(ISNUMBER($J286),$P286=$J286,ISNUMBER($K286),$P286=$K286),"= ambos",IF(AND(ISNUMBER($J286),$P286=$J286),"= GP",IF(AND(ISNUMBER($K286),$P286=$K286),"= LT","nenhuma das duas"))))</f>
        <v/>
      </c>
      <c r="S286" s="19" t="n"/>
      <c r="T286" s="19" t="n"/>
      <c r="U286" s="14">
        <f>IF($C286="","",COUNTIFS('Ocorrências'!$V$5:$V$604,$C286&amp;"|"&amp;$B286&amp;"|"&amp;$G286,'Ocorrências'!$X$5:$X$604,"Sim"))</f>
        <v/>
      </c>
      <c r="V286" s="14">
        <f>IF($P286="","",IF(OR($P286=1,$P286=2,$P286=5),IF($U286&gt;0,"OK","SEM LASTRO"),"OK"))</f>
        <v/>
      </c>
      <c r="W286" s="19" t="n"/>
      <c r="X286" s="18" t="n"/>
      <c r="Y286" s="14">
        <f>IF($C286="","",$C286&amp;"|"&amp;$B286)</f>
        <v/>
      </c>
      <c r="Z286" s="14">
        <f>IF($C286="","",$C286&amp;"|"&amp;$B286&amp;"|"&amp;$H286)</f>
        <v/>
      </c>
      <c r="AA286" s="14">
        <f>IF($C286="","",$C286&amp;"|"&amp;$B286&amp;"|"&amp;$G286)</f>
        <v/>
      </c>
    </row>
    <row r="287">
      <c r="A287" s="19" t="n"/>
      <c r="B287" s="14">
        <f>IF($A287="","",VALUE(LEFT($A287,4))*4+VALUE(RIGHT($A287,1)))</f>
        <v/>
      </c>
      <c r="C287" s="19" t="n"/>
      <c r="D287" s="14">
        <f>IFERROR(INDEX(Pessoas!$B$5:$B$64,MATCH($C287,Pessoas!$A$5:$A$64,0)),"")</f>
        <v/>
      </c>
      <c r="E287" s="19" t="n"/>
      <c r="F287" s="14">
        <f>IFERROR(INDEX(Pessoas!$D$5:$D$64,MATCH($C287,Pessoas!$A$5:$A$64,0)),"")</f>
        <v/>
      </c>
      <c r="G287" s="19" t="n"/>
      <c r="H287" s="14">
        <f>IFERROR(INDEX(Config!$B$40:$B$45,MATCH($G287,Config!$C$40:$C$45,0)),"")</f>
        <v/>
      </c>
      <c r="I287" s="14">
        <f>IFERROR(INDEX(Config!$D$40:$D$45,MATCH($G287,Config!$C$40:$C$45,0)),"")</f>
        <v/>
      </c>
      <c r="J287" s="19" t="n"/>
      <c r="K287" s="19" t="n"/>
      <c r="L287" s="19" t="n"/>
      <c r="M287" s="19" t="n"/>
      <c r="N287" s="14">
        <f>IF(AND(ISNUMBER($J287),ISNUMBER($K287)),ABS($J287-$K287),"")</f>
        <v/>
      </c>
      <c r="O287" s="14">
        <f>IF(AND(NOT(ISNUMBER($J287)),NOT(ISNUMBER($K287))),"",IF(NOT(ISNUMBER($K287)),$J287,IF(NOT(ISNUMBER($J287)),$K287,IF($N287=0,$J287,IF(AND($N287=1,$T287&lt;&gt;"Sim"),IF($I287="Líder Técnico",$K287,IF($I287="GP",$J287,"CALIBRAR")),"CALIBRAR")))))</f>
        <v/>
      </c>
      <c r="P287" s="19" t="n"/>
      <c r="Q287" s="19" t="n"/>
      <c r="R287" s="14">
        <f>IF($P287="","",IF(AND(ISNUMBER($J287),$P287=$J287,ISNUMBER($K287),$P287=$K287),"= ambos",IF(AND(ISNUMBER($J287),$P287=$J287),"= GP",IF(AND(ISNUMBER($K287),$P287=$K287),"= LT","nenhuma das duas"))))</f>
        <v/>
      </c>
      <c r="S287" s="19" t="n"/>
      <c r="T287" s="19" t="n"/>
      <c r="U287" s="14">
        <f>IF($C287="","",COUNTIFS('Ocorrências'!$V$5:$V$604,$C287&amp;"|"&amp;$B287&amp;"|"&amp;$G287,'Ocorrências'!$X$5:$X$604,"Sim"))</f>
        <v/>
      </c>
      <c r="V287" s="14">
        <f>IF($P287="","",IF(OR($P287=1,$P287=2,$P287=5),IF($U287&gt;0,"OK","SEM LASTRO"),"OK"))</f>
        <v/>
      </c>
      <c r="W287" s="19" t="n"/>
      <c r="X287" s="18" t="n"/>
      <c r="Y287" s="14">
        <f>IF($C287="","",$C287&amp;"|"&amp;$B287)</f>
        <v/>
      </c>
      <c r="Z287" s="14">
        <f>IF($C287="","",$C287&amp;"|"&amp;$B287&amp;"|"&amp;$H287)</f>
        <v/>
      </c>
      <c r="AA287" s="14">
        <f>IF($C287="","",$C287&amp;"|"&amp;$B287&amp;"|"&amp;$G287)</f>
        <v/>
      </c>
    </row>
    <row r="288">
      <c r="A288" s="19" t="n"/>
      <c r="B288" s="14">
        <f>IF($A288="","",VALUE(LEFT($A288,4))*4+VALUE(RIGHT($A288,1)))</f>
        <v/>
      </c>
      <c r="C288" s="19" t="n"/>
      <c r="D288" s="14">
        <f>IFERROR(INDEX(Pessoas!$B$5:$B$64,MATCH($C288,Pessoas!$A$5:$A$64,0)),"")</f>
        <v/>
      </c>
      <c r="E288" s="19" t="n"/>
      <c r="F288" s="14">
        <f>IFERROR(INDEX(Pessoas!$D$5:$D$64,MATCH($C288,Pessoas!$A$5:$A$64,0)),"")</f>
        <v/>
      </c>
      <c r="G288" s="19" t="n"/>
      <c r="H288" s="14">
        <f>IFERROR(INDEX(Config!$B$40:$B$45,MATCH($G288,Config!$C$40:$C$45,0)),"")</f>
        <v/>
      </c>
      <c r="I288" s="14">
        <f>IFERROR(INDEX(Config!$D$40:$D$45,MATCH($G288,Config!$C$40:$C$45,0)),"")</f>
        <v/>
      </c>
      <c r="J288" s="19" t="n"/>
      <c r="K288" s="19" t="n"/>
      <c r="L288" s="19" t="n"/>
      <c r="M288" s="19" t="n"/>
      <c r="N288" s="14">
        <f>IF(AND(ISNUMBER($J288),ISNUMBER($K288)),ABS($J288-$K288),"")</f>
        <v/>
      </c>
      <c r="O288" s="14">
        <f>IF(AND(NOT(ISNUMBER($J288)),NOT(ISNUMBER($K288))),"",IF(NOT(ISNUMBER($K288)),$J288,IF(NOT(ISNUMBER($J288)),$K288,IF($N288=0,$J288,IF(AND($N288=1,$T288&lt;&gt;"Sim"),IF($I288="Líder Técnico",$K288,IF($I288="GP",$J288,"CALIBRAR")),"CALIBRAR")))))</f>
        <v/>
      </c>
      <c r="P288" s="19" t="n"/>
      <c r="Q288" s="19" t="n"/>
      <c r="R288" s="14">
        <f>IF($P288="","",IF(AND(ISNUMBER($J288),$P288=$J288,ISNUMBER($K288),$P288=$K288),"= ambos",IF(AND(ISNUMBER($J288),$P288=$J288),"= GP",IF(AND(ISNUMBER($K288),$P288=$K288),"= LT","nenhuma das duas"))))</f>
        <v/>
      </c>
      <c r="S288" s="19" t="n"/>
      <c r="T288" s="19" t="n"/>
      <c r="U288" s="14">
        <f>IF($C288="","",COUNTIFS('Ocorrências'!$V$5:$V$604,$C288&amp;"|"&amp;$B288&amp;"|"&amp;$G288,'Ocorrências'!$X$5:$X$604,"Sim"))</f>
        <v/>
      </c>
      <c r="V288" s="14">
        <f>IF($P288="","",IF(OR($P288=1,$P288=2,$P288=5),IF($U288&gt;0,"OK","SEM LASTRO"),"OK"))</f>
        <v/>
      </c>
      <c r="W288" s="19" t="n"/>
      <c r="X288" s="18" t="n"/>
      <c r="Y288" s="14">
        <f>IF($C288="","",$C288&amp;"|"&amp;$B288)</f>
        <v/>
      </c>
      <c r="Z288" s="14">
        <f>IF($C288="","",$C288&amp;"|"&amp;$B288&amp;"|"&amp;$H288)</f>
        <v/>
      </c>
      <c r="AA288" s="14">
        <f>IF($C288="","",$C288&amp;"|"&amp;$B288&amp;"|"&amp;$G288)</f>
        <v/>
      </c>
    </row>
    <row r="289">
      <c r="A289" s="19" t="n"/>
      <c r="B289" s="14">
        <f>IF($A289="","",VALUE(LEFT($A289,4))*4+VALUE(RIGHT($A289,1)))</f>
        <v/>
      </c>
      <c r="C289" s="19" t="n"/>
      <c r="D289" s="14">
        <f>IFERROR(INDEX(Pessoas!$B$5:$B$64,MATCH($C289,Pessoas!$A$5:$A$64,0)),"")</f>
        <v/>
      </c>
      <c r="E289" s="19" t="n"/>
      <c r="F289" s="14">
        <f>IFERROR(INDEX(Pessoas!$D$5:$D$64,MATCH($C289,Pessoas!$A$5:$A$64,0)),"")</f>
        <v/>
      </c>
      <c r="G289" s="19" t="n"/>
      <c r="H289" s="14">
        <f>IFERROR(INDEX(Config!$B$40:$B$45,MATCH($G289,Config!$C$40:$C$45,0)),"")</f>
        <v/>
      </c>
      <c r="I289" s="14">
        <f>IFERROR(INDEX(Config!$D$40:$D$45,MATCH($G289,Config!$C$40:$C$45,0)),"")</f>
        <v/>
      </c>
      <c r="J289" s="19" t="n"/>
      <c r="K289" s="19" t="n"/>
      <c r="L289" s="19" t="n"/>
      <c r="M289" s="19" t="n"/>
      <c r="N289" s="14">
        <f>IF(AND(ISNUMBER($J289),ISNUMBER($K289)),ABS($J289-$K289),"")</f>
        <v/>
      </c>
      <c r="O289" s="14">
        <f>IF(AND(NOT(ISNUMBER($J289)),NOT(ISNUMBER($K289))),"",IF(NOT(ISNUMBER($K289)),$J289,IF(NOT(ISNUMBER($J289)),$K289,IF($N289=0,$J289,IF(AND($N289=1,$T289&lt;&gt;"Sim"),IF($I289="Líder Técnico",$K289,IF($I289="GP",$J289,"CALIBRAR")),"CALIBRAR")))))</f>
        <v/>
      </c>
      <c r="P289" s="19" t="n"/>
      <c r="Q289" s="19" t="n"/>
      <c r="R289" s="14">
        <f>IF($P289="","",IF(AND(ISNUMBER($J289),$P289=$J289,ISNUMBER($K289),$P289=$K289),"= ambos",IF(AND(ISNUMBER($J289),$P289=$J289),"= GP",IF(AND(ISNUMBER($K289),$P289=$K289),"= LT","nenhuma das duas"))))</f>
        <v/>
      </c>
      <c r="S289" s="19" t="n"/>
      <c r="T289" s="19" t="n"/>
      <c r="U289" s="14">
        <f>IF($C289="","",COUNTIFS('Ocorrências'!$V$5:$V$604,$C289&amp;"|"&amp;$B289&amp;"|"&amp;$G289,'Ocorrências'!$X$5:$X$604,"Sim"))</f>
        <v/>
      </c>
      <c r="V289" s="14">
        <f>IF($P289="","",IF(OR($P289=1,$P289=2,$P289=5),IF($U289&gt;0,"OK","SEM LASTRO"),"OK"))</f>
        <v/>
      </c>
      <c r="W289" s="19" t="n"/>
      <c r="X289" s="18" t="n"/>
      <c r="Y289" s="14">
        <f>IF($C289="","",$C289&amp;"|"&amp;$B289)</f>
        <v/>
      </c>
      <c r="Z289" s="14">
        <f>IF($C289="","",$C289&amp;"|"&amp;$B289&amp;"|"&amp;$H289)</f>
        <v/>
      </c>
      <c r="AA289" s="14">
        <f>IF($C289="","",$C289&amp;"|"&amp;$B289&amp;"|"&amp;$G289)</f>
        <v/>
      </c>
    </row>
    <row r="290">
      <c r="A290" s="19" t="n"/>
      <c r="B290" s="14">
        <f>IF($A290="","",VALUE(LEFT($A290,4))*4+VALUE(RIGHT($A290,1)))</f>
        <v/>
      </c>
      <c r="C290" s="19" t="n"/>
      <c r="D290" s="14">
        <f>IFERROR(INDEX(Pessoas!$B$5:$B$64,MATCH($C290,Pessoas!$A$5:$A$64,0)),"")</f>
        <v/>
      </c>
      <c r="E290" s="19" t="n"/>
      <c r="F290" s="14">
        <f>IFERROR(INDEX(Pessoas!$D$5:$D$64,MATCH($C290,Pessoas!$A$5:$A$64,0)),"")</f>
        <v/>
      </c>
      <c r="G290" s="19" t="n"/>
      <c r="H290" s="14">
        <f>IFERROR(INDEX(Config!$B$40:$B$45,MATCH($G290,Config!$C$40:$C$45,0)),"")</f>
        <v/>
      </c>
      <c r="I290" s="14">
        <f>IFERROR(INDEX(Config!$D$40:$D$45,MATCH($G290,Config!$C$40:$C$45,0)),"")</f>
        <v/>
      </c>
      <c r="J290" s="19" t="n"/>
      <c r="K290" s="19" t="n"/>
      <c r="L290" s="19" t="n"/>
      <c r="M290" s="19" t="n"/>
      <c r="N290" s="14">
        <f>IF(AND(ISNUMBER($J290),ISNUMBER($K290)),ABS($J290-$K290),"")</f>
        <v/>
      </c>
      <c r="O290" s="14">
        <f>IF(AND(NOT(ISNUMBER($J290)),NOT(ISNUMBER($K290))),"",IF(NOT(ISNUMBER($K290)),$J290,IF(NOT(ISNUMBER($J290)),$K290,IF($N290=0,$J290,IF(AND($N290=1,$T290&lt;&gt;"Sim"),IF($I290="Líder Técnico",$K290,IF($I290="GP",$J290,"CALIBRAR")),"CALIBRAR")))))</f>
        <v/>
      </c>
      <c r="P290" s="19" t="n"/>
      <c r="Q290" s="19" t="n"/>
      <c r="R290" s="14">
        <f>IF($P290="","",IF(AND(ISNUMBER($J290),$P290=$J290,ISNUMBER($K290),$P290=$K290),"= ambos",IF(AND(ISNUMBER($J290),$P290=$J290),"= GP",IF(AND(ISNUMBER($K290),$P290=$K290),"= LT","nenhuma das duas"))))</f>
        <v/>
      </c>
      <c r="S290" s="19" t="n"/>
      <c r="T290" s="19" t="n"/>
      <c r="U290" s="14">
        <f>IF($C290="","",COUNTIFS('Ocorrências'!$V$5:$V$604,$C290&amp;"|"&amp;$B290&amp;"|"&amp;$G290,'Ocorrências'!$X$5:$X$604,"Sim"))</f>
        <v/>
      </c>
      <c r="V290" s="14">
        <f>IF($P290="","",IF(OR($P290=1,$P290=2,$P290=5),IF($U290&gt;0,"OK","SEM LASTRO"),"OK"))</f>
        <v/>
      </c>
      <c r="W290" s="19" t="n"/>
      <c r="X290" s="18" t="n"/>
      <c r="Y290" s="14">
        <f>IF($C290="","",$C290&amp;"|"&amp;$B290)</f>
        <v/>
      </c>
      <c r="Z290" s="14">
        <f>IF($C290="","",$C290&amp;"|"&amp;$B290&amp;"|"&amp;$H290)</f>
        <v/>
      </c>
      <c r="AA290" s="14">
        <f>IF($C290="","",$C290&amp;"|"&amp;$B290&amp;"|"&amp;$G290)</f>
        <v/>
      </c>
    </row>
    <row r="291">
      <c r="A291" s="19" t="n"/>
      <c r="B291" s="14">
        <f>IF($A291="","",VALUE(LEFT($A291,4))*4+VALUE(RIGHT($A291,1)))</f>
        <v/>
      </c>
      <c r="C291" s="19" t="n"/>
      <c r="D291" s="14">
        <f>IFERROR(INDEX(Pessoas!$B$5:$B$64,MATCH($C291,Pessoas!$A$5:$A$64,0)),"")</f>
        <v/>
      </c>
      <c r="E291" s="19" t="n"/>
      <c r="F291" s="14">
        <f>IFERROR(INDEX(Pessoas!$D$5:$D$64,MATCH($C291,Pessoas!$A$5:$A$64,0)),"")</f>
        <v/>
      </c>
      <c r="G291" s="19" t="n"/>
      <c r="H291" s="14">
        <f>IFERROR(INDEX(Config!$B$40:$B$45,MATCH($G291,Config!$C$40:$C$45,0)),"")</f>
        <v/>
      </c>
      <c r="I291" s="14">
        <f>IFERROR(INDEX(Config!$D$40:$D$45,MATCH($G291,Config!$C$40:$C$45,0)),"")</f>
        <v/>
      </c>
      <c r="J291" s="19" t="n"/>
      <c r="K291" s="19" t="n"/>
      <c r="L291" s="19" t="n"/>
      <c r="M291" s="19" t="n"/>
      <c r="N291" s="14">
        <f>IF(AND(ISNUMBER($J291),ISNUMBER($K291)),ABS($J291-$K291),"")</f>
        <v/>
      </c>
      <c r="O291" s="14">
        <f>IF(AND(NOT(ISNUMBER($J291)),NOT(ISNUMBER($K291))),"",IF(NOT(ISNUMBER($K291)),$J291,IF(NOT(ISNUMBER($J291)),$K291,IF($N291=0,$J291,IF(AND($N291=1,$T291&lt;&gt;"Sim"),IF($I291="Líder Técnico",$K291,IF($I291="GP",$J291,"CALIBRAR")),"CALIBRAR")))))</f>
        <v/>
      </c>
      <c r="P291" s="19" t="n"/>
      <c r="Q291" s="19" t="n"/>
      <c r="R291" s="14">
        <f>IF($P291="","",IF(AND(ISNUMBER($J291),$P291=$J291,ISNUMBER($K291),$P291=$K291),"= ambos",IF(AND(ISNUMBER($J291),$P291=$J291),"= GP",IF(AND(ISNUMBER($K291),$P291=$K291),"= LT","nenhuma das duas"))))</f>
        <v/>
      </c>
      <c r="S291" s="19" t="n"/>
      <c r="T291" s="19" t="n"/>
      <c r="U291" s="14">
        <f>IF($C291="","",COUNTIFS('Ocorrências'!$V$5:$V$604,$C291&amp;"|"&amp;$B291&amp;"|"&amp;$G291,'Ocorrências'!$X$5:$X$604,"Sim"))</f>
        <v/>
      </c>
      <c r="V291" s="14">
        <f>IF($P291="","",IF(OR($P291=1,$P291=2,$P291=5),IF($U291&gt;0,"OK","SEM LASTRO"),"OK"))</f>
        <v/>
      </c>
      <c r="W291" s="19" t="n"/>
      <c r="X291" s="18" t="n"/>
      <c r="Y291" s="14">
        <f>IF($C291="","",$C291&amp;"|"&amp;$B291)</f>
        <v/>
      </c>
      <c r="Z291" s="14">
        <f>IF($C291="","",$C291&amp;"|"&amp;$B291&amp;"|"&amp;$H291)</f>
        <v/>
      </c>
      <c r="AA291" s="14">
        <f>IF($C291="","",$C291&amp;"|"&amp;$B291&amp;"|"&amp;$G291)</f>
        <v/>
      </c>
    </row>
    <row r="292">
      <c r="A292" s="19" t="n"/>
      <c r="B292" s="14">
        <f>IF($A292="","",VALUE(LEFT($A292,4))*4+VALUE(RIGHT($A292,1)))</f>
        <v/>
      </c>
      <c r="C292" s="19" t="n"/>
      <c r="D292" s="14">
        <f>IFERROR(INDEX(Pessoas!$B$5:$B$64,MATCH($C292,Pessoas!$A$5:$A$64,0)),"")</f>
        <v/>
      </c>
      <c r="E292" s="19" t="n"/>
      <c r="F292" s="14">
        <f>IFERROR(INDEX(Pessoas!$D$5:$D$64,MATCH($C292,Pessoas!$A$5:$A$64,0)),"")</f>
        <v/>
      </c>
      <c r="G292" s="19" t="n"/>
      <c r="H292" s="14">
        <f>IFERROR(INDEX(Config!$B$40:$B$45,MATCH($G292,Config!$C$40:$C$45,0)),"")</f>
        <v/>
      </c>
      <c r="I292" s="14">
        <f>IFERROR(INDEX(Config!$D$40:$D$45,MATCH($G292,Config!$C$40:$C$45,0)),"")</f>
        <v/>
      </c>
      <c r="J292" s="19" t="n"/>
      <c r="K292" s="19" t="n"/>
      <c r="L292" s="19" t="n"/>
      <c r="M292" s="19" t="n"/>
      <c r="N292" s="14">
        <f>IF(AND(ISNUMBER($J292),ISNUMBER($K292)),ABS($J292-$K292),"")</f>
        <v/>
      </c>
      <c r="O292" s="14">
        <f>IF(AND(NOT(ISNUMBER($J292)),NOT(ISNUMBER($K292))),"",IF(NOT(ISNUMBER($K292)),$J292,IF(NOT(ISNUMBER($J292)),$K292,IF($N292=0,$J292,IF(AND($N292=1,$T292&lt;&gt;"Sim"),IF($I292="Líder Técnico",$K292,IF($I292="GP",$J292,"CALIBRAR")),"CALIBRAR")))))</f>
        <v/>
      </c>
      <c r="P292" s="19" t="n"/>
      <c r="Q292" s="19" t="n"/>
      <c r="R292" s="14">
        <f>IF($P292="","",IF(AND(ISNUMBER($J292),$P292=$J292,ISNUMBER($K292),$P292=$K292),"= ambos",IF(AND(ISNUMBER($J292),$P292=$J292),"= GP",IF(AND(ISNUMBER($K292),$P292=$K292),"= LT","nenhuma das duas"))))</f>
        <v/>
      </c>
      <c r="S292" s="19" t="n"/>
      <c r="T292" s="19" t="n"/>
      <c r="U292" s="14">
        <f>IF($C292="","",COUNTIFS('Ocorrências'!$V$5:$V$604,$C292&amp;"|"&amp;$B292&amp;"|"&amp;$G292,'Ocorrências'!$X$5:$X$604,"Sim"))</f>
        <v/>
      </c>
      <c r="V292" s="14">
        <f>IF($P292="","",IF(OR($P292=1,$P292=2,$P292=5),IF($U292&gt;0,"OK","SEM LASTRO"),"OK"))</f>
        <v/>
      </c>
      <c r="W292" s="19" t="n"/>
      <c r="X292" s="18" t="n"/>
      <c r="Y292" s="14">
        <f>IF($C292="","",$C292&amp;"|"&amp;$B292)</f>
        <v/>
      </c>
      <c r="Z292" s="14">
        <f>IF($C292="","",$C292&amp;"|"&amp;$B292&amp;"|"&amp;$H292)</f>
        <v/>
      </c>
      <c r="AA292" s="14">
        <f>IF($C292="","",$C292&amp;"|"&amp;$B292&amp;"|"&amp;$G292)</f>
        <v/>
      </c>
    </row>
    <row r="293">
      <c r="A293" s="19" t="n"/>
      <c r="B293" s="14">
        <f>IF($A293="","",VALUE(LEFT($A293,4))*4+VALUE(RIGHT($A293,1)))</f>
        <v/>
      </c>
      <c r="C293" s="19" t="n"/>
      <c r="D293" s="14">
        <f>IFERROR(INDEX(Pessoas!$B$5:$B$64,MATCH($C293,Pessoas!$A$5:$A$64,0)),"")</f>
        <v/>
      </c>
      <c r="E293" s="19" t="n"/>
      <c r="F293" s="14">
        <f>IFERROR(INDEX(Pessoas!$D$5:$D$64,MATCH($C293,Pessoas!$A$5:$A$64,0)),"")</f>
        <v/>
      </c>
      <c r="G293" s="19" t="n"/>
      <c r="H293" s="14">
        <f>IFERROR(INDEX(Config!$B$40:$B$45,MATCH($G293,Config!$C$40:$C$45,0)),"")</f>
        <v/>
      </c>
      <c r="I293" s="14">
        <f>IFERROR(INDEX(Config!$D$40:$D$45,MATCH($G293,Config!$C$40:$C$45,0)),"")</f>
        <v/>
      </c>
      <c r="J293" s="19" t="n"/>
      <c r="K293" s="19" t="n"/>
      <c r="L293" s="19" t="n"/>
      <c r="M293" s="19" t="n"/>
      <c r="N293" s="14">
        <f>IF(AND(ISNUMBER($J293),ISNUMBER($K293)),ABS($J293-$K293),"")</f>
        <v/>
      </c>
      <c r="O293" s="14">
        <f>IF(AND(NOT(ISNUMBER($J293)),NOT(ISNUMBER($K293))),"",IF(NOT(ISNUMBER($K293)),$J293,IF(NOT(ISNUMBER($J293)),$K293,IF($N293=0,$J293,IF(AND($N293=1,$T293&lt;&gt;"Sim"),IF($I293="Líder Técnico",$K293,IF($I293="GP",$J293,"CALIBRAR")),"CALIBRAR")))))</f>
        <v/>
      </c>
      <c r="P293" s="19" t="n"/>
      <c r="Q293" s="19" t="n"/>
      <c r="R293" s="14">
        <f>IF($P293="","",IF(AND(ISNUMBER($J293),$P293=$J293,ISNUMBER($K293),$P293=$K293),"= ambos",IF(AND(ISNUMBER($J293),$P293=$J293),"= GP",IF(AND(ISNUMBER($K293),$P293=$K293),"= LT","nenhuma das duas"))))</f>
        <v/>
      </c>
      <c r="S293" s="19" t="n"/>
      <c r="T293" s="19" t="n"/>
      <c r="U293" s="14">
        <f>IF($C293="","",COUNTIFS('Ocorrências'!$V$5:$V$604,$C293&amp;"|"&amp;$B293&amp;"|"&amp;$G293,'Ocorrências'!$X$5:$X$604,"Sim"))</f>
        <v/>
      </c>
      <c r="V293" s="14">
        <f>IF($P293="","",IF(OR($P293=1,$P293=2,$P293=5),IF($U293&gt;0,"OK","SEM LASTRO"),"OK"))</f>
        <v/>
      </c>
      <c r="W293" s="19" t="n"/>
      <c r="X293" s="18" t="n"/>
      <c r="Y293" s="14">
        <f>IF($C293="","",$C293&amp;"|"&amp;$B293)</f>
        <v/>
      </c>
      <c r="Z293" s="14">
        <f>IF($C293="","",$C293&amp;"|"&amp;$B293&amp;"|"&amp;$H293)</f>
        <v/>
      </c>
      <c r="AA293" s="14">
        <f>IF($C293="","",$C293&amp;"|"&amp;$B293&amp;"|"&amp;$G293)</f>
        <v/>
      </c>
    </row>
    <row r="294">
      <c r="A294" s="19" t="n"/>
      <c r="B294" s="14">
        <f>IF($A294="","",VALUE(LEFT($A294,4))*4+VALUE(RIGHT($A294,1)))</f>
        <v/>
      </c>
      <c r="C294" s="19" t="n"/>
      <c r="D294" s="14">
        <f>IFERROR(INDEX(Pessoas!$B$5:$B$64,MATCH($C294,Pessoas!$A$5:$A$64,0)),"")</f>
        <v/>
      </c>
      <c r="E294" s="19" t="n"/>
      <c r="F294" s="14">
        <f>IFERROR(INDEX(Pessoas!$D$5:$D$64,MATCH($C294,Pessoas!$A$5:$A$64,0)),"")</f>
        <v/>
      </c>
      <c r="G294" s="19" t="n"/>
      <c r="H294" s="14">
        <f>IFERROR(INDEX(Config!$B$40:$B$45,MATCH($G294,Config!$C$40:$C$45,0)),"")</f>
        <v/>
      </c>
      <c r="I294" s="14">
        <f>IFERROR(INDEX(Config!$D$40:$D$45,MATCH($G294,Config!$C$40:$C$45,0)),"")</f>
        <v/>
      </c>
      <c r="J294" s="19" t="n"/>
      <c r="K294" s="19" t="n"/>
      <c r="L294" s="19" t="n"/>
      <c r="M294" s="19" t="n"/>
      <c r="N294" s="14">
        <f>IF(AND(ISNUMBER($J294),ISNUMBER($K294)),ABS($J294-$K294),"")</f>
        <v/>
      </c>
      <c r="O294" s="14">
        <f>IF(AND(NOT(ISNUMBER($J294)),NOT(ISNUMBER($K294))),"",IF(NOT(ISNUMBER($K294)),$J294,IF(NOT(ISNUMBER($J294)),$K294,IF($N294=0,$J294,IF(AND($N294=1,$T294&lt;&gt;"Sim"),IF($I294="Líder Técnico",$K294,IF($I294="GP",$J294,"CALIBRAR")),"CALIBRAR")))))</f>
        <v/>
      </c>
      <c r="P294" s="19" t="n"/>
      <c r="Q294" s="19" t="n"/>
      <c r="R294" s="14">
        <f>IF($P294="","",IF(AND(ISNUMBER($J294),$P294=$J294,ISNUMBER($K294),$P294=$K294),"= ambos",IF(AND(ISNUMBER($J294),$P294=$J294),"= GP",IF(AND(ISNUMBER($K294),$P294=$K294),"= LT","nenhuma das duas"))))</f>
        <v/>
      </c>
      <c r="S294" s="19" t="n"/>
      <c r="T294" s="19" t="n"/>
      <c r="U294" s="14">
        <f>IF($C294="","",COUNTIFS('Ocorrências'!$V$5:$V$604,$C294&amp;"|"&amp;$B294&amp;"|"&amp;$G294,'Ocorrências'!$X$5:$X$604,"Sim"))</f>
        <v/>
      </c>
      <c r="V294" s="14">
        <f>IF($P294="","",IF(OR($P294=1,$P294=2,$P294=5),IF($U294&gt;0,"OK","SEM LASTRO"),"OK"))</f>
        <v/>
      </c>
      <c r="W294" s="19" t="n"/>
      <c r="X294" s="18" t="n"/>
      <c r="Y294" s="14">
        <f>IF($C294="","",$C294&amp;"|"&amp;$B294)</f>
        <v/>
      </c>
      <c r="Z294" s="14">
        <f>IF($C294="","",$C294&amp;"|"&amp;$B294&amp;"|"&amp;$H294)</f>
        <v/>
      </c>
      <c r="AA294" s="14">
        <f>IF($C294="","",$C294&amp;"|"&amp;$B294&amp;"|"&amp;$G294)</f>
        <v/>
      </c>
    </row>
    <row r="295">
      <c r="A295" s="19" t="n"/>
      <c r="B295" s="14">
        <f>IF($A295="","",VALUE(LEFT($A295,4))*4+VALUE(RIGHT($A295,1)))</f>
        <v/>
      </c>
      <c r="C295" s="19" t="n"/>
      <c r="D295" s="14">
        <f>IFERROR(INDEX(Pessoas!$B$5:$B$64,MATCH($C295,Pessoas!$A$5:$A$64,0)),"")</f>
        <v/>
      </c>
      <c r="E295" s="19" t="n"/>
      <c r="F295" s="14">
        <f>IFERROR(INDEX(Pessoas!$D$5:$D$64,MATCH($C295,Pessoas!$A$5:$A$64,0)),"")</f>
        <v/>
      </c>
      <c r="G295" s="19" t="n"/>
      <c r="H295" s="14">
        <f>IFERROR(INDEX(Config!$B$40:$B$45,MATCH($G295,Config!$C$40:$C$45,0)),"")</f>
        <v/>
      </c>
      <c r="I295" s="14">
        <f>IFERROR(INDEX(Config!$D$40:$D$45,MATCH($G295,Config!$C$40:$C$45,0)),"")</f>
        <v/>
      </c>
      <c r="J295" s="19" t="n"/>
      <c r="K295" s="19" t="n"/>
      <c r="L295" s="19" t="n"/>
      <c r="M295" s="19" t="n"/>
      <c r="N295" s="14">
        <f>IF(AND(ISNUMBER($J295),ISNUMBER($K295)),ABS($J295-$K295),"")</f>
        <v/>
      </c>
      <c r="O295" s="14">
        <f>IF(AND(NOT(ISNUMBER($J295)),NOT(ISNUMBER($K295))),"",IF(NOT(ISNUMBER($K295)),$J295,IF(NOT(ISNUMBER($J295)),$K295,IF($N295=0,$J295,IF(AND($N295=1,$T295&lt;&gt;"Sim"),IF($I295="Líder Técnico",$K295,IF($I295="GP",$J295,"CALIBRAR")),"CALIBRAR")))))</f>
        <v/>
      </c>
      <c r="P295" s="19" t="n"/>
      <c r="Q295" s="19" t="n"/>
      <c r="R295" s="14">
        <f>IF($P295="","",IF(AND(ISNUMBER($J295),$P295=$J295,ISNUMBER($K295),$P295=$K295),"= ambos",IF(AND(ISNUMBER($J295),$P295=$J295),"= GP",IF(AND(ISNUMBER($K295),$P295=$K295),"= LT","nenhuma das duas"))))</f>
        <v/>
      </c>
      <c r="S295" s="19" t="n"/>
      <c r="T295" s="19" t="n"/>
      <c r="U295" s="14">
        <f>IF($C295="","",COUNTIFS('Ocorrências'!$V$5:$V$604,$C295&amp;"|"&amp;$B295&amp;"|"&amp;$G295,'Ocorrências'!$X$5:$X$604,"Sim"))</f>
        <v/>
      </c>
      <c r="V295" s="14">
        <f>IF($P295="","",IF(OR($P295=1,$P295=2,$P295=5),IF($U295&gt;0,"OK","SEM LASTRO"),"OK"))</f>
        <v/>
      </c>
      <c r="W295" s="19" t="n"/>
      <c r="X295" s="18" t="n"/>
      <c r="Y295" s="14">
        <f>IF($C295="","",$C295&amp;"|"&amp;$B295)</f>
        <v/>
      </c>
      <c r="Z295" s="14">
        <f>IF($C295="","",$C295&amp;"|"&amp;$B295&amp;"|"&amp;$H295)</f>
        <v/>
      </c>
      <c r="AA295" s="14">
        <f>IF($C295="","",$C295&amp;"|"&amp;$B295&amp;"|"&amp;$G295)</f>
        <v/>
      </c>
    </row>
    <row r="296">
      <c r="A296" s="19" t="n"/>
      <c r="B296" s="14">
        <f>IF($A296="","",VALUE(LEFT($A296,4))*4+VALUE(RIGHT($A296,1)))</f>
        <v/>
      </c>
      <c r="C296" s="19" t="n"/>
      <c r="D296" s="14">
        <f>IFERROR(INDEX(Pessoas!$B$5:$B$64,MATCH($C296,Pessoas!$A$5:$A$64,0)),"")</f>
        <v/>
      </c>
      <c r="E296" s="19" t="n"/>
      <c r="F296" s="14">
        <f>IFERROR(INDEX(Pessoas!$D$5:$D$64,MATCH($C296,Pessoas!$A$5:$A$64,0)),"")</f>
        <v/>
      </c>
      <c r="G296" s="19" t="n"/>
      <c r="H296" s="14">
        <f>IFERROR(INDEX(Config!$B$40:$B$45,MATCH($G296,Config!$C$40:$C$45,0)),"")</f>
        <v/>
      </c>
      <c r="I296" s="14">
        <f>IFERROR(INDEX(Config!$D$40:$D$45,MATCH($G296,Config!$C$40:$C$45,0)),"")</f>
        <v/>
      </c>
      <c r="J296" s="19" t="n"/>
      <c r="K296" s="19" t="n"/>
      <c r="L296" s="19" t="n"/>
      <c r="M296" s="19" t="n"/>
      <c r="N296" s="14">
        <f>IF(AND(ISNUMBER($J296),ISNUMBER($K296)),ABS($J296-$K296),"")</f>
        <v/>
      </c>
      <c r="O296" s="14">
        <f>IF(AND(NOT(ISNUMBER($J296)),NOT(ISNUMBER($K296))),"",IF(NOT(ISNUMBER($K296)),$J296,IF(NOT(ISNUMBER($J296)),$K296,IF($N296=0,$J296,IF(AND($N296=1,$T296&lt;&gt;"Sim"),IF($I296="Líder Técnico",$K296,IF($I296="GP",$J296,"CALIBRAR")),"CALIBRAR")))))</f>
        <v/>
      </c>
      <c r="P296" s="19" t="n"/>
      <c r="Q296" s="19" t="n"/>
      <c r="R296" s="14">
        <f>IF($P296="","",IF(AND(ISNUMBER($J296),$P296=$J296,ISNUMBER($K296),$P296=$K296),"= ambos",IF(AND(ISNUMBER($J296),$P296=$J296),"= GP",IF(AND(ISNUMBER($K296),$P296=$K296),"= LT","nenhuma das duas"))))</f>
        <v/>
      </c>
      <c r="S296" s="19" t="n"/>
      <c r="T296" s="19" t="n"/>
      <c r="U296" s="14">
        <f>IF($C296="","",COUNTIFS('Ocorrências'!$V$5:$V$604,$C296&amp;"|"&amp;$B296&amp;"|"&amp;$G296,'Ocorrências'!$X$5:$X$604,"Sim"))</f>
        <v/>
      </c>
      <c r="V296" s="14">
        <f>IF($P296="","",IF(OR($P296=1,$P296=2,$P296=5),IF($U296&gt;0,"OK","SEM LASTRO"),"OK"))</f>
        <v/>
      </c>
      <c r="W296" s="19" t="n"/>
      <c r="X296" s="18" t="n"/>
      <c r="Y296" s="14">
        <f>IF($C296="","",$C296&amp;"|"&amp;$B296)</f>
        <v/>
      </c>
      <c r="Z296" s="14">
        <f>IF($C296="","",$C296&amp;"|"&amp;$B296&amp;"|"&amp;$H296)</f>
        <v/>
      </c>
      <c r="AA296" s="14">
        <f>IF($C296="","",$C296&amp;"|"&amp;$B296&amp;"|"&amp;$G296)</f>
        <v/>
      </c>
    </row>
    <row r="297">
      <c r="A297" s="19" t="n"/>
      <c r="B297" s="14">
        <f>IF($A297="","",VALUE(LEFT($A297,4))*4+VALUE(RIGHT($A297,1)))</f>
        <v/>
      </c>
      <c r="C297" s="19" t="n"/>
      <c r="D297" s="14">
        <f>IFERROR(INDEX(Pessoas!$B$5:$B$64,MATCH($C297,Pessoas!$A$5:$A$64,0)),"")</f>
        <v/>
      </c>
      <c r="E297" s="19" t="n"/>
      <c r="F297" s="14">
        <f>IFERROR(INDEX(Pessoas!$D$5:$D$64,MATCH($C297,Pessoas!$A$5:$A$64,0)),"")</f>
        <v/>
      </c>
      <c r="G297" s="19" t="n"/>
      <c r="H297" s="14">
        <f>IFERROR(INDEX(Config!$B$40:$B$45,MATCH($G297,Config!$C$40:$C$45,0)),"")</f>
        <v/>
      </c>
      <c r="I297" s="14">
        <f>IFERROR(INDEX(Config!$D$40:$D$45,MATCH($G297,Config!$C$40:$C$45,0)),"")</f>
        <v/>
      </c>
      <c r="J297" s="19" t="n"/>
      <c r="K297" s="19" t="n"/>
      <c r="L297" s="19" t="n"/>
      <c r="M297" s="19" t="n"/>
      <c r="N297" s="14">
        <f>IF(AND(ISNUMBER($J297),ISNUMBER($K297)),ABS($J297-$K297),"")</f>
        <v/>
      </c>
      <c r="O297" s="14">
        <f>IF(AND(NOT(ISNUMBER($J297)),NOT(ISNUMBER($K297))),"",IF(NOT(ISNUMBER($K297)),$J297,IF(NOT(ISNUMBER($J297)),$K297,IF($N297=0,$J297,IF(AND($N297=1,$T297&lt;&gt;"Sim"),IF($I297="Líder Técnico",$K297,IF($I297="GP",$J297,"CALIBRAR")),"CALIBRAR")))))</f>
        <v/>
      </c>
      <c r="P297" s="19" t="n"/>
      <c r="Q297" s="19" t="n"/>
      <c r="R297" s="14">
        <f>IF($P297="","",IF(AND(ISNUMBER($J297),$P297=$J297,ISNUMBER($K297),$P297=$K297),"= ambos",IF(AND(ISNUMBER($J297),$P297=$J297),"= GP",IF(AND(ISNUMBER($K297),$P297=$K297),"= LT","nenhuma das duas"))))</f>
        <v/>
      </c>
      <c r="S297" s="19" t="n"/>
      <c r="T297" s="19" t="n"/>
      <c r="U297" s="14">
        <f>IF($C297="","",COUNTIFS('Ocorrências'!$V$5:$V$604,$C297&amp;"|"&amp;$B297&amp;"|"&amp;$G297,'Ocorrências'!$X$5:$X$604,"Sim"))</f>
        <v/>
      </c>
      <c r="V297" s="14">
        <f>IF($P297="","",IF(OR($P297=1,$P297=2,$P297=5),IF($U297&gt;0,"OK","SEM LASTRO"),"OK"))</f>
        <v/>
      </c>
      <c r="W297" s="19" t="n"/>
      <c r="X297" s="18" t="n"/>
      <c r="Y297" s="14">
        <f>IF($C297="","",$C297&amp;"|"&amp;$B297)</f>
        <v/>
      </c>
      <c r="Z297" s="14">
        <f>IF($C297="","",$C297&amp;"|"&amp;$B297&amp;"|"&amp;$H297)</f>
        <v/>
      </c>
      <c r="AA297" s="14">
        <f>IF($C297="","",$C297&amp;"|"&amp;$B297&amp;"|"&amp;$G297)</f>
        <v/>
      </c>
    </row>
    <row r="298">
      <c r="A298" s="19" t="n"/>
      <c r="B298" s="14">
        <f>IF($A298="","",VALUE(LEFT($A298,4))*4+VALUE(RIGHT($A298,1)))</f>
        <v/>
      </c>
      <c r="C298" s="19" t="n"/>
      <c r="D298" s="14">
        <f>IFERROR(INDEX(Pessoas!$B$5:$B$64,MATCH($C298,Pessoas!$A$5:$A$64,0)),"")</f>
        <v/>
      </c>
      <c r="E298" s="19" t="n"/>
      <c r="F298" s="14">
        <f>IFERROR(INDEX(Pessoas!$D$5:$D$64,MATCH($C298,Pessoas!$A$5:$A$64,0)),"")</f>
        <v/>
      </c>
      <c r="G298" s="19" t="n"/>
      <c r="H298" s="14">
        <f>IFERROR(INDEX(Config!$B$40:$B$45,MATCH($G298,Config!$C$40:$C$45,0)),"")</f>
        <v/>
      </c>
      <c r="I298" s="14">
        <f>IFERROR(INDEX(Config!$D$40:$D$45,MATCH($G298,Config!$C$40:$C$45,0)),"")</f>
        <v/>
      </c>
      <c r="J298" s="19" t="n"/>
      <c r="K298" s="19" t="n"/>
      <c r="L298" s="19" t="n"/>
      <c r="M298" s="19" t="n"/>
      <c r="N298" s="14">
        <f>IF(AND(ISNUMBER($J298),ISNUMBER($K298)),ABS($J298-$K298),"")</f>
        <v/>
      </c>
      <c r="O298" s="14">
        <f>IF(AND(NOT(ISNUMBER($J298)),NOT(ISNUMBER($K298))),"",IF(NOT(ISNUMBER($K298)),$J298,IF(NOT(ISNUMBER($J298)),$K298,IF($N298=0,$J298,IF(AND($N298=1,$T298&lt;&gt;"Sim"),IF($I298="Líder Técnico",$K298,IF($I298="GP",$J298,"CALIBRAR")),"CALIBRAR")))))</f>
        <v/>
      </c>
      <c r="P298" s="19" t="n"/>
      <c r="Q298" s="19" t="n"/>
      <c r="R298" s="14">
        <f>IF($P298="","",IF(AND(ISNUMBER($J298),$P298=$J298,ISNUMBER($K298),$P298=$K298),"= ambos",IF(AND(ISNUMBER($J298),$P298=$J298),"= GP",IF(AND(ISNUMBER($K298),$P298=$K298),"= LT","nenhuma das duas"))))</f>
        <v/>
      </c>
      <c r="S298" s="19" t="n"/>
      <c r="T298" s="19" t="n"/>
      <c r="U298" s="14">
        <f>IF($C298="","",COUNTIFS('Ocorrências'!$V$5:$V$604,$C298&amp;"|"&amp;$B298&amp;"|"&amp;$G298,'Ocorrências'!$X$5:$X$604,"Sim"))</f>
        <v/>
      </c>
      <c r="V298" s="14">
        <f>IF($P298="","",IF(OR($P298=1,$P298=2,$P298=5),IF($U298&gt;0,"OK","SEM LASTRO"),"OK"))</f>
        <v/>
      </c>
      <c r="W298" s="19" t="n"/>
      <c r="X298" s="18" t="n"/>
      <c r="Y298" s="14">
        <f>IF($C298="","",$C298&amp;"|"&amp;$B298)</f>
        <v/>
      </c>
      <c r="Z298" s="14">
        <f>IF($C298="","",$C298&amp;"|"&amp;$B298&amp;"|"&amp;$H298)</f>
        <v/>
      </c>
      <c r="AA298" s="14">
        <f>IF($C298="","",$C298&amp;"|"&amp;$B298&amp;"|"&amp;$G298)</f>
        <v/>
      </c>
    </row>
    <row r="299">
      <c r="A299" s="19" t="n"/>
      <c r="B299" s="14">
        <f>IF($A299="","",VALUE(LEFT($A299,4))*4+VALUE(RIGHT($A299,1)))</f>
        <v/>
      </c>
      <c r="C299" s="19" t="n"/>
      <c r="D299" s="14">
        <f>IFERROR(INDEX(Pessoas!$B$5:$B$64,MATCH($C299,Pessoas!$A$5:$A$64,0)),"")</f>
        <v/>
      </c>
      <c r="E299" s="19" t="n"/>
      <c r="F299" s="14">
        <f>IFERROR(INDEX(Pessoas!$D$5:$D$64,MATCH($C299,Pessoas!$A$5:$A$64,0)),"")</f>
        <v/>
      </c>
      <c r="G299" s="19" t="n"/>
      <c r="H299" s="14">
        <f>IFERROR(INDEX(Config!$B$40:$B$45,MATCH($G299,Config!$C$40:$C$45,0)),"")</f>
        <v/>
      </c>
      <c r="I299" s="14">
        <f>IFERROR(INDEX(Config!$D$40:$D$45,MATCH($G299,Config!$C$40:$C$45,0)),"")</f>
        <v/>
      </c>
      <c r="J299" s="19" t="n"/>
      <c r="K299" s="19" t="n"/>
      <c r="L299" s="19" t="n"/>
      <c r="M299" s="19" t="n"/>
      <c r="N299" s="14">
        <f>IF(AND(ISNUMBER($J299),ISNUMBER($K299)),ABS($J299-$K299),"")</f>
        <v/>
      </c>
      <c r="O299" s="14">
        <f>IF(AND(NOT(ISNUMBER($J299)),NOT(ISNUMBER($K299))),"",IF(NOT(ISNUMBER($K299)),$J299,IF(NOT(ISNUMBER($J299)),$K299,IF($N299=0,$J299,IF(AND($N299=1,$T299&lt;&gt;"Sim"),IF($I299="Líder Técnico",$K299,IF($I299="GP",$J299,"CALIBRAR")),"CALIBRAR")))))</f>
        <v/>
      </c>
      <c r="P299" s="19" t="n"/>
      <c r="Q299" s="19" t="n"/>
      <c r="R299" s="14">
        <f>IF($P299="","",IF(AND(ISNUMBER($J299),$P299=$J299,ISNUMBER($K299),$P299=$K299),"= ambos",IF(AND(ISNUMBER($J299),$P299=$J299),"= GP",IF(AND(ISNUMBER($K299),$P299=$K299),"= LT","nenhuma das duas"))))</f>
        <v/>
      </c>
      <c r="S299" s="19" t="n"/>
      <c r="T299" s="19" t="n"/>
      <c r="U299" s="14">
        <f>IF($C299="","",COUNTIFS('Ocorrências'!$V$5:$V$604,$C299&amp;"|"&amp;$B299&amp;"|"&amp;$G299,'Ocorrências'!$X$5:$X$604,"Sim"))</f>
        <v/>
      </c>
      <c r="V299" s="14">
        <f>IF($P299="","",IF(OR($P299=1,$P299=2,$P299=5),IF($U299&gt;0,"OK","SEM LASTRO"),"OK"))</f>
        <v/>
      </c>
      <c r="W299" s="19" t="n"/>
      <c r="X299" s="18" t="n"/>
      <c r="Y299" s="14">
        <f>IF($C299="","",$C299&amp;"|"&amp;$B299)</f>
        <v/>
      </c>
      <c r="Z299" s="14">
        <f>IF($C299="","",$C299&amp;"|"&amp;$B299&amp;"|"&amp;$H299)</f>
        <v/>
      </c>
      <c r="AA299" s="14">
        <f>IF($C299="","",$C299&amp;"|"&amp;$B299&amp;"|"&amp;$G299)</f>
        <v/>
      </c>
    </row>
    <row r="300">
      <c r="A300" s="19" t="n"/>
      <c r="B300" s="14">
        <f>IF($A300="","",VALUE(LEFT($A300,4))*4+VALUE(RIGHT($A300,1)))</f>
        <v/>
      </c>
      <c r="C300" s="19" t="n"/>
      <c r="D300" s="14">
        <f>IFERROR(INDEX(Pessoas!$B$5:$B$64,MATCH($C300,Pessoas!$A$5:$A$64,0)),"")</f>
        <v/>
      </c>
      <c r="E300" s="19" t="n"/>
      <c r="F300" s="14">
        <f>IFERROR(INDEX(Pessoas!$D$5:$D$64,MATCH($C300,Pessoas!$A$5:$A$64,0)),"")</f>
        <v/>
      </c>
      <c r="G300" s="19" t="n"/>
      <c r="H300" s="14">
        <f>IFERROR(INDEX(Config!$B$40:$B$45,MATCH($G300,Config!$C$40:$C$45,0)),"")</f>
        <v/>
      </c>
      <c r="I300" s="14">
        <f>IFERROR(INDEX(Config!$D$40:$D$45,MATCH($G300,Config!$C$40:$C$45,0)),"")</f>
        <v/>
      </c>
      <c r="J300" s="19" t="n"/>
      <c r="K300" s="19" t="n"/>
      <c r="L300" s="19" t="n"/>
      <c r="M300" s="19" t="n"/>
      <c r="N300" s="14">
        <f>IF(AND(ISNUMBER($J300),ISNUMBER($K300)),ABS($J300-$K300),"")</f>
        <v/>
      </c>
      <c r="O300" s="14">
        <f>IF(AND(NOT(ISNUMBER($J300)),NOT(ISNUMBER($K300))),"",IF(NOT(ISNUMBER($K300)),$J300,IF(NOT(ISNUMBER($J300)),$K300,IF($N300=0,$J300,IF(AND($N300=1,$T300&lt;&gt;"Sim"),IF($I300="Líder Técnico",$K300,IF($I300="GP",$J300,"CALIBRAR")),"CALIBRAR")))))</f>
        <v/>
      </c>
      <c r="P300" s="19" t="n"/>
      <c r="Q300" s="19" t="n"/>
      <c r="R300" s="14">
        <f>IF($P300="","",IF(AND(ISNUMBER($J300),$P300=$J300,ISNUMBER($K300),$P300=$K300),"= ambos",IF(AND(ISNUMBER($J300),$P300=$J300),"= GP",IF(AND(ISNUMBER($K300),$P300=$K300),"= LT","nenhuma das duas"))))</f>
        <v/>
      </c>
      <c r="S300" s="19" t="n"/>
      <c r="T300" s="19" t="n"/>
      <c r="U300" s="14">
        <f>IF($C300="","",COUNTIFS('Ocorrências'!$V$5:$V$604,$C300&amp;"|"&amp;$B300&amp;"|"&amp;$G300,'Ocorrências'!$X$5:$X$604,"Sim"))</f>
        <v/>
      </c>
      <c r="V300" s="14">
        <f>IF($P300="","",IF(OR($P300=1,$P300=2,$P300=5),IF($U300&gt;0,"OK","SEM LASTRO"),"OK"))</f>
        <v/>
      </c>
      <c r="W300" s="19" t="n"/>
      <c r="X300" s="18" t="n"/>
      <c r="Y300" s="14">
        <f>IF($C300="","",$C300&amp;"|"&amp;$B300)</f>
        <v/>
      </c>
      <c r="Z300" s="14">
        <f>IF($C300="","",$C300&amp;"|"&amp;$B300&amp;"|"&amp;$H300)</f>
        <v/>
      </c>
      <c r="AA300" s="14">
        <f>IF($C300="","",$C300&amp;"|"&amp;$B300&amp;"|"&amp;$G300)</f>
        <v/>
      </c>
    </row>
    <row r="301">
      <c r="A301" s="19" t="n"/>
      <c r="B301" s="14">
        <f>IF($A301="","",VALUE(LEFT($A301,4))*4+VALUE(RIGHT($A301,1)))</f>
        <v/>
      </c>
      <c r="C301" s="19" t="n"/>
      <c r="D301" s="14">
        <f>IFERROR(INDEX(Pessoas!$B$5:$B$64,MATCH($C301,Pessoas!$A$5:$A$64,0)),"")</f>
        <v/>
      </c>
      <c r="E301" s="19" t="n"/>
      <c r="F301" s="14">
        <f>IFERROR(INDEX(Pessoas!$D$5:$D$64,MATCH($C301,Pessoas!$A$5:$A$64,0)),"")</f>
        <v/>
      </c>
      <c r="G301" s="19" t="n"/>
      <c r="H301" s="14">
        <f>IFERROR(INDEX(Config!$B$40:$B$45,MATCH($G301,Config!$C$40:$C$45,0)),"")</f>
        <v/>
      </c>
      <c r="I301" s="14">
        <f>IFERROR(INDEX(Config!$D$40:$D$45,MATCH($G301,Config!$C$40:$C$45,0)),"")</f>
        <v/>
      </c>
      <c r="J301" s="19" t="n"/>
      <c r="K301" s="19" t="n"/>
      <c r="L301" s="19" t="n"/>
      <c r="M301" s="19" t="n"/>
      <c r="N301" s="14">
        <f>IF(AND(ISNUMBER($J301),ISNUMBER($K301)),ABS($J301-$K301),"")</f>
        <v/>
      </c>
      <c r="O301" s="14">
        <f>IF(AND(NOT(ISNUMBER($J301)),NOT(ISNUMBER($K301))),"",IF(NOT(ISNUMBER($K301)),$J301,IF(NOT(ISNUMBER($J301)),$K301,IF($N301=0,$J301,IF(AND($N301=1,$T301&lt;&gt;"Sim"),IF($I301="Líder Técnico",$K301,IF($I301="GP",$J301,"CALIBRAR")),"CALIBRAR")))))</f>
        <v/>
      </c>
      <c r="P301" s="19" t="n"/>
      <c r="Q301" s="19" t="n"/>
      <c r="R301" s="14">
        <f>IF($P301="","",IF(AND(ISNUMBER($J301),$P301=$J301,ISNUMBER($K301),$P301=$K301),"= ambos",IF(AND(ISNUMBER($J301),$P301=$J301),"= GP",IF(AND(ISNUMBER($K301),$P301=$K301),"= LT","nenhuma das duas"))))</f>
        <v/>
      </c>
      <c r="S301" s="19" t="n"/>
      <c r="T301" s="19" t="n"/>
      <c r="U301" s="14">
        <f>IF($C301="","",COUNTIFS('Ocorrências'!$V$5:$V$604,$C301&amp;"|"&amp;$B301&amp;"|"&amp;$G301,'Ocorrências'!$X$5:$X$604,"Sim"))</f>
        <v/>
      </c>
      <c r="V301" s="14">
        <f>IF($P301="","",IF(OR($P301=1,$P301=2,$P301=5),IF($U301&gt;0,"OK","SEM LASTRO"),"OK"))</f>
        <v/>
      </c>
      <c r="W301" s="19" t="n"/>
      <c r="X301" s="18" t="n"/>
      <c r="Y301" s="14">
        <f>IF($C301="","",$C301&amp;"|"&amp;$B301)</f>
        <v/>
      </c>
      <c r="Z301" s="14">
        <f>IF($C301="","",$C301&amp;"|"&amp;$B301&amp;"|"&amp;$H301)</f>
        <v/>
      </c>
      <c r="AA301" s="14">
        <f>IF($C301="","",$C301&amp;"|"&amp;$B301&amp;"|"&amp;$G301)</f>
        <v/>
      </c>
    </row>
    <row r="302">
      <c r="A302" s="19" t="n"/>
      <c r="B302" s="14">
        <f>IF($A302="","",VALUE(LEFT($A302,4))*4+VALUE(RIGHT($A302,1)))</f>
        <v/>
      </c>
      <c r="C302" s="19" t="n"/>
      <c r="D302" s="14">
        <f>IFERROR(INDEX(Pessoas!$B$5:$B$64,MATCH($C302,Pessoas!$A$5:$A$64,0)),"")</f>
        <v/>
      </c>
      <c r="E302" s="19" t="n"/>
      <c r="F302" s="14">
        <f>IFERROR(INDEX(Pessoas!$D$5:$D$64,MATCH($C302,Pessoas!$A$5:$A$64,0)),"")</f>
        <v/>
      </c>
      <c r="G302" s="19" t="n"/>
      <c r="H302" s="14">
        <f>IFERROR(INDEX(Config!$B$40:$B$45,MATCH($G302,Config!$C$40:$C$45,0)),"")</f>
        <v/>
      </c>
      <c r="I302" s="14">
        <f>IFERROR(INDEX(Config!$D$40:$D$45,MATCH($G302,Config!$C$40:$C$45,0)),"")</f>
        <v/>
      </c>
      <c r="J302" s="19" t="n"/>
      <c r="K302" s="19" t="n"/>
      <c r="L302" s="19" t="n"/>
      <c r="M302" s="19" t="n"/>
      <c r="N302" s="14">
        <f>IF(AND(ISNUMBER($J302),ISNUMBER($K302)),ABS($J302-$K302),"")</f>
        <v/>
      </c>
      <c r="O302" s="14">
        <f>IF(AND(NOT(ISNUMBER($J302)),NOT(ISNUMBER($K302))),"",IF(NOT(ISNUMBER($K302)),$J302,IF(NOT(ISNUMBER($J302)),$K302,IF($N302=0,$J302,IF(AND($N302=1,$T302&lt;&gt;"Sim"),IF($I302="Líder Técnico",$K302,IF($I302="GP",$J302,"CALIBRAR")),"CALIBRAR")))))</f>
        <v/>
      </c>
      <c r="P302" s="19" t="n"/>
      <c r="Q302" s="19" t="n"/>
      <c r="R302" s="14">
        <f>IF($P302="","",IF(AND(ISNUMBER($J302),$P302=$J302,ISNUMBER($K302),$P302=$K302),"= ambos",IF(AND(ISNUMBER($J302),$P302=$J302),"= GP",IF(AND(ISNUMBER($K302),$P302=$K302),"= LT","nenhuma das duas"))))</f>
        <v/>
      </c>
      <c r="S302" s="19" t="n"/>
      <c r="T302" s="19" t="n"/>
      <c r="U302" s="14">
        <f>IF($C302="","",COUNTIFS('Ocorrências'!$V$5:$V$604,$C302&amp;"|"&amp;$B302&amp;"|"&amp;$G302,'Ocorrências'!$X$5:$X$604,"Sim"))</f>
        <v/>
      </c>
      <c r="V302" s="14">
        <f>IF($P302="","",IF(OR($P302=1,$P302=2,$P302=5),IF($U302&gt;0,"OK","SEM LASTRO"),"OK"))</f>
        <v/>
      </c>
      <c r="W302" s="19" t="n"/>
      <c r="X302" s="18" t="n"/>
      <c r="Y302" s="14">
        <f>IF($C302="","",$C302&amp;"|"&amp;$B302)</f>
        <v/>
      </c>
      <c r="Z302" s="14">
        <f>IF($C302="","",$C302&amp;"|"&amp;$B302&amp;"|"&amp;$H302)</f>
        <v/>
      </c>
      <c r="AA302" s="14">
        <f>IF($C302="","",$C302&amp;"|"&amp;$B302&amp;"|"&amp;$G302)</f>
        <v/>
      </c>
    </row>
    <row r="303">
      <c r="A303" s="19" t="n"/>
      <c r="B303" s="14">
        <f>IF($A303="","",VALUE(LEFT($A303,4))*4+VALUE(RIGHT($A303,1)))</f>
        <v/>
      </c>
      <c r="C303" s="19" t="n"/>
      <c r="D303" s="14">
        <f>IFERROR(INDEX(Pessoas!$B$5:$B$64,MATCH($C303,Pessoas!$A$5:$A$64,0)),"")</f>
        <v/>
      </c>
      <c r="E303" s="19" t="n"/>
      <c r="F303" s="14">
        <f>IFERROR(INDEX(Pessoas!$D$5:$D$64,MATCH($C303,Pessoas!$A$5:$A$64,0)),"")</f>
        <v/>
      </c>
      <c r="G303" s="19" t="n"/>
      <c r="H303" s="14">
        <f>IFERROR(INDEX(Config!$B$40:$B$45,MATCH($G303,Config!$C$40:$C$45,0)),"")</f>
        <v/>
      </c>
      <c r="I303" s="14">
        <f>IFERROR(INDEX(Config!$D$40:$D$45,MATCH($G303,Config!$C$40:$C$45,0)),"")</f>
        <v/>
      </c>
      <c r="J303" s="19" t="n"/>
      <c r="K303" s="19" t="n"/>
      <c r="L303" s="19" t="n"/>
      <c r="M303" s="19" t="n"/>
      <c r="N303" s="14">
        <f>IF(AND(ISNUMBER($J303),ISNUMBER($K303)),ABS($J303-$K303),"")</f>
        <v/>
      </c>
      <c r="O303" s="14">
        <f>IF(AND(NOT(ISNUMBER($J303)),NOT(ISNUMBER($K303))),"",IF(NOT(ISNUMBER($K303)),$J303,IF(NOT(ISNUMBER($J303)),$K303,IF($N303=0,$J303,IF(AND($N303=1,$T303&lt;&gt;"Sim"),IF($I303="Líder Técnico",$K303,IF($I303="GP",$J303,"CALIBRAR")),"CALIBRAR")))))</f>
        <v/>
      </c>
      <c r="P303" s="19" t="n"/>
      <c r="Q303" s="19" t="n"/>
      <c r="R303" s="14">
        <f>IF($P303="","",IF(AND(ISNUMBER($J303),$P303=$J303,ISNUMBER($K303),$P303=$K303),"= ambos",IF(AND(ISNUMBER($J303),$P303=$J303),"= GP",IF(AND(ISNUMBER($K303),$P303=$K303),"= LT","nenhuma das duas"))))</f>
        <v/>
      </c>
      <c r="S303" s="19" t="n"/>
      <c r="T303" s="19" t="n"/>
      <c r="U303" s="14">
        <f>IF($C303="","",COUNTIFS('Ocorrências'!$V$5:$V$604,$C303&amp;"|"&amp;$B303&amp;"|"&amp;$G303,'Ocorrências'!$X$5:$X$604,"Sim"))</f>
        <v/>
      </c>
      <c r="V303" s="14">
        <f>IF($P303="","",IF(OR($P303=1,$P303=2,$P303=5),IF($U303&gt;0,"OK","SEM LASTRO"),"OK"))</f>
        <v/>
      </c>
      <c r="W303" s="19" t="n"/>
      <c r="X303" s="18" t="n"/>
      <c r="Y303" s="14">
        <f>IF($C303="","",$C303&amp;"|"&amp;$B303)</f>
        <v/>
      </c>
      <c r="Z303" s="14">
        <f>IF($C303="","",$C303&amp;"|"&amp;$B303&amp;"|"&amp;$H303)</f>
        <v/>
      </c>
      <c r="AA303" s="14">
        <f>IF($C303="","",$C303&amp;"|"&amp;$B303&amp;"|"&amp;$G303)</f>
        <v/>
      </c>
    </row>
    <row r="304">
      <c r="A304" s="19" t="n"/>
      <c r="B304" s="14">
        <f>IF($A304="","",VALUE(LEFT($A304,4))*4+VALUE(RIGHT($A304,1)))</f>
        <v/>
      </c>
      <c r="C304" s="19" t="n"/>
      <c r="D304" s="14">
        <f>IFERROR(INDEX(Pessoas!$B$5:$B$64,MATCH($C304,Pessoas!$A$5:$A$64,0)),"")</f>
        <v/>
      </c>
      <c r="E304" s="19" t="n"/>
      <c r="F304" s="14">
        <f>IFERROR(INDEX(Pessoas!$D$5:$D$64,MATCH($C304,Pessoas!$A$5:$A$64,0)),"")</f>
        <v/>
      </c>
      <c r="G304" s="19" t="n"/>
      <c r="H304" s="14">
        <f>IFERROR(INDEX(Config!$B$40:$B$45,MATCH($G304,Config!$C$40:$C$45,0)),"")</f>
        <v/>
      </c>
      <c r="I304" s="14">
        <f>IFERROR(INDEX(Config!$D$40:$D$45,MATCH($G304,Config!$C$40:$C$45,0)),"")</f>
        <v/>
      </c>
      <c r="J304" s="19" t="n"/>
      <c r="K304" s="19" t="n"/>
      <c r="L304" s="19" t="n"/>
      <c r="M304" s="19" t="n"/>
      <c r="N304" s="14">
        <f>IF(AND(ISNUMBER($J304),ISNUMBER($K304)),ABS($J304-$K304),"")</f>
        <v/>
      </c>
      <c r="O304" s="14">
        <f>IF(AND(NOT(ISNUMBER($J304)),NOT(ISNUMBER($K304))),"",IF(NOT(ISNUMBER($K304)),$J304,IF(NOT(ISNUMBER($J304)),$K304,IF($N304=0,$J304,IF(AND($N304=1,$T304&lt;&gt;"Sim"),IF($I304="Líder Técnico",$K304,IF($I304="GP",$J304,"CALIBRAR")),"CALIBRAR")))))</f>
        <v/>
      </c>
      <c r="P304" s="19" t="n"/>
      <c r="Q304" s="19" t="n"/>
      <c r="R304" s="14">
        <f>IF($P304="","",IF(AND(ISNUMBER($J304),$P304=$J304,ISNUMBER($K304),$P304=$K304),"= ambos",IF(AND(ISNUMBER($J304),$P304=$J304),"= GP",IF(AND(ISNUMBER($K304),$P304=$K304),"= LT","nenhuma das duas"))))</f>
        <v/>
      </c>
      <c r="S304" s="19" t="n"/>
      <c r="T304" s="19" t="n"/>
      <c r="U304" s="14">
        <f>IF($C304="","",COUNTIFS('Ocorrências'!$V$5:$V$604,$C304&amp;"|"&amp;$B304&amp;"|"&amp;$G304,'Ocorrências'!$X$5:$X$604,"Sim"))</f>
        <v/>
      </c>
      <c r="V304" s="14">
        <f>IF($P304="","",IF(OR($P304=1,$P304=2,$P304=5),IF($U304&gt;0,"OK","SEM LASTRO"),"OK"))</f>
        <v/>
      </c>
      <c r="W304" s="19" t="n"/>
      <c r="X304" s="18" t="n"/>
      <c r="Y304" s="14">
        <f>IF($C304="","",$C304&amp;"|"&amp;$B304)</f>
        <v/>
      </c>
      <c r="Z304" s="14">
        <f>IF($C304="","",$C304&amp;"|"&amp;$B304&amp;"|"&amp;$H304)</f>
        <v/>
      </c>
      <c r="AA304" s="14">
        <f>IF($C304="","",$C304&amp;"|"&amp;$B304&amp;"|"&amp;$G304)</f>
        <v/>
      </c>
    </row>
    <row r="305">
      <c r="A305" s="19" t="n"/>
      <c r="B305" s="14">
        <f>IF($A305="","",VALUE(LEFT($A305,4))*4+VALUE(RIGHT($A305,1)))</f>
        <v/>
      </c>
      <c r="C305" s="19" t="n"/>
      <c r="D305" s="14">
        <f>IFERROR(INDEX(Pessoas!$B$5:$B$64,MATCH($C305,Pessoas!$A$5:$A$64,0)),"")</f>
        <v/>
      </c>
      <c r="E305" s="19" t="n"/>
      <c r="F305" s="14">
        <f>IFERROR(INDEX(Pessoas!$D$5:$D$64,MATCH($C305,Pessoas!$A$5:$A$64,0)),"")</f>
        <v/>
      </c>
      <c r="G305" s="19" t="n"/>
      <c r="H305" s="14">
        <f>IFERROR(INDEX(Config!$B$40:$B$45,MATCH($G305,Config!$C$40:$C$45,0)),"")</f>
        <v/>
      </c>
      <c r="I305" s="14">
        <f>IFERROR(INDEX(Config!$D$40:$D$45,MATCH($G305,Config!$C$40:$C$45,0)),"")</f>
        <v/>
      </c>
      <c r="J305" s="19" t="n"/>
      <c r="K305" s="19" t="n"/>
      <c r="L305" s="19" t="n"/>
      <c r="M305" s="19" t="n"/>
      <c r="N305" s="14">
        <f>IF(AND(ISNUMBER($J305),ISNUMBER($K305)),ABS($J305-$K305),"")</f>
        <v/>
      </c>
      <c r="O305" s="14">
        <f>IF(AND(NOT(ISNUMBER($J305)),NOT(ISNUMBER($K305))),"",IF(NOT(ISNUMBER($K305)),$J305,IF(NOT(ISNUMBER($J305)),$K305,IF($N305=0,$J305,IF(AND($N305=1,$T305&lt;&gt;"Sim"),IF($I305="Líder Técnico",$K305,IF($I305="GP",$J305,"CALIBRAR")),"CALIBRAR")))))</f>
        <v/>
      </c>
      <c r="P305" s="19" t="n"/>
      <c r="Q305" s="19" t="n"/>
      <c r="R305" s="14">
        <f>IF($P305="","",IF(AND(ISNUMBER($J305),$P305=$J305,ISNUMBER($K305),$P305=$K305),"= ambos",IF(AND(ISNUMBER($J305),$P305=$J305),"= GP",IF(AND(ISNUMBER($K305),$P305=$K305),"= LT","nenhuma das duas"))))</f>
        <v/>
      </c>
      <c r="S305" s="19" t="n"/>
      <c r="T305" s="19" t="n"/>
      <c r="U305" s="14">
        <f>IF($C305="","",COUNTIFS('Ocorrências'!$V$5:$V$604,$C305&amp;"|"&amp;$B305&amp;"|"&amp;$G305,'Ocorrências'!$X$5:$X$604,"Sim"))</f>
        <v/>
      </c>
      <c r="V305" s="14">
        <f>IF($P305="","",IF(OR($P305=1,$P305=2,$P305=5),IF($U305&gt;0,"OK","SEM LASTRO"),"OK"))</f>
        <v/>
      </c>
      <c r="W305" s="19" t="n"/>
      <c r="X305" s="18" t="n"/>
      <c r="Y305" s="14">
        <f>IF($C305="","",$C305&amp;"|"&amp;$B305)</f>
        <v/>
      </c>
      <c r="Z305" s="14">
        <f>IF($C305="","",$C305&amp;"|"&amp;$B305&amp;"|"&amp;$H305)</f>
        <v/>
      </c>
      <c r="AA305" s="14">
        <f>IF($C305="","",$C305&amp;"|"&amp;$B305&amp;"|"&amp;$G305)</f>
        <v/>
      </c>
    </row>
    <row r="306">
      <c r="A306" s="19" t="n"/>
      <c r="B306" s="14">
        <f>IF($A306="","",VALUE(LEFT($A306,4))*4+VALUE(RIGHT($A306,1)))</f>
        <v/>
      </c>
      <c r="C306" s="19" t="n"/>
      <c r="D306" s="14">
        <f>IFERROR(INDEX(Pessoas!$B$5:$B$64,MATCH($C306,Pessoas!$A$5:$A$64,0)),"")</f>
        <v/>
      </c>
      <c r="E306" s="19" t="n"/>
      <c r="F306" s="14">
        <f>IFERROR(INDEX(Pessoas!$D$5:$D$64,MATCH($C306,Pessoas!$A$5:$A$64,0)),"")</f>
        <v/>
      </c>
      <c r="G306" s="19" t="n"/>
      <c r="H306" s="14">
        <f>IFERROR(INDEX(Config!$B$40:$B$45,MATCH($G306,Config!$C$40:$C$45,0)),"")</f>
        <v/>
      </c>
      <c r="I306" s="14">
        <f>IFERROR(INDEX(Config!$D$40:$D$45,MATCH($G306,Config!$C$40:$C$45,0)),"")</f>
        <v/>
      </c>
      <c r="J306" s="19" t="n"/>
      <c r="K306" s="19" t="n"/>
      <c r="L306" s="19" t="n"/>
      <c r="M306" s="19" t="n"/>
      <c r="N306" s="14">
        <f>IF(AND(ISNUMBER($J306),ISNUMBER($K306)),ABS($J306-$K306),"")</f>
        <v/>
      </c>
      <c r="O306" s="14">
        <f>IF(AND(NOT(ISNUMBER($J306)),NOT(ISNUMBER($K306))),"",IF(NOT(ISNUMBER($K306)),$J306,IF(NOT(ISNUMBER($J306)),$K306,IF($N306=0,$J306,IF(AND($N306=1,$T306&lt;&gt;"Sim"),IF($I306="Líder Técnico",$K306,IF($I306="GP",$J306,"CALIBRAR")),"CALIBRAR")))))</f>
        <v/>
      </c>
      <c r="P306" s="19" t="n"/>
      <c r="Q306" s="19" t="n"/>
      <c r="R306" s="14">
        <f>IF($P306="","",IF(AND(ISNUMBER($J306),$P306=$J306,ISNUMBER($K306),$P306=$K306),"= ambos",IF(AND(ISNUMBER($J306),$P306=$J306),"= GP",IF(AND(ISNUMBER($K306),$P306=$K306),"= LT","nenhuma das duas"))))</f>
        <v/>
      </c>
      <c r="S306" s="19" t="n"/>
      <c r="T306" s="19" t="n"/>
      <c r="U306" s="14">
        <f>IF($C306="","",COUNTIFS('Ocorrências'!$V$5:$V$604,$C306&amp;"|"&amp;$B306&amp;"|"&amp;$G306,'Ocorrências'!$X$5:$X$604,"Sim"))</f>
        <v/>
      </c>
      <c r="V306" s="14">
        <f>IF($P306="","",IF(OR($P306=1,$P306=2,$P306=5),IF($U306&gt;0,"OK","SEM LASTRO"),"OK"))</f>
        <v/>
      </c>
      <c r="W306" s="19" t="n"/>
      <c r="X306" s="18" t="n"/>
      <c r="Y306" s="14">
        <f>IF($C306="","",$C306&amp;"|"&amp;$B306)</f>
        <v/>
      </c>
      <c r="Z306" s="14">
        <f>IF($C306="","",$C306&amp;"|"&amp;$B306&amp;"|"&amp;$H306)</f>
        <v/>
      </c>
      <c r="AA306" s="14">
        <f>IF($C306="","",$C306&amp;"|"&amp;$B306&amp;"|"&amp;$G306)</f>
        <v/>
      </c>
    </row>
    <row r="307">
      <c r="A307" s="19" t="n"/>
      <c r="B307" s="14">
        <f>IF($A307="","",VALUE(LEFT($A307,4))*4+VALUE(RIGHT($A307,1)))</f>
        <v/>
      </c>
      <c r="C307" s="19" t="n"/>
      <c r="D307" s="14">
        <f>IFERROR(INDEX(Pessoas!$B$5:$B$64,MATCH($C307,Pessoas!$A$5:$A$64,0)),"")</f>
        <v/>
      </c>
      <c r="E307" s="19" t="n"/>
      <c r="F307" s="14">
        <f>IFERROR(INDEX(Pessoas!$D$5:$D$64,MATCH($C307,Pessoas!$A$5:$A$64,0)),"")</f>
        <v/>
      </c>
      <c r="G307" s="19" t="n"/>
      <c r="H307" s="14">
        <f>IFERROR(INDEX(Config!$B$40:$B$45,MATCH($G307,Config!$C$40:$C$45,0)),"")</f>
        <v/>
      </c>
      <c r="I307" s="14">
        <f>IFERROR(INDEX(Config!$D$40:$D$45,MATCH($G307,Config!$C$40:$C$45,0)),"")</f>
        <v/>
      </c>
      <c r="J307" s="19" t="n"/>
      <c r="K307" s="19" t="n"/>
      <c r="L307" s="19" t="n"/>
      <c r="M307" s="19" t="n"/>
      <c r="N307" s="14">
        <f>IF(AND(ISNUMBER($J307),ISNUMBER($K307)),ABS($J307-$K307),"")</f>
        <v/>
      </c>
      <c r="O307" s="14">
        <f>IF(AND(NOT(ISNUMBER($J307)),NOT(ISNUMBER($K307))),"",IF(NOT(ISNUMBER($K307)),$J307,IF(NOT(ISNUMBER($J307)),$K307,IF($N307=0,$J307,IF(AND($N307=1,$T307&lt;&gt;"Sim"),IF($I307="Líder Técnico",$K307,IF($I307="GP",$J307,"CALIBRAR")),"CALIBRAR")))))</f>
        <v/>
      </c>
      <c r="P307" s="19" t="n"/>
      <c r="Q307" s="19" t="n"/>
      <c r="R307" s="14">
        <f>IF($P307="","",IF(AND(ISNUMBER($J307),$P307=$J307,ISNUMBER($K307),$P307=$K307),"= ambos",IF(AND(ISNUMBER($J307),$P307=$J307),"= GP",IF(AND(ISNUMBER($K307),$P307=$K307),"= LT","nenhuma das duas"))))</f>
        <v/>
      </c>
      <c r="S307" s="19" t="n"/>
      <c r="T307" s="19" t="n"/>
      <c r="U307" s="14">
        <f>IF($C307="","",COUNTIFS('Ocorrências'!$V$5:$V$604,$C307&amp;"|"&amp;$B307&amp;"|"&amp;$G307,'Ocorrências'!$X$5:$X$604,"Sim"))</f>
        <v/>
      </c>
      <c r="V307" s="14">
        <f>IF($P307="","",IF(OR($P307=1,$P307=2,$P307=5),IF($U307&gt;0,"OK","SEM LASTRO"),"OK"))</f>
        <v/>
      </c>
      <c r="W307" s="19" t="n"/>
      <c r="X307" s="18" t="n"/>
      <c r="Y307" s="14">
        <f>IF($C307="","",$C307&amp;"|"&amp;$B307)</f>
        <v/>
      </c>
      <c r="Z307" s="14">
        <f>IF($C307="","",$C307&amp;"|"&amp;$B307&amp;"|"&amp;$H307)</f>
        <v/>
      </c>
      <c r="AA307" s="14">
        <f>IF($C307="","",$C307&amp;"|"&amp;$B307&amp;"|"&amp;$G307)</f>
        <v/>
      </c>
    </row>
    <row r="308">
      <c r="A308" s="19" t="n"/>
      <c r="B308" s="14">
        <f>IF($A308="","",VALUE(LEFT($A308,4))*4+VALUE(RIGHT($A308,1)))</f>
        <v/>
      </c>
      <c r="C308" s="19" t="n"/>
      <c r="D308" s="14">
        <f>IFERROR(INDEX(Pessoas!$B$5:$B$64,MATCH($C308,Pessoas!$A$5:$A$64,0)),"")</f>
        <v/>
      </c>
      <c r="E308" s="19" t="n"/>
      <c r="F308" s="14">
        <f>IFERROR(INDEX(Pessoas!$D$5:$D$64,MATCH($C308,Pessoas!$A$5:$A$64,0)),"")</f>
        <v/>
      </c>
      <c r="G308" s="19" t="n"/>
      <c r="H308" s="14">
        <f>IFERROR(INDEX(Config!$B$40:$B$45,MATCH($G308,Config!$C$40:$C$45,0)),"")</f>
        <v/>
      </c>
      <c r="I308" s="14">
        <f>IFERROR(INDEX(Config!$D$40:$D$45,MATCH($G308,Config!$C$40:$C$45,0)),"")</f>
        <v/>
      </c>
      <c r="J308" s="19" t="n"/>
      <c r="K308" s="19" t="n"/>
      <c r="L308" s="19" t="n"/>
      <c r="M308" s="19" t="n"/>
      <c r="N308" s="14">
        <f>IF(AND(ISNUMBER($J308),ISNUMBER($K308)),ABS($J308-$K308),"")</f>
        <v/>
      </c>
      <c r="O308" s="14">
        <f>IF(AND(NOT(ISNUMBER($J308)),NOT(ISNUMBER($K308))),"",IF(NOT(ISNUMBER($K308)),$J308,IF(NOT(ISNUMBER($J308)),$K308,IF($N308=0,$J308,IF(AND($N308=1,$T308&lt;&gt;"Sim"),IF($I308="Líder Técnico",$K308,IF($I308="GP",$J308,"CALIBRAR")),"CALIBRAR")))))</f>
        <v/>
      </c>
      <c r="P308" s="19" t="n"/>
      <c r="Q308" s="19" t="n"/>
      <c r="R308" s="14">
        <f>IF($P308="","",IF(AND(ISNUMBER($J308),$P308=$J308,ISNUMBER($K308),$P308=$K308),"= ambos",IF(AND(ISNUMBER($J308),$P308=$J308),"= GP",IF(AND(ISNUMBER($K308),$P308=$K308),"= LT","nenhuma das duas"))))</f>
        <v/>
      </c>
      <c r="S308" s="19" t="n"/>
      <c r="T308" s="19" t="n"/>
      <c r="U308" s="14">
        <f>IF($C308="","",COUNTIFS('Ocorrências'!$V$5:$V$604,$C308&amp;"|"&amp;$B308&amp;"|"&amp;$G308,'Ocorrências'!$X$5:$X$604,"Sim"))</f>
        <v/>
      </c>
      <c r="V308" s="14">
        <f>IF($P308="","",IF(OR($P308=1,$P308=2,$P308=5),IF($U308&gt;0,"OK","SEM LASTRO"),"OK"))</f>
        <v/>
      </c>
      <c r="W308" s="19" t="n"/>
      <c r="X308" s="18" t="n"/>
      <c r="Y308" s="14">
        <f>IF($C308="","",$C308&amp;"|"&amp;$B308)</f>
        <v/>
      </c>
      <c r="Z308" s="14">
        <f>IF($C308="","",$C308&amp;"|"&amp;$B308&amp;"|"&amp;$H308)</f>
        <v/>
      </c>
      <c r="AA308" s="14">
        <f>IF($C308="","",$C308&amp;"|"&amp;$B308&amp;"|"&amp;$G308)</f>
        <v/>
      </c>
    </row>
    <row r="309">
      <c r="A309" s="19" t="n"/>
      <c r="B309" s="14">
        <f>IF($A309="","",VALUE(LEFT($A309,4))*4+VALUE(RIGHT($A309,1)))</f>
        <v/>
      </c>
      <c r="C309" s="19" t="n"/>
      <c r="D309" s="14">
        <f>IFERROR(INDEX(Pessoas!$B$5:$B$64,MATCH($C309,Pessoas!$A$5:$A$64,0)),"")</f>
        <v/>
      </c>
      <c r="E309" s="19" t="n"/>
      <c r="F309" s="14">
        <f>IFERROR(INDEX(Pessoas!$D$5:$D$64,MATCH($C309,Pessoas!$A$5:$A$64,0)),"")</f>
        <v/>
      </c>
      <c r="G309" s="19" t="n"/>
      <c r="H309" s="14">
        <f>IFERROR(INDEX(Config!$B$40:$B$45,MATCH($G309,Config!$C$40:$C$45,0)),"")</f>
        <v/>
      </c>
      <c r="I309" s="14">
        <f>IFERROR(INDEX(Config!$D$40:$D$45,MATCH($G309,Config!$C$40:$C$45,0)),"")</f>
        <v/>
      </c>
      <c r="J309" s="19" t="n"/>
      <c r="K309" s="19" t="n"/>
      <c r="L309" s="19" t="n"/>
      <c r="M309" s="19" t="n"/>
      <c r="N309" s="14">
        <f>IF(AND(ISNUMBER($J309),ISNUMBER($K309)),ABS($J309-$K309),"")</f>
        <v/>
      </c>
      <c r="O309" s="14">
        <f>IF(AND(NOT(ISNUMBER($J309)),NOT(ISNUMBER($K309))),"",IF(NOT(ISNUMBER($K309)),$J309,IF(NOT(ISNUMBER($J309)),$K309,IF($N309=0,$J309,IF(AND($N309=1,$T309&lt;&gt;"Sim"),IF($I309="Líder Técnico",$K309,IF($I309="GP",$J309,"CALIBRAR")),"CALIBRAR")))))</f>
        <v/>
      </c>
      <c r="P309" s="19" t="n"/>
      <c r="Q309" s="19" t="n"/>
      <c r="R309" s="14">
        <f>IF($P309="","",IF(AND(ISNUMBER($J309),$P309=$J309,ISNUMBER($K309),$P309=$K309),"= ambos",IF(AND(ISNUMBER($J309),$P309=$J309),"= GP",IF(AND(ISNUMBER($K309),$P309=$K309),"= LT","nenhuma das duas"))))</f>
        <v/>
      </c>
      <c r="S309" s="19" t="n"/>
      <c r="T309" s="19" t="n"/>
      <c r="U309" s="14">
        <f>IF($C309="","",COUNTIFS('Ocorrências'!$V$5:$V$604,$C309&amp;"|"&amp;$B309&amp;"|"&amp;$G309,'Ocorrências'!$X$5:$X$604,"Sim"))</f>
        <v/>
      </c>
      <c r="V309" s="14">
        <f>IF($P309="","",IF(OR($P309=1,$P309=2,$P309=5),IF($U309&gt;0,"OK","SEM LASTRO"),"OK"))</f>
        <v/>
      </c>
      <c r="W309" s="19" t="n"/>
      <c r="X309" s="18" t="n"/>
      <c r="Y309" s="14">
        <f>IF($C309="","",$C309&amp;"|"&amp;$B309)</f>
        <v/>
      </c>
      <c r="Z309" s="14">
        <f>IF($C309="","",$C309&amp;"|"&amp;$B309&amp;"|"&amp;$H309)</f>
        <v/>
      </c>
      <c r="AA309" s="14">
        <f>IF($C309="","",$C309&amp;"|"&amp;$B309&amp;"|"&amp;$G309)</f>
        <v/>
      </c>
    </row>
    <row r="310">
      <c r="A310" s="19" t="n"/>
      <c r="B310" s="14">
        <f>IF($A310="","",VALUE(LEFT($A310,4))*4+VALUE(RIGHT($A310,1)))</f>
        <v/>
      </c>
      <c r="C310" s="19" t="n"/>
      <c r="D310" s="14">
        <f>IFERROR(INDEX(Pessoas!$B$5:$B$64,MATCH($C310,Pessoas!$A$5:$A$64,0)),"")</f>
        <v/>
      </c>
      <c r="E310" s="19" t="n"/>
      <c r="F310" s="14">
        <f>IFERROR(INDEX(Pessoas!$D$5:$D$64,MATCH($C310,Pessoas!$A$5:$A$64,0)),"")</f>
        <v/>
      </c>
      <c r="G310" s="19" t="n"/>
      <c r="H310" s="14">
        <f>IFERROR(INDEX(Config!$B$40:$B$45,MATCH($G310,Config!$C$40:$C$45,0)),"")</f>
        <v/>
      </c>
      <c r="I310" s="14">
        <f>IFERROR(INDEX(Config!$D$40:$D$45,MATCH($G310,Config!$C$40:$C$45,0)),"")</f>
        <v/>
      </c>
      <c r="J310" s="19" t="n"/>
      <c r="K310" s="19" t="n"/>
      <c r="L310" s="19" t="n"/>
      <c r="M310" s="19" t="n"/>
      <c r="N310" s="14">
        <f>IF(AND(ISNUMBER($J310),ISNUMBER($K310)),ABS($J310-$K310),"")</f>
        <v/>
      </c>
      <c r="O310" s="14">
        <f>IF(AND(NOT(ISNUMBER($J310)),NOT(ISNUMBER($K310))),"",IF(NOT(ISNUMBER($K310)),$J310,IF(NOT(ISNUMBER($J310)),$K310,IF($N310=0,$J310,IF(AND($N310=1,$T310&lt;&gt;"Sim"),IF($I310="Líder Técnico",$K310,IF($I310="GP",$J310,"CALIBRAR")),"CALIBRAR")))))</f>
        <v/>
      </c>
      <c r="P310" s="19" t="n"/>
      <c r="Q310" s="19" t="n"/>
      <c r="R310" s="14">
        <f>IF($P310="","",IF(AND(ISNUMBER($J310),$P310=$J310,ISNUMBER($K310),$P310=$K310),"= ambos",IF(AND(ISNUMBER($J310),$P310=$J310),"= GP",IF(AND(ISNUMBER($K310),$P310=$K310),"= LT","nenhuma das duas"))))</f>
        <v/>
      </c>
      <c r="S310" s="19" t="n"/>
      <c r="T310" s="19" t="n"/>
      <c r="U310" s="14">
        <f>IF($C310="","",COUNTIFS('Ocorrências'!$V$5:$V$604,$C310&amp;"|"&amp;$B310&amp;"|"&amp;$G310,'Ocorrências'!$X$5:$X$604,"Sim"))</f>
        <v/>
      </c>
      <c r="V310" s="14">
        <f>IF($P310="","",IF(OR($P310=1,$P310=2,$P310=5),IF($U310&gt;0,"OK","SEM LASTRO"),"OK"))</f>
        <v/>
      </c>
      <c r="W310" s="19" t="n"/>
      <c r="X310" s="18" t="n"/>
      <c r="Y310" s="14">
        <f>IF($C310="","",$C310&amp;"|"&amp;$B310)</f>
        <v/>
      </c>
      <c r="Z310" s="14">
        <f>IF($C310="","",$C310&amp;"|"&amp;$B310&amp;"|"&amp;$H310)</f>
        <v/>
      </c>
      <c r="AA310" s="14">
        <f>IF($C310="","",$C310&amp;"|"&amp;$B310&amp;"|"&amp;$G310)</f>
        <v/>
      </c>
    </row>
    <row r="311">
      <c r="A311" s="19" t="n"/>
      <c r="B311" s="14">
        <f>IF($A311="","",VALUE(LEFT($A311,4))*4+VALUE(RIGHT($A311,1)))</f>
        <v/>
      </c>
      <c r="C311" s="19" t="n"/>
      <c r="D311" s="14">
        <f>IFERROR(INDEX(Pessoas!$B$5:$B$64,MATCH($C311,Pessoas!$A$5:$A$64,0)),"")</f>
        <v/>
      </c>
      <c r="E311" s="19" t="n"/>
      <c r="F311" s="14">
        <f>IFERROR(INDEX(Pessoas!$D$5:$D$64,MATCH($C311,Pessoas!$A$5:$A$64,0)),"")</f>
        <v/>
      </c>
      <c r="G311" s="19" t="n"/>
      <c r="H311" s="14">
        <f>IFERROR(INDEX(Config!$B$40:$B$45,MATCH($G311,Config!$C$40:$C$45,0)),"")</f>
        <v/>
      </c>
      <c r="I311" s="14">
        <f>IFERROR(INDEX(Config!$D$40:$D$45,MATCH($G311,Config!$C$40:$C$45,0)),"")</f>
        <v/>
      </c>
      <c r="J311" s="19" t="n"/>
      <c r="K311" s="19" t="n"/>
      <c r="L311" s="19" t="n"/>
      <c r="M311" s="19" t="n"/>
      <c r="N311" s="14">
        <f>IF(AND(ISNUMBER($J311),ISNUMBER($K311)),ABS($J311-$K311),"")</f>
        <v/>
      </c>
      <c r="O311" s="14">
        <f>IF(AND(NOT(ISNUMBER($J311)),NOT(ISNUMBER($K311))),"",IF(NOT(ISNUMBER($K311)),$J311,IF(NOT(ISNUMBER($J311)),$K311,IF($N311=0,$J311,IF(AND($N311=1,$T311&lt;&gt;"Sim"),IF($I311="Líder Técnico",$K311,IF($I311="GP",$J311,"CALIBRAR")),"CALIBRAR")))))</f>
        <v/>
      </c>
      <c r="P311" s="19" t="n"/>
      <c r="Q311" s="19" t="n"/>
      <c r="R311" s="14">
        <f>IF($P311="","",IF(AND(ISNUMBER($J311),$P311=$J311,ISNUMBER($K311),$P311=$K311),"= ambos",IF(AND(ISNUMBER($J311),$P311=$J311),"= GP",IF(AND(ISNUMBER($K311),$P311=$K311),"= LT","nenhuma das duas"))))</f>
        <v/>
      </c>
      <c r="S311" s="19" t="n"/>
      <c r="T311" s="19" t="n"/>
      <c r="U311" s="14">
        <f>IF($C311="","",COUNTIFS('Ocorrências'!$V$5:$V$604,$C311&amp;"|"&amp;$B311&amp;"|"&amp;$G311,'Ocorrências'!$X$5:$X$604,"Sim"))</f>
        <v/>
      </c>
      <c r="V311" s="14">
        <f>IF($P311="","",IF(OR($P311=1,$P311=2,$P311=5),IF($U311&gt;0,"OK","SEM LASTRO"),"OK"))</f>
        <v/>
      </c>
      <c r="W311" s="19" t="n"/>
      <c r="X311" s="18" t="n"/>
      <c r="Y311" s="14">
        <f>IF($C311="","",$C311&amp;"|"&amp;$B311)</f>
        <v/>
      </c>
      <c r="Z311" s="14">
        <f>IF($C311="","",$C311&amp;"|"&amp;$B311&amp;"|"&amp;$H311)</f>
        <v/>
      </c>
      <c r="AA311" s="14">
        <f>IF($C311="","",$C311&amp;"|"&amp;$B311&amp;"|"&amp;$G311)</f>
        <v/>
      </c>
    </row>
    <row r="312">
      <c r="A312" s="19" t="n"/>
      <c r="B312" s="14">
        <f>IF($A312="","",VALUE(LEFT($A312,4))*4+VALUE(RIGHT($A312,1)))</f>
        <v/>
      </c>
      <c r="C312" s="19" t="n"/>
      <c r="D312" s="14">
        <f>IFERROR(INDEX(Pessoas!$B$5:$B$64,MATCH($C312,Pessoas!$A$5:$A$64,0)),"")</f>
        <v/>
      </c>
      <c r="E312" s="19" t="n"/>
      <c r="F312" s="14">
        <f>IFERROR(INDEX(Pessoas!$D$5:$D$64,MATCH($C312,Pessoas!$A$5:$A$64,0)),"")</f>
        <v/>
      </c>
      <c r="G312" s="19" t="n"/>
      <c r="H312" s="14">
        <f>IFERROR(INDEX(Config!$B$40:$B$45,MATCH($G312,Config!$C$40:$C$45,0)),"")</f>
        <v/>
      </c>
      <c r="I312" s="14">
        <f>IFERROR(INDEX(Config!$D$40:$D$45,MATCH($G312,Config!$C$40:$C$45,0)),"")</f>
        <v/>
      </c>
      <c r="J312" s="19" t="n"/>
      <c r="K312" s="19" t="n"/>
      <c r="L312" s="19" t="n"/>
      <c r="M312" s="19" t="n"/>
      <c r="N312" s="14">
        <f>IF(AND(ISNUMBER($J312),ISNUMBER($K312)),ABS($J312-$K312),"")</f>
        <v/>
      </c>
      <c r="O312" s="14">
        <f>IF(AND(NOT(ISNUMBER($J312)),NOT(ISNUMBER($K312))),"",IF(NOT(ISNUMBER($K312)),$J312,IF(NOT(ISNUMBER($J312)),$K312,IF($N312=0,$J312,IF(AND($N312=1,$T312&lt;&gt;"Sim"),IF($I312="Líder Técnico",$K312,IF($I312="GP",$J312,"CALIBRAR")),"CALIBRAR")))))</f>
        <v/>
      </c>
      <c r="P312" s="19" t="n"/>
      <c r="Q312" s="19" t="n"/>
      <c r="R312" s="14">
        <f>IF($P312="","",IF(AND(ISNUMBER($J312),$P312=$J312,ISNUMBER($K312),$P312=$K312),"= ambos",IF(AND(ISNUMBER($J312),$P312=$J312),"= GP",IF(AND(ISNUMBER($K312),$P312=$K312),"= LT","nenhuma das duas"))))</f>
        <v/>
      </c>
      <c r="S312" s="19" t="n"/>
      <c r="T312" s="19" t="n"/>
      <c r="U312" s="14">
        <f>IF($C312="","",COUNTIFS('Ocorrências'!$V$5:$V$604,$C312&amp;"|"&amp;$B312&amp;"|"&amp;$G312,'Ocorrências'!$X$5:$X$604,"Sim"))</f>
        <v/>
      </c>
      <c r="V312" s="14">
        <f>IF($P312="","",IF(OR($P312=1,$P312=2,$P312=5),IF($U312&gt;0,"OK","SEM LASTRO"),"OK"))</f>
        <v/>
      </c>
      <c r="W312" s="19" t="n"/>
      <c r="X312" s="18" t="n"/>
      <c r="Y312" s="14">
        <f>IF($C312="","",$C312&amp;"|"&amp;$B312)</f>
        <v/>
      </c>
      <c r="Z312" s="14">
        <f>IF($C312="","",$C312&amp;"|"&amp;$B312&amp;"|"&amp;$H312)</f>
        <v/>
      </c>
      <c r="AA312" s="14">
        <f>IF($C312="","",$C312&amp;"|"&amp;$B312&amp;"|"&amp;$G312)</f>
        <v/>
      </c>
    </row>
    <row r="313">
      <c r="A313" s="19" t="n"/>
      <c r="B313" s="14">
        <f>IF($A313="","",VALUE(LEFT($A313,4))*4+VALUE(RIGHT($A313,1)))</f>
        <v/>
      </c>
      <c r="C313" s="19" t="n"/>
      <c r="D313" s="14">
        <f>IFERROR(INDEX(Pessoas!$B$5:$B$64,MATCH($C313,Pessoas!$A$5:$A$64,0)),"")</f>
        <v/>
      </c>
      <c r="E313" s="19" t="n"/>
      <c r="F313" s="14">
        <f>IFERROR(INDEX(Pessoas!$D$5:$D$64,MATCH($C313,Pessoas!$A$5:$A$64,0)),"")</f>
        <v/>
      </c>
      <c r="G313" s="19" t="n"/>
      <c r="H313" s="14">
        <f>IFERROR(INDEX(Config!$B$40:$B$45,MATCH($G313,Config!$C$40:$C$45,0)),"")</f>
        <v/>
      </c>
      <c r="I313" s="14">
        <f>IFERROR(INDEX(Config!$D$40:$D$45,MATCH($G313,Config!$C$40:$C$45,0)),"")</f>
        <v/>
      </c>
      <c r="J313" s="19" t="n"/>
      <c r="K313" s="19" t="n"/>
      <c r="L313" s="19" t="n"/>
      <c r="M313" s="19" t="n"/>
      <c r="N313" s="14">
        <f>IF(AND(ISNUMBER($J313),ISNUMBER($K313)),ABS($J313-$K313),"")</f>
        <v/>
      </c>
      <c r="O313" s="14">
        <f>IF(AND(NOT(ISNUMBER($J313)),NOT(ISNUMBER($K313))),"",IF(NOT(ISNUMBER($K313)),$J313,IF(NOT(ISNUMBER($J313)),$K313,IF($N313=0,$J313,IF(AND($N313=1,$T313&lt;&gt;"Sim"),IF($I313="Líder Técnico",$K313,IF($I313="GP",$J313,"CALIBRAR")),"CALIBRAR")))))</f>
        <v/>
      </c>
      <c r="P313" s="19" t="n"/>
      <c r="Q313" s="19" t="n"/>
      <c r="R313" s="14">
        <f>IF($P313="","",IF(AND(ISNUMBER($J313),$P313=$J313,ISNUMBER($K313),$P313=$K313),"= ambos",IF(AND(ISNUMBER($J313),$P313=$J313),"= GP",IF(AND(ISNUMBER($K313),$P313=$K313),"= LT","nenhuma das duas"))))</f>
        <v/>
      </c>
      <c r="S313" s="19" t="n"/>
      <c r="T313" s="19" t="n"/>
      <c r="U313" s="14">
        <f>IF($C313="","",COUNTIFS('Ocorrências'!$V$5:$V$604,$C313&amp;"|"&amp;$B313&amp;"|"&amp;$G313,'Ocorrências'!$X$5:$X$604,"Sim"))</f>
        <v/>
      </c>
      <c r="V313" s="14">
        <f>IF($P313="","",IF(OR($P313=1,$P313=2,$P313=5),IF($U313&gt;0,"OK","SEM LASTRO"),"OK"))</f>
        <v/>
      </c>
      <c r="W313" s="19" t="n"/>
      <c r="X313" s="18" t="n"/>
      <c r="Y313" s="14">
        <f>IF($C313="","",$C313&amp;"|"&amp;$B313)</f>
        <v/>
      </c>
      <c r="Z313" s="14">
        <f>IF($C313="","",$C313&amp;"|"&amp;$B313&amp;"|"&amp;$H313)</f>
        <v/>
      </c>
      <c r="AA313" s="14">
        <f>IF($C313="","",$C313&amp;"|"&amp;$B313&amp;"|"&amp;$G313)</f>
        <v/>
      </c>
    </row>
    <row r="314">
      <c r="A314" s="19" t="n"/>
      <c r="B314" s="14">
        <f>IF($A314="","",VALUE(LEFT($A314,4))*4+VALUE(RIGHT($A314,1)))</f>
        <v/>
      </c>
      <c r="C314" s="19" t="n"/>
      <c r="D314" s="14">
        <f>IFERROR(INDEX(Pessoas!$B$5:$B$64,MATCH($C314,Pessoas!$A$5:$A$64,0)),"")</f>
        <v/>
      </c>
      <c r="E314" s="19" t="n"/>
      <c r="F314" s="14">
        <f>IFERROR(INDEX(Pessoas!$D$5:$D$64,MATCH($C314,Pessoas!$A$5:$A$64,0)),"")</f>
        <v/>
      </c>
      <c r="G314" s="19" t="n"/>
      <c r="H314" s="14">
        <f>IFERROR(INDEX(Config!$B$40:$B$45,MATCH($G314,Config!$C$40:$C$45,0)),"")</f>
        <v/>
      </c>
      <c r="I314" s="14">
        <f>IFERROR(INDEX(Config!$D$40:$D$45,MATCH($G314,Config!$C$40:$C$45,0)),"")</f>
        <v/>
      </c>
      <c r="J314" s="19" t="n"/>
      <c r="K314" s="19" t="n"/>
      <c r="L314" s="19" t="n"/>
      <c r="M314" s="19" t="n"/>
      <c r="N314" s="14">
        <f>IF(AND(ISNUMBER($J314),ISNUMBER($K314)),ABS($J314-$K314),"")</f>
        <v/>
      </c>
      <c r="O314" s="14">
        <f>IF(AND(NOT(ISNUMBER($J314)),NOT(ISNUMBER($K314))),"",IF(NOT(ISNUMBER($K314)),$J314,IF(NOT(ISNUMBER($J314)),$K314,IF($N314=0,$J314,IF(AND($N314=1,$T314&lt;&gt;"Sim"),IF($I314="Líder Técnico",$K314,IF($I314="GP",$J314,"CALIBRAR")),"CALIBRAR")))))</f>
        <v/>
      </c>
      <c r="P314" s="19" t="n"/>
      <c r="Q314" s="19" t="n"/>
      <c r="R314" s="14">
        <f>IF($P314="","",IF(AND(ISNUMBER($J314),$P314=$J314,ISNUMBER($K314),$P314=$K314),"= ambos",IF(AND(ISNUMBER($J314),$P314=$J314),"= GP",IF(AND(ISNUMBER($K314),$P314=$K314),"= LT","nenhuma das duas"))))</f>
        <v/>
      </c>
      <c r="S314" s="19" t="n"/>
      <c r="T314" s="19" t="n"/>
      <c r="U314" s="14">
        <f>IF($C314="","",COUNTIFS('Ocorrências'!$V$5:$V$604,$C314&amp;"|"&amp;$B314&amp;"|"&amp;$G314,'Ocorrências'!$X$5:$X$604,"Sim"))</f>
        <v/>
      </c>
      <c r="V314" s="14">
        <f>IF($P314="","",IF(OR($P314=1,$P314=2,$P314=5),IF($U314&gt;0,"OK","SEM LASTRO"),"OK"))</f>
        <v/>
      </c>
      <c r="W314" s="19" t="n"/>
      <c r="X314" s="18" t="n"/>
      <c r="Y314" s="14">
        <f>IF($C314="","",$C314&amp;"|"&amp;$B314)</f>
        <v/>
      </c>
      <c r="Z314" s="14">
        <f>IF($C314="","",$C314&amp;"|"&amp;$B314&amp;"|"&amp;$H314)</f>
        <v/>
      </c>
      <c r="AA314" s="14">
        <f>IF($C314="","",$C314&amp;"|"&amp;$B314&amp;"|"&amp;$G314)</f>
        <v/>
      </c>
    </row>
    <row r="315">
      <c r="A315" s="19" t="n"/>
      <c r="B315" s="14">
        <f>IF($A315="","",VALUE(LEFT($A315,4))*4+VALUE(RIGHT($A315,1)))</f>
        <v/>
      </c>
      <c r="C315" s="19" t="n"/>
      <c r="D315" s="14">
        <f>IFERROR(INDEX(Pessoas!$B$5:$B$64,MATCH($C315,Pessoas!$A$5:$A$64,0)),"")</f>
        <v/>
      </c>
      <c r="E315" s="19" t="n"/>
      <c r="F315" s="14">
        <f>IFERROR(INDEX(Pessoas!$D$5:$D$64,MATCH($C315,Pessoas!$A$5:$A$64,0)),"")</f>
        <v/>
      </c>
      <c r="G315" s="19" t="n"/>
      <c r="H315" s="14">
        <f>IFERROR(INDEX(Config!$B$40:$B$45,MATCH($G315,Config!$C$40:$C$45,0)),"")</f>
        <v/>
      </c>
      <c r="I315" s="14">
        <f>IFERROR(INDEX(Config!$D$40:$D$45,MATCH($G315,Config!$C$40:$C$45,0)),"")</f>
        <v/>
      </c>
      <c r="J315" s="19" t="n"/>
      <c r="K315" s="19" t="n"/>
      <c r="L315" s="19" t="n"/>
      <c r="M315" s="19" t="n"/>
      <c r="N315" s="14">
        <f>IF(AND(ISNUMBER($J315),ISNUMBER($K315)),ABS($J315-$K315),"")</f>
        <v/>
      </c>
      <c r="O315" s="14">
        <f>IF(AND(NOT(ISNUMBER($J315)),NOT(ISNUMBER($K315))),"",IF(NOT(ISNUMBER($K315)),$J315,IF(NOT(ISNUMBER($J315)),$K315,IF($N315=0,$J315,IF(AND($N315=1,$T315&lt;&gt;"Sim"),IF($I315="Líder Técnico",$K315,IF($I315="GP",$J315,"CALIBRAR")),"CALIBRAR")))))</f>
        <v/>
      </c>
      <c r="P315" s="19" t="n"/>
      <c r="Q315" s="19" t="n"/>
      <c r="R315" s="14">
        <f>IF($P315="","",IF(AND(ISNUMBER($J315),$P315=$J315,ISNUMBER($K315),$P315=$K315),"= ambos",IF(AND(ISNUMBER($J315),$P315=$J315),"= GP",IF(AND(ISNUMBER($K315),$P315=$K315),"= LT","nenhuma das duas"))))</f>
        <v/>
      </c>
      <c r="S315" s="19" t="n"/>
      <c r="T315" s="19" t="n"/>
      <c r="U315" s="14">
        <f>IF($C315="","",COUNTIFS('Ocorrências'!$V$5:$V$604,$C315&amp;"|"&amp;$B315&amp;"|"&amp;$G315,'Ocorrências'!$X$5:$X$604,"Sim"))</f>
        <v/>
      </c>
      <c r="V315" s="14">
        <f>IF($P315="","",IF(OR($P315=1,$P315=2,$P315=5),IF($U315&gt;0,"OK","SEM LASTRO"),"OK"))</f>
        <v/>
      </c>
      <c r="W315" s="19" t="n"/>
      <c r="X315" s="18" t="n"/>
      <c r="Y315" s="14">
        <f>IF($C315="","",$C315&amp;"|"&amp;$B315)</f>
        <v/>
      </c>
      <c r="Z315" s="14">
        <f>IF($C315="","",$C315&amp;"|"&amp;$B315&amp;"|"&amp;$H315)</f>
        <v/>
      </c>
      <c r="AA315" s="14">
        <f>IF($C315="","",$C315&amp;"|"&amp;$B315&amp;"|"&amp;$G315)</f>
        <v/>
      </c>
    </row>
    <row r="316">
      <c r="A316" s="19" t="n"/>
      <c r="B316" s="14">
        <f>IF($A316="","",VALUE(LEFT($A316,4))*4+VALUE(RIGHT($A316,1)))</f>
        <v/>
      </c>
      <c r="C316" s="19" t="n"/>
      <c r="D316" s="14">
        <f>IFERROR(INDEX(Pessoas!$B$5:$B$64,MATCH($C316,Pessoas!$A$5:$A$64,0)),"")</f>
        <v/>
      </c>
      <c r="E316" s="19" t="n"/>
      <c r="F316" s="14">
        <f>IFERROR(INDEX(Pessoas!$D$5:$D$64,MATCH($C316,Pessoas!$A$5:$A$64,0)),"")</f>
        <v/>
      </c>
      <c r="G316" s="19" t="n"/>
      <c r="H316" s="14">
        <f>IFERROR(INDEX(Config!$B$40:$B$45,MATCH($G316,Config!$C$40:$C$45,0)),"")</f>
        <v/>
      </c>
      <c r="I316" s="14">
        <f>IFERROR(INDEX(Config!$D$40:$D$45,MATCH($G316,Config!$C$40:$C$45,0)),"")</f>
        <v/>
      </c>
      <c r="J316" s="19" t="n"/>
      <c r="K316" s="19" t="n"/>
      <c r="L316" s="19" t="n"/>
      <c r="M316" s="19" t="n"/>
      <c r="N316" s="14">
        <f>IF(AND(ISNUMBER($J316),ISNUMBER($K316)),ABS($J316-$K316),"")</f>
        <v/>
      </c>
      <c r="O316" s="14">
        <f>IF(AND(NOT(ISNUMBER($J316)),NOT(ISNUMBER($K316))),"",IF(NOT(ISNUMBER($K316)),$J316,IF(NOT(ISNUMBER($J316)),$K316,IF($N316=0,$J316,IF(AND($N316=1,$T316&lt;&gt;"Sim"),IF($I316="Líder Técnico",$K316,IF($I316="GP",$J316,"CALIBRAR")),"CALIBRAR")))))</f>
        <v/>
      </c>
      <c r="P316" s="19" t="n"/>
      <c r="Q316" s="19" t="n"/>
      <c r="R316" s="14">
        <f>IF($P316="","",IF(AND(ISNUMBER($J316),$P316=$J316,ISNUMBER($K316),$P316=$K316),"= ambos",IF(AND(ISNUMBER($J316),$P316=$J316),"= GP",IF(AND(ISNUMBER($K316),$P316=$K316),"= LT","nenhuma das duas"))))</f>
        <v/>
      </c>
      <c r="S316" s="19" t="n"/>
      <c r="T316" s="19" t="n"/>
      <c r="U316" s="14">
        <f>IF($C316="","",COUNTIFS('Ocorrências'!$V$5:$V$604,$C316&amp;"|"&amp;$B316&amp;"|"&amp;$G316,'Ocorrências'!$X$5:$X$604,"Sim"))</f>
        <v/>
      </c>
      <c r="V316" s="14">
        <f>IF($P316="","",IF(OR($P316=1,$P316=2,$P316=5),IF($U316&gt;0,"OK","SEM LASTRO"),"OK"))</f>
        <v/>
      </c>
      <c r="W316" s="19" t="n"/>
      <c r="X316" s="18" t="n"/>
      <c r="Y316" s="14">
        <f>IF($C316="","",$C316&amp;"|"&amp;$B316)</f>
        <v/>
      </c>
      <c r="Z316" s="14">
        <f>IF($C316="","",$C316&amp;"|"&amp;$B316&amp;"|"&amp;$H316)</f>
        <v/>
      </c>
      <c r="AA316" s="14">
        <f>IF($C316="","",$C316&amp;"|"&amp;$B316&amp;"|"&amp;$G316)</f>
        <v/>
      </c>
    </row>
    <row r="317">
      <c r="A317" s="19" t="n"/>
      <c r="B317" s="14">
        <f>IF($A317="","",VALUE(LEFT($A317,4))*4+VALUE(RIGHT($A317,1)))</f>
        <v/>
      </c>
      <c r="C317" s="19" t="n"/>
      <c r="D317" s="14">
        <f>IFERROR(INDEX(Pessoas!$B$5:$B$64,MATCH($C317,Pessoas!$A$5:$A$64,0)),"")</f>
        <v/>
      </c>
      <c r="E317" s="19" t="n"/>
      <c r="F317" s="14">
        <f>IFERROR(INDEX(Pessoas!$D$5:$D$64,MATCH($C317,Pessoas!$A$5:$A$64,0)),"")</f>
        <v/>
      </c>
      <c r="G317" s="19" t="n"/>
      <c r="H317" s="14">
        <f>IFERROR(INDEX(Config!$B$40:$B$45,MATCH($G317,Config!$C$40:$C$45,0)),"")</f>
        <v/>
      </c>
      <c r="I317" s="14">
        <f>IFERROR(INDEX(Config!$D$40:$D$45,MATCH($G317,Config!$C$40:$C$45,0)),"")</f>
        <v/>
      </c>
      <c r="J317" s="19" t="n"/>
      <c r="K317" s="19" t="n"/>
      <c r="L317" s="19" t="n"/>
      <c r="M317" s="19" t="n"/>
      <c r="N317" s="14">
        <f>IF(AND(ISNUMBER($J317),ISNUMBER($K317)),ABS($J317-$K317),"")</f>
        <v/>
      </c>
      <c r="O317" s="14">
        <f>IF(AND(NOT(ISNUMBER($J317)),NOT(ISNUMBER($K317))),"",IF(NOT(ISNUMBER($K317)),$J317,IF(NOT(ISNUMBER($J317)),$K317,IF($N317=0,$J317,IF(AND($N317=1,$T317&lt;&gt;"Sim"),IF($I317="Líder Técnico",$K317,IF($I317="GP",$J317,"CALIBRAR")),"CALIBRAR")))))</f>
        <v/>
      </c>
      <c r="P317" s="19" t="n"/>
      <c r="Q317" s="19" t="n"/>
      <c r="R317" s="14">
        <f>IF($P317="","",IF(AND(ISNUMBER($J317),$P317=$J317,ISNUMBER($K317),$P317=$K317),"= ambos",IF(AND(ISNUMBER($J317),$P317=$J317),"= GP",IF(AND(ISNUMBER($K317),$P317=$K317),"= LT","nenhuma das duas"))))</f>
        <v/>
      </c>
      <c r="S317" s="19" t="n"/>
      <c r="T317" s="19" t="n"/>
      <c r="U317" s="14">
        <f>IF($C317="","",COUNTIFS('Ocorrências'!$V$5:$V$604,$C317&amp;"|"&amp;$B317&amp;"|"&amp;$G317,'Ocorrências'!$X$5:$X$604,"Sim"))</f>
        <v/>
      </c>
      <c r="V317" s="14">
        <f>IF($P317="","",IF(OR($P317=1,$P317=2,$P317=5),IF($U317&gt;0,"OK","SEM LASTRO"),"OK"))</f>
        <v/>
      </c>
      <c r="W317" s="19" t="n"/>
      <c r="X317" s="18" t="n"/>
      <c r="Y317" s="14">
        <f>IF($C317="","",$C317&amp;"|"&amp;$B317)</f>
        <v/>
      </c>
      <c r="Z317" s="14">
        <f>IF($C317="","",$C317&amp;"|"&amp;$B317&amp;"|"&amp;$H317)</f>
        <v/>
      </c>
      <c r="AA317" s="14">
        <f>IF($C317="","",$C317&amp;"|"&amp;$B317&amp;"|"&amp;$G317)</f>
        <v/>
      </c>
    </row>
    <row r="318">
      <c r="A318" s="19" t="n"/>
      <c r="B318" s="14">
        <f>IF($A318="","",VALUE(LEFT($A318,4))*4+VALUE(RIGHT($A318,1)))</f>
        <v/>
      </c>
      <c r="C318" s="19" t="n"/>
      <c r="D318" s="14">
        <f>IFERROR(INDEX(Pessoas!$B$5:$B$64,MATCH($C318,Pessoas!$A$5:$A$64,0)),"")</f>
        <v/>
      </c>
      <c r="E318" s="19" t="n"/>
      <c r="F318" s="14">
        <f>IFERROR(INDEX(Pessoas!$D$5:$D$64,MATCH($C318,Pessoas!$A$5:$A$64,0)),"")</f>
        <v/>
      </c>
      <c r="G318" s="19" t="n"/>
      <c r="H318" s="14">
        <f>IFERROR(INDEX(Config!$B$40:$B$45,MATCH($G318,Config!$C$40:$C$45,0)),"")</f>
        <v/>
      </c>
      <c r="I318" s="14">
        <f>IFERROR(INDEX(Config!$D$40:$D$45,MATCH($G318,Config!$C$40:$C$45,0)),"")</f>
        <v/>
      </c>
      <c r="J318" s="19" t="n"/>
      <c r="K318" s="19" t="n"/>
      <c r="L318" s="19" t="n"/>
      <c r="M318" s="19" t="n"/>
      <c r="N318" s="14">
        <f>IF(AND(ISNUMBER($J318),ISNUMBER($K318)),ABS($J318-$K318),"")</f>
        <v/>
      </c>
      <c r="O318" s="14">
        <f>IF(AND(NOT(ISNUMBER($J318)),NOT(ISNUMBER($K318))),"",IF(NOT(ISNUMBER($K318)),$J318,IF(NOT(ISNUMBER($J318)),$K318,IF($N318=0,$J318,IF(AND($N318=1,$T318&lt;&gt;"Sim"),IF($I318="Líder Técnico",$K318,IF($I318="GP",$J318,"CALIBRAR")),"CALIBRAR")))))</f>
        <v/>
      </c>
      <c r="P318" s="19" t="n"/>
      <c r="Q318" s="19" t="n"/>
      <c r="R318" s="14">
        <f>IF($P318="","",IF(AND(ISNUMBER($J318),$P318=$J318,ISNUMBER($K318),$P318=$K318),"= ambos",IF(AND(ISNUMBER($J318),$P318=$J318),"= GP",IF(AND(ISNUMBER($K318),$P318=$K318),"= LT","nenhuma das duas"))))</f>
        <v/>
      </c>
      <c r="S318" s="19" t="n"/>
      <c r="T318" s="19" t="n"/>
      <c r="U318" s="14">
        <f>IF($C318="","",COUNTIFS('Ocorrências'!$V$5:$V$604,$C318&amp;"|"&amp;$B318&amp;"|"&amp;$G318,'Ocorrências'!$X$5:$X$604,"Sim"))</f>
        <v/>
      </c>
      <c r="V318" s="14">
        <f>IF($P318="","",IF(OR($P318=1,$P318=2,$P318=5),IF($U318&gt;0,"OK","SEM LASTRO"),"OK"))</f>
        <v/>
      </c>
      <c r="W318" s="19" t="n"/>
      <c r="X318" s="18" t="n"/>
      <c r="Y318" s="14">
        <f>IF($C318="","",$C318&amp;"|"&amp;$B318)</f>
        <v/>
      </c>
      <c r="Z318" s="14">
        <f>IF($C318="","",$C318&amp;"|"&amp;$B318&amp;"|"&amp;$H318)</f>
        <v/>
      </c>
      <c r="AA318" s="14">
        <f>IF($C318="","",$C318&amp;"|"&amp;$B318&amp;"|"&amp;$G318)</f>
        <v/>
      </c>
    </row>
    <row r="319">
      <c r="A319" s="19" t="n"/>
      <c r="B319" s="14">
        <f>IF($A319="","",VALUE(LEFT($A319,4))*4+VALUE(RIGHT($A319,1)))</f>
        <v/>
      </c>
      <c r="C319" s="19" t="n"/>
      <c r="D319" s="14">
        <f>IFERROR(INDEX(Pessoas!$B$5:$B$64,MATCH($C319,Pessoas!$A$5:$A$64,0)),"")</f>
        <v/>
      </c>
      <c r="E319" s="19" t="n"/>
      <c r="F319" s="14">
        <f>IFERROR(INDEX(Pessoas!$D$5:$D$64,MATCH($C319,Pessoas!$A$5:$A$64,0)),"")</f>
        <v/>
      </c>
      <c r="G319" s="19" t="n"/>
      <c r="H319" s="14">
        <f>IFERROR(INDEX(Config!$B$40:$B$45,MATCH($G319,Config!$C$40:$C$45,0)),"")</f>
        <v/>
      </c>
      <c r="I319" s="14">
        <f>IFERROR(INDEX(Config!$D$40:$D$45,MATCH($G319,Config!$C$40:$C$45,0)),"")</f>
        <v/>
      </c>
      <c r="J319" s="19" t="n"/>
      <c r="K319" s="19" t="n"/>
      <c r="L319" s="19" t="n"/>
      <c r="M319" s="19" t="n"/>
      <c r="N319" s="14">
        <f>IF(AND(ISNUMBER($J319),ISNUMBER($K319)),ABS($J319-$K319),"")</f>
        <v/>
      </c>
      <c r="O319" s="14">
        <f>IF(AND(NOT(ISNUMBER($J319)),NOT(ISNUMBER($K319))),"",IF(NOT(ISNUMBER($K319)),$J319,IF(NOT(ISNUMBER($J319)),$K319,IF($N319=0,$J319,IF(AND($N319=1,$T319&lt;&gt;"Sim"),IF($I319="Líder Técnico",$K319,IF($I319="GP",$J319,"CALIBRAR")),"CALIBRAR")))))</f>
        <v/>
      </c>
      <c r="P319" s="19" t="n"/>
      <c r="Q319" s="19" t="n"/>
      <c r="R319" s="14">
        <f>IF($P319="","",IF(AND(ISNUMBER($J319),$P319=$J319,ISNUMBER($K319),$P319=$K319),"= ambos",IF(AND(ISNUMBER($J319),$P319=$J319),"= GP",IF(AND(ISNUMBER($K319),$P319=$K319),"= LT","nenhuma das duas"))))</f>
        <v/>
      </c>
      <c r="S319" s="19" t="n"/>
      <c r="T319" s="19" t="n"/>
      <c r="U319" s="14">
        <f>IF($C319="","",COUNTIFS('Ocorrências'!$V$5:$V$604,$C319&amp;"|"&amp;$B319&amp;"|"&amp;$G319,'Ocorrências'!$X$5:$X$604,"Sim"))</f>
        <v/>
      </c>
      <c r="V319" s="14">
        <f>IF($P319="","",IF(OR($P319=1,$P319=2,$P319=5),IF($U319&gt;0,"OK","SEM LASTRO"),"OK"))</f>
        <v/>
      </c>
      <c r="W319" s="19" t="n"/>
      <c r="X319" s="18" t="n"/>
      <c r="Y319" s="14">
        <f>IF($C319="","",$C319&amp;"|"&amp;$B319)</f>
        <v/>
      </c>
      <c r="Z319" s="14">
        <f>IF($C319="","",$C319&amp;"|"&amp;$B319&amp;"|"&amp;$H319)</f>
        <v/>
      </c>
      <c r="AA319" s="14">
        <f>IF($C319="","",$C319&amp;"|"&amp;$B319&amp;"|"&amp;$G319)</f>
        <v/>
      </c>
    </row>
    <row r="320">
      <c r="A320" s="19" t="n"/>
      <c r="B320" s="14">
        <f>IF($A320="","",VALUE(LEFT($A320,4))*4+VALUE(RIGHT($A320,1)))</f>
        <v/>
      </c>
      <c r="C320" s="19" t="n"/>
      <c r="D320" s="14">
        <f>IFERROR(INDEX(Pessoas!$B$5:$B$64,MATCH($C320,Pessoas!$A$5:$A$64,0)),"")</f>
        <v/>
      </c>
      <c r="E320" s="19" t="n"/>
      <c r="F320" s="14">
        <f>IFERROR(INDEX(Pessoas!$D$5:$D$64,MATCH($C320,Pessoas!$A$5:$A$64,0)),"")</f>
        <v/>
      </c>
      <c r="G320" s="19" t="n"/>
      <c r="H320" s="14">
        <f>IFERROR(INDEX(Config!$B$40:$B$45,MATCH($G320,Config!$C$40:$C$45,0)),"")</f>
        <v/>
      </c>
      <c r="I320" s="14">
        <f>IFERROR(INDEX(Config!$D$40:$D$45,MATCH($G320,Config!$C$40:$C$45,0)),"")</f>
        <v/>
      </c>
      <c r="J320" s="19" t="n"/>
      <c r="K320" s="19" t="n"/>
      <c r="L320" s="19" t="n"/>
      <c r="M320" s="19" t="n"/>
      <c r="N320" s="14">
        <f>IF(AND(ISNUMBER($J320),ISNUMBER($K320)),ABS($J320-$K320),"")</f>
        <v/>
      </c>
      <c r="O320" s="14">
        <f>IF(AND(NOT(ISNUMBER($J320)),NOT(ISNUMBER($K320))),"",IF(NOT(ISNUMBER($K320)),$J320,IF(NOT(ISNUMBER($J320)),$K320,IF($N320=0,$J320,IF(AND($N320=1,$T320&lt;&gt;"Sim"),IF($I320="Líder Técnico",$K320,IF($I320="GP",$J320,"CALIBRAR")),"CALIBRAR")))))</f>
        <v/>
      </c>
      <c r="P320" s="19" t="n"/>
      <c r="Q320" s="19" t="n"/>
      <c r="R320" s="14">
        <f>IF($P320="","",IF(AND(ISNUMBER($J320),$P320=$J320,ISNUMBER($K320),$P320=$K320),"= ambos",IF(AND(ISNUMBER($J320),$P320=$J320),"= GP",IF(AND(ISNUMBER($K320),$P320=$K320),"= LT","nenhuma das duas"))))</f>
        <v/>
      </c>
      <c r="S320" s="19" t="n"/>
      <c r="T320" s="19" t="n"/>
      <c r="U320" s="14">
        <f>IF($C320="","",COUNTIFS('Ocorrências'!$V$5:$V$604,$C320&amp;"|"&amp;$B320&amp;"|"&amp;$G320,'Ocorrências'!$X$5:$X$604,"Sim"))</f>
        <v/>
      </c>
      <c r="V320" s="14">
        <f>IF($P320="","",IF(OR($P320=1,$P320=2,$P320=5),IF($U320&gt;0,"OK","SEM LASTRO"),"OK"))</f>
        <v/>
      </c>
      <c r="W320" s="19" t="n"/>
      <c r="X320" s="18" t="n"/>
      <c r="Y320" s="14">
        <f>IF($C320="","",$C320&amp;"|"&amp;$B320)</f>
        <v/>
      </c>
      <c r="Z320" s="14">
        <f>IF($C320="","",$C320&amp;"|"&amp;$B320&amp;"|"&amp;$H320)</f>
        <v/>
      </c>
      <c r="AA320" s="14">
        <f>IF($C320="","",$C320&amp;"|"&amp;$B320&amp;"|"&amp;$G320)</f>
        <v/>
      </c>
    </row>
    <row r="321">
      <c r="A321" s="19" t="n"/>
      <c r="B321" s="14">
        <f>IF($A321="","",VALUE(LEFT($A321,4))*4+VALUE(RIGHT($A321,1)))</f>
        <v/>
      </c>
      <c r="C321" s="19" t="n"/>
      <c r="D321" s="14">
        <f>IFERROR(INDEX(Pessoas!$B$5:$B$64,MATCH($C321,Pessoas!$A$5:$A$64,0)),"")</f>
        <v/>
      </c>
      <c r="E321" s="19" t="n"/>
      <c r="F321" s="14">
        <f>IFERROR(INDEX(Pessoas!$D$5:$D$64,MATCH($C321,Pessoas!$A$5:$A$64,0)),"")</f>
        <v/>
      </c>
      <c r="G321" s="19" t="n"/>
      <c r="H321" s="14">
        <f>IFERROR(INDEX(Config!$B$40:$B$45,MATCH($G321,Config!$C$40:$C$45,0)),"")</f>
        <v/>
      </c>
      <c r="I321" s="14">
        <f>IFERROR(INDEX(Config!$D$40:$D$45,MATCH($G321,Config!$C$40:$C$45,0)),"")</f>
        <v/>
      </c>
      <c r="J321" s="19" t="n"/>
      <c r="K321" s="19" t="n"/>
      <c r="L321" s="19" t="n"/>
      <c r="M321" s="19" t="n"/>
      <c r="N321" s="14">
        <f>IF(AND(ISNUMBER($J321),ISNUMBER($K321)),ABS($J321-$K321),"")</f>
        <v/>
      </c>
      <c r="O321" s="14">
        <f>IF(AND(NOT(ISNUMBER($J321)),NOT(ISNUMBER($K321))),"",IF(NOT(ISNUMBER($K321)),$J321,IF(NOT(ISNUMBER($J321)),$K321,IF($N321=0,$J321,IF(AND($N321=1,$T321&lt;&gt;"Sim"),IF($I321="Líder Técnico",$K321,IF($I321="GP",$J321,"CALIBRAR")),"CALIBRAR")))))</f>
        <v/>
      </c>
      <c r="P321" s="19" t="n"/>
      <c r="Q321" s="19" t="n"/>
      <c r="R321" s="14">
        <f>IF($P321="","",IF(AND(ISNUMBER($J321),$P321=$J321,ISNUMBER($K321),$P321=$K321),"= ambos",IF(AND(ISNUMBER($J321),$P321=$J321),"= GP",IF(AND(ISNUMBER($K321),$P321=$K321),"= LT","nenhuma das duas"))))</f>
        <v/>
      </c>
      <c r="S321" s="19" t="n"/>
      <c r="T321" s="19" t="n"/>
      <c r="U321" s="14">
        <f>IF($C321="","",COUNTIFS('Ocorrências'!$V$5:$V$604,$C321&amp;"|"&amp;$B321&amp;"|"&amp;$G321,'Ocorrências'!$X$5:$X$604,"Sim"))</f>
        <v/>
      </c>
      <c r="V321" s="14">
        <f>IF($P321="","",IF(OR($P321=1,$P321=2,$P321=5),IF($U321&gt;0,"OK","SEM LASTRO"),"OK"))</f>
        <v/>
      </c>
      <c r="W321" s="19" t="n"/>
      <c r="X321" s="18" t="n"/>
      <c r="Y321" s="14">
        <f>IF($C321="","",$C321&amp;"|"&amp;$B321)</f>
        <v/>
      </c>
      <c r="Z321" s="14">
        <f>IF($C321="","",$C321&amp;"|"&amp;$B321&amp;"|"&amp;$H321)</f>
        <v/>
      </c>
      <c r="AA321" s="14">
        <f>IF($C321="","",$C321&amp;"|"&amp;$B321&amp;"|"&amp;$G321)</f>
        <v/>
      </c>
    </row>
    <row r="322">
      <c r="A322" s="19" t="n"/>
      <c r="B322" s="14">
        <f>IF($A322="","",VALUE(LEFT($A322,4))*4+VALUE(RIGHT($A322,1)))</f>
        <v/>
      </c>
      <c r="C322" s="19" t="n"/>
      <c r="D322" s="14">
        <f>IFERROR(INDEX(Pessoas!$B$5:$B$64,MATCH($C322,Pessoas!$A$5:$A$64,0)),"")</f>
        <v/>
      </c>
      <c r="E322" s="19" t="n"/>
      <c r="F322" s="14">
        <f>IFERROR(INDEX(Pessoas!$D$5:$D$64,MATCH($C322,Pessoas!$A$5:$A$64,0)),"")</f>
        <v/>
      </c>
      <c r="G322" s="19" t="n"/>
      <c r="H322" s="14">
        <f>IFERROR(INDEX(Config!$B$40:$B$45,MATCH($G322,Config!$C$40:$C$45,0)),"")</f>
        <v/>
      </c>
      <c r="I322" s="14">
        <f>IFERROR(INDEX(Config!$D$40:$D$45,MATCH($G322,Config!$C$40:$C$45,0)),"")</f>
        <v/>
      </c>
      <c r="J322" s="19" t="n"/>
      <c r="K322" s="19" t="n"/>
      <c r="L322" s="19" t="n"/>
      <c r="M322" s="19" t="n"/>
      <c r="N322" s="14">
        <f>IF(AND(ISNUMBER($J322),ISNUMBER($K322)),ABS($J322-$K322),"")</f>
        <v/>
      </c>
      <c r="O322" s="14">
        <f>IF(AND(NOT(ISNUMBER($J322)),NOT(ISNUMBER($K322))),"",IF(NOT(ISNUMBER($K322)),$J322,IF(NOT(ISNUMBER($J322)),$K322,IF($N322=0,$J322,IF(AND($N322=1,$T322&lt;&gt;"Sim"),IF($I322="Líder Técnico",$K322,IF($I322="GP",$J322,"CALIBRAR")),"CALIBRAR")))))</f>
        <v/>
      </c>
      <c r="P322" s="19" t="n"/>
      <c r="Q322" s="19" t="n"/>
      <c r="R322" s="14">
        <f>IF($P322="","",IF(AND(ISNUMBER($J322),$P322=$J322,ISNUMBER($K322),$P322=$K322),"= ambos",IF(AND(ISNUMBER($J322),$P322=$J322),"= GP",IF(AND(ISNUMBER($K322),$P322=$K322),"= LT","nenhuma das duas"))))</f>
        <v/>
      </c>
      <c r="S322" s="19" t="n"/>
      <c r="T322" s="19" t="n"/>
      <c r="U322" s="14">
        <f>IF($C322="","",COUNTIFS('Ocorrências'!$V$5:$V$604,$C322&amp;"|"&amp;$B322&amp;"|"&amp;$G322,'Ocorrências'!$X$5:$X$604,"Sim"))</f>
        <v/>
      </c>
      <c r="V322" s="14">
        <f>IF($P322="","",IF(OR($P322=1,$P322=2,$P322=5),IF($U322&gt;0,"OK","SEM LASTRO"),"OK"))</f>
        <v/>
      </c>
      <c r="W322" s="19" t="n"/>
      <c r="X322" s="18" t="n"/>
      <c r="Y322" s="14">
        <f>IF($C322="","",$C322&amp;"|"&amp;$B322)</f>
        <v/>
      </c>
      <c r="Z322" s="14">
        <f>IF($C322="","",$C322&amp;"|"&amp;$B322&amp;"|"&amp;$H322)</f>
        <v/>
      </c>
      <c r="AA322" s="14">
        <f>IF($C322="","",$C322&amp;"|"&amp;$B322&amp;"|"&amp;$G322)</f>
        <v/>
      </c>
    </row>
    <row r="323">
      <c r="A323" s="19" t="n"/>
      <c r="B323" s="14">
        <f>IF($A323="","",VALUE(LEFT($A323,4))*4+VALUE(RIGHT($A323,1)))</f>
        <v/>
      </c>
      <c r="C323" s="19" t="n"/>
      <c r="D323" s="14">
        <f>IFERROR(INDEX(Pessoas!$B$5:$B$64,MATCH($C323,Pessoas!$A$5:$A$64,0)),"")</f>
        <v/>
      </c>
      <c r="E323" s="19" t="n"/>
      <c r="F323" s="14">
        <f>IFERROR(INDEX(Pessoas!$D$5:$D$64,MATCH($C323,Pessoas!$A$5:$A$64,0)),"")</f>
        <v/>
      </c>
      <c r="G323" s="19" t="n"/>
      <c r="H323" s="14">
        <f>IFERROR(INDEX(Config!$B$40:$B$45,MATCH($G323,Config!$C$40:$C$45,0)),"")</f>
        <v/>
      </c>
      <c r="I323" s="14">
        <f>IFERROR(INDEX(Config!$D$40:$D$45,MATCH($G323,Config!$C$40:$C$45,0)),"")</f>
        <v/>
      </c>
      <c r="J323" s="19" t="n"/>
      <c r="K323" s="19" t="n"/>
      <c r="L323" s="19" t="n"/>
      <c r="M323" s="19" t="n"/>
      <c r="N323" s="14">
        <f>IF(AND(ISNUMBER($J323),ISNUMBER($K323)),ABS($J323-$K323),"")</f>
        <v/>
      </c>
      <c r="O323" s="14">
        <f>IF(AND(NOT(ISNUMBER($J323)),NOT(ISNUMBER($K323))),"",IF(NOT(ISNUMBER($K323)),$J323,IF(NOT(ISNUMBER($J323)),$K323,IF($N323=0,$J323,IF(AND($N323=1,$T323&lt;&gt;"Sim"),IF($I323="Líder Técnico",$K323,IF($I323="GP",$J323,"CALIBRAR")),"CALIBRAR")))))</f>
        <v/>
      </c>
      <c r="P323" s="19" t="n"/>
      <c r="Q323" s="19" t="n"/>
      <c r="R323" s="14">
        <f>IF($P323="","",IF(AND(ISNUMBER($J323),$P323=$J323,ISNUMBER($K323),$P323=$K323),"= ambos",IF(AND(ISNUMBER($J323),$P323=$J323),"= GP",IF(AND(ISNUMBER($K323),$P323=$K323),"= LT","nenhuma das duas"))))</f>
        <v/>
      </c>
      <c r="S323" s="19" t="n"/>
      <c r="T323" s="19" t="n"/>
      <c r="U323" s="14">
        <f>IF($C323="","",COUNTIFS('Ocorrências'!$V$5:$V$604,$C323&amp;"|"&amp;$B323&amp;"|"&amp;$G323,'Ocorrências'!$X$5:$X$604,"Sim"))</f>
        <v/>
      </c>
      <c r="V323" s="14">
        <f>IF($P323="","",IF(OR($P323=1,$P323=2,$P323=5),IF($U323&gt;0,"OK","SEM LASTRO"),"OK"))</f>
        <v/>
      </c>
      <c r="W323" s="19" t="n"/>
      <c r="X323" s="18" t="n"/>
      <c r="Y323" s="14">
        <f>IF($C323="","",$C323&amp;"|"&amp;$B323)</f>
        <v/>
      </c>
      <c r="Z323" s="14">
        <f>IF($C323="","",$C323&amp;"|"&amp;$B323&amp;"|"&amp;$H323)</f>
        <v/>
      </c>
      <c r="AA323" s="14">
        <f>IF($C323="","",$C323&amp;"|"&amp;$B323&amp;"|"&amp;$G323)</f>
        <v/>
      </c>
    </row>
    <row r="324">
      <c r="A324" s="19" t="n"/>
      <c r="B324" s="14">
        <f>IF($A324="","",VALUE(LEFT($A324,4))*4+VALUE(RIGHT($A324,1)))</f>
        <v/>
      </c>
      <c r="C324" s="19" t="n"/>
      <c r="D324" s="14">
        <f>IFERROR(INDEX(Pessoas!$B$5:$B$64,MATCH($C324,Pessoas!$A$5:$A$64,0)),"")</f>
        <v/>
      </c>
      <c r="E324" s="19" t="n"/>
      <c r="F324" s="14">
        <f>IFERROR(INDEX(Pessoas!$D$5:$D$64,MATCH($C324,Pessoas!$A$5:$A$64,0)),"")</f>
        <v/>
      </c>
      <c r="G324" s="19" t="n"/>
      <c r="H324" s="14">
        <f>IFERROR(INDEX(Config!$B$40:$B$45,MATCH($G324,Config!$C$40:$C$45,0)),"")</f>
        <v/>
      </c>
      <c r="I324" s="14">
        <f>IFERROR(INDEX(Config!$D$40:$D$45,MATCH($G324,Config!$C$40:$C$45,0)),"")</f>
        <v/>
      </c>
      <c r="J324" s="19" t="n"/>
      <c r="K324" s="19" t="n"/>
      <c r="L324" s="19" t="n"/>
      <c r="M324" s="19" t="n"/>
      <c r="N324" s="14">
        <f>IF(AND(ISNUMBER($J324),ISNUMBER($K324)),ABS($J324-$K324),"")</f>
        <v/>
      </c>
      <c r="O324" s="14">
        <f>IF(AND(NOT(ISNUMBER($J324)),NOT(ISNUMBER($K324))),"",IF(NOT(ISNUMBER($K324)),$J324,IF(NOT(ISNUMBER($J324)),$K324,IF($N324=0,$J324,IF(AND($N324=1,$T324&lt;&gt;"Sim"),IF($I324="Líder Técnico",$K324,IF($I324="GP",$J324,"CALIBRAR")),"CALIBRAR")))))</f>
        <v/>
      </c>
      <c r="P324" s="19" t="n"/>
      <c r="Q324" s="19" t="n"/>
      <c r="R324" s="14">
        <f>IF($P324="","",IF(AND(ISNUMBER($J324),$P324=$J324,ISNUMBER($K324),$P324=$K324),"= ambos",IF(AND(ISNUMBER($J324),$P324=$J324),"= GP",IF(AND(ISNUMBER($K324),$P324=$K324),"= LT","nenhuma das duas"))))</f>
        <v/>
      </c>
      <c r="S324" s="19" t="n"/>
      <c r="T324" s="19" t="n"/>
      <c r="U324" s="14">
        <f>IF($C324="","",COUNTIFS('Ocorrências'!$V$5:$V$604,$C324&amp;"|"&amp;$B324&amp;"|"&amp;$G324,'Ocorrências'!$X$5:$X$604,"Sim"))</f>
        <v/>
      </c>
      <c r="V324" s="14">
        <f>IF($P324="","",IF(OR($P324=1,$P324=2,$P324=5),IF($U324&gt;0,"OK","SEM LASTRO"),"OK"))</f>
        <v/>
      </c>
      <c r="W324" s="19" t="n"/>
      <c r="X324" s="18" t="n"/>
      <c r="Y324" s="14">
        <f>IF($C324="","",$C324&amp;"|"&amp;$B324)</f>
        <v/>
      </c>
      <c r="Z324" s="14">
        <f>IF($C324="","",$C324&amp;"|"&amp;$B324&amp;"|"&amp;$H324)</f>
        <v/>
      </c>
      <c r="AA324" s="14">
        <f>IF($C324="","",$C324&amp;"|"&amp;$B324&amp;"|"&amp;$G324)</f>
        <v/>
      </c>
    </row>
    <row r="325">
      <c r="A325" s="19" t="n"/>
      <c r="B325" s="14">
        <f>IF($A325="","",VALUE(LEFT($A325,4))*4+VALUE(RIGHT($A325,1)))</f>
        <v/>
      </c>
      <c r="C325" s="19" t="n"/>
      <c r="D325" s="14">
        <f>IFERROR(INDEX(Pessoas!$B$5:$B$64,MATCH($C325,Pessoas!$A$5:$A$64,0)),"")</f>
        <v/>
      </c>
      <c r="E325" s="19" t="n"/>
      <c r="F325" s="14">
        <f>IFERROR(INDEX(Pessoas!$D$5:$D$64,MATCH($C325,Pessoas!$A$5:$A$64,0)),"")</f>
        <v/>
      </c>
      <c r="G325" s="19" t="n"/>
      <c r="H325" s="14">
        <f>IFERROR(INDEX(Config!$B$40:$B$45,MATCH($G325,Config!$C$40:$C$45,0)),"")</f>
        <v/>
      </c>
      <c r="I325" s="14">
        <f>IFERROR(INDEX(Config!$D$40:$D$45,MATCH($G325,Config!$C$40:$C$45,0)),"")</f>
        <v/>
      </c>
      <c r="J325" s="19" t="n"/>
      <c r="K325" s="19" t="n"/>
      <c r="L325" s="19" t="n"/>
      <c r="M325" s="19" t="n"/>
      <c r="N325" s="14">
        <f>IF(AND(ISNUMBER($J325),ISNUMBER($K325)),ABS($J325-$K325),"")</f>
        <v/>
      </c>
      <c r="O325" s="14">
        <f>IF(AND(NOT(ISNUMBER($J325)),NOT(ISNUMBER($K325))),"",IF(NOT(ISNUMBER($K325)),$J325,IF(NOT(ISNUMBER($J325)),$K325,IF($N325=0,$J325,IF(AND($N325=1,$T325&lt;&gt;"Sim"),IF($I325="Líder Técnico",$K325,IF($I325="GP",$J325,"CALIBRAR")),"CALIBRAR")))))</f>
        <v/>
      </c>
      <c r="P325" s="19" t="n"/>
      <c r="Q325" s="19" t="n"/>
      <c r="R325" s="14">
        <f>IF($P325="","",IF(AND(ISNUMBER($J325),$P325=$J325,ISNUMBER($K325),$P325=$K325),"= ambos",IF(AND(ISNUMBER($J325),$P325=$J325),"= GP",IF(AND(ISNUMBER($K325),$P325=$K325),"= LT","nenhuma das duas"))))</f>
        <v/>
      </c>
      <c r="S325" s="19" t="n"/>
      <c r="T325" s="19" t="n"/>
      <c r="U325" s="14">
        <f>IF($C325="","",COUNTIFS('Ocorrências'!$V$5:$V$604,$C325&amp;"|"&amp;$B325&amp;"|"&amp;$G325,'Ocorrências'!$X$5:$X$604,"Sim"))</f>
        <v/>
      </c>
      <c r="V325" s="14">
        <f>IF($P325="","",IF(OR($P325=1,$P325=2,$P325=5),IF($U325&gt;0,"OK","SEM LASTRO"),"OK"))</f>
        <v/>
      </c>
      <c r="W325" s="19" t="n"/>
      <c r="X325" s="18" t="n"/>
      <c r="Y325" s="14">
        <f>IF($C325="","",$C325&amp;"|"&amp;$B325)</f>
        <v/>
      </c>
      <c r="Z325" s="14">
        <f>IF($C325="","",$C325&amp;"|"&amp;$B325&amp;"|"&amp;$H325)</f>
        <v/>
      </c>
      <c r="AA325" s="14">
        <f>IF($C325="","",$C325&amp;"|"&amp;$B325&amp;"|"&amp;$G325)</f>
        <v/>
      </c>
    </row>
    <row r="326">
      <c r="A326" s="19" t="n"/>
      <c r="B326" s="14">
        <f>IF($A326="","",VALUE(LEFT($A326,4))*4+VALUE(RIGHT($A326,1)))</f>
        <v/>
      </c>
      <c r="C326" s="19" t="n"/>
      <c r="D326" s="14">
        <f>IFERROR(INDEX(Pessoas!$B$5:$B$64,MATCH($C326,Pessoas!$A$5:$A$64,0)),"")</f>
        <v/>
      </c>
      <c r="E326" s="19" t="n"/>
      <c r="F326" s="14">
        <f>IFERROR(INDEX(Pessoas!$D$5:$D$64,MATCH($C326,Pessoas!$A$5:$A$64,0)),"")</f>
        <v/>
      </c>
      <c r="G326" s="19" t="n"/>
      <c r="H326" s="14">
        <f>IFERROR(INDEX(Config!$B$40:$B$45,MATCH($G326,Config!$C$40:$C$45,0)),"")</f>
        <v/>
      </c>
      <c r="I326" s="14">
        <f>IFERROR(INDEX(Config!$D$40:$D$45,MATCH($G326,Config!$C$40:$C$45,0)),"")</f>
        <v/>
      </c>
      <c r="J326" s="19" t="n"/>
      <c r="K326" s="19" t="n"/>
      <c r="L326" s="19" t="n"/>
      <c r="M326" s="19" t="n"/>
      <c r="N326" s="14">
        <f>IF(AND(ISNUMBER($J326),ISNUMBER($K326)),ABS($J326-$K326),"")</f>
        <v/>
      </c>
      <c r="O326" s="14">
        <f>IF(AND(NOT(ISNUMBER($J326)),NOT(ISNUMBER($K326))),"",IF(NOT(ISNUMBER($K326)),$J326,IF(NOT(ISNUMBER($J326)),$K326,IF($N326=0,$J326,IF(AND($N326=1,$T326&lt;&gt;"Sim"),IF($I326="Líder Técnico",$K326,IF($I326="GP",$J326,"CALIBRAR")),"CALIBRAR")))))</f>
        <v/>
      </c>
      <c r="P326" s="19" t="n"/>
      <c r="Q326" s="19" t="n"/>
      <c r="R326" s="14">
        <f>IF($P326="","",IF(AND(ISNUMBER($J326),$P326=$J326,ISNUMBER($K326),$P326=$K326),"= ambos",IF(AND(ISNUMBER($J326),$P326=$J326),"= GP",IF(AND(ISNUMBER($K326),$P326=$K326),"= LT","nenhuma das duas"))))</f>
        <v/>
      </c>
      <c r="S326" s="19" t="n"/>
      <c r="T326" s="19" t="n"/>
      <c r="U326" s="14">
        <f>IF($C326="","",COUNTIFS('Ocorrências'!$V$5:$V$604,$C326&amp;"|"&amp;$B326&amp;"|"&amp;$G326,'Ocorrências'!$X$5:$X$604,"Sim"))</f>
        <v/>
      </c>
      <c r="V326" s="14">
        <f>IF($P326="","",IF(OR($P326=1,$P326=2,$P326=5),IF($U326&gt;0,"OK","SEM LASTRO"),"OK"))</f>
        <v/>
      </c>
      <c r="W326" s="19" t="n"/>
      <c r="X326" s="18" t="n"/>
      <c r="Y326" s="14">
        <f>IF($C326="","",$C326&amp;"|"&amp;$B326)</f>
        <v/>
      </c>
      <c r="Z326" s="14">
        <f>IF($C326="","",$C326&amp;"|"&amp;$B326&amp;"|"&amp;$H326)</f>
        <v/>
      </c>
      <c r="AA326" s="14">
        <f>IF($C326="","",$C326&amp;"|"&amp;$B326&amp;"|"&amp;$G326)</f>
        <v/>
      </c>
    </row>
    <row r="327">
      <c r="A327" s="19" t="n"/>
      <c r="B327" s="14">
        <f>IF($A327="","",VALUE(LEFT($A327,4))*4+VALUE(RIGHT($A327,1)))</f>
        <v/>
      </c>
      <c r="C327" s="19" t="n"/>
      <c r="D327" s="14">
        <f>IFERROR(INDEX(Pessoas!$B$5:$B$64,MATCH($C327,Pessoas!$A$5:$A$64,0)),"")</f>
        <v/>
      </c>
      <c r="E327" s="19" t="n"/>
      <c r="F327" s="14">
        <f>IFERROR(INDEX(Pessoas!$D$5:$D$64,MATCH($C327,Pessoas!$A$5:$A$64,0)),"")</f>
        <v/>
      </c>
      <c r="G327" s="19" t="n"/>
      <c r="H327" s="14">
        <f>IFERROR(INDEX(Config!$B$40:$B$45,MATCH($G327,Config!$C$40:$C$45,0)),"")</f>
        <v/>
      </c>
      <c r="I327" s="14">
        <f>IFERROR(INDEX(Config!$D$40:$D$45,MATCH($G327,Config!$C$40:$C$45,0)),"")</f>
        <v/>
      </c>
      <c r="J327" s="19" t="n"/>
      <c r="K327" s="19" t="n"/>
      <c r="L327" s="19" t="n"/>
      <c r="M327" s="19" t="n"/>
      <c r="N327" s="14">
        <f>IF(AND(ISNUMBER($J327),ISNUMBER($K327)),ABS($J327-$K327),"")</f>
        <v/>
      </c>
      <c r="O327" s="14">
        <f>IF(AND(NOT(ISNUMBER($J327)),NOT(ISNUMBER($K327))),"",IF(NOT(ISNUMBER($K327)),$J327,IF(NOT(ISNUMBER($J327)),$K327,IF($N327=0,$J327,IF(AND($N327=1,$T327&lt;&gt;"Sim"),IF($I327="Líder Técnico",$K327,IF($I327="GP",$J327,"CALIBRAR")),"CALIBRAR")))))</f>
        <v/>
      </c>
      <c r="P327" s="19" t="n"/>
      <c r="Q327" s="19" t="n"/>
      <c r="R327" s="14">
        <f>IF($P327="","",IF(AND(ISNUMBER($J327),$P327=$J327,ISNUMBER($K327),$P327=$K327),"= ambos",IF(AND(ISNUMBER($J327),$P327=$J327),"= GP",IF(AND(ISNUMBER($K327),$P327=$K327),"= LT","nenhuma das duas"))))</f>
        <v/>
      </c>
      <c r="S327" s="19" t="n"/>
      <c r="T327" s="19" t="n"/>
      <c r="U327" s="14">
        <f>IF($C327="","",COUNTIFS('Ocorrências'!$V$5:$V$604,$C327&amp;"|"&amp;$B327&amp;"|"&amp;$G327,'Ocorrências'!$X$5:$X$604,"Sim"))</f>
        <v/>
      </c>
      <c r="V327" s="14">
        <f>IF($P327="","",IF(OR($P327=1,$P327=2,$P327=5),IF($U327&gt;0,"OK","SEM LASTRO"),"OK"))</f>
        <v/>
      </c>
      <c r="W327" s="19" t="n"/>
      <c r="X327" s="18" t="n"/>
      <c r="Y327" s="14">
        <f>IF($C327="","",$C327&amp;"|"&amp;$B327)</f>
        <v/>
      </c>
      <c r="Z327" s="14">
        <f>IF($C327="","",$C327&amp;"|"&amp;$B327&amp;"|"&amp;$H327)</f>
        <v/>
      </c>
      <c r="AA327" s="14">
        <f>IF($C327="","",$C327&amp;"|"&amp;$B327&amp;"|"&amp;$G327)</f>
        <v/>
      </c>
    </row>
    <row r="328">
      <c r="A328" s="19" t="n"/>
      <c r="B328" s="14">
        <f>IF($A328="","",VALUE(LEFT($A328,4))*4+VALUE(RIGHT($A328,1)))</f>
        <v/>
      </c>
      <c r="C328" s="19" t="n"/>
      <c r="D328" s="14">
        <f>IFERROR(INDEX(Pessoas!$B$5:$B$64,MATCH($C328,Pessoas!$A$5:$A$64,0)),"")</f>
        <v/>
      </c>
      <c r="E328" s="19" t="n"/>
      <c r="F328" s="14">
        <f>IFERROR(INDEX(Pessoas!$D$5:$D$64,MATCH($C328,Pessoas!$A$5:$A$64,0)),"")</f>
        <v/>
      </c>
      <c r="G328" s="19" t="n"/>
      <c r="H328" s="14">
        <f>IFERROR(INDEX(Config!$B$40:$B$45,MATCH($G328,Config!$C$40:$C$45,0)),"")</f>
        <v/>
      </c>
      <c r="I328" s="14">
        <f>IFERROR(INDEX(Config!$D$40:$D$45,MATCH($G328,Config!$C$40:$C$45,0)),"")</f>
        <v/>
      </c>
      <c r="J328" s="19" t="n"/>
      <c r="K328" s="19" t="n"/>
      <c r="L328" s="19" t="n"/>
      <c r="M328" s="19" t="n"/>
      <c r="N328" s="14">
        <f>IF(AND(ISNUMBER($J328),ISNUMBER($K328)),ABS($J328-$K328),"")</f>
        <v/>
      </c>
      <c r="O328" s="14">
        <f>IF(AND(NOT(ISNUMBER($J328)),NOT(ISNUMBER($K328))),"",IF(NOT(ISNUMBER($K328)),$J328,IF(NOT(ISNUMBER($J328)),$K328,IF($N328=0,$J328,IF(AND($N328=1,$T328&lt;&gt;"Sim"),IF($I328="Líder Técnico",$K328,IF($I328="GP",$J328,"CALIBRAR")),"CALIBRAR")))))</f>
        <v/>
      </c>
      <c r="P328" s="19" t="n"/>
      <c r="Q328" s="19" t="n"/>
      <c r="R328" s="14">
        <f>IF($P328="","",IF(AND(ISNUMBER($J328),$P328=$J328,ISNUMBER($K328),$P328=$K328),"= ambos",IF(AND(ISNUMBER($J328),$P328=$J328),"= GP",IF(AND(ISNUMBER($K328),$P328=$K328),"= LT","nenhuma das duas"))))</f>
        <v/>
      </c>
      <c r="S328" s="19" t="n"/>
      <c r="T328" s="19" t="n"/>
      <c r="U328" s="14">
        <f>IF($C328="","",COUNTIFS('Ocorrências'!$V$5:$V$604,$C328&amp;"|"&amp;$B328&amp;"|"&amp;$G328,'Ocorrências'!$X$5:$X$604,"Sim"))</f>
        <v/>
      </c>
      <c r="V328" s="14">
        <f>IF($P328="","",IF(OR($P328=1,$P328=2,$P328=5),IF($U328&gt;0,"OK","SEM LASTRO"),"OK"))</f>
        <v/>
      </c>
      <c r="W328" s="19" t="n"/>
      <c r="X328" s="18" t="n"/>
      <c r="Y328" s="14">
        <f>IF($C328="","",$C328&amp;"|"&amp;$B328)</f>
        <v/>
      </c>
      <c r="Z328" s="14">
        <f>IF($C328="","",$C328&amp;"|"&amp;$B328&amp;"|"&amp;$H328)</f>
        <v/>
      </c>
      <c r="AA328" s="14">
        <f>IF($C328="","",$C328&amp;"|"&amp;$B328&amp;"|"&amp;$G328)</f>
        <v/>
      </c>
    </row>
    <row r="329">
      <c r="A329" s="19" t="n"/>
      <c r="B329" s="14">
        <f>IF($A329="","",VALUE(LEFT($A329,4))*4+VALUE(RIGHT($A329,1)))</f>
        <v/>
      </c>
      <c r="C329" s="19" t="n"/>
      <c r="D329" s="14">
        <f>IFERROR(INDEX(Pessoas!$B$5:$B$64,MATCH($C329,Pessoas!$A$5:$A$64,0)),"")</f>
        <v/>
      </c>
      <c r="E329" s="19" t="n"/>
      <c r="F329" s="14">
        <f>IFERROR(INDEX(Pessoas!$D$5:$D$64,MATCH($C329,Pessoas!$A$5:$A$64,0)),"")</f>
        <v/>
      </c>
      <c r="G329" s="19" t="n"/>
      <c r="H329" s="14">
        <f>IFERROR(INDEX(Config!$B$40:$B$45,MATCH($G329,Config!$C$40:$C$45,0)),"")</f>
        <v/>
      </c>
      <c r="I329" s="14">
        <f>IFERROR(INDEX(Config!$D$40:$D$45,MATCH($G329,Config!$C$40:$C$45,0)),"")</f>
        <v/>
      </c>
      <c r="J329" s="19" t="n"/>
      <c r="K329" s="19" t="n"/>
      <c r="L329" s="19" t="n"/>
      <c r="M329" s="19" t="n"/>
      <c r="N329" s="14">
        <f>IF(AND(ISNUMBER($J329),ISNUMBER($K329)),ABS($J329-$K329),"")</f>
        <v/>
      </c>
      <c r="O329" s="14">
        <f>IF(AND(NOT(ISNUMBER($J329)),NOT(ISNUMBER($K329))),"",IF(NOT(ISNUMBER($K329)),$J329,IF(NOT(ISNUMBER($J329)),$K329,IF($N329=0,$J329,IF(AND($N329=1,$T329&lt;&gt;"Sim"),IF($I329="Líder Técnico",$K329,IF($I329="GP",$J329,"CALIBRAR")),"CALIBRAR")))))</f>
        <v/>
      </c>
      <c r="P329" s="19" t="n"/>
      <c r="Q329" s="19" t="n"/>
      <c r="R329" s="14">
        <f>IF($P329="","",IF(AND(ISNUMBER($J329),$P329=$J329,ISNUMBER($K329),$P329=$K329),"= ambos",IF(AND(ISNUMBER($J329),$P329=$J329),"= GP",IF(AND(ISNUMBER($K329),$P329=$K329),"= LT","nenhuma das duas"))))</f>
        <v/>
      </c>
      <c r="S329" s="19" t="n"/>
      <c r="T329" s="19" t="n"/>
      <c r="U329" s="14">
        <f>IF($C329="","",COUNTIFS('Ocorrências'!$V$5:$V$604,$C329&amp;"|"&amp;$B329&amp;"|"&amp;$G329,'Ocorrências'!$X$5:$X$604,"Sim"))</f>
        <v/>
      </c>
      <c r="V329" s="14">
        <f>IF($P329="","",IF(OR($P329=1,$P329=2,$P329=5),IF($U329&gt;0,"OK","SEM LASTRO"),"OK"))</f>
        <v/>
      </c>
      <c r="W329" s="19" t="n"/>
      <c r="X329" s="18" t="n"/>
      <c r="Y329" s="14">
        <f>IF($C329="","",$C329&amp;"|"&amp;$B329)</f>
        <v/>
      </c>
      <c r="Z329" s="14">
        <f>IF($C329="","",$C329&amp;"|"&amp;$B329&amp;"|"&amp;$H329)</f>
        <v/>
      </c>
      <c r="AA329" s="14">
        <f>IF($C329="","",$C329&amp;"|"&amp;$B329&amp;"|"&amp;$G329)</f>
        <v/>
      </c>
    </row>
    <row r="330">
      <c r="A330" s="19" t="n"/>
      <c r="B330" s="14">
        <f>IF($A330="","",VALUE(LEFT($A330,4))*4+VALUE(RIGHT($A330,1)))</f>
        <v/>
      </c>
      <c r="C330" s="19" t="n"/>
      <c r="D330" s="14">
        <f>IFERROR(INDEX(Pessoas!$B$5:$B$64,MATCH($C330,Pessoas!$A$5:$A$64,0)),"")</f>
        <v/>
      </c>
      <c r="E330" s="19" t="n"/>
      <c r="F330" s="14">
        <f>IFERROR(INDEX(Pessoas!$D$5:$D$64,MATCH($C330,Pessoas!$A$5:$A$64,0)),"")</f>
        <v/>
      </c>
      <c r="G330" s="19" t="n"/>
      <c r="H330" s="14">
        <f>IFERROR(INDEX(Config!$B$40:$B$45,MATCH($G330,Config!$C$40:$C$45,0)),"")</f>
        <v/>
      </c>
      <c r="I330" s="14">
        <f>IFERROR(INDEX(Config!$D$40:$D$45,MATCH($G330,Config!$C$40:$C$45,0)),"")</f>
        <v/>
      </c>
      <c r="J330" s="19" t="n"/>
      <c r="K330" s="19" t="n"/>
      <c r="L330" s="19" t="n"/>
      <c r="M330" s="19" t="n"/>
      <c r="N330" s="14">
        <f>IF(AND(ISNUMBER($J330),ISNUMBER($K330)),ABS($J330-$K330),"")</f>
        <v/>
      </c>
      <c r="O330" s="14">
        <f>IF(AND(NOT(ISNUMBER($J330)),NOT(ISNUMBER($K330))),"",IF(NOT(ISNUMBER($K330)),$J330,IF(NOT(ISNUMBER($J330)),$K330,IF($N330=0,$J330,IF(AND($N330=1,$T330&lt;&gt;"Sim"),IF($I330="Líder Técnico",$K330,IF($I330="GP",$J330,"CALIBRAR")),"CALIBRAR")))))</f>
        <v/>
      </c>
      <c r="P330" s="19" t="n"/>
      <c r="Q330" s="19" t="n"/>
      <c r="R330" s="14">
        <f>IF($P330="","",IF(AND(ISNUMBER($J330),$P330=$J330,ISNUMBER($K330),$P330=$K330),"= ambos",IF(AND(ISNUMBER($J330),$P330=$J330),"= GP",IF(AND(ISNUMBER($K330),$P330=$K330),"= LT","nenhuma das duas"))))</f>
        <v/>
      </c>
      <c r="S330" s="19" t="n"/>
      <c r="T330" s="19" t="n"/>
      <c r="U330" s="14">
        <f>IF($C330="","",COUNTIFS('Ocorrências'!$V$5:$V$604,$C330&amp;"|"&amp;$B330&amp;"|"&amp;$G330,'Ocorrências'!$X$5:$X$604,"Sim"))</f>
        <v/>
      </c>
      <c r="V330" s="14">
        <f>IF($P330="","",IF(OR($P330=1,$P330=2,$P330=5),IF($U330&gt;0,"OK","SEM LASTRO"),"OK"))</f>
        <v/>
      </c>
      <c r="W330" s="19" t="n"/>
      <c r="X330" s="18" t="n"/>
      <c r="Y330" s="14">
        <f>IF($C330="","",$C330&amp;"|"&amp;$B330)</f>
        <v/>
      </c>
      <c r="Z330" s="14">
        <f>IF($C330="","",$C330&amp;"|"&amp;$B330&amp;"|"&amp;$H330)</f>
        <v/>
      </c>
      <c r="AA330" s="14">
        <f>IF($C330="","",$C330&amp;"|"&amp;$B330&amp;"|"&amp;$G330)</f>
        <v/>
      </c>
    </row>
    <row r="331">
      <c r="A331" s="19" t="n"/>
      <c r="B331" s="14">
        <f>IF($A331="","",VALUE(LEFT($A331,4))*4+VALUE(RIGHT($A331,1)))</f>
        <v/>
      </c>
      <c r="C331" s="19" t="n"/>
      <c r="D331" s="14">
        <f>IFERROR(INDEX(Pessoas!$B$5:$B$64,MATCH($C331,Pessoas!$A$5:$A$64,0)),"")</f>
        <v/>
      </c>
      <c r="E331" s="19" t="n"/>
      <c r="F331" s="14">
        <f>IFERROR(INDEX(Pessoas!$D$5:$D$64,MATCH($C331,Pessoas!$A$5:$A$64,0)),"")</f>
        <v/>
      </c>
      <c r="G331" s="19" t="n"/>
      <c r="H331" s="14">
        <f>IFERROR(INDEX(Config!$B$40:$B$45,MATCH($G331,Config!$C$40:$C$45,0)),"")</f>
        <v/>
      </c>
      <c r="I331" s="14">
        <f>IFERROR(INDEX(Config!$D$40:$D$45,MATCH($G331,Config!$C$40:$C$45,0)),"")</f>
        <v/>
      </c>
      <c r="J331" s="19" t="n"/>
      <c r="K331" s="19" t="n"/>
      <c r="L331" s="19" t="n"/>
      <c r="M331" s="19" t="n"/>
      <c r="N331" s="14">
        <f>IF(AND(ISNUMBER($J331),ISNUMBER($K331)),ABS($J331-$K331),"")</f>
        <v/>
      </c>
      <c r="O331" s="14">
        <f>IF(AND(NOT(ISNUMBER($J331)),NOT(ISNUMBER($K331))),"",IF(NOT(ISNUMBER($K331)),$J331,IF(NOT(ISNUMBER($J331)),$K331,IF($N331=0,$J331,IF(AND($N331=1,$T331&lt;&gt;"Sim"),IF($I331="Líder Técnico",$K331,IF($I331="GP",$J331,"CALIBRAR")),"CALIBRAR")))))</f>
        <v/>
      </c>
      <c r="P331" s="19" t="n"/>
      <c r="Q331" s="19" t="n"/>
      <c r="R331" s="14">
        <f>IF($P331="","",IF(AND(ISNUMBER($J331),$P331=$J331,ISNUMBER($K331),$P331=$K331),"= ambos",IF(AND(ISNUMBER($J331),$P331=$J331),"= GP",IF(AND(ISNUMBER($K331),$P331=$K331),"= LT","nenhuma das duas"))))</f>
        <v/>
      </c>
      <c r="S331" s="19" t="n"/>
      <c r="T331" s="19" t="n"/>
      <c r="U331" s="14">
        <f>IF($C331="","",COUNTIFS('Ocorrências'!$V$5:$V$604,$C331&amp;"|"&amp;$B331&amp;"|"&amp;$G331,'Ocorrências'!$X$5:$X$604,"Sim"))</f>
        <v/>
      </c>
      <c r="V331" s="14">
        <f>IF($P331="","",IF(OR($P331=1,$P331=2,$P331=5),IF($U331&gt;0,"OK","SEM LASTRO"),"OK"))</f>
        <v/>
      </c>
      <c r="W331" s="19" t="n"/>
      <c r="X331" s="18" t="n"/>
      <c r="Y331" s="14">
        <f>IF($C331="","",$C331&amp;"|"&amp;$B331)</f>
        <v/>
      </c>
      <c r="Z331" s="14">
        <f>IF($C331="","",$C331&amp;"|"&amp;$B331&amp;"|"&amp;$H331)</f>
        <v/>
      </c>
      <c r="AA331" s="14">
        <f>IF($C331="","",$C331&amp;"|"&amp;$B331&amp;"|"&amp;$G331)</f>
        <v/>
      </c>
    </row>
    <row r="332">
      <c r="A332" s="19" t="n"/>
      <c r="B332" s="14">
        <f>IF($A332="","",VALUE(LEFT($A332,4))*4+VALUE(RIGHT($A332,1)))</f>
        <v/>
      </c>
      <c r="C332" s="19" t="n"/>
      <c r="D332" s="14">
        <f>IFERROR(INDEX(Pessoas!$B$5:$B$64,MATCH($C332,Pessoas!$A$5:$A$64,0)),"")</f>
        <v/>
      </c>
      <c r="E332" s="19" t="n"/>
      <c r="F332" s="14">
        <f>IFERROR(INDEX(Pessoas!$D$5:$D$64,MATCH($C332,Pessoas!$A$5:$A$64,0)),"")</f>
        <v/>
      </c>
      <c r="G332" s="19" t="n"/>
      <c r="H332" s="14">
        <f>IFERROR(INDEX(Config!$B$40:$B$45,MATCH($G332,Config!$C$40:$C$45,0)),"")</f>
        <v/>
      </c>
      <c r="I332" s="14">
        <f>IFERROR(INDEX(Config!$D$40:$D$45,MATCH($G332,Config!$C$40:$C$45,0)),"")</f>
        <v/>
      </c>
      <c r="J332" s="19" t="n"/>
      <c r="K332" s="19" t="n"/>
      <c r="L332" s="19" t="n"/>
      <c r="M332" s="19" t="n"/>
      <c r="N332" s="14">
        <f>IF(AND(ISNUMBER($J332),ISNUMBER($K332)),ABS($J332-$K332),"")</f>
        <v/>
      </c>
      <c r="O332" s="14">
        <f>IF(AND(NOT(ISNUMBER($J332)),NOT(ISNUMBER($K332))),"",IF(NOT(ISNUMBER($K332)),$J332,IF(NOT(ISNUMBER($J332)),$K332,IF($N332=0,$J332,IF(AND($N332=1,$T332&lt;&gt;"Sim"),IF($I332="Líder Técnico",$K332,IF($I332="GP",$J332,"CALIBRAR")),"CALIBRAR")))))</f>
        <v/>
      </c>
      <c r="P332" s="19" t="n"/>
      <c r="Q332" s="19" t="n"/>
      <c r="R332" s="14">
        <f>IF($P332="","",IF(AND(ISNUMBER($J332),$P332=$J332,ISNUMBER($K332),$P332=$K332),"= ambos",IF(AND(ISNUMBER($J332),$P332=$J332),"= GP",IF(AND(ISNUMBER($K332),$P332=$K332),"= LT","nenhuma das duas"))))</f>
        <v/>
      </c>
      <c r="S332" s="19" t="n"/>
      <c r="T332" s="19" t="n"/>
      <c r="U332" s="14">
        <f>IF($C332="","",COUNTIFS('Ocorrências'!$V$5:$V$604,$C332&amp;"|"&amp;$B332&amp;"|"&amp;$G332,'Ocorrências'!$X$5:$X$604,"Sim"))</f>
        <v/>
      </c>
      <c r="V332" s="14">
        <f>IF($P332="","",IF(OR($P332=1,$P332=2,$P332=5),IF($U332&gt;0,"OK","SEM LASTRO"),"OK"))</f>
        <v/>
      </c>
      <c r="W332" s="19" t="n"/>
      <c r="X332" s="18" t="n"/>
      <c r="Y332" s="14">
        <f>IF($C332="","",$C332&amp;"|"&amp;$B332)</f>
        <v/>
      </c>
      <c r="Z332" s="14">
        <f>IF($C332="","",$C332&amp;"|"&amp;$B332&amp;"|"&amp;$H332)</f>
        <v/>
      </c>
      <c r="AA332" s="14">
        <f>IF($C332="","",$C332&amp;"|"&amp;$B332&amp;"|"&amp;$G332)</f>
        <v/>
      </c>
    </row>
    <row r="333">
      <c r="A333" s="19" t="n"/>
      <c r="B333" s="14">
        <f>IF($A333="","",VALUE(LEFT($A333,4))*4+VALUE(RIGHT($A333,1)))</f>
        <v/>
      </c>
      <c r="C333" s="19" t="n"/>
      <c r="D333" s="14">
        <f>IFERROR(INDEX(Pessoas!$B$5:$B$64,MATCH($C333,Pessoas!$A$5:$A$64,0)),"")</f>
        <v/>
      </c>
      <c r="E333" s="19" t="n"/>
      <c r="F333" s="14">
        <f>IFERROR(INDEX(Pessoas!$D$5:$D$64,MATCH($C333,Pessoas!$A$5:$A$64,0)),"")</f>
        <v/>
      </c>
      <c r="G333" s="19" t="n"/>
      <c r="H333" s="14">
        <f>IFERROR(INDEX(Config!$B$40:$B$45,MATCH($G333,Config!$C$40:$C$45,0)),"")</f>
        <v/>
      </c>
      <c r="I333" s="14">
        <f>IFERROR(INDEX(Config!$D$40:$D$45,MATCH($G333,Config!$C$40:$C$45,0)),"")</f>
        <v/>
      </c>
      <c r="J333" s="19" t="n"/>
      <c r="K333" s="19" t="n"/>
      <c r="L333" s="19" t="n"/>
      <c r="M333" s="19" t="n"/>
      <c r="N333" s="14">
        <f>IF(AND(ISNUMBER($J333),ISNUMBER($K333)),ABS($J333-$K333),"")</f>
        <v/>
      </c>
      <c r="O333" s="14">
        <f>IF(AND(NOT(ISNUMBER($J333)),NOT(ISNUMBER($K333))),"",IF(NOT(ISNUMBER($K333)),$J333,IF(NOT(ISNUMBER($J333)),$K333,IF($N333=0,$J333,IF(AND($N333=1,$T333&lt;&gt;"Sim"),IF($I333="Líder Técnico",$K333,IF($I333="GP",$J333,"CALIBRAR")),"CALIBRAR")))))</f>
        <v/>
      </c>
      <c r="P333" s="19" t="n"/>
      <c r="Q333" s="19" t="n"/>
      <c r="R333" s="14">
        <f>IF($P333="","",IF(AND(ISNUMBER($J333),$P333=$J333,ISNUMBER($K333),$P333=$K333),"= ambos",IF(AND(ISNUMBER($J333),$P333=$J333),"= GP",IF(AND(ISNUMBER($K333),$P333=$K333),"= LT","nenhuma das duas"))))</f>
        <v/>
      </c>
      <c r="S333" s="19" t="n"/>
      <c r="T333" s="19" t="n"/>
      <c r="U333" s="14">
        <f>IF($C333="","",COUNTIFS('Ocorrências'!$V$5:$V$604,$C333&amp;"|"&amp;$B333&amp;"|"&amp;$G333,'Ocorrências'!$X$5:$X$604,"Sim"))</f>
        <v/>
      </c>
      <c r="V333" s="14">
        <f>IF($P333="","",IF(OR($P333=1,$P333=2,$P333=5),IF($U333&gt;0,"OK","SEM LASTRO"),"OK"))</f>
        <v/>
      </c>
      <c r="W333" s="19" t="n"/>
      <c r="X333" s="18" t="n"/>
      <c r="Y333" s="14">
        <f>IF($C333="","",$C333&amp;"|"&amp;$B333)</f>
        <v/>
      </c>
      <c r="Z333" s="14">
        <f>IF($C333="","",$C333&amp;"|"&amp;$B333&amp;"|"&amp;$H333)</f>
        <v/>
      </c>
      <c r="AA333" s="14">
        <f>IF($C333="","",$C333&amp;"|"&amp;$B333&amp;"|"&amp;$G333)</f>
        <v/>
      </c>
    </row>
    <row r="334">
      <c r="A334" s="19" t="n"/>
      <c r="B334" s="14">
        <f>IF($A334="","",VALUE(LEFT($A334,4))*4+VALUE(RIGHT($A334,1)))</f>
        <v/>
      </c>
      <c r="C334" s="19" t="n"/>
      <c r="D334" s="14">
        <f>IFERROR(INDEX(Pessoas!$B$5:$B$64,MATCH($C334,Pessoas!$A$5:$A$64,0)),"")</f>
        <v/>
      </c>
      <c r="E334" s="19" t="n"/>
      <c r="F334" s="14">
        <f>IFERROR(INDEX(Pessoas!$D$5:$D$64,MATCH($C334,Pessoas!$A$5:$A$64,0)),"")</f>
        <v/>
      </c>
      <c r="G334" s="19" t="n"/>
      <c r="H334" s="14">
        <f>IFERROR(INDEX(Config!$B$40:$B$45,MATCH($G334,Config!$C$40:$C$45,0)),"")</f>
        <v/>
      </c>
      <c r="I334" s="14">
        <f>IFERROR(INDEX(Config!$D$40:$D$45,MATCH($G334,Config!$C$40:$C$45,0)),"")</f>
        <v/>
      </c>
      <c r="J334" s="19" t="n"/>
      <c r="K334" s="19" t="n"/>
      <c r="L334" s="19" t="n"/>
      <c r="M334" s="19" t="n"/>
      <c r="N334" s="14">
        <f>IF(AND(ISNUMBER($J334),ISNUMBER($K334)),ABS($J334-$K334),"")</f>
        <v/>
      </c>
      <c r="O334" s="14">
        <f>IF(AND(NOT(ISNUMBER($J334)),NOT(ISNUMBER($K334))),"",IF(NOT(ISNUMBER($K334)),$J334,IF(NOT(ISNUMBER($J334)),$K334,IF($N334=0,$J334,IF(AND($N334=1,$T334&lt;&gt;"Sim"),IF($I334="Líder Técnico",$K334,IF($I334="GP",$J334,"CALIBRAR")),"CALIBRAR")))))</f>
        <v/>
      </c>
      <c r="P334" s="19" t="n"/>
      <c r="Q334" s="19" t="n"/>
      <c r="R334" s="14">
        <f>IF($P334="","",IF(AND(ISNUMBER($J334),$P334=$J334,ISNUMBER($K334),$P334=$K334),"= ambos",IF(AND(ISNUMBER($J334),$P334=$J334),"= GP",IF(AND(ISNUMBER($K334),$P334=$K334),"= LT","nenhuma das duas"))))</f>
        <v/>
      </c>
      <c r="S334" s="19" t="n"/>
      <c r="T334" s="19" t="n"/>
      <c r="U334" s="14">
        <f>IF($C334="","",COUNTIFS('Ocorrências'!$V$5:$V$604,$C334&amp;"|"&amp;$B334&amp;"|"&amp;$G334,'Ocorrências'!$X$5:$X$604,"Sim"))</f>
        <v/>
      </c>
      <c r="V334" s="14">
        <f>IF($P334="","",IF(OR($P334=1,$P334=2,$P334=5),IF($U334&gt;0,"OK","SEM LASTRO"),"OK"))</f>
        <v/>
      </c>
      <c r="W334" s="19" t="n"/>
      <c r="X334" s="18" t="n"/>
      <c r="Y334" s="14">
        <f>IF($C334="","",$C334&amp;"|"&amp;$B334)</f>
        <v/>
      </c>
      <c r="Z334" s="14">
        <f>IF($C334="","",$C334&amp;"|"&amp;$B334&amp;"|"&amp;$H334)</f>
        <v/>
      </c>
      <c r="AA334" s="14">
        <f>IF($C334="","",$C334&amp;"|"&amp;$B334&amp;"|"&amp;$G334)</f>
        <v/>
      </c>
    </row>
    <row r="335">
      <c r="A335" s="19" t="n"/>
      <c r="B335" s="14">
        <f>IF($A335="","",VALUE(LEFT($A335,4))*4+VALUE(RIGHT($A335,1)))</f>
        <v/>
      </c>
      <c r="C335" s="19" t="n"/>
      <c r="D335" s="14">
        <f>IFERROR(INDEX(Pessoas!$B$5:$B$64,MATCH($C335,Pessoas!$A$5:$A$64,0)),"")</f>
        <v/>
      </c>
      <c r="E335" s="19" t="n"/>
      <c r="F335" s="14">
        <f>IFERROR(INDEX(Pessoas!$D$5:$D$64,MATCH($C335,Pessoas!$A$5:$A$64,0)),"")</f>
        <v/>
      </c>
      <c r="G335" s="19" t="n"/>
      <c r="H335" s="14">
        <f>IFERROR(INDEX(Config!$B$40:$B$45,MATCH($G335,Config!$C$40:$C$45,0)),"")</f>
        <v/>
      </c>
      <c r="I335" s="14">
        <f>IFERROR(INDEX(Config!$D$40:$D$45,MATCH($G335,Config!$C$40:$C$45,0)),"")</f>
        <v/>
      </c>
      <c r="J335" s="19" t="n"/>
      <c r="K335" s="19" t="n"/>
      <c r="L335" s="19" t="n"/>
      <c r="M335" s="19" t="n"/>
      <c r="N335" s="14">
        <f>IF(AND(ISNUMBER($J335),ISNUMBER($K335)),ABS($J335-$K335),"")</f>
        <v/>
      </c>
      <c r="O335" s="14">
        <f>IF(AND(NOT(ISNUMBER($J335)),NOT(ISNUMBER($K335))),"",IF(NOT(ISNUMBER($K335)),$J335,IF(NOT(ISNUMBER($J335)),$K335,IF($N335=0,$J335,IF(AND($N335=1,$T335&lt;&gt;"Sim"),IF($I335="Líder Técnico",$K335,IF($I335="GP",$J335,"CALIBRAR")),"CALIBRAR")))))</f>
        <v/>
      </c>
      <c r="P335" s="19" t="n"/>
      <c r="Q335" s="19" t="n"/>
      <c r="R335" s="14">
        <f>IF($P335="","",IF(AND(ISNUMBER($J335),$P335=$J335,ISNUMBER($K335),$P335=$K335),"= ambos",IF(AND(ISNUMBER($J335),$P335=$J335),"= GP",IF(AND(ISNUMBER($K335),$P335=$K335),"= LT","nenhuma das duas"))))</f>
        <v/>
      </c>
      <c r="S335" s="19" t="n"/>
      <c r="T335" s="19" t="n"/>
      <c r="U335" s="14">
        <f>IF($C335="","",COUNTIFS('Ocorrências'!$V$5:$V$604,$C335&amp;"|"&amp;$B335&amp;"|"&amp;$G335,'Ocorrências'!$X$5:$X$604,"Sim"))</f>
        <v/>
      </c>
      <c r="V335" s="14">
        <f>IF($P335="","",IF(OR($P335=1,$P335=2,$P335=5),IF($U335&gt;0,"OK","SEM LASTRO"),"OK"))</f>
        <v/>
      </c>
      <c r="W335" s="19" t="n"/>
      <c r="X335" s="18" t="n"/>
      <c r="Y335" s="14">
        <f>IF($C335="","",$C335&amp;"|"&amp;$B335)</f>
        <v/>
      </c>
      <c r="Z335" s="14">
        <f>IF($C335="","",$C335&amp;"|"&amp;$B335&amp;"|"&amp;$H335)</f>
        <v/>
      </c>
      <c r="AA335" s="14">
        <f>IF($C335="","",$C335&amp;"|"&amp;$B335&amp;"|"&amp;$G335)</f>
        <v/>
      </c>
    </row>
    <row r="336">
      <c r="A336" s="19" t="n"/>
      <c r="B336" s="14">
        <f>IF($A336="","",VALUE(LEFT($A336,4))*4+VALUE(RIGHT($A336,1)))</f>
        <v/>
      </c>
      <c r="C336" s="19" t="n"/>
      <c r="D336" s="14">
        <f>IFERROR(INDEX(Pessoas!$B$5:$B$64,MATCH($C336,Pessoas!$A$5:$A$64,0)),"")</f>
        <v/>
      </c>
      <c r="E336" s="19" t="n"/>
      <c r="F336" s="14">
        <f>IFERROR(INDEX(Pessoas!$D$5:$D$64,MATCH($C336,Pessoas!$A$5:$A$64,0)),"")</f>
        <v/>
      </c>
      <c r="G336" s="19" t="n"/>
      <c r="H336" s="14">
        <f>IFERROR(INDEX(Config!$B$40:$B$45,MATCH($G336,Config!$C$40:$C$45,0)),"")</f>
        <v/>
      </c>
      <c r="I336" s="14">
        <f>IFERROR(INDEX(Config!$D$40:$D$45,MATCH($G336,Config!$C$40:$C$45,0)),"")</f>
        <v/>
      </c>
      <c r="J336" s="19" t="n"/>
      <c r="K336" s="19" t="n"/>
      <c r="L336" s="19" t="n"/>
      <c r="M336" s="19" t="n"/>
      <c r="N336" s="14">
        <f>IF(AND(ISNUMBER($J336),ISNUMBER($K336)),ABS($J336-$K336),"")</f>
        <v/>
      </c>
      <c r="O336" s="14">
        <f>IF(AND(NOT(ISNUMBER($J336)),NOT(ISNUMBER($K336))),"",IF(NOT(ISNUMBER($K336)),$J336,IF(NOT(ISNUMBER($J336)),$K336,IF($N336=0,$J336,IF(AND($N336=1,$T336&lt;&gt;"Sim"),IF($I336="Líder Técnico",$K336,IF($I336="GP",$J336,"CALIBRAR")),"CALIBRAR")))))</f>
        <v/>
      </c>
      <c r="P336" s="19" t="n"/>
      <c r="Q336" s="19" t="n"/>
      <c r="R336" s="14">
        <f>IF($P336="","",IF(AND(ISNUMBER($J336),$P336=$J336,ISNUMBER($K336),$P336=$K336),"= ambos",IF(AND(ISNUMBER($J336),$P336=$J336),"= GP",IF(AND(ISNUMBER($K336),$P336=$K336),"= LT","nenhuma das duas"))))</f>
        <v/>
      </c>
      <c r="S336" s="19" t="n"/>
      <c r="T336" s="19" t="n"/>
      <c r="U336" s="14">
        <f>IF($C336="","",COUNTIFS('Ocorrências'!$V$5:$V$604,$C336&amp;"|"&amp;$B336&amp;"|"&amp;$G336,'Ocorrências'!$X$5:$X$604,"Sim"))</f>
        <v/>
      </c>
      <c r="V336" s="14">
        <f>IF($P336="","",IF(OR($P336=1,$P336=2,$P336=5),IF($U336&gt;0,"OK","SEM LASTRO"),"OK"))</f>
        <v/>
      </c>
      <c r="W336" s="19" t="n"/>
      <c r="X336" s="18" t="n"/>
      <c r="Y336" s="14">
        <f>IF($C336="","",$C336&amp;"|"&amp;$B336)</f>
        <v/>
      </c>
      <c r="Z336" s="14">
        <f>IF($C336="","",$C336&amp;"|"&amp;$B336&amp;"|"&amp;$H336)</f>
        <v/>
      </c>
      <c r="AA336" s="14">
        <f>IF($C336="","",$C336&amp;"|"&amp;$B336&amp;"|"&amp;$G336)</f>
        <v/>
      </c>
    </row>
    <row r="337">
      <c r="A337" s="19" t="n"/>
      <c r="B337" s="14">
        <f>IF($A337="","",VALUE(LEFT($A337,4))*4+VALUE(RIGHT($A337,1)))</f>
        <v/>
      </c>
      <c r="C337" s="19" t="n"/>
      <c r="D337" s="14">
        <f>IFERROR(INDEX(Pessoas!$B$5:$B$64,MATCH($C337,Pessoas!$A$5:$A$64,0)),"")</f>
        <v/>
      </c>
      <c r="E337" s="19" t="n"/>
      <c r="F337" s="14">
        <f>IFERROR(INDEX(Pessoas!$D$5:$D$64,MATCH($C337,Pessoas!$A$5:$A$64,0)),"")</f>
        <v/>
      </c>
      <c r="G337" s="19" t="n"/>
      <c r="H337" s="14">
        <f>IFERROR(INDEX(Config!$B$40:$B$45,MATCH($G337,Config!$C$40:$C$45,0)),"")</f>
        <v/>
      </c>
      <c r="I337" s="14">
        <f>IFERROR(INDEX(Config!$D$40:$D$45,MATCH($G337,Config!$C$40:$C$45,0)),"")</f>
        <v/>
      </c>
      <c r="J337" s="19" t="n"/>
      <c r="K337" s="19" t="n"/>
      <c r="L337" s="19" t="n"/>
      <c r="M337" s="19" t="n"/>
      <c r="N337" s="14">
        <f>IF(AND(ISNUMBER($J337),ISNUMBER($K337)),ABS($J337-$K337),"")</f>
        <v/>
      </c>
      <c r="O337" s="14">
        <f>IF(AND(NOT(ISNUMBER($J337)),NOT(ISNUMBER($K337))),"",IF(NOT(ISNUMBER($K337)),$J337,IF(NOT(ISNUMBER($J337)),$K337,IF($N337=0,$J337,IF(AND($N337=1,$T337&lt;&gt;"Sim"),IF($I337="Líder Técnico",$K337,IF($I337="GP",$J337,"CALIBRAR")),"CALIBRAR")))))</f>
        <v/>
      </c>
      <c r="P337" s="19" t="n"/>
      <c r="Q337" s="19" t="n"/>
      <c r="R337" s="14">
        <f>IF($P337="","",IF(AND(ISNUMBER($J337),$P337=$J337,ISNUMBER($K337),$P337=$K337),"= ambos",IF(AND(ISNUMBER($J337),$P337=$J337),"= GP",IF(AND(ISNUMBER($K337),$P337=$K337),"= LT","nenhuma das duas"))))</f>
        <v/>
      </c>
      <c r="S337" s="19" t="n"/>
      <c r="T337" s="19" t="n"/>
      <c r="U337" s="14">
        <f>IF($C337="","",COUNTIFS('Ocorrências'!$V$5:$V$604,$C337&amp;"|"&amp;$B337&amp;"|"&amp;$G337,'Ocorrências'!$X$5:$X$604,"Sim"))</f>
        <v/>
      </c>
      <c r="V337" s="14">
        <f>IF($P337="","",IF(OR($P337=1,$P337=2,$P337=5),IF($U337&gt;0,"OK","SEM LASTRO"),"OK"))</f>
        <v/>
      </c>
      <c r="W337" s="19" t="n"/>
      <c r="X337" s="18" t="n"/>
      <c r="Y337" s="14">
        <f>IF($C337="","",$C337&amp;"|"&amp;$B337)</f>
        <v/>
      </c>
      <c r="Z337" s="14">
        <f>IF($C337="","",$C337&amp;"|"&amp;$B337&amp;"|"&amp;$H337)</f>
        <v/>
      </c>
      <c r="AA337" s="14">
        <f>IF($C337="","",$C337&amp;"|"&amp;$B337&amp;"|"&amp;$G337)</f>
        <v/>
      </c>
    </row>
    <row r="338">
      <c r="A338" s="19" t="n"/>
      <c r="B338" s="14">
        <f>IF($A338="","",VALUE(LEFT($A338,4))*4+VALUE(RIGHT($A338,1)))</f>
        <v/>
      </c>
      <c r="C338" s="19" t="n"/>
      <c r="D338" s="14">
        <f>IFERROR(INDEX(Pessoas!$B$5:$B$64,MATCH($C338,Pessoas!$A$5:$A$64,0)),"")</f>
        <v/>
      </c>
      <c r="E338" s="19" t="n"/>
      <c r="F338" s="14">
        <f>IFERROR(INDEX(Pessoas!$D$5:$D$64,MATCH($C338,Pessoas!$A$5:$A$64,0)),"")</f>
        <v/>
      </c>
      <c r="G338" s="19" t="n"/>
      <c r="H338" s="14">
        <f>IFERROR(INDEX(Config!$B$40:$B$45,MATCH($G338,Config!$C$40:$C$45,0)),"")</f>
        <v/>
      </c>
      <c r="I338" s="14">
        <f>IFERROR(INDEX(Config!$D$40:$D$45,MATCH($G338,Config!$C$40:$C$45,0)),"")</f>
        <v/>
      </c>
      <c r="J338" s="19" t="n"/>
      <c r="K338" s="19" t="n"/>
      <c r="L338" s="19" t="n"/>
      <c r="M338" s="19" t="n"/>
      <c r="N338" s="14">
        <f>IF(AND(ISNUMBER($J338),ISNUMBER($K338)),ABS($J338-$K338),"")</f>
        <v/>
      </c>
      <c r="O338" s="14">
        <f>IF(AND(NOT(ISNUMBER($J338)),NOT(ISNUMBER($K338))),"",IF(NOT(ISNUMBER($K338)),$J338,IF(NOT(ISNUMBER($J338)),$K338,IF($N338=0,$J338,IF(AND($N338=1,$T338&lt;&gt;"Sim"),IF($I338="Líder Técnico",$K338,IF($I338="GP",$J338,"CALIBRAR")),"CALIBRAR")))))</f>
        <v/>
      </c>
      <c r="P338" s="19" t="n"/>
      <c r="Q338" s="19" t="n"/>
      <c r="R338" s="14">
        <f>IF($P338="","",IF(AND(ISNUMBER($J338),$P338=$J338,ISNUMBER($K338),$P338=$K338),"= ambos",IF(AND(ISNUMBER($J338),$P338=$J338),"= GP",IF(AND(ISNUMBER($K338),$P338=$K338),"= LT","nenhuma das duas"))))</f>
        <v/>
      </c>
      <c r="S338" s="19" t="n"/>
      <c r="T338" s="19" t="n"/>
      <c r="U338" s="14">
        <f>IF($C338="","",COUNTIFS('Ocorrências'!$V$5:$V$604,$C338&amp;"|"&amp;$B338&amp;"|"&amp;$G338,'Ocorrências'!$X$5:$X$604,"Sim"))</f>
        <v/>
      </c>
      <c r="V338" s="14">
        <f>IF($P338="","",IF(OR($P338=1,$P338=2,$P338=5),IF($U338&gt;0,"OK","SEM LASTRO"),"OK"))</f>
        <v/>
      </c>
      <c r="W338" s="19" t="n"/>
      <c r="X338" s="18" t="n"/>
      <c r="Y338" s="14">
        <f>IF($C338="","",$C338&amp;"|"&amp;$B338)</f>
        <v/>
      </c>
      <c r="Z338" s="14">
        <f>IF($C338="","",$C338&amp;"|"&amp;$B338&amp;"|"&amp;$H338)</f>
        <v/>
      </c>
      <c r="AA338" s="14">
        <f>IF($C338="","",$C338&amp;"|"&amp;$B338&amp;"|"&amp;$G338)</f>
        <v/>
      </c>
    </row>
    <row r="339">
      <c r="A339" s="19" t="n"/>
      <c r="B339" s="14">
        <f>IF($A339="","",VALUE(LEFT($A339,4))*4+VALUE(RIGHT($A339,1)))</f>
        <v/>
      </c>
      <c r="C339" s="19" t="n"/>
      <c r="D339" s="14">
        <f>IFERROR(INDEX(Pessoas!$B$5:$B$64,MATCH($C339,Pessoas!$A$5:$A$64,0)),"")</f>
        <v/>
      </c>
      <c r="E339" s="19" t="n"/>
      <c r="F339" s="14">
        <f>IFERROR(INDEX(Pessoas!$D$5:$D$64,MATCH($C339,Pessoas!$A$5:$A$64,0)),"")</f>
        <v/>
      </c>
      <c r="G339" s="19" t="n"/>
      <c r="H339" s="14">
        <f>IFERROR(INDEX(Config!$B$40:$B$45,MATCH($G339,Config!$C$40:$C$45,0)),"")</f>
        <v/>
      </c>
      <c r="I339" s="14">
        <f>IFERROR(INDEX(Config!$D$40:$D$45,MATCH($G339,Config!$C$40:$C$45,0)),"")</f>
        <v/>
      </c>
      <c r="J339" s="19" t="n"/>
      <c r="K339" s="19" t="n"/>
      <c r="L339" s="19" t="n"/>
      <c r="M339" s="19" t="n"/>
      <c r="N339" s="14">
        <f>IF(AND(ISNUMBER($J339),ISNUMBER($K339)),ABS($J339-$K339),"")</f>
        <v/>
      </c>
      <c r="O339" s="14">
        <f>IF(AND(NOT(ISNUMBER($J339)),NOT(ISNUMBER($K339))),"",IF(NOT(ISNUMBER($K339)),$J339,IF(NOT(ISNUMBER($J339)),$K339,IF($N339=0,$J339,IF(AND($N339=1,$T339&lt;&gt;"Sim"),IF($I339="Líder Técnico",$K339,IF($I339="GP",$J339,"CALIBRAR")),"CALIBRAR")))))</f>
        <v/>
      </c>
      <c r="P339" s="19" t="n"/>
      <c r="Q339" s="19" t="n"/>
      <c r="R339" s="14">
        <f>IF($P339="","",IF(AND(ISNUMBER($J339),$P339=$J339,ISNUMBER($K339),$P339=$K339),"= ambos",IF(AND(ISNUMBER($J339),$P339=$J339),"= GP",IF(AND(ISNUMBER($K339),$P339=$K339),"= LT","nenhuma das duas"))))</f>
        <v/>
      </c>
      <c r="S339" s="19" t="n"/>
      <c r="T339" s="19" t="n"/>
      <c r="U339" s="14">
        <f>IF($C339="","",COUNTIFS('Ocorrências'!$V$5:$V$604,$C339&amp;"|"&amp;$B339&amp;"|"&amp;$G339,'Ocorrências'!$X$5:$X$604,"Sim"))</f>
        <v/>
      </c>
      <c r="V339" s="14">
        <f>IF($P339="","",IF(OR($P339=1,$P339=2,$P339=5),IF($U339&gt;0,"OK","SEM LASTRO"),"OK"))</f>
        <v/>
      </c>
      <c r="W339" s="19" t="n"/>
      <c r="X339" s="18" t="n"/>
      <c r="Y339" s="14">
        <f>IF($C339="","",$C339&amp;"|"&amp;$B339)</f>
        <v/>
      </c>
      <c r="Z339" s="14">
        <f>IF($C339="","",$C339&amp;"|"&amp;$B339&amp;"|"&amp;$H339)</f>
        <v/>
      </c>
      <c r="AA339" s="14">
        <f>IF($C339="","",$C339&amp;"|"&amp;$B339&amp;"|"&amp;$G339)</f>
        <v/>
      </c>
    </row>
    <row r="340">
      <c r="A340" s="19" t="n"/>
      <c r="B340" s="14">
        <f>IF($A340="","",VALUE(LEFT($A340,4))*4+VALUE(RIGHT($A340,1)))</f>
        <v/>
      </c>
      <c r="C340" s="19" t="n"/>
      <c r="D340" s="14">
        <f>IFERROR(INDEX(Pessoas!$B$5:$B$64,MATCH($C340,Pessoas!$A$5:$A$64,0)),"")</f>
        <v/>
      </c>
      <c r="E340" s="19" t="n"/>
      <c r="F340" s="14">
        <f>IFERROR(INDEX(Pessoas!$D$5:$D$64,MATCH($C340,Pessoas!$A$5:$A$64,0)),"")</f>
        <v/>
      </c>
      <c r="G340" s="19" t="n"/>
      <c r="H340" s="14">
        <f>IFERROR(INDEX(Config!$B$40:$B$45,MATCH($G340,Config!$C$40:$C$45,0)),"")</f>
        <v/>
      </c>
      <c r="I340" s="14">
        <f>IFERROR(INDEX(Config!$D$40:$D$45,MATCH($G340,Config!$C$40:$C$45,0)),"")</f>
        <v/>
      </c>
      <c r="J340" s="19" t="n"/>
      <c r="K340" s="19" t="n"/>
      <c r="L340" s="19" t="n"/>
      <c r="M340" s="19" t="n"/>
      <c r="N340" s="14">
        <f>IF(AND(ISNUMBER($J340),ISNUMBER($K340)),ABS($J340-$K340),"")</f>
        <v/>
      </c>
      <c r="O340" s="14">
        <f>IF(AND(NOT(ISNUMBER($J340)),NOT(ISNUMBER($K340))),"",IF(NOT(ISNUMBER($K340)),$J340,IF(NOT(ISNUMBER($J340)),$K340,IF($N340=0,$J340,IF(AND($N340=1,$T340&lt;&gt;"Sim"),IF($I340="Líder Técnico",$K340,IF($I340="GP",$J340,"CALIBRAR")),"CALIBRAR")))))</f>
        <v/>
      </c>
      <c r="P340" s="19" t="n"/>
      <c r="Q340" s="19" t="n"/>
      <c r="R340" s="14">
        <f>IF($P340="","",IF(AND(ISNUMBER($J340),$P340=$J340,ISNUMBER($K340),$P340=$K340),"= ambos",IF(AND(ISNUMBER($J340),$P340=$J340),"= GP",IF(AND(ISNUMBER($K340),$P340=$K340),"= LT","nenhuma das duas"))))</f>
        <v/>
      </c>
      <c r="S340" s="19" t="n"/>
      <c r="T340" s="19" t="n"/>
      <c r="U340" s="14">
        <f>IF($C340="","",COUNTIFS('Ocorrências'!$V$5:$V$604,$C340&amp;"|"&amp;$B340&amp;"|"&amp;$G340,'Ocorrências'!$X$5:$X$604,"Sim"))</f>
        <v/>
      </c>
      <c r="V340" s="14">
        <f>IF($P340="","",IF(OR($P340=1,$P340=2,$P340=5),IF($U340&gt;0,"OK","SEM LASTRO"),"OK"))</f>
        <v/>
      </c>
      <c r="W340" s="19" t="n"/>
      <c r="X340" s="18" t="n"/>
      <c r="Y340" s="14">
        <f>IF($C340="","",$C340&amp;"|"&amp;$B340)</f>
        <v/>
      </c>
      <c r="Z340" s="14">
        <f>IF($C340="","",$C340&amp;"|"&amp;$B340&amp;"|"&amp;$H340)</f>
        <v/>
      </c>
      <c r="AA340" s="14">
        <f>IF($C340="","",$C340&amp;"|"&amp;$B340&amp;"|"&amp;$G340)</f>
        <v/>
      </c>
    </row>
    <row r="341">
      <c r="A341" s="19" t="n"/>
      <c r="B341" s="14">
        <f>IF($A341="","",VALUE(LEFT($A341,4))*4+VALUE(RIGHT($A341,1)))</f>
        <v/>
      </c>
      <c r="C341" s="19" t="n"/>
      <c r="D341" s="14">
        <f>IFERROR(INDEX(Pessoas!$B$5:$B$64,MATCH($C341,Pessoas!$A$5:$A$64,0)),"")</f>
        <v/>
      </c>
      <c r="E341" s="19" t="n"/>
      <c r="F341" s="14">
        <f>IFERROR(INDEX(Pessoas!$D$5:$D$64,MATCH($C341,Pessoas!$A$5:$A$64,0)),"")</f>
        <v/>
      </c>
      <c r="G341" s="19" t="n"/>
      <c r="H341" s="14">
        <f>IFERROR(INDEX(Config!$B$40:$B$45,MATCH($G341,Config!$C$40:$C$45,0)),"")</f>
        <v/>
      </c>
      <c r="I341" s="14">
        <f>IFERROR(INDEX(Config!$D$40:$D$45,MATCH($G341,Config!$C$40:$C$45,0)),"")</f>
        <v/>
      </c>
      <c r="J341" s="19" t="n"/>
      <c r="K341" s="19" t="n"/>
      <c r="L341" s="19" t="n"/>
      <c r="M341" s="19" t="n"/>
      <c r="N341" s="14">
        <f>IF(AND(ISNUMBER($J341),ISNUMBER($K341)),ABS($J341-$K341),"")</f>
        <v/>
      </c>
      <c r="O341" s="14">
        <f>IF(AND(NOT(ISNUMBER($J341)),NOT(ISNUMBER($K341))),"",IF(NOT(ISNUMBER($K341)),$J341,IF(NOT(ISNUMBER($J341)),$K341,IF($N341=0,$J341,IF(AND($N341=1,$T341&lt;&gt;"Sim"),IF($I341="Líder Técnico",$K341,IF($I341="GP",$J341,"CALIBRAR")),"CALIBRAR")))))</f>
        <v/>
      </c>
      <c r="P341" s="19" t="n"/>
      <c r="Q341" s="19" t="n"/>
      <c r="R341" s="14">
        <f>IF($P341="","",IF(AND(ISNUMBER($J341),$P341=$J341,ISNUMBER($K341),$P341=$K341),"= ambos",IF(AND(ISNUMBER($J341),$P341=$J341),"= GP",IF(AND(ISNUMBER($K341),$P341=$K341),"= LT","nenhuma das duas"))))</f>
        <v/>
      </c>
      <c r="S341" s="19" t="n"/>
      <c r="T341" s="19" t="n"/>
      <c r="U341" s="14">
        <f>IF($C341="","",COUNTIFS('Ocorrências'!$V$5:$V$604,$C341&amp;"|"&amp;$B341&amp;"|"&amp;$G341,'Ocorrências'!$X$5:$X$604,"Sim"))</f>
        <v/>
      </c>
      <c r="V341" s="14">
        <f>IF($P341="","",IF(OR($P341=1,$P341=2,$P341=5),IF($U341&gt;0,"OK","SEM LASTRO"),"OK"))</f>
        <v/>
      </c>
      <c r="W341" s="19" t="n"/>
      <c r="X341" s="18" t="n"/>
      <c r="Y341" s="14">
        <f>IF($C341="","",$C341&amp;"|"&amp;$B341)</f>
        <v/>
      </c>
      <c r="Z341" s="14">
        <f>IF($C341="","",$C341&amp;"|"&amp;$B341&amp;"|"&amp;$H341)</f>
        <v/>
      </c>
      <c r="AA341" s="14">
        <f>IF($C341="","",$C341&amp;"|"&amp;$B341&amp;"|"&amp;$G341)</f>
        <v/>
      </c>
    </row>
    <row r="342">
      <c r="A342" s="19" t="n"/>
      <c r="B342" s="14">
        <f>IF($A342="","",VALUE(LEFT($A342,4))*4+VALUE(RIGHT($A342,1)))</f>
        <v/>
      </c>
      <c r="C342" s="19" t="n"/>
      <c r="D342" s="14">
        <f>IFERROR(INDEX(Pessoas!$B$5:$B$64,MATCH($C342,Pessoas!$A$5:$A$64,0)),"")</f>
        <v/>
      </c>
      <c r="E342" s="19" t="n"/>
      <c r="F342" s="14">
        <f>IFERROR(INDEX(Pessoas!$D$5:$D$64,MATCH($C342,Pessoas!$A$5:$A$64,0)),"")</f>
        <v/>
      </c>
      <c r="G342" s="19" t="n"/>
      <c r="H342" s="14">
        <f>IFERROR(INDEX(Config!$B$40:$B$45,MATCH($G342,Config!$C$40:$C$45,0)),"")</f>
        <v/>
      </c>
      <c r="I342" s="14">
        <f>IFERROR(INDEX(Config!$D$40:$D$45,MATCH($G342,Config!$C$40:$C$45,0)),"")</f>
        <v/>
      </c>
      <c r="J342" s="19" t="n"/>
      <c r="K342" s="19" t="n"/>
      <c r="L342" s="19" t="n"/>
      <c r="M342" s="19" t="n"/>
      <c r="N342" s="14">
        <f>IF(AND(ISNUMBER($J342),ISNUMBER($K342)),ABS($J342-$K342),"")</f>
        <v/>
      </c>
      <c r="O342" s="14">
        <f>IF(AND(NOT(ISNUMBER($J342)),NOT(ISNUMBER($K342))),"",IF(NOT(ISNUMBER($K342)),$J342,IF(NOT(ISNUMBER($J342)),$K342,IF($N342=0,$J342,IF(AND($N342=1,$T342&lt;&gt;"Sim"),IF($I342="Líder Técnico",$K342,IF($I342="GP",$J342,"CALIBRAR")),"CALIBRAR")))))</f>
        <v/>
      </c>
      <c r="P342" s="19" t="n"/>
      <c r="Q342" s="19" t="n"/>
      <c r="R342" s="14">
        <f>IF($P342="","",IF(AND(ISNUMBER($J342),$P342=$J342,ISNUMBER($K342),$P342=$K342),"= ambos",IF(AND(ISNUMBER($J342),$P342=$J342),"= GP",IF(AND(ISNUMBER($K342),$P342=$K342),"= LT","nenhuma das duas"))))</f>
        <v/>
      </c>
      <c r="S342" s="19" t="n"/>
      <c r="T342" s="19" t="n"/>
      <c r="U342" s="14">
        <f>IF($C342="","",COUNTIFS('Ocorrências'!$V$5:$V$604,$C342&amp;"|"&amp;$B342&amp;"|"&amp;$G342,'Ocorrências'!$X$5:$X$604,"Sim"))</f>
        <v/>
      </c>
      <c r="V342" s="14">
        <f>IF($P342="","",IF(OR($P342=1,$P342=2,$P342=5),IF($U342&gt;0,"OK","SEM LASTRO"),"OK"))</f>
        <v/>
      </c>
      <c r="W342" s="19" t="n"/>
      <c r="X342" s="18" t="n"/>
      <c r="Y342" s="14">
        <f>IF($C342="","",$C342&amp;"|"&amp;$B342)</f>
        <v/>
      </c>
      <c r="Z342" s="14">
        <f>IF($C342="","",$C342&amp;"|"&amp;$B342&amp;"|"&amp;$H342)</f>
        <v/>
      </c>
      <c r="AA342" s="14">
        <f>IF($C342="","",$C342&amp;"|"&amp;$B342&amp;"|"&amp;$G342)</f>
        <v/>
      </c>
    </row>
    <row r="343">
      <c r="A343" s="19" t="n"/>
      <c r="B343" s="14">
        <f>IF($A343="","",VALUE(LEFT($A343,4))*4+VALUE(RIGHT($A343,1)))</f>
        <v/>
      </c>
      <c r="C343" s="19" t="n"/>
      <c r="D343" s="14">
        <f>IFERROR(INDEX(Pessoas!$B$5:$B$64,MATCH($C343,Pessoas!$A$5:$A$64,0)),"")</f>
        <v/>
      </c>
      <c r="E343" s="19" t="n"/>
      <c r="F343" s="14">
        <f>IFERROR(INDEX(Pessoas!$D$5:$D$64,MATCH($C343,Pessoas!$A$5:$A$64,0)),"")</f>
        <v/>
      </c>
      <c r="G343" s="19" t="n"/>
      <c r="H343" s="14">
        <f>IFERROR(INDEX(Config!$B$40:$B$45,MATCH($G343,Config!$C$40:$C$45,0)),"")</f>
        <v/>
      </c>
      <c r="I343" s="14">
        <f>IFERROR(INDEX(Config!$D$40:$D$45,MATCH($G343,Config!$C$40:$C$45,0)),"")</f>
        <v/>
      </c>
      <c r="J343" s="19" t="n"/>
      <c r="K343" s="19" t="n"/>
      <c r="L343" s="19" t="n"/>
      <c r="M343" s="19" t="n"/>
      <c r="N343" s="14">
        <f>IF(AND(ISNUMBER($J343),ISNUMBER($K343)),ABS($J343-$K343),"")</f>
        <v/>
      </c>
      <c r="O343" s="14">
        <f>IF(AND(NOT(ISNUMBER($J343)),NOT(ISNUMBER($K343))),"",IF(NOT(ISNUMBER($K343)),$J343,IF(NOT(ISNUMBER($J343)),$K343,IF($N343=0,$J343,IF(AND($N343=1,$T343&lt;&gt;"Sim"),IF($I343="Líder Técnico",$K343,IF($I343="GP",$J343,"CALIBRAR")),"CALIBRAR")))))</f>
        <v/>
      </c>
      <c r="P343" s="19" t="n"/>
      <c r="Q343" s="19" t="n"/>
      <c r="R343" s="14">
        <f>IF($P343="","",IF(AND(ISNUMBER($J343),$P343=$J343,ISNUMBER($K343),$P343=$K343),"= ambos",IF(AND(ISNUMBER($J343),$P343=$J343),"= GP",IF(AND(ISNUMBER($K343),$P343=$K343),"= LT","nenhuma das duas"))))</f>
        <v/>
      </c>
      <c r="S343" s="19" t="n"/>
      <c r="T343" s="19" t="n"/>
      <c r="U343" s="14">
        <f>IF($C343="","",COUNTIFS('Ocorrências'!$V$5:$V$604,$C343&amp;"|"&amp;$B343&amp;"|"&amp;$G343,'Ocorrências'!$X$5:$X$604,"Sim"))</f>
        <v/>
      </c>
      <c r="V343" s="14">
        <f>IF($P343="","",IF(OR($P343=1,$P343=2,$P343=5),IF($U343&gt;0,"OK","SEM LASTRO"),"OK"))</f>
        <v/>
      </c>
      <c r="W343" s="19" t="n"/>
      <c r="X343" s="18" t="n"/>
      <c r="Y343" s="14">
        <f>IF($C343="","",$C343&amp;"|"&amp;$B343)</f>
        <v/>
      </c>
      <c r="Z343" s="14">
        <f>IF($C343="","",$C343&amp;"|"&amp;$B343&amp;"|"&amp;$H343)</f>
        <v/>
      </c>
      <c r="AA343" s="14">
        <f>IF($C343="","",$C343&amp;"|"&amp;$B343&amp;"|"&amp;$G343)</f>
        <v/>
      </c>
    </row>
    <row r="344">
      <c r="A344" s="19" t="n"/>
      <c r="B344" s="14">
        <f>IF($A344="","",VALUE(LEFT($A344,4))*4+VALUE(RIGHT($A344,1)))</f>
        <v/>
      </c>
      <c r="C344" s="19" t="n"/>
      <c r="D344" s="14">
        <f>IFERROR(INDEX(Pessoas!$B$5:$B$64,MATCH($C344,Pessoas!$A$5:$A$64,0)),"")</f>
        <v/>
      </c>
      <c r="E344" s="19" t="n"/>
      <c r="F344" s="14">
        <f>IFERROR(INDEX(Pessoas!$D$5:$D$64,MATCH($C344,Pessoas!$A$5:$A$64,0)),"")</f>
        <v/>
      </c>
      <c r="G344" s="19" t="n"/>
      <c r="H344" s="14">
        <f>IFERROR(INDEX(Config!$B$40:$B$45,MATCH($G344,Config!$C$40:$C$45,0)),"")</f>
        <v/>
      </c>
      <c r="I344" s="14">
        <f>IFERROR(INDEX(Config!$D$40:$D$45,MATCH($G344,Config!$C$40:$C$45,0)),"")</f>
        <v/>
      </c>
      <c r="J344" s="19" t="n"/>
      <c r="K344" s="19" t="n"/>
      <c r="L344" s="19" t="n"/>
      <c r="M344" s="19" t="n"/>
      <c r="N344" s="14">
        <f>IF(AND(ISNUMBER($J344),ISNUMBER($K344)),ABS($J344-$K344),"")</f>
        <v/>
      </c>
      <c r="O344" s="14">
        <f>IF(AND(NOT(ISNUMBER($J344)),NOT(ISNUMBER($K344))),"",IF(NOT(ISNUMBER($K344)),$J344,IF(NOT(ISNUMBER($J344)),$K344,IF($N344=0,$J344,IF(AND($N344=1,$T344&lt;&gt;"Sim"),IF($I344="Líder Técnico",$K344,IF($I344="GP",$J344,"CALIBRAR")),"CALIBRAR")))))</f>
        <v/>
      </c>
      <c r="P344" s="19" t="n"/>
      <c r="Q344" s="19" t="n"/>
      <c r="R344" s="14">
        <f>IF($P344="","",IF(AND(ISNUMBER($J344),$P344=$J344,ISNUMBER($K344),$P344=$K344),"= ambos",IF(AND(ISNUMBER($J344),$P344=$J344),"= GP",IF(AND(ISNUMBER($K344),$P344=$K344),"= LT","nenhuma das duas"))))</f>
        <v/>
      </c>
      <c r="S344" s="19" t="n"/>
      <c r="T344" s="19" t="n"/>
      <c r="U344" s="14">
        <f>IF($C344="","",COUNTIFS('Ocorrências'!$V$5:$V$604,$C344&amp;"|"&amp;$B344&amp;"|"&amp;$G344,'Ocorrências'!$X$5:$X$604,"Sim"))</f>
        <v/>
      </c>
      <c r="V344" s="14">
        <f>IF($P344="","",IF(OR($P344=1,$P344=2,$P344=5),IF($U344&gt;0,"OK","SEM LASTRO"),"OK"))</f>
        <v/>
      </c>
      <c r="W344" s="19" t="n"/>
      <c r="X344" s="18" t="n"/>
      <c r="Y344" s="14">
        <f>IF($C344="","",$C344&amp;"|"&amp;$B344)</f>
        <v/>
      </c>
      <c r="Z344" s="14">
        <f>IF($C344="","",$C344&amp;"|"&amp;$B344&amp;"|"&amp;$H344)</f>
        <v/>
      </c>
      <c r="AA344" s="14">
        <f>IF($C344="","",$C344&amp;"|"&amp;$B344&amp;"|"&amp;$G344)</f>
        <v/>
      </c>
    </row>
    <row r="345">
      <c r="A345" s="19" t="n"/>
      <c r="B345" s="14">
        <f>IF($A345="","",VALUE(LEFT($A345,4))*4+VALUE(RIGHT($A345,1)))</f>
        <v/>
      </c>
      <c r="C345" s="19" t="n"/>
      <c r="D345" s="14">
        <f>IFERROR(INDEX(Pessoas!$B$5:$B$64,MATCH($C345,Pessoas!$A$5:$A$64,0)),"")</f>
        <v/>
      </c>
      <c r="E345" s="19" t="n"/>
      <c r="F345" s="14">
        <f>IFERROR(INDEX(Pessoas!$D$5:$D$64,MATCH($C345,Pessoas!$A$5:$A$64,0)),"")</f>
        <v/>
      </c>
      <c r="G345" s="19" t="n"/>
      <c r="H345" s="14">
        <f>IFERROR(INDEX(Config!$B$40:$B$45,MATCH($G345,Config!$C$40:$C$45,0)),"")</f>
        <v/>
      </c>
      <c r="I345" s="14">
        <f>IFERROR(INDEX(Config!$D$40:$D$45,MATCH($G345,Config!$C$40:$C$45,0)),"")</f>
        <v/>
      </c>
      <c r="J345" s="19" t="n"/>
      <c r="K345" s="19" t="n"/>
      <c r="L345" s="19" t="n"/>
      <c r="M345" s="19" t="n"/>
      <c r="N345" s="14">
        <f>IF(AND(ISNUMBER($J345),ISNUMBER($K345)),ABS($J345-$K345),"")</f>
        <v/>
      </c>
      <c r="O345" s="14">
        <f>IF(AND(NOT(ISNUMBER($J345)),NOT(ISNUMBER($K345))),"",IF(NOT(ISNUMBER($K345)),$J345,IF(NOT(ISNUMBER($J345)),$K345,IF($N345=0,$J345,IF(AND($N345=1,$T345&lt;&gt;"Sim"),IF($I345="Líder Técnico",$K345,IF($I345="GP",$J345,"CALIBRAR")),"CALIBRAR")))))</f>
        <v/>
      </c>
      <c r="P345" s="19" t="n"/>
      <c r="Q345" s="19" t="n"/>
      <c r="R345" s="14">
        <f>IF($P345="","",IF(AND(ISNUMBER($J345),$P345=$J345,ISNUMBER($K345),$P345=$K345),"= ambos",IF(AND(ISNUMBER($J345),$P345=$J345),"= GP",IF(AND(ISNUMBER($K345),$P345=$K345),"= LT","nenhuma das duas"))))</f>
        <v/>
      </c>
      <c r="S345" s="19" t="n"/>
      <c r="T345" s="19" t="n"/>
      <c r="U345" s="14">
        <f>IF($C345="","",COUNTIFS('Ocorrências'!$V$5:$V$604,$C345&amp;"|"&amp;$B345&amp;"|"&amp;$G345,'Ocorrências'!$X$5:$X$604,"Sim"))</f>
        <v/>
      </c>
      <c r="V345" s="14">
        <f>IF($P345="","",IF(OR($P345=1,$P345=2,$P345=5),IF($U345&gt;0,"OK","SEM LASTRO"),"OK"))</f>
        <v/>
      </c>
      <c r="W345" s="19" t="n"/>
      <c r="X345" s="18" t="n"/>
      <c r="Y345" s="14">
        <f>IF($C345="","",$C345&amp;"|"&amp;$B345)</f>
        <v/>
      </c>
      <c r="Z345" s="14">
        <f>IF($C345="","",$C345&amp;"|"&amp;$B345&amp;"|"&amp;$H345)</f>
        <v/>
      </c>
      <c r="AA345" s="14">
        <f>IF($C345="","",$C345&amp;"|"&amp;$B345&amp;"|"&amp;$G345)</f>
        <v/>
      </c>
    </row>
    <row r="346">
      <c r="A346" s="19" t="n"/>
      <c r="B346" s="14">
        <f>IF($A346="","",VALUE(LEFT($A346,4))*4+VALUE(RIGHT($A346,1)))</f>
        <v/>
      </c>
      <c r="C346" s="19" t="n"/>
      <c r="D346" s="14">
        <f>IFERROR(INDEX(Pessoas!$B$5:$B$64,MATCH($C346,Pessoas!$A$5:$A$64,0)),"")</f>
        <v/>
      </c>
      <c r="E346" s="19" t="n"/>
      <c r="F346" s="14">
        <f>IFERROR(INDEX(Pessoas!$D$5:$D$64,MATCH($C346,Pessoas!$A$5:$A$64,0)),"")</f>
        <v/>
      </c>
      <c r="G346" s="19" t="n"/>
      <c r="H346" s="14">
        <f>IFERROR(INDEX(Config!$B$40:$B$45,MATCH($G346,Config!$C$40:$C$45,0)),"")</f>
        <v/>
      </c>
      <c r="I346" s="14">
        <f>IFERROR(INDEX(Config!$D$40:$D$45,MATCH($G346,Config!$C$40:$C$45,0)),"")</f>
        <v/>
      </c>
      <c r="J346" s="19" t="n"/>
      <c r="K346" s="19" t="n"/>
      <c r="L346" s="19" t="n"/>
      <c r="M346" s="19" t="n"/>
      <c r="N346" s="14">
        <f>IF(AND(ISNUMBER($J346),ISNUMBER($K346)),ABS($J346-$K346),"")</f>
        <v/>
      </c>
      <c r="O346" s="14">
        <f>IF(AND(NOT(ISNUMBER($J346)),NOT(ISNUMBER($K346))),"",IF(NOT(ISNUMBER($K346)),$J346,IF(NOT(ISNUMBER($J346)),$K346,IF($N346=0,$J346,IF(AND($N346=1,$T346&lt;&gt;"Sim"),IF($I346="Líder Técnico",$K346,IF($I346="GP",$J346,"CALIBRAR")),"CALIBRAR")))))</f>
        <v/>
      </c>
      <c r="P346" s="19" t="n"/>
      <c r="Q346" s="19" t="n"/>
      <c r="R346" s="14">
        <f>IF($P346="","",IF(AND(ISNUMBER($J346),$P346=$J346,ISNUMBER($K346),$P346=$K346),"= ambos",IF(AND(ISNUMBER($J346),$P346=$J346),"= GP",IF(AND(ISNUMBER($K346),$P346=$K346),"= LT","nenhuma das duas"))))</f>
        <v/>
      </c>
      <c r="S346" s="19" t="n"/>
      <c r="T346" s="19" t="n"/>
      <c r="U346" s="14">
        <f>IF($C346="","",COUNTIFS('Ocorrências'!$V$5:$V$604,$C346&amp;"|"&amp;$B346&amp;"|"&amp;$G346,'Ocorrências'!$X$5:$X$604,"Sim"))</f>
        <v/>
      </c>
      <c r="V346" s="14">
        <f>IF($P346="","",IF(OR($P346=1,$P346=2,$P346=5),IF($U346&gt;0,"OK","SEM LASTRO"),"OK"))</f>
        <v/>
      </c>
      <c r="W346" s="19" t="n"/>
      <c r="X346" s="18" t="n"/>
      <c r="Y346" s="14">
        <f>IF($C346="","",$C346&amp;"|"&amp;$B346)</f>
        <v/>
      </c>
      <c r="Z346" s="14">
        <f>IF($C346="","",$C346&amp;"|"&amp;$B346&amp;"|"&amp;$H346)</f>
        <v/>
      </c>
      <c r="AA346" s="14">
        <f>IF($C346="","",$C346&amp;"|"&amp;$B346&amp;"|"&amp;$G346)</f>
        <v/>
      </c>
    </row>
    <row r="347">
      <c r="A347" s="19" t="n"/>
      <c r="B347" s="14">
        <f>IF($A347="","",VALUE(LEFT($A347,4))*4+VALUE(RIGHT($A347,1)))</f>
        <v/>
      </c>
      <c r="C347" s="19" t="n"/>
      <c r="D347" s="14">
        <f>IFERROR(INDEX(Pessoas!$B$5:$B$64,MATCH($C347,Pessoas!$A$5:$A$64,0)),"")</f>
        <v/>
      </c>
      <c r="E347" s="19" t="n"/>
      <c r="F347" s="14">
        <f>IFERROR(INDEX(Pessoas!$D$5:$D$64,MATCH($C347,Pessoas!$A$5:$A$64,0)),"")</f>
        <v/>
      </c>
      <c r="G347" s="19" t="n"/>
      <c r="H347" s="14">
        <f>IFERROR(INDEX(Config!$B$40:$B$45,MATCH($G347,Config!$C$40:$C$45,0)),"")</f>
        <v/>
      </c>
      <c r="I347" s="14">
        <f>IFERROR(INDEX(Config!$D$40:$D$45,MATCH($G347,Config!$C$40:$C$45,0)),"")</f>
        <v/>
      </c>
      <c r="J347" s="19" t="n"/>
      <c r="K347" s="19" t="n"/>
      <c r="L347" s="19" t="n"/>
      <c r="M347" s="19" t="n"/>
      <c r="N347" s="14">
        <f>IF(AND(ISNUMBER($J347),ISNUMBER($K347)),ABS($J347-$K347),"")</f>
        <v/>
      </c>
      <c r="O347" s="14">
        <f>IF(AND(NOT(ISNUMBER($J347)),NOT(ISNUMBER($K347))),"",IF(NOT(ISNUMBER($K347)),$J347,IF(NOT(ISNUMBER($J347)),$K347,IF($N347=0,$J347,IF(AND($N347=1,$T347&lt;&gt;"Sim"),IF($I347="Líder Técnico",$K347,IF($I347="GP",$J347,"CALIBRAR")),"CALIBRAR")))))</f>
        <v/>
      </c>
      <c r="P347" s="19" t="n"/>
      <c r="Q347" s="19" t="n"/>
      <c r="R347" s="14">
        <f>IF($P347="","",IF(AND(ISNUMBER($J347),$P347=$J347,ISNUMBER($K347),$P347=$K347),"= ambos",IF(AND(ISNUMBER($J347),$P347=$J347),"= GP",IF(AND(ISNUMBER($K347),$P347=$K347),"= LT","nenhuma das duas"))))</f>
        <v/>
      </c>
      <c r="S347" s="19" t="n"/>
      <c r="T347" s="19" t="n"/>
      <c r="U347" s="14">
        <f>IF($C347="","",COUNTIFS('Ocorrências'!$V$5:$V$604,$C347&amp;"|"&amp;$B347&amp;"|"&amp;$G347,'Ocorrências'!$X$5:$X$604,"Sim"))</f>
        <v/>
      </c>
      <c r="V347" s="14">
        <f>IF($P347="","",IF(OR($P347=1,$P347=2,$P347=5),IF($U347&gt;0,"OK","SEM LASTRO"),"OK"))</f>
        <v/>
      </c>
      <c r="W347" s="19" t="n"/>
      <c r="X347" s="18" t="n"/>
      <c r="Y347" s="14">
        <f>IF($C347="","",$C347&amp;"|"&amp;$B347)</f>
        <v/>
      </c>
      <c r="Z347" s="14">
        <f>IF($C347="","",$C347&amp;"|"&amp;$B347&amp;"|"&amp;$H347)</f>
        <v/>
      </c>
      <c r="AA347" s="14">
        <f>IF($C347="","",$C347&amp;"|"&amp;$B347&amp;"|"&amp;$G347)</f>
        <v/>
      </c>
    </row>
    <row r="348">
      <c r="A348" s="19" t="n"/>
      <c r="B348" s="14">
        <f>IF($A348="","",VALUE(LEFT($A348,4))*4+VALUE(RIGHT($A348,1)))</f>
        <v/>
      </c>
      <c r="C348" s="19" t="n"/>
      <c r="D348" s="14">
        <f>IFERROR(INDEX(Pessoas!$B$5:$B$64,MATCH($C348,Pessoas!$A$5:$A$64,0)),"")</f>
        <v/>
      </c>
      <c r="E348" s="19" t="n"/>
      <c r="F348" s="14">
        <f>IFERROR(INDEX(Pessoas!$D$5:$D$64,MATCH($C348,Pessoas!$A$5:$A$64,0)),"")</f>
        <v/>
      </c>
      <c r="G348" s="19" t="n"/>
      <c r="H348" s="14">
        <f>IFERROR(INDEX(Config!$B$40:$B$45,MATCH($G348,Config!$C$40:$C$45,0)),"")</f>
        <v/>
      </c>
      <c r="I348" s="14">
        <f>IFERROR(INDEX(Config!$D$40:$D$45,MATCH($G348,Config!$C$40:$C$45,0)),"")</f>
        <v/>
      </c>
      <c r="J348" s="19" t="n"/>
      <c r="K348" s="19" t="n"/>
      <c r="L348" s="19" t="n"/>
      <c r="M348" s="19" t="n"/>
      <c r="N348" s="14">
        <f>IF(AND(ISNUMBER($J348),ISNUMBER($K348)),ABS($J348-$K348),"")</f>
        <v/>
      </c>
      <c r="O348" s="14">
        <f>IF(AND(NOT(ISNUMBER($J348)),NOT(ISNUMBER($K348))),"",IF(NOT(ISNUMBER($K348)),$J348,IF(NOT(ISNUMBER($J348)),$K348,IF($N348=0,$J348,IF(AND($N348=1,$T348&lt;&gt;"Sim"),IF($I348="Líder Técnico",$K348,IF($I348="GP",$J348,"CALIBRAR")),"CALIBRAR")))))</f>
        <v/>
      </c>
      <c r="P348" s="19" t="n"/>
      <c r="Q348" s="19" t="n"/>
      <c r="R348" s="14">
        <f>IF($P348="","",IF(AND(ISNUMBER($J348),$P348=$J348,ISNUMBER($K348),$P348=$K348),"= ambos",IF(AND(ISNUMBER($J348),$P348=$J348),"= GP",IF(AND(ISNUMBER($K348),$P348=$K348),"= LT","nenhuma das duas"))))</f>
        <v/>
      </c>
      <c r="S348" s="19" t="n"/>
      <c r="T348" s="19" t="n"/>
      <c r="U348" s="14">
        <f>IF($C348="","",COUNTIFS('Ocorrências'!$V$5:$V$604,$C348&amp;"|"&amp;$B348&amp;"|"&amp;$G348,'Ocorrências'!$X$5:$X$604,"Sim"))</f>
        <v/>
      </c>
      <c r="V348" s="14">
        <f>IF($P348="","",IF(OR($P348=1,$P348=2,$P348=5),IF($U348&gt;0,"OK","SEM LASTRO"),"OK"))</f>
        <v/>
      </c>
      <c r="W348" s="19" t="n"/>
      <c r="X348" s="18" t="n"/>
      <c r="Y348" s="14">
        <f>IF($C348="","",$C348&amp;"|"&amp;$B348)</f>
        <v/>
      </c>
      <c r="Z348" s="14">
        <f>IF($C348="","",$C348&amp;"|"&amp;$B348&amp;"|"&amp;$H348)</f>
        <v/>
      </c>
      <c r="AA348" s="14">
        <f>IF($C348="","",$C348&amp;"|"&amp;$B348&amp;"|"&amp;$G348)</f>
        <v/>
      </c>
    </row>
    <row r="349">
      <c r="A349" s="19" t="n"/>
      <c r="B349" s="14">
        <f>IF($A349="","",VALUE(LEFT($A349,4))*4+VALUE(RIGHT($A349,1)))</f>
        <v/>
      </c>
      <c r="C349" s="19" t="n"/>
      <c r="D349" s="14">
        <f>IFERROR(INDEX(Pessoas!$B$5:$B$64,MATCH($C349,Pessoas!$A$5:$A$64,0)),"")</f>
        <v/>
      </c>
      <c r="E349" s="19" t="n"/>
      <c r="F349" s="14">
        <f>IFERROR(INDEX(Pessoas!$D$5:$D$64,MATCH($C349,Pessoas!$A$5:$A$64,0)),"")</f>
        <v/>
      </c>
      <c r="G349" s="19" t="n"/>
      <c r="H349" s="14">
        <f>IFERROR(INDEX(Config!$B$40:$B$45,MATCH($G349,Config!$C$40:$C$45,0)),"")</f>
        <v/>
      </c>
      <c r="I349" s="14">
        <f>IFERROR(INDEX(Config!$D$40:$D$45,MATCH($G349,Config!$C$40:$C$45,0)),"")</f>
        <v/>
      </c>
      <c r="J349" s="19" t="n"/>
      <c r="K349" s="19" t="n"/>
      <c r="L349" s="19" t="n"/>
      <c r="M349" s="19" t="n"/>
      <c r="N349" s="14">
        <f>IF(AND(ISNUMBER($J349),ISNUMBER($K349)),ABS($J349-$K349),"")</f>
        <v/>
      </c>
      <c r="O349" s="14">
        <f>IF(AND(NOT(ISNUMBER($J349)),NOT(ISNUMBER($K349))),"",IF(NOT(ISNUMBER($K349)),$J349,IF(NOT(ISNUMBER($J349)),$K349,IF($N349=0,$J349,IF(AND($N349=1,$T349&lt;&gt;"Sim"),IF($I349="Líder Técnico",$K349,IF($I349="GP",$J349,"CALIBRAR")),"CALIBRAR")))))</f>
        <v/>
      </c>
      <c r="P349" s="19" t="n"/>
      <c r="Q349" s="19" t="n"/>
      <c r="R349" s="14">
        <f>IF($P349="","",IF(AND(ISNUMBER($J349),$P349=$J349,ISNUMBER($K349),$P349=$K349),"= ambos",IF(AND(ISNUMBER($J349),$P349=$J349),"= GP",IF(AND(ISNUMBER($K349),$P349=$K349),"= LT","nenhuma das duas"))))</f>
        <v/>
      </c>
      <c r="S349" s="19" t="n"/>
      <c r="T349" s="19" t="n"/>
      <c r="U349" s="14">
        <f>IF($C349="","",COUNTIFS('Ocorrências'!$V$5:$V$604,$C349&amp;"|"&amp;$B349&amp;"|"&amp;$G349,'Ocorrências'!$X$5:$X$604,"Sim"))</f>
        <v/>
      </c>
      <c r="V349" s="14">
        <f>IF($P349="","",IF(OR($P349=1,$P349=2,$P349=5),IF($U349&gt;0,"OK","SEM LASTRO"),"OK"))</f>
        <v/>
      </c>
      <c r="W349" s="19" t="n"/>
      <c r="X349" s="18" t="n"/>
      <c r="Y349" s="14">
        <f>IF($C349="","",$C349&amp;"|"&amp;$B349)</f>
        <v/>
      </c>
      <c r="Z349" s="14">
        <f>IF($C349="","",$C349&amp;"|"&amp;$B349&amp;"|"&amp;$H349)</f>
        <v/>
      </c>
      <c r="AA349" s="14">
        <f>IF($C349="","",$C349&amp;"|"&amp;$B349&amp;"|"&amp;$G349)</f>
        <v/>
      </c>
    </row>
    <row r="350">
      <c r="A350" s="19" t="n"/>
      <c r="B350" s="14">
        <f>IF($A350="","",VALUE(LEFT($A350,4))*4+VALUE(RIGHT($A350,1)))</f>
        <v/>
      </c>
      <c r="C350" s="19" t="n"/>
      <c r="D350" s="14">
        <f>IFERROR(INDEX(Pessoas!$B$5:$B$64,MATCH($C350,Pessoas!$A$5:$A$64,0)),"")</f>
        <v/>
      </c>
      <c r="E350" s="19" t="n"/>
      <c r="F350" s="14">
        <f>IFERROR(INDEX(Pessoas!$D$5:$D$64,MATCH($C350,Pessoas!$A$5:$A$64,0)),"")</f>
        <v/>
      </c>
      <c r="G350" s="19" t="n"/>
      <c r="H350" s="14">
        <f>IFERROR(INDEX(Config!$B$40:$B$45,MATCH($G350,Config!$C$40:$C$45,0)),"")</f>
        <v/>
      </c>
      <c r="I350" s="14">
        <f>IFERROR(INDEX(Config!$D$40:$D$45,MATCH($G350,Config!$C$40:$C$45,0)),"")</f>
        <v/>
      </c>
      <c r="J350" s="19" t="n"/>
      <c r="K350" s="19" t="n"/>
      <c r="L350" s="19" t="n"/>
      <c r="M350" s="19" t="n"/>
      <c r="N350" s="14">
        <f>IF(AND(ISNUMBER($J350),ISNUMBER($K350)),ABS($J350-$K350),"")</f>
        <v/>
      </c>
      <c r="O350" s="14">
        <f>IF(AND(NOT(ISNUMBER($J350)),NOT(ISNUMBER($K350))),"",IF(NOT(ISNUMBER($K350)),$J350,IF(NOT(ISNUMBER($J350)),$K350,IF($N350=0,$J350,IF(AND($N350=1,$T350&lt;&gt;"Sim"),IF($I350="Líder Técnico",$K350,IF($I350="GP",$J350,"CALIBRAR")),"CALIBRAR")))))</f>
        <v/>
      </c>
      <c r="P350" s="19" t="n"/>
      <c r="Q350" s="19" t="n"/>
      <c r="R350" s="14">
        <f>IF($P350="","",IF(AND(ISNUMBER($J350),$P350=$J350,ISNUMBER($K350),$P350=$K350),"= ambos",IF(AND(ISNUMBER($J350),$P350=$J350),"= GP",IF(AND(ISNUMBER($K350),$P350=$K350),"= LT","nenhuma das duas"))))</f>
        <v/>
      </c>
      <c r="S350" s="19" t="n"/>
      <c r="T350" s="19" t="n"/>
      <c r="U350" s="14">
        <f>IF($C350="","",COUNTIFS('Ocorrências'!$V$5:$V$604,$C350&amp;"|"&amp;$B350&amp;"|"&amp;$G350,'Ocorrências'!$X$5:$X$604,"Sim"))</f>
        <v/>
      </c>
      <c r="V350" s="14">
        <f>IF($P350="","",IF(OR($P350=1,$P350=2,$P350=5),IF($U350&gt;0,"OK","SEM LASTRO"),"OK"))</f>
        <v/>
      </c>
      <c r="W350" s="19" t="n"/>
      <c r="X350" s="18" t="n"/>
      <c r="Y350" s="14">
        <f>IF($C350="","",$C350&amp;"|"&amp;$B350)</f>
        <v/>
      </c>
      <c r="Z350" s="14">
        <f>IF($C350="","",$C350&amp;"|"&amp;$B350&amp;"|"&amp;$H350)</f>
        <v/>
      </c>
      <c r="AA350" s="14">
        <f>IF($C350="","",$C350&amp;"|"&amp;$B350&amp;"|"&amp;$G350)</f>
        <v/>
      </c>
    </row>
    <row r="351">
      <c r="A351" s="19" t="n"/>
      <c r="B351" s="14">
        <f>IF($A351="","",VALUE(LEFT($A351,4))*4+VALUE(RIGHT($A351,1)))</f>
        <v/>
      </c>
      <c r="C351" s="19" t="n"/>
      <c r="D351" s="14">
        <f>IFERROR(INDEX(Pessoas!$B$5:$B$64,MATCH($C351,Pessoas!$A$5:$A$64,0)),"")</f>
        <v/>
      </c>
      <c r="E351" s="19" t="n"/>
      <c r="F351" s="14">
        <f>IFERROR(INDEX(Pessoas!$D$5:$D$64,MATCH($C351,Pessoas!$A$5:$A$64,0)),"")</f>
        <v/>
      </c>
      <c r="G351" s="19" t="n"/>
      <c r="H351" s="14">
        <f>IFERROR(INDEX(Config!$B$40:$B$45,MATCH($G351,Config!$C$40:$C$45,0)),"")</f>
        <v/>
      </c>
      <c r="I351" s="14">
        <f>IFERROR(INDEX(Config!$D$40:$D$45,MATCH($G351,Config!$C$40:$C$45,0)),"")</f>
        <v/>
      </c>
      <c r="J351" s="19" t="n"/>
      <c r="K351" s="19" t="n"/>
      <c r="L351" s="19" t="n"/>
      <c r="M351" s="19" t="n"/>
      <c r="N351" s="14">
        <f>IF(AND(ISNUMBER($J351),ISNUMBER($K351)),ABS($J351-$K351),"")</f>
        <v/>
      </c>
      <c r="O351" s="14">
        <f>IF(AND(NOT(ISNUMBER($J351)),NOT(ISNUMBER($K351))),"",IF(NOT(ISNUMBER($K351)),$J351,IF(NOT(ISNUMBER($J351)),$K351,IF($N351=0,$J351,IF(AND($N351=1,$T351&lt;&gt;"Sim"),IF($I351="Líder Técnico",$K351,IF($I351="GP",$J351,"CALIBRAR")),"CALIBRAR")))))</f>
        <v/>
      </c>
      <c r="P351" s="19" t="n"/>
      <c r="Q351" s="19" t="n"/>
      <c r="R351" s="14">
        <f>IF($P351="","",IF(AND(ISNUMBER($J351),$P351=$J351,ISNUMBER($K351),$P351=$K351),"= ambos",IF(AND(ISNUMBER($J351),$P351=$J351),"= GP",IF(AND(ISNUMBER($K351),$P351=$K351),"= LT","nenhuma das duas"))))</f>
        <v/>
      </c>
      <c r="S351" s="19" t="n"/>
      <c r="T351" s="19" t="n"/>
      <c r="U351" s="14">
        <f>IF($C351="","",COUNTIFS('Ocorrências'!$V$5:$V$604,$C351&amp;"|"&amp;$B351&amp;"|"&amp;$G351,'Ocorrências'!$X$5:$X$604,"Sim"))</f>
        <v/>
      </c>
      <c r="V351" s="14">
        <f>IF($P351="","",IF(OR($P351=1,$P351=2,$P351=5),IF($U351&gt;0,"OK","SEM LASTRO"),"OK"))</f>
        <v/>
      </c>
      <c r="W351" s="19" t="n"/>
      <c r="X351" s="18" t="n"/>
      <c r="Y351" s="14">
        <f>IF($C351="","",$C351&amp;"|"&amp;$B351)</f>
        <v/>
      </c>
      <c r="Z351" s="14">
        <f>IF($C351="","",$C351&amp;"|"&amp;$B351&amp;"|"&amp;$H351)</f>
        <v/>
      </c>
      <c r="AA351" s="14">
        <f>IF($C351="","",$C351&amp;"|"&amp;$B351&amp;"|"&amp;$G351)</f>
        <v/>
      </c>
    </row>
    <row r="352">
      <c r="A352" s="19" t="n"/>
      <c r="B352" s="14">
        <f>IF($A352="","",VALUE(LEFT($A352,4))*4+VALUE(RIGHT($A352,1)))</f>
        <v/>
      </c>
      <c r="C352" s="19" t="n"/>
      <c r="D352" s="14">
        <f>IFERROR(INDEX(Pessoas!$B$5:$B$64,MATCH($C352,Pessoas!$A$5:$A$64,0)),"")</f>
        <v/>
      </c>
      <c r="E352" s="19" t="n"/>
      <c r="F352" s="14">
        <f>IFERROR(INDEX(Pessoas!$D$5:$D$64,MATCH($C352,Pessoas!$A$5:$A$64,0)),"")</f>
        <v/>
      </c>
      <c r="G352" s="19" t="n"/>
      <c r="H352" s="14">
        <f>IFERROR(INDEX(Config!$B$40:$B$45,MATCH($G352,Config!$C$40:$C$45,0)),"")</f>
        <v/>
      </c>
      <c r="I352" s="14">
        <f>IFERROR(INDEX(Config!$D$40:$D$45,MATCH($G352,Config!$C$40:$C$45,0)),"")</f>
        <v/>
      </c>
      <c r="J352" s="19" t="n"/>
      <c r="K352" s="19" t="n"/>
      <c r="L352" s="19" t="n"/>
      <c r="M352" s="19" t="n"/>
      <c r="N352" s="14">
        <f>IF(AND(ISNUMBER($J352),ISNUMBER($K352)),ABS($J352-$K352),"")</f>
        <v/>
      </c>
      <c r="O352" s="14">
        <f>IF(AND(NOT(ISNUMBER($J352)),NOT(ISNUMBER($K352))),"",IF(NOT(ISNUMBER($K352)),$J352,IF(NOT(ISNUMBER($J352)),$K352,IF($N352=0,$J352,IF(AND($N352=1,$T352&lt;&gt;"Sim"),IF($I352="Líder Técnico",$K352,IF($I352="GP",$J352,"CALIBRAR")),"CALIBRAR")))))</f>
        <v/>
      </c>
      <c r="P352" s="19" t="n"/>
      <c r="Q352" s="19" t="n"/>
      <c r="R352" s="14">
        <f>IF($P352="","",IF(AND(ISNUMBER($J352),$P352=$J352,ISNUMBER($K352),$P352=$K352),"= ambos",IF(AND(ISNUMBER($J352),$P352=$J352),"= GP",IF(AND(ISNUMBER($K352),$P352=$K352),"= LT","nenhuma das duas"))))</f>
        <v/>
      </c>
      <c r="S352" s="19" t="n"/>
      <c r="T352" s="19" t="n"/>
      <c r="U352" s="14">
        <f>IF($C352="","",COUNTIFS('Ocorrências'!$V$5:$V$604,$C352&amp;"|"&amp;$B352&amp;"|"&amp;$G352,'Ocorrências'!$X$5:$X$604,"Sim"))</f>
        <v/>
      </c>
      <c r="V352" s="14">
        <f>IF($P352="","",IF(OR($P352=1,$P352=2,$P352=5),IF($U352&gt;0,"OK","SEM LASTRO"),"OK"))</f>
        <v/>
      </c>
      <c r="W352" s="19" t="n"/>
      <c r="X352" s="18" t="n"/>
      <c r="Y352" s="14">
        <f>IF($C352="","",$C352&amp;"|"&amp;$B352)</f>
        <v/>
      </c>
      <c r="Z352" s="14">
        <f>IF($C352="","",$C352&amp;"|"&amp;$B352&amp;"|"&amp;$H352)</f>
        <v/>
      </c>
      <c r="AA352" s="14">
        <f>IF($C352="","",$C352&amp;"|"&amp;$B352&amp;"|"&amp;$G352)</f>
        <v/>
      </c>
    </row>
    <row r="353">
      <c r="A353" s="19" t="n"/>
      <c r="B353" s="14">
        <f>IF($A353="","",VALUE(LEFT($A353,4))*4+VALUE(RIGHT($A353,1)))</f>
        <v/>
      </c>
      <c r="C353" s="19" t="n"/>
      <c r="D353" s="14">
        <f>IFERROR(INDEX(Pessoas!$B$5:$B$64,MATCH($C353,Pessoas!$A$5:$A$64,0)),"")</f>
        <v/>
      </c>
      <c r="E353" s="19" t="n"/>
      <c r="F353" s="14">
        <f>IFERROR(INDEX(Pessoas!$D$5:$D$64,MATCH($C353,Pessoas!$A$5:$A$64,0)),"")</f>
        <v/>
      </c>
      <c r="G353" s="19" t="n"/>
      <c r="H353" s="14">
        <f>IFERROR(INDEX(Config!$B$40:$B$45,MATCH($G353,Config!$C$40:$C$45,0)),"")</f>
        <v/>
      </c>
      <c r="I353" s="14">
        <f>IFERROR(INDEX(Config!$D$40:$D$45,MATCH($G353,Config!$C$40:$C$45,0)),"")</f>
        <v/>
      </c>
      <c r="J353" s="19" t="n"/>
      <c r="K353" s="19" t="n"/>
      <c r="L353" s="19" t="n"/>
      <c r="M353" s="19" t="n"/>
      <c r="N353" s="14">
        <f>IF(AND(ISNUMBER($J353),ISNUMBER($K353)),ABS($J353-$K353),"")</f>
        <v/>
      </c>
      <c r="O353" s="14">
        <f>IF(AND(NOT(ISNUMBER($J353)),NOT(ISNUMBER($K353))),"",IF(NOT(ISNUMBER($K353)),$J353,IF(NOT(ISNUMBER($J353)),$K353,IF($N353=0,$J353,IF(AND($N353=1,$T353&lt;&gt;"Sim"),IF($I353="Líder Técnico",$K353,IF($I353="GP",$J353,"CALIBRAR")),"CALIBRAR")))))</f>
        <v/>
      </c>
      <c r="P353" s="19" t="n"/>
      <c r="Q353" s="19" t="n"/>
      <c r="R353" s="14">
        <f>IF($P353="","",IF(AND(ISNUMBER($J353),$P353=$J353,ISNUMBER($K353),$P353=$K353),"= ambos",IF(AND(ISNUMBER($J353),$P353=$J353),"= GP",IF(AND(ISNUMBER($K353),$P353=$K353),"= LT","nenhuma das duas"))))</f>
        <v/>
      </c>
      <c r="S353" s="19" t="n"/>
      <c r="T353" s="19" t="n"/>
      <c r="U353" s="14">
        <f>IF($C353="","",COUNTIFS('Ocorrências'!$V$5:$V$604,$C353&amp;"|"&amp;$B353&amp;"|"&amp;$G353,'Ocorrências'!$X$5:$X$604,"Sim"))</f>
        <v/>
      </c>
      <c r="V353" s="14">
        <f>IF($P353="","",IF(OR($P353=1,$P353=2,$P353=5),IF($U353&gt;0,"OK","SEM LASTRO"),"OK"))</f>
        <v/>
      </c>
      <c r="W353" s="19" t="n"/>
      <c r="X353" s="18" t="n"/>
      <c r="Y353" s="14">
        <f>IF($C353="","",$C353&amp;"|"&amp;$B353)</f>
        <v/>
      </c>
      <c r="Z353" s="14">
        <f>IF($C353="","",$C353&amp;"|"&amp;$B353&amp;"|"&amp;$H353)</f>
        <v/>
      </c>
      <c r="AA353" s="14">
        <f>IF($C353="","",$C353&amp;"|"&amp;$B353&amp;"|"&amp;$G353)</f>
        <v/>
      </c>
    </row>
    <row r="354">
      <c r="A354" s="19" t="n"/>
      <c r="B354" s="14">
        <f>IF($A354="","",VALUE(LEFT($A354,4))*4+VALUE(RIGHT($A354,1)))</f>
        <v/>
      </c>
      <c r="C354" s="19" t="n"/>
      <c r="D354" s="14">
        <f>IFERROR(INDEX(Pessoas!$B$5:$B$64,MATCH($C354,Pessoas!$A$5:$A$64,0)),"")</f>
        <v/>
      </c>
      <c r="E354" s="19" t="n"/>
      <c r="F354" s="14">
        <f>IFERROR(INDEX(Pessoas!$D$5:$D$64,MATCH($C354,Pessoas!$A$5:$A$64,0)),"")</f>
        <v/>
      </c>
      <c r="G354" s="19" t="n"/>
      <c r="H354" s="14">
        <f>IFERROR(INDEX(Config!$B$40:$B$45,MATCH($G354,Config!$C$40:$C$45,0)),"")</f>
        <v/>
      </c>
      <c r="I354" s="14">
        <f>IFERROR(INDEX(Config!$D$40:$D$45,MATCH($G354,Config!$C$40:$C$45,0)),"")</f>
        <v/>
      </c>
      <c r="J354" s="19" t="n"/>
      <c r="K354" s="19" t="n"/>
      <c r="L354" s="19" t="n"/>
      <c r="M354" s="19" t="n"/>
      <c r="N354" s="14">
        <f>IF(AND(ISNUMBER($J354),ISNUMBER($K354)),ABS($J354-$K354),"")</f>
        <v/>
      </c>
      <c r="O354" s="14">
        <f>IF(AND(NOT(ISNUMBER($J354)),NOT(ISNUMBER($K354))),"",IF(NOT(ISNUMBER($K354)),$J354,IF(NOT(ISNUMBER($J354)),$K354,IF($N354=0,$J354,IF(AND($N354=1,$T354&lt;&gt;"Sim"),IF($I354="Líder Técnico",$K354,IF($I354="GP",$J354,"CALIBRAR")),"CALIBRAR")))))</f>
        <v/>
      </c>
      <c r="P354" s="19" t="n"/>
      <c r="Q354" s="19" t="n"/>
      <c r="R354" s="14">
        <f>IF($P354="","",IF(AND(ISNUMBER($J354),$P354=$J354,ISNUMBER($K354),$P354=$K354),"= ambos",IF(AND(ISNUMBER($J354),$P354=$J354),"= GP",IF(AND(ISNUMBER($K354),$P354=$K354),"= LT","nenhuma das duas"))))</f>
        <v/>
      </c>
      <c r="S354" s="19" t="n"/>
      <c r="T354" s="19" t="n"/>
      <c r="U354" s="14">
        <f>IF($C354="","",COUNTIFS('Ocorrências'!$V$5:$V$604,$C354&amp;"|"&amp;$B354&amp;"|"&amp;$G354,'Ocorrências'!$X$5:$X$604,"Sim"))</f>
        <v/>
      </c>
      <c r="V354" s="14">
        <f>IF($P354="","",IF(OR($P354=1,$P354=2,$P354=5),IF($U354&gt;0,"OK","SEM LASTRO"),"OK"))</f>
        <v/>
      </c>
      <c r="W354" s="19" t="n"/>
      <c r="X354" s="18" t="n"/>
      <c r="Y354" s="14">
        <f>IF($C354="","",$C354&amp;"|"&amp;$B354)</f>
        <v/>
      </c>
      <c r="Z354" s="14">
        <f>IF($C354="","",$C354&amp;"|"&amp;$B354&amp;"|"&amp;$H354)</f>
        <v/>
      </c>
      <c r="AA354" s="14">
        <f>IF($C354="","",$C354&amp;"|"&amp;$B354&amp;"|"&amp;$G354)</f>
        <v/>
      </c>
    </row>
    <row r="355">
      <c r="A355" s="19" t="n"/>
      <c r="B355" s="14">
        <f>IF($A355="","",VALUE(LEFT($A355,4))*4+VALUE(RIGHT($A355,1)))</f>
        <v/>
      </c>
      <c r="C355" s="19" t="n"/>
      <c r="D355" s="14">
        <f>IFERROR(INDEX(Pessoas!$B$5:$B$64,MATCH($C355,Pessoas!$A$5:$A$64,0)),"")</f>
        <v/>
      </c>
      <c r="E355" s="19" t="n"/>
      <c r="F355" s="14">
        <f>IFERROR(INDEX(Pessoas!$D$5:$D$64,MATCH($C355,Pessoas!$A$5:$A$64,0)),"")</f>
        <v/>
      </c>
      <c r="G355" s="19" t="n"/>
      <c r="H355" s="14">
        <f>IFERROR(INDEX(Config!$B$40:$B$45,MATCH($G355,Config!$C$40:$C$45,0)),"")</f>
        <v/>
      </c>
      <c r="I355" s="14">
        <f>IFERROR(INDEX(Config!$D$40:$D$45,MATCH($G355,Config!$C$40:$C$45,0)),"")</f>
        <v/>
      </c>
      <c r="J355" s="19" t="n"/>
      <c r="K355" s="19" t="n"/>
      <c r="L355" s="19" t="n"/>
      <c r="M355" s="19" t="n"/>
      <c r="N355" s="14">
        <f>IF(AND(ISNUMBER($J355),ISNUMBER($K355)),ABS($J355-$K355),"")</f>
        <v/>
      </c>
      <c r="O355" s="14">
        <f>IF(AND(NOT(ISNUMBER($J355)),NOT(ISNUMBER($K355))),"",IF(NOT(ISNUMBER($K355)),$J355,IF(NOT(ISNUMBER($J355)),$K355,IF($N355=0,$J355,IF(AND($N355=1,$T355&lt;&gt;"Sim"),IF($I355="Líder Técnico",$K355,IF($I355="GP",$J355,"CALIBRAR")),"CALIBRAR")))))</f>
        <v/>
      </c>
      <c r="P355" s="19" t="n"/>
      <c r="Q355" s="19" t="n"/>
      <c r="R355" s="14">
        <f>IF($P355="","",IF(AND(ISNUMBER($J355),$P355=$J355,ISNUMBER($K355),$P355=$K355),"= ambos",IF(AND(ISNUMBER($J355),$P355=$J355),"= GP",IF(AND(ISNUMBER($K355),$P355=$K355),"= LT","nenhuma das duas"))))</f>
        <v/>
      </c>
      <c r="S355" s="19" t="n"/>
      <c r="T355" s="19" t="n"/>
      <c r="U355" s="14">
        <f>IF($C355="","",COUNTIFS('Ocorrências'!$V$5:$V$604,$C355&amp;"|"&amp;$B355&amp;"|"&amp;$G355,'Ocorrências'!$X$5:$X$604,"Sim"))</f>
        <v/>
      </c>
      <c r="V355" s="14">
        <f>IF($P355="","",IF(OR($P355=1,$P355=2,$P355=5),IF($U355&gt;0,"OK","SEM LASTRO"),"OK"))</f>
        <v/>
      </c>
      <c r="W355" s="19" t="n"/>
      <c r="X355" s="18" t="n"/>
      <c r="Y355" s="14">
        <f>IF($C355="","",$C355&amp;"|"&amp;$B355)</f>
        <v/>
      </c>
      <c r="Z355" s="14">
        <f>IF($C355="","",$C355&amp;"|"&amp;$B355&amp;"|"&amp;$H355)</f>
        <v/>
      </c>
      <c r="AA355" s="14">
        <f>IF($C355="","",$C355&amp;"|"&amp;$B355&amp;"|"&amp;$G355)</f>
        <v/>
      </c>
    </row>
    <row r="356">
      <c r="A356" s="19" t="n"/>
      <c r="B356" s="14">
        <f>IF($A356="","",VALUE(LEFT($A356,4))*4+VALUE(RIGHT($A356,1)))</f>
        <v/>
      </c>
      <c r="C356" s="19" t="n"/>
      <c r="D356" s="14">
        <f>IFERROR(INDEX(Pessoas!$B$5:$B$64,MATCH($C356,Pessoas!$A$5:$A$64,0)),"")</f>
        <v/>
      </c>
      <c r="E356" s="19" t="n"/>
      <c r="F356" s="14">
        <f>IFERROR(INDEX(Pessoas!$D$5:$D$64,MATCH($C356,Pessoas!$A$5:$A$64,0)),"")</f>
        <v/>
      </c>
      <c r="G356" s="19" t="n"/>
      <c r="H356" s="14">
        <f>IFERROR(INDEX(Config!$B$40:$B$45,MATCH($G356,Config!$C$40:$C$45,0)),"")</f>
        <v/>
      </c>
      <c r="I356" s="14">
        <f>IFERROR(INDEX(Config!$D$40:$D$45,MATCH($G356,Config!$C$40:$C$45,0)),"")</f>
        <v/>
      </c>
      <c r="J356" s="19" t="n"/>
      <c r="K356" s="19" t="n"/>
      <c r="L356" s="19" t="n"/>
      <c r="M356" s="19" t="n"/>
      <c r="N356" s="14">
        <f>IF(AND(ISNUMBER($J356),ISNUMBER($K356)),ABS($J356-$K356),"")</f>
        <v/>
      </c>
      <c r="O356" s="14">
        <f>IF(AND(NOT(ISNUMBER($J356)),NOT(ISNUMBER($K356))),"",IF(NOT(ISNUMBER($K356)),$J356,IF(NOT(ISNUMBER($J356)),$K356,IF($N356=0,$J356,IF(AND($N356=1,$T356&lt;&gt;"Sim"),IF($I356="Líder Técnico",$K356,IF($I356="GP",$J356,"CALIBRAR")),"CALIBRAR")))))</f>
        <v/>
      </c>
      <c r="P356" s="19" t="n"/>
      <c r="Q356" s="19" t="n"/>
      <c r="R356" s="14">
        <f>IF($P356="","",IF(AND(ISNUMBER($J356),$P356=$J356,ISNUMBER($K356),$P356=$K356),"= ambos",IF(AND(ISNUMBER($J356),$P356=$J356),"= GP",IF(AND(ISNUMBER($K356),$P356=$K356),"= LT","nenhuma das duas"))))</f>
        <v/>
      </c>
      <c r="S356" s="19" t="n"/>
      <c r="T356" s="19" t="n"/>
      <c r="U356" s="14">
        <f>IF($C356="","",COUNTIFS('Ocorrências'!$V$5:$V$604,$C356&amp;"|"&amp;$B356&amp;"|"&amp;$G356,'Ocorrências'!$X$5:$X$604,"Sim"))</f>
        <v/>
      </c>
      <c r="V356" s="14">
        <f>IF($P356="","",IF(OR($P356=1,$P356=2,$P356=5),IF($U356&gt;0,"OK","SEM LASTRO"),"OK"))</f>
        <v/>
      </c>
      <c r="W356" s="19" t="n"/>
      <c r="X356" s="18" t="n"/>
      <c r="Y356" s="14">
        <f>IF($C356="","",$C356&amp;"|"&amp;$B356)</f>
        <v/>
      </c>
      <c r="Z356" s="14">
        <f>IF($C356="","",$C356&amp;"|"&amp;$B356&amp;"|"&amp;$H356)</f>
        <v/>
      </c>
      <c r="AA356" s="14">
        <f>IF($C356="","",$C356&amp;"|"&amp;$B356&amp;"|"&amp;$G356)</f>
        <v/>
      </c>
    </row>
    <row r="357">
      <c r="A357" s="19" t="n"/>
      <c r="B357" s="14">
        <f>IF($A357="","",VALUE(LEFT($A357,4))*4+VALUE(RIGHT($A357,1)))</f>
        <v/>
      </c>
      <c r="C357" s="19" t="n"/>
      <c r="D357" s="14">
        <f>IFERROR(INDEX(Pessoas!$B$5:$B$64,MATCH($C357,Pessoas!$A$5:$A$64,0)),"")</f>
        <v/>
      </c>
      <c r="E357" s="19" t="n"/>
      <c r="F357" s="14">
        <f>IFERROR(INDEX(Pessoas!$D$5:$D$64,MATCH($C357,Pessoas!$A$5:$A$64,0)),"")</f>
        <v/>
      </c>
      <c r="G357" s="19" t="n"/>
      <c r="H357" s="14">
        <f>IFERROR(INDEX(Config!$B$40:$B$45,MATCH($G357,Config!$C$40:$C$45,0)),"")</f>
        <v/>
      </c>
      <c r="I357" s="14">
        <f>IFERROR(INDEX(Config!$D$40:$D$45,MATCH($G357,Config!$C$40:$C$45,0)),"")</f>
        <v/>
      </c>
      <c r="J357" s="19" t="n"/>
      <c r="K357" s="19" t="n"/>
      <c r="L357" s="19" t="n"/>
      <c r="M357" s="19" t="n"/>
      <c r="N357" s="14">
        <f>IF(AND(ISNUMBER($J357),ISNUMBER($K357)),ABS($J357-$K357),"")</f>
        <v/>
      </c>
      <c r="O357" s="14">
        <f>IF(AND(NOT(ISNUMBER($J357)),NOT(ISNUMBER($K357))),"",IF(NOT(ISNUMBER($K357)),$J357,IF(NOT(ISNUMBER($J357)),$K357,IF($N357=0,$J357,IF(AND($N357=1,$T357&lt;&gt;"Sim"),IF($I357="Líder Técnico",$K357,IF($I357="GP",$J357,"CALIBRAR")),"CALIBRAR")))))</f>
        <v/>
      </c>
      <c r="P357" s="19" t="n"/>
      <c r="Q357" s="19" t="n"/>
      <c r="R357" s="14">
        <f>IF($P357="","",IF(AND(ISNUMBER($J357),$P357=$J357,ISNUMBER($K357),$P357=$K357),"= ambos",IF(AND(ISNUMBER($J357),$P357=$J357),"= GP",IF(AND(ISNUMBER($K357),$P357=$K357),"= LT","nenhuma das duas"))))</f>
        <v/>
      </c>
      <c r="S357" s="19" t="n"/>
      <c r="T357" s="19" t="n"/>
      <c r="U357" s="14">
        <f>IF($C357="","",COUNTIFS('Ocorrências'!$V$5:$V$604,$C357&amp;"|"&amp;$B357&amp;"|"&amp;$G357,'Ocorrências'!$X$5:$X$604,"Sim"))</f>
        <v/>
      </c>
      <c r="V357" s="14">
        <f>IF($P357="","",IF(OR($P357=1,$P357=2,$P357=5),IF($U357&gt;0,"OK","SEM LASTRO"),"OK"))</f>
        <v/>
      </c>
      <c r="W357" s="19" t="n"/>
      <c r="X357" s="18" t="n"/>
      <c r="Y357" s="14">
        <f>IF($C357="","",$C357&amp;"|"&amp;$B357)</f>
        <v/>
      </c>
      <c r="Z357" s="14">
        <f>IF($C357="","",$C357&amp;"|"&amp;$B357&amp;"|"&amp;$H357)</f>
        <v/>
      </c>
      <c r="AA357" s="14">
        <f>IF($C357="","",$C357&amp;"|"&amp;$B357&amp;"|"&amp;$G357)</f>
        <v/>
      </c>
    </row>
    <row r="358">
      <c r="A358" s="19" t="n"/>
      <c r="B358" s="14">
        <f>IF($A358="","",VALUE(LEFT($A358,4))*4+VALUE(RIGHT($A358,1)))</f>
        <v/>
      </c>
      <c r="C358" s="19" t="n"/>
      <c r="D358" s="14">
        <f>IFERROR(INDEX(Pessoas!$B$5:$B$64,MATCH($C358,Pessoas!$A$5:$A$64,0)),"")</f>
        <v/>
      </c>
      <c r="E358" s="19" t="n"/>
      <c r="F358" s="14">
        <f>IFERROR(INDEX(Pessoas!$D$5:$D$64,MATCH($C358,Pessoas!$A$5:$A$64,0)),"")</f>
        <v/>
      </c>
      <c r="G358" s="19" t="n"/>
      <c r="H358" s="14">
        <f>IFERROR(INDEX(Config!$B$40:$B$45,MATCH($G358,Config!$C$40:$C$45,0)),"")</f>
        <v/>
      </c>
      <c r="I358" s="14">
        <f>IFERROR(INDEX(Config!$D$40:$D$45,MATCH($G358,Config!$C$40:$C$45,0)),"")</f>
        <v/>
      </c>
      <c r="J358" s="19" t="n"/>
      <c r="K358" s="19" t="n"/>
      <c r="L358" s="19" t="n"/>
      <c r="M358" s="19" t="n"/>
      <c r="N358" s="14">
        <f>IF(AND(ISNUMBER($J358),ISNUMBER($K358)),ABS($J358-$K358),"")</f>
        <v/>
      </c>
      <c r="O358" s="14">
        <f>IF(AND(NOT(ISNUMBER($J358)),NOT(ISNUMBER($K358))),"",IF(NOT(ISNUMBER($K358)),$J358,IF(NOT(ISNUMBER($J358)),$K358,IF($N358=0,$J358,IF(AND($N358=1,$T358&lt;&gt;"Sim"),IF($I358="Líder Técnico",$K358,IF($I358="GP",$J358,"CALIBRAR")),"CALIBRAR")))))</f>
        <v/>
      </c>
      <c r="P358" s="19" t="n"/>
      <c r="Q358" s="19" t="n"/>
      <c r="R358" s="14">
        <f>IF($P358="","",IF(AND(ISNUMBER($J358),$P358=$J358,ISNUMBER($K358),$P358=$K358),"= ambos",IF(AND(ISNUMBER($J358),$P358=$J358),"= GP",IF(AND(ISNUMBER($K358),$P358=$K358),"= LT","nenhuma das duas"))))</f>
        <v/>
      </c>
      <c r="S358" s="19" t="n"/>
      <c r="T358" s="19" t="n"/>
      <c r="U358" s="14">
        <f>IF($C358="","",COUNTIFS('Ocorrências'!$V$5:$V$604,$C358&amp;"|"&amp;$B358&amp;"|"&amp;$G358,'Ocorrências'!$X$5:$X$604,"Sim"))</f>
        <v/>
      </c>
      <c r="V358" s="14">
        <f>IF($P358="","",IF(OR($P358=1,$P358=2,$P358=5),IF($U358&gt;0,"OK","SEM LASTRO"),"OK"))</f>
        <v/>
      </c>
      <c r="W358" s="19" t="n"/>
      <c r="X358" s="18" t="n"/>
      <c r="Y358" s="14">
        <f>IF($C358="","",$C358&amp;"|"&amp;$B358)</f>
        <v/>
      </c>
      <c r="Z358" s="14">
        <f>IF($C358="","",$C358&amp;"|"&amp;$B358&amp;"|"&amp;$H358)</f>
        <v/>
      </c>
      <c r="AA358" s="14">
        <f>IF($C358="","",$C358&amp;"|"&amp;$B358&amp;"|"&amp;$G358)</f>
        <v/>
      </c>
    </row>
    <row r="359">
      <c r="A359" s="19" t="n"/>
      <c r="B359" s="14">
        <f>IF($A359="","",VALUE(LEFT($A359,4))*4+VALUE(RIGHT($A359,1)))</f>
        <v/>
      </c>
      <c r="C359" s="19" t="n"/>
      <c r="D359" s="14">
        <f>IFERROR(INDEX(Pessoas!$B$5:$B$64,MATCH($C359,Pessoas!$A$5:$A$64,0)),"")</f>
        <v/>
      </c>
      <c r="E359" s="19" t="n"/>
      <c r="F359" s="14">
        <f>IFERROR(INDEX(Pessoas!$D$5:$D$64,MATCH($C359,Pessoas!$A$5:$A$64,0)),"")</f>
        <v/>
      </c>
      <c r="G359" s="19" t="n"/>
      <c r="H359" s="14">
        <f>IFERROR(INDEX(Config!$B$40:$B$45,MATCH($G359,Config!$C$40:$C$45,0)),"")</f>
        <v/>
      </c>
      <c r="I359" s="14">
        <f>IFERROR(INDEX(Config!$D$40:$D$45,MATCH($G359,Config!$C$40:$C$45,0)),"")</f>
        <v/>
      </c>
      <c r="J359" s="19" t="n"/>
      <c r="K359" s="19" t="n"/>
      <c r="L359" s="19" t="n"/>
      <c r="M359" s="19" t="n"/>
      <c r="N359" s="14">
        <f>IF(AND(ISNUMBER($J359),ISNUMBER($K359)),ABS($J359-$K359),"")</f>
        <v/>
      </c>
      <c r="O359" s="14">
        <f>IF(AND(NOT(ISNUMBER($J359)),NOT(ISNUMBER($K359))),"",IF(NOT(ISNUMBER($K359)),$J359,IF(NOT(ISNUMBER($J359)),$K359,IF($N359=0,$J359,IF(AND($N359=1,$T359&lt;&gt;"Sim"),IF($I359="Líder Técnico",$K359,IF($I359="GP",$J359,"CALIBRAR")),"CALIBRAR")))))</f>
        <v/>
      </c>
      <c r="P359" s="19" t="n"/>
      <c r="Q359" s="19" t="n"/>
      <c r="R359" s="14">
        <f>IF($P359="","",IF(AND(ISNUMBER($J359),$P359=$J359,ISNUMBER($K359),$P359=$K359),"= ambos",IF(AND(ISNUMBER($J359),$P359=$J359),"= GP",IF(AND(ISNUMBER($K359),$P359=$K359),"= LT","nenhuma das duas"))))</f>
        <v/>
      </c>
      <c r="S359" s="19" t="n"/>
      <c r="T359" s="19" t="n"/>
      <c r="U359" s="14">
        <f>IF($C359="","",COUNTIFS('Ocorrências'!$V$5:$V$604,$C359&amp;"|"&amp;$B359&amp;"|"&amp;$G359,'Ocorrências'!$X$5:$X$604,"Sim"))</f>
        <v/>
      </c>
      <c r="V359" s="14">
        <f>IF($P359="","",IF(OR($P359=1,$P359=2,$P359=5),IF($U359&gt;0,"OK","SEM LASTRO"),"OK"))</f>
        <v/>
      </c>
      <c r="W359" s="19" t="n"/>
      <c r="X359" s="18" t="n"/>
      <c r="Y359" s="14">
        <f>IF($C359="","",$C359&amp;"|"&amp;$B359)</f>
        <v/>
      </c>
      <c r="Z359" s="14">
        <f>IF($C359="","",$C359&amp;"|"&amp;$B359&amp;"|"&amp;$H359)</f>
        <v/>
      </c>
      <c r="AA359" s="14">
        <f>IF($C359="","",$C359&amp;"|"&amp;$B359&amp;"|"&amp;$G359)</f>
        <v/>
      </c>
    </row>
    <row r="360">
      <c r="A360" s="19" t="n"/>
      <c r="B360" s="14">
        <f>IF($A360="","",VALUE(LEFT($A360,4))*4+VALUE(RIGHT($A360,1)))</f>
        <v/>
      </c>
      <c r="C360" s="19" t="n"/>
      <c r="D360" s="14">
        <f>IFERROR(INDEX(Pessoas!$B$5:$B$64,MATCH($C360,Pessoas!$A$5:$A$64,0)),"")</f>
        <v/>
      </c>
      <c r="E360" s="19" t="n"/>
      <c r="F360" s="14">
        <f>IFERROR(INDEX(Pessoas!$D$5:$D$64,MATCH($C360,Pessoas!$A$5:$A$64,0)),"")</f>
        <v/>
      </c>
      <c r="G360" s="19" t="n"/>
      <c r="H360" s="14">
        <f>IFERROR(INDEX(Config!$B$40:$B$45,MATCH($G360,Config!$C$40:$C$45,0)),"")</f>
        <v/>
      </c>
      <c r="I360" s="14">
        <f>IFERROR(INDEX(Config!$D$40:$D$45,MATCH($G360,Config!$C$40:$C$45,0)),"")</f>
        <v/>
      </c>
      <c r="J360" s="19" t="n"/>
      <c r="K360" s="19" t="n"/>
      <c r="L360" s="19" t="n"/>
      <c r="M360" s="19" t="n"/>
      <c r="N360" s="14">
        <f>IF(AND(ISNUMBER($J360),ISNUMBER($K360)),ABS($J360-$K360),"")</f>
        <v/>
      </c>
      <c r="O360" s="14">
        <f>IF(AND(NOT(ISNUMBER($J360)),NOT(ISNUMBER($K360))),"",IF(NOT(ISNUMBER($K360)),$J360,IF(NOT(ISNUMBER($J360)),$K360,IF($N360=0,$J360,IF(AND($N360=1,$T360&lt;&gt;"Sim"),IF($I360="Líder Técnico",$K360,IF($I360="GP",$J360,"CALIBRAR")),"CALIBRAR")))))</f>
        <v/>
      </c>
      <c r="P360" s="19" t="n"/>
      <c r="Q360" s="19" t="n"/>
      <c r="R360" s="14">
        <f>IF($P360="","",IF(AND(ISNUMBER($J360),$P360=$J360,ISNUMBER($K360),$P360=$K360),"= ambos",IF(AND(ISNUMBER($J360),$P360=$J360),"= GP",IF(AND(ISNUMBER($K360),$P360=$K360),"= LT","nenhuma das duas"))))</f>
        <v/>
      </c>
      <c r="S360" s="19" t="n"/>
      <c r="T360" s="19" t="n"/>
      <c r="U360" s="14">
        <f>IF($C360="","",COUNTIFS('Ocorrências'!$V$5:$V$604,$C360&amp;"|"&amp;$B360&amp;"|"&amp;$G360,'Ocorrências'!$X$5:$X$604,"Sim"))</f>
        <v/>
      </c>
      <c r="V360" s="14">
        <f>IF($P360="","",IF(OR($P360=1,$P360=2,$P360=5),IF($U360&gt;0,"OK","SEM LASTRO"),"OK"))</f>
        <v/>
      </c>
      <c r="W360" s="19" t="n"/>
      <c r="X360" s="18" t="n"/>
      <c r="Y360" s="14">
        <f>IF($C360="","",$C360&amp;"|"&amp;$B360)</f>
        <v/>
      </c>
      <c r="Z360" s="14">
        <f>IF($C360="","",$C360&amp;"|"&amp;$B360&amp;"|"&amp;$H360)</f>
        <v/>
      </c>
      <c r="AA360" s="14">
        <f>IF($C360="","",$C360&amp;"|"&amp;$B360&amp;"|"&amp;$G360)</f>
        <v/>
      </c>
    </row>
    <row r="361">
      <c r="A361" s="19" t="n"/>
      <c r="B361" s="14">
        <f>IF($A361="","",VALUE(LEFT($A361,4))*4+VALUE(RIGHT($A361,1)))</f>
        <v/>
      </c>
      <c r="C361" s="19" t="n"/>
      <c r="D361" s="14">
        <f>IFERROR(INDEX(Pessoas!$B$5:$B$64,MATCH($C361,Pessoas!$A$5:$A$64,0)),"")</f>
        <v/>
      </c>
      <c r="E361" s="19" t="n"/>
      <c r="F361" s="14">
        <f>IFERROR(INDEX(Pessoas!$D$5:$D$64,MATCH($C361,Pessoas!$A$5:$A$64,0)),"")</f>
        <v/>
      </c>
      <c r="G361" s="19" t="n"/>
      <c r="H361" s="14">
        <f>IFERROR(INDEX(Config!$B$40:$B$45,MATCH($G361,Config!$C$40:$C$45,0)),"")</f>
        <v/>
      </c>
      <c r="I361" s="14">
        <f>IFERROR(INDEX(Config!$D$40:$D$45,MATCH($G361,Config!$C$40:$C$45,0)),"")</f>
        <v/>
      </c>
      <c r="J361" s="19" t="n"/>
      <c r="K361" s="19" t="n"/>
      <c r="L361" s="19" t="n"/>
      <c r="M361" s="19" t="n"/>
      <c r="N361" s="14">
        <f>IF(AND(ISNUMBER($J361),ISNUMBER($K361)),ABS($J361-$K361),"")</f>
        <v/>
      </c>
      <c r="O361" s="14">
        <f>IF(AND(NOT(ISNUMBER($J361)),NOT(ISNUMBER($K361))),"",IF(NOT(ISNUMBER($K361)),$J361,IF(NOT(ISNUMBER($J361)),$K361,IF($N361=0,$J361,IF(AND($N361=1,$T361&lt;&gt;"Sim"),IF($I361="Líder Técnico",$K361,IF($I361="GP",$J361,"CALIBRAR")),"CALIBRAR")))))</f>
        <v/>
      </c>
      <c r="P361" s="19" t="n"/>
      <c r="Q361" s="19" t="n"/>
      <c r="R361" s="14">
        <f>IF($P361="","",IF(AND(ISNUMBER($J361),$P361=$J361,ISNUMBER($K361),$P361=$K361),"= ambos",IF(AND(ISNUMBER($J361),$P361=$J361),"= GP",IF(AND(ISNUMBER($K361),$P361=$K361),"= LT","nenhuma das duas"))))</f>
        <v/>
      </c>
      <c r="S361" s="19" t="n"/>
      <c r="T361" s="19" t="n"/>
      <c r="U361" s="14">
        <f>IF($C361="","",COUNTIFS('Ocorrências'!$V$5:$V$604,$C361&amp;"|"&amp;$B361&amp;"|"&amp;$G361,'Ocorrências'!$X$5:$X$604,"Sim"))</f>
        <v/>
      </c>
      <c r="V361" s="14">
        <f>IF($P361="","",IF(OR($P361=1,$P361=2,$P361=5),IF($U361&gt;0,"OK","SEM LASTRO"),"OK"))</f>
        <v/>
      </c>
      <c r="W361" s="19" t="n"/>
      <c r="X361" s="18" t="n"/>
      <c r="Y361" s="14">
        <f>IF($C361="","",$C361&amp;"|"&amp;$B361)</f>
        <v/>
      </c>
      <c r="Z361" s="14">
        <f>IF($C361="","",$C361&amp;"|"&amp;$B361&amp;"|"&amp;$H361)</f>
        <v/>
      </c>
      <c r="AA361" s="14">
        <f>IF($C361="","",$C361&amp;"|"&amp;$B361&amp;"|"&amp;$G361)</f>
        <v/>
      </c>
    </row>
    <row r="362">
      <c r="A362" s="19" t="n"/>
      <c r="B362" s="14">
        <f>IF($A362="","",VALUE(LEFT($A362,4))*4+VALUE(RIGHT($A362,1)))</f>
        <v/>
      </c>
      <c r="C362" s="19" t="n"/>
      <c r="D362" s="14">
        <f>IFERROR(INDEX(Pessoas!$B$5:$B$64,MATCH($C362,Pessoas!$A$5:$A$64,0)),"")</f>
        <v/>
      </c>
      <c r="E362" s="19" t="n"/>
      <c r="F362" s="14">
        <f>IFERROR(INDEX(Pessoas!$D$5:$D$64,MATCH($C362,Pessoas!$A$5:$A$64,0)),"")</f>
        <v/>
      </c>
      <c r="G362" s="19" t="n"/>
      <c r="H362" s="14">
        <f>IFERROR(INDEX(Config!$B$40:$B$45,MATCH($G362,Config!$C$40:$C$45,0)),"")</f>
        <v/>
      </c>
      <c r="I362" s="14">
        <f>IFERROR(INDEX(Config!$D$40:$D$45,MATCH($G362,Config!$C$40:$C$45,0)),"")</f>
        <v/>
      </c>
      <c r="J362" s="19" t="n"/>
      <c r="K362" s="19" t="n"/>
      <c r="L362" s="19" t="n"/>
      <c r="M362" s="19" t="n"/>
      <c r="N362" s="14">
        <f>IF(AND(ISNUMBER($J362),ISNUMBER($K362)),ABS($J362-$K362),"")</f>
        <v/>
      </c>
      <c r="O362" s="14">
        <f>IF(AND(NOT(ISNUMBER($J362)),NOT(ISNUMBER($K362))),"",IF(NOT(ISNUMBER($K362)),$J362,IF(NOT(ISNUMBER($J362)),$K362,IF($N362=0,$J362,IF(AND($N362=1,$T362&lt;&gt;"Sim"),IF($I362="Líder Técnico",$K362,IF($I362="GP",$J362,"CALIBRAR")),"CALIBRAR")))))</f>
        <v/>
      </c>
      <c r="P362" s="19" t="n"/>
      <c r="Q362" s="19" t="n"/>
      <c r="R362" s="14">
        <f>IF($P362="","",IF(AND(ISNUMBER($J362),$P362=$J362,ISNUMBER($K362),$P362=$K362),"= ambos",IF(AND(ISNUMBER($J362),$P362=$J362),"= GP",IF(AND(ISNUMBER($K362),$P362=$K362),"= LT","nenhuma das duas"))))</f>
        <v/>
      </c>
      <c r="S362" s="19" t="n"/>
      <c r="T362" s="19" t="n"/>
      <c r="U362" s="14">
        <f>IF($C362="","",COUNTIFS('Ocorrências'!$V$5:$V$604,$C362&amp;"|"&amp;$B362&amp;"|"&amp;$G362,'Ocorrências'!$X$5:$X$604,"Sim"))</f>
        <v/>
      </c>
      <c r="V362" s="14">
        <f>IF($P362="","",IF(OR($P362=1,$P362=2,$P362=5),IF($U362&gt;0,"OK","SEM LASTRO"),"OK"))</f>
        <v/>
      </c>
      <c r="W362" s="19" t="n"/>
      <c r="X362" s="18" t="n"/>
      <c r="Y362" s="14">
        <f>IF($C362="","",$C362&amp;"|"&amp;$B362)</f>
        <v/>
      </c>
      <c r="Z362" s="14">
        <f>IF($C362="","",$C362&amp;"|"&amp;$B362&amp;"|"&amp;$H362)</f>
        <v/>
      </c>
      <c r="AA362" s="14">
        <f>IF($C362="","",$C362&amp;"|"&amp;$B362&amp;"|"&amp;$G362)</f>
        <v/>
      </c>
    </row>
    <row r="363">
      <c r="A363" s="19" t="n"/>
      <c r="B363" s="14">
        <f>IF($A363="","",VALUE(LEFT($A363,4))*4+VALUE(RIGHT($A363,1)))</f>
        <v/>
      </c>
      <c r="C363" s="19" t="n"/>
      <c r="D363" s="14">
        <f>IFERROR(INDEX(Pessoas!$B$5:$B$64,MATCH($C363,Pessoas!$A$5:$A$64,0)),"")</f>
        <v/>
      </c>
      <c r="E363" s="19" t="n"/>
      <c r="F363" s="14">
        <f>IFERROR(INDEX(Pessoas!$D$5:$D$64,MATCH($C363,Pessoas!$A$5:$A$64,0)),"")</f>
        <v/>
      </c>
      <c r="G363" s="19" t="n"/>
      <c r="H363" s="14">
        <f>IFERROR(INDEX(Config!$B$40:$B$45,MATCH($G363,Config!$C$40:$C$45,0)),"")</f>
        <v/>
      </c>
      <c r="I363" s="14">
        <f>IFERROR(INDEX(Config!$D$40:$D$45,MATCH($G363,Config!$C$40:$C$45,0)),"")</f>
        <v/>
      </c>
      <c r="J363" s="19" t="n"/>
      <c r="K363" s="19" t="n"/>
      <c r="L363" s="19" t="n"/>
      <c r="M363" s="19" t="n"/>
      <c r="N363" s="14">
        <f>IF(AND(ISNUMBER($J363),ISNUMBER($K363)),ABS($J363-$K363),"")</f>
        <v/>
      </c>
      <c r="O363" s="14">
        <f>IF(AND(NOT(ISNUMBER($J363)),NOT(ISNUMBER($K363))),"",IF(NOT(ISNUMBER($K363)),$J363,IF(NOT(ISNUMBER($J363)),$K363,IF($N363=0,$J363,IF(AND($N363=1,$T363&lt;&gt;"Sim"),IF($I363="Líder Técnico",$K363,IF($I363="GP",$J363,"CALIBRAR")),"CALIBRAR")))))</f>
        <v/>
      </c>
      <c r="P363" s="19" t="n"/>
      <c r="Q363" s="19" t="n"/>
      <c r="R363" s="14">
        <f>IF($P363="","",IF(AND(ISNUMBER($J363),$P363=$J363,ISNUMBER($K363),$P363=$K363),"= ambos",IF(AND(ISNUMBER($J363),$P363=$J363),"= GP",IF(AND(ISNUMBER($K363),$P363=$K363),"= LT","nenhuma das duas"))))</f>
        <v/>
      </c>
      <c r="S363" s="19" t="n"/>
      <c r="T363" s="19" t="n"/>
      <c r="U363" s="14">
        <f>IF($C363="","",COUNTIFS('Ocorrências'!$V$5:$V$604,$C363&amp;"|"&amp;$B363&amp;"|"&amp;$G363,'Ocorrências'!$X$5:$X$604,"Sim"))</f>
        <v/>
      </c>
      <c r="V363" s="14">
        <f>IF($P363="","",IF(OR($P363=1,$P363=2,$P363=5),IF($U363&gt;0,"OK","SEM LASTRO"),"OK"))</f>
        <v/>
      </c>
      <c r="W363" s="19" t="n"/>
      <c r="X363" s="18" t="n"/>
      <c r="Y363" s="14">
        <f>IF($C363="","",$C363&amp;"|"&amp;$B363)</f>
        <v/>
      </c>
      <c r="Z363" s="14">
        <f>IF($C363="","",$C363&amp;"|"&amp;$B363&amp;"|"&amp;$H363)</f>
        <v/>
      </c>
      <c r="AA363" s="14">
        <f>IF($C363="","",$C363&amp;"|"&amp;$B363&amp;"|"&amp;$G363)</f>
        <v/>
      </c>
    </row>
    <row r="364">
      <c r="A364" s="19" t="n"/>
      <c r="B364" s="14">
        <f>IF($A364="","",VALUE(LEFT($A364,4))*4+VALUE(RIGHT($A364,1)))</f>
        <v/>
      </c>
      <c r="C364" s="19" t="n"/>
      <c r="D364" s="14">
        <f>IFERROR(INDEX(Pessoas!$B$5:$B$64,MATCH($C364,Pessoas!$A$5:$A$64,0)),"")</f>
        <v/>
      </c>
      <c r="E364" s="19" t="n"/>
      <c r="F364" s="14">
        <f>IFERROR(INDEX(Pessoas!$D$5:$D$64,MATCH($C364,Pessoas!$A$5:$A$64,0)),"")</f>
        <v/>
      </c>
      <c r="G364" s="19" t="n"/>
      <c r="H364" s="14">
        <f>IFERROR(INDEX(Config!$B$40:$B$45,MATCH($G364,Config!$C$40:$C$45,0)),"")</f>
        <v/>
      </c>
      <c r="I364" s="14">
        <f>IFERROR(INDEX(Config!$D$40:$D$45,MATCH($G364,Config!$C$40:$C$45,0)),"")</f>
        <v/>
      </c>
      <c r="J364" s="19" t="n"/>
      <c r="K364" s="19" t="n"/>
      <c r="L364" s="19" t="n"/>
      <c r="M364" s="19" t="n"/>
      <c r="N364" s="14">
        <f>IF(AND(ISNUMBER($J364),ISNUMBER($K364)),ABS($J364-$K364),"")</f>
        <v/>
      </c>
      <c r="O364" s="14">
        <f>IF(AND(NOT(ISNUMBER($J364)),NOT(ISNUMBER($K364))),"",IF(NOT(ISNUMBER($K364)),$J364,IF(NOT(ISNUMBER($J364)),$K364,IF($N364=0,$J364,IF(AND($N364=1,$T364&lt;&gt;"Sim"),IF($I364="Líder Técnico",$K364,IF($I364="GP",$J364,"CALIBRAR")),"CALIBRAR")))))</f>
        <v/>
      </c>
      <c r="P364" s="19" t="n"/>
      <c r="Q364" s="19" t="n"/>
      <c r="R364" s="14">
        <f>IF($P364="","",IF(AND(ISNUMBER($J364),$P364=$J364,ISNUMBER($K364),$P364=$K364),"= ambos",IF(AND(ISNUMBER($J364),$P364=$J364),"= GP",IF(AND(ISNUMBER($K364),$P364=$K364),"= LT","nenhuma das duas"))))</f>
        <v/>
      </c>
      <c r="S364" s="19" t="n"/>
      <c r="T364" s="19" t="n"/>
      <c r="U364" s="14">
        <f>IF($C364="","",COUNTIFS('Ocorrências'!$V$5:$V$604,$C364&amp;"|"&amp;$B364&amp;"|"&amp;$G364,'Ocorrências'!$X$5:$X$604,"Sim"))</f>
        <v/>
      </c>
      <c r="V364" s="14">
        <f>IF($P364="","",IF(OR($P364=1,$P364=2,$P364=5),IF($U364&gt;0,"OK","SEM LASTRO"),"OK"))</f>
        <v/>
      </c>
      <c r="W364" s="19" t="n"/>
      <c r="X364" s="18" t="n"/>
      <c r="Y364" s="14">
        <f>IF($C364="","",$C364&amp;"|"&amp;$B364)</f>
        <v/>
      </c>
      <c r="Z364" s="14">
        <f>IF($C364="","",$C364&amp;"|"&amp;$B364&amp;"|"&amp;$H364)</f>
        <v/>
      </c>
      <c r="AA364" s="14">
        <f>IF($C364="","",$C364&amp;"|"&amp;$B364&amp;"|"&amp;$G364)</f>
        <v/>
      </c>
    </row>
    <row r="365">
      <c r="A365" s="19" t="n"/>
      <c r="B365" s="14">
        <f>IF($A365="","",VALUE(LEFT($A365,4))*4+VALUE(RIGHT($A365,1)))</f>
        <v/>
      </c>
      <c r="C365" s="19" t="n"/>
      <c r="D365" s="14">
        <f>IFERROR(INDEX(Pessoas!$B$5:$B$64,MATCH($C365,Pessoas!$A$5:$A$64,0)),"")</f>
        <v/>
      </c>
      <c r="E365" s="19" t="n"/>
      <c r="F365" s="14">
        <f>IFERROR(INDEX(Pessoas!$D$5:$D$64,MATCH($C365,Pessoas!$A$5:$A$64,0)),"")</f>
        <v/>
      </c>
      <c r="G365" s="19" t="n"/>
      <c r="H365" s="14">
        <f>IFERROR(INDEX(Config!$B$40:$B$45,MATCH($G365,Config!$C$40:$C$45,0)),"")</f>
        <v/>
      </c>
      <c r="I365" s="14">
        <f>IFERROR(INDEX(Config!$D$40:$D$45,MATCH($G365,Config!$C$40:$C$45,0)),"")</f>
        <v/>
      </c>
      <c r="J365" s="19" t="n"/>
      <c r="K365" s="19" t="n"/>
      <c r="L365" s="19" t="n"/>
      <c r="M365" s="19" t="n"/>
      <c r="N365" s="14">
        <f>IF(AND(ISNUMBER($J365),ISNUMBER($K365)),ABS($J365-$K365),"")</f>
        <v/>
      </c>
      <c r="O365" s="14">
        <f>IF(AND(NOT(ISNUMBER($J365)),NOT(ISNUMBER($K365))),"",IF(NOT(ISNUMBER($K365)),$J365,IF(NOT(ISNUMBER($J365)),$K365,IF($N365=0,$J365,IF(AND($N365=1,$T365&lt;&gt;"Sim"),IF($I365="Líder Técnico",$K365,IF($I365="GP",$J365,"CALIBRAR")),"CALIBRAR")))))</f>
        <v/>
      </c>
      <c r="P365" s="19" t="n"/>
      <c r="Q365" s="19" t="n"/>
      <c r="R365" s="14">
        <f>IF($P365="","",IF(AND(ISNUMBER($J365),$P365=$J365,ISNUMBER($K365),$P365=$K365),"= ambos",IF(AND(ISNUMBER($J365),$P365=$J365),"= GP",IF(AND(ISNUMBER($K365),$P365=$K365),"= LT","nenhuma das duas"))))</f>
        <v/>
      </c>
      <c r="S365" s="19" t="n"/>
      <c r="T365" s="19" t="n"/>
      <c r="U365" s="14">
        <f>IF($C365="","",COUNTIFS('Ocorrências'!$V$5:$V$604,$C365&amp;"|"&amp;$B365&amp;"|"&amp;$G365,'Ocorrências'!$X$5:$X$604,"Sim"))</f>
        <v/>
      </c>
      <c r="V365" s="14">
        <f>IF($P365="","",IF(OR($P365=1,$P365=2,$P365=5),IF($U365&gt;0,"OK","SEM LASTRO"),"OK"))</f>
        <v/>
      </c>
      <c r="W365" s="19" t="n"/>
      <c r="X365" s="18" t="n"/>
      <c r="Y365" s="14">
        <f>IF($C365="","",$C365&amp;"|"&amp;$B365)</f>
        <v/>
      </c>
      <c r="Z365" s="14">
        <f>IF($C365="","",$C365&amp;"|"&amp;$B365&amp;"|"&amp;$H365)</f>
        <v/>
      </c>
      <c r="AA365" s="14">
        <f>IF($C365="","",$C365&amp;"|"&amp;$B365&amp;"|"&amp;$G365)</f>
        <v/>
      </c>
    </row>
    <row r="366">
      <c r="A366" s="19" t="n"/>
      <c r="B366" s="14">
        <f>IF($A366="","",VALUE(LEFT($A366,4))*4+VALUE(RIGHT($A366,1)))</f>
        <v/>
      </c>
      <c r="C366" s="19" t="n"/>
      <c r="D366" s="14">
        <f>IFERROR(INDEX(Pessoas!$B$5:$B$64,MATCH($C366,Pessoas!$A$5:$A$64,0)),"")</f>
        <v/>
      </c>
      <c r="E366" s="19" t="n"/>
      <c r="F366" s="14">
        <f>IFERROR(INDEX(Pessoas!$D$5:$D$64,MATCH($C366,Pessoas!$A$5:$A$64,0)),"")</f>
        <v/>
      </c>
      <c r="G366" s="19" t="n"/>
      <c r="H366" s="14">
        <f>IFERROR(INDEX(Config!$B$40:$B$45,MATCH($G366,Config!$C$40:$C$45,0)),"")</f>
        <v/>
      </c>
      <c r="I366" s="14">
        <f>IFERROR(INDEX(Config!$D$40:$D$45,MATCH($G366,Config!$C$40:$C$45,0)),"")</f>
        <v/>
      </c>
      <c r="J366" s="19" t="n"/>
      <c r="K366" s="19" t="n"/>
      <c r="L366" s="19" t="n"/>
      <c r="M366" s="19" t="n"/>
      <c r="N366" s="14">
        <f>IF(AND(ISNUMBER($J366),ISNUMBER($K366)),ABS($J366-$K366),"")</f>
        <v/>
      </c>
      <c r="O366" s="14">
        <f>IF(AND(NOT(ISNUMBER($J366)),NOT(ISNUMBER($K366))),"",IF(NOT(ISNUMBER($K366)),$J366,IF(NOT(ISNUMBER($J366)),$K366,IF($N366=0,$J366,IF(AND($N366=1,$T366&lt;&gt;"Sim"),IF($I366="Líder Técnico",$K366,IF($I366="GP",$J366,"CALIBRAR")),"CALIBRAR")))))</f>
        <v/>
      </c>
      <c r="P366" s="19" t="n"/>
      <c r="Q366" s="19" t="n"/>
      <c r="R366" s="14">
        <f>IF($P366="","",IF(AND(ISNUMBER($J366),$P366=$J366,ISNUMBER($K366),$P366=$K366),"= ambos",IF(AND(ISNUMBER($J366),$P366=$J366),"= GP",IF(AND(ISNUMBER($K366),$P366=$K366),"= LT","nenhuma das duas"))))</f>
        <v/>
      </c>
      <c r="S366" s="19" t="n"/>
      <c r="T366" s="19" t="n"/>
      <c r="U366" s="14">
        <f>IF($C366="","",COUNTIFS('Ocorrências'!$V$5:$V$604,$C366&amp;"|"&amp;$B366&amp;"|"&amp;$G366,'Ocorrências'!$X$5:$X$604,"Sim"))</f>
        <v/>
      </c>
      <c r="V366" s="14">
        <f>IF($P366="","",IF(OR($P366=1,$P366=2,$P366=5),IF($U366&gt;0,"OK","SEM LASTRO"),"OK"))</f>
        <v/>
      </c>
      <c r="W366" s="19" t="n"/>
      <c r="X366" s="18" t="n"/>
      <c r="Y366" s="14">
        <f>IF($C366="","",$C366&amp;"|"&amp;$B366)</f>
        <v/>
      </c>
      <c r="Z366" s="14">
        <f>IF($C366="","",$C366&amp;"|"&amp;$B366&amp;"|"&amp;$H366)</f>
        <v/>
      </c>
      <c r="AA366" s="14">
        <f>IF($C366="","",$C366&amp;"|"&amp;$B366&amp;"|"&amp;$G366)</f>
        <v/>
      </c>
    </row>
    <row r="367">
      <c r="A367" s="19" t="n"/>
      <c r="B367" s="14">
        <f>IF($A367="","",VALUE(LEFT($A367,4))*4+VALUE(RIGHT($A367,1)))</f>
        <v/>
      </c>
      <c r="C367" s="19" t="n"/>
      <c r="D367" s="14">
        <f>IFERROR(INDEX(Pessoas!$B$5:$B$64,MATCH($C367,Pessoas!$A$5:$A$64,0)),"")</f>
        <v/>
      </c>
      <c r="E367" s="19" t="n"/>
      <c r="F367" s="14">
        <f>IFERROR(INDEX(Pessoas!$D$5:$D$64,MATCH($C367,Pessoas!$A$5:$A$64,0)),"")</f>
        <v/>
      </c>
      <c r="G367" s="19" t="n"/>
      <c r="H367" s="14">
        <f>IFERROR(INDEX(Config!$B$40:$B$45,MATCH($G367,Config!$C$40:$C$45,0)),"")</f>
        <v/>
      </c>
      <c r="I367" s="14">
        <f>IFERROR(INDEX(Config!$D$40:$D$45,MATCH($G367,Config!$C$40:$C$45,0)),"")</f>
        <v/>
      </c>
      <c r="J367" s="19" t="n"/>
      <c r="K367" s="19" t="n"/>
      <c r="L367" s="19" t="n"/>
      <c r="M367" s="19" t="n"/>
      <c r="N367" s="14">
        <f>IF(AND(ISNUMBER($J367),ISNUMBER($K367)),ABS($J367-$K367),"")</f>
        <v/>
      </c>
      <c r="O367" s="14">
        <f>IF(AND(NOT(ISNUMBER($J367)),NOT(ISNUMBER($K367))),"",IF(NOT(ISNUMBER($K367)),$J367,IF(NOT(ISNUMBER($J367)),$K367,IF($N367=0,$J367,IF(AND($N367=1,$T367&lt;&gt;"Sim"),IF($I367="Líder Técnico",$K367,IF($I367="GP",$J367,"CALIBRAR")),"CALIBRAR")))))</f>
        <v/>
      </c>
      <c r="P367" s="19" t="n"/>
      <c r="Q367" s="19" t="n"/>
      <c r="R367" s="14">
        <f>IF($P367="","",IF(AND(ISNUMBER($J367),$P367=$J367,ISNUMBER($K367),$P367=$K367),"= ambos",IF(AND(ISNUMBER($J367),$P367=$J367),"= GP",IF(AND(ISNUMBER($K367),$P367=$K367),"= LT","nenhuma das duas"))))</f>
        <v/>
      </c>
      <c r="S367" s="19" t="n"/>
      <c r="T367" s="19" t="n"/>
      <c r="U367" s="14">
        <f>IF($C367="","",COUNTIFS('Ocorrências'!$V$5:$V$604,$C367&amp;"|"&amp;$B367&amp;"|"&amp;$G367,'Ocorrências'!$X$5:$X$604,"Sim"))</f>
        <v/>
      </c>
      <c r="V367" s="14">
        <f>IF($P367="","",IF(OR($P367=1,$P367=2,$P367=5),IF($U367&gt;0,"OK","SEM LASTRO"),"OK"))</f>
        <v/>
      </c>
      <c r="W367" s="19" t="n"/>
      <c r="X367" s="18" t="n"/>
      <c r="Y367" s="14">
        <f>IF($C367="","",$C367&amp;"|"&amp;$B367)</f>
        <v/>
      </c>
      <c r="Z367" s="14">
        <f>IF($C367="","",$C367&amp;"|"&amp;$B367&amp;"|"&amp;$H367)</f>
        <v/>
      </c>
      <c r="AA367" s="14">
        <f>IF($C367="","",$C367&amp;"|"&amp;$B367&amp;"|"&amp;$G367)</f>
        <v/>
      </c>
    </row>
    <row r="368">
      <c r="A368" s="19" t="n"/>
      <c r="B368" s="14">
        <f>IF($A368="","",VALUE(LEFT($A368,4))*4+VALUE(RIGHT($A368,1)))</f>
        <v/>
      </c>
      <c r="C368" s="19" t="n"/>
      <c r="D368" s="14">
        <f>IFERROR(INDEX(Pessoas!$B$5:$B$64,MATCH($C368,Pessoas!$A$5:$A$64,0)),"")</f>
        <v/>
      </c>
      <c r="E368" s="19" t="n"/>
      <c r="F368" s="14">
        <f>IFERROR(INDEX(Pessoas!$D$5:$D$64,MATCH($C368,Pessoas!$A$5:$A$64,0)),"")</f>
        <v/>
      </c>
      <c r="G368" s="19" t="n"/>
      <c r="H368" s="14">
        <f>IFERROR(INDEX(Config!$B$40:$B$45,MATCH($G368,Config!$C$40:$C$45,0)),"")</f>
        <v/>
      </c>
      <c r="I368" s="14">
        <f>IFERROR(INDEX(Config!$D$40:$D$45,MATCH($G368,Config!$C$40:$C$45,0)),"")</f>
        <v/>
      </c>
      <c r="J368" s="19" t="n"/>
      <c r="K368" s="19" t="n"/>
      <c r="L368" s="19" t="n"/>
      <c r="M368" s="19" t="n"/>
      <c r="N368" s="14">
        <f>IF(AND(ISNUMBER($J368),ISNUMBER($K368)),ABS($J368-$K368),"")</f>
        <v/>
      </c>
      <c r="O368" s="14">
        <f>IF(AND(NOT(ISNUMBER($J368)),NOT(ISNUMBER($K368))),"",IF(NOT(ISNUMBER($K368)),$J368,IF(NOT(ISNUMBER($J368)),$K368,IF($N368=0,$J368,IF(AND($N368=1,$T368&lt;&gt;"Sim"),IF($I368="Líder Técnico",$K368,IF($I368="GP",$J368,"CALIBRAR")),"CALIBRAR")))))</f>
        <v/>
      </c>
      <c r="P368" s="19" t="n"/>
      <c r="Q368" s="19" t="n"/>
      <c r="R368" s="14">
        <f>IF($P368="","",IF(AND(ISNUMBER($J368),$P368=$J368,ISNUMBER($K368),$P368=$K368),"= ambos",IF(AND(ISNUMBER($J368),$P368=$J368),"= GP",IF(AND(ISNUMBER($K368),$P368=$K368),"= LT","nenhuma das duas"))))</f>
        <v/>
      </c>
      <c r="S368" s="19" t="n"/>
      <c r="T368" s="19" t="n"/>
      <c r="U368" s="14">
        <f>IF($C368="","",COUNTIFS('Ocorrências'!$V$5:$V$604,$C368&amp;"|"&amp;$B368&amp;"|"&amp;$G368,'Ocorrências'!$X$5:$X$604,"Sim"))</f>
        <v/>
      </c>
      <c r="V368" s="14">
        <f>IF($P368="","",IF(OR($P368=1,$P368=2,$P368=5),IF($U368&gt;0,"OK","SEM LASTRO"),"OK"))</f>
        <v/>
      </c>
      <c r="W368" s="19" t="n"/>
      <c r="X368" s="18" t="n"/>
      <c r="Y368" s="14">
        <f>IF($C368="","",$C368&amp;"|"&amp;$B368)</f>
        <v/>
      </c>
      <c r="Z368" s="14">
        <f>IF($C368="","",$C368&amp;"|"&amp;$B368&amp;"|"&amp;$H368)</f>
        <v/>
      </c>
      <c r="AA368" s="14">
        <f>IF($C368="","",$C368&amp;"|"&amp;$B368&amp;"|"&amp;$G368)</f>
        <v/>
      </c>
    </row>
    <row r="369">
      <c r="A369" s="19" t="n"/>
      <c r="B369" s="14">
        <f>IF($A369="","",VALUE(LEFT($A369,4))*4+VALUE(RIGHT($A369,1)))</f>
        <v/>
      </c>
      <c r="C369" s="19" t="n"/>
      <c r="D369" s="14">
        <f>IFERROR(INDEX(Pessoas!$B$5:$B$64,MATCH($C369,Pessoas!$A$5:$A$64,0)),"")</f>
        <v/>
      </c>
      <c r="E369" s="19" t="n"/>
      <c r="F369" s="14">
        <f>IFERROR(INDEX(Pessoas!$D$5:$D$64,MATCH($C369,Pessoas!$A$5:$A$64,0)),"")</f>
        <v/>
      </c>
      <c r="G369" s="19" t="n"/>
      <c r="H369" s="14">
        <f>IFERROR(INDEX(Config!$B$40:$B$45,MATCH($G369,Config!$C$40:$C$45,0)),"")</f>
        <v/>
      </c>
      <c r="I369" s="14">
        <f>IFERROR(INDEX(Config!$D$40:$D$45,MATCH($G369,Config!$C$40:$C$45,0)),"")</f>
        <v/>
      </c>
      <c r="J369" s="19" t="n"/>
      <c r="K369" s="19" t="n"/>
      <c r="L369" s="19" t="n"/>
      <c r="M369" s="19" t="n"/>
      <c r="N369" s="14">
        <f>IF(AND(ISNUMBER($J369),ISNUMBER($K369)),ABS($J369-$K369),"")</f>
        <v/>
      </c>
      <c r="O369" s="14">
        <f>IF(AND(NOT(ISNUMBER($J369)),NOT(ISNUMBER($K369))),"",IF(NOT(ISNUMBER($K369)),$J369,IF(NOT(ISNUMBER($J369)),$K369,IF($N369=0,$J369,IF(AND($N369=1,$T369&lt;&gt;"Sim"),IF($I369="Líder Técnico",$K369,IF($I369="GP",$J369,"CALIBRAR")),"CALIBRAR")))))</f>
        <v/>
      </c>
      <c r="P369" s="19" t="n"/>
      <c r="Q369" s="19" t="n"/>
      <c r="R369" s="14">
        <f>IF($P369="","",IF(AND(ISNUMBER($J369),$P369=$J369,ISNUMBER($K369),$P369=$K369),"= ambos",IF(AND(ISNUMBER($J369),$P369=$J369),"= GP",IF(AND(ISNUMBER($K369),$P369=$K369),"= LT","nenhuma das duas"))))</f>
        <v/>
      </c>
      <c r="S369" s="19" t="n"/>
      <c r="T369" s="19" t="n"/>
      <c r="U369" s="14">
        <f>IF($C369="","",COUNTIFS('Ocorrências'!$V$5:$V$604,$C369&amp;"|"&amp;$B369&amp;"|"&amp;$G369,'Ocorrências'!$X$5:$X$604,"Sim"))</f>
        <v/>
      </c>
      <c r="V369" s="14">
        <f>IF($P369="","",IF(OR($P369=1,$P369=2,$P369=5),IF($U369&gt;0,"OK","SEM LASTRO"),"OK"))</f>
        <v/>
      </c>
      <c r="W369" s="19" t="n"/>
      <c r="X369" s="18" t="n"/>
      <c r="Y369" s="14">
        <f>IF($C369="","",$C369&amp;"|"&amp;$B369)</f>
        <v/>
      </c>
      <c r="Z369" s="14">
        <f>IF($C369="","",$C369&amp;"|"&amp;$B369&amp;"|"&amp;$H369)</f>
        <v/>
      </c>
      <c r="AA369" s="14">
        <f>IF($C369="","",$C369&amp;"|"&amp;$B369&amp;"|"&amp;$G369)</f>
        <v/>
      </c>
    </row>
    <row r="370">
      <c r="A370" s="19" t="n"/>
      <c r="B370" s="14">
        <f>IF($A370="","",VALUE(LEFT($A370,4))*4+VALUE(RIGHT($A370,1)))</f>
        <v/>
      </c>
      <c r="C370" s="19" t="n"/>
      <c r="D370" s="14">
        <f>IFERROR(INDEX(Pessoas!$B$5:$B$64,MATCH($C370,Pessoas!$A$5:$A$64,0)),"")</f>
        <v/>
      </c>
      <c r="E370" s="19" t="n"/>
      <c r="F370" s="14">
        <f>IFERROR(INDEX(Pessoas!$D$5:$D$64,MATCH($C370,Pessoas!$A$5:$A$64,0)),"")</f>
        <v/>
      </c>
      <c r="G370" s="19" t="n"/>
      <c r="H370" s="14">
        <f>IFERROR(INDEX(Config!$B$40:$B$45,MATCH($G370,Config!$C$40:$C$45,0)),"")</f>
        <v/>
      </c>
      <c r="I370" s="14">
        <f>IFERROR(INDEX(Config!$D$40:$D$45,MATCH($G370,Config!$C$40:$C$45,0)),"")</f>
        <v/>
      </c>
      <c r="J370" s="19" t="n"/>
      <c r="K370" s="19" t="n"/>
      <c r="L370" s="19" t="n"/>
      <c r="M370" s="19" t="n"/>
      <c r="N370" s="14">
        <f>IF(AND(ISNUMBER($J370),ISNUMBER($K370)),ABS($J370-$K370),"")</f>
        <v/>
      </c>
      <c r="O370" s="14">
        <f>IF(AND(NOT(ISNUMBER($J370)),NOT(ISNUMBER($K370))),"",IF(NOT(ISNUMBER($K370)),$J370,IF(NOT(ISNUMBER($J370)),$K370,IF($N370=0,$J370,IF(AND($N370=1,$T370&lt;&gt;"Sim"),IF($I370="Líder Técnico",$K370,IF($I370="GP",$J370,"CALIBRAR")),"CALIBRAR")))))</f>
        <v/>
      </c>
      <c r="P370" s="19" t="n"/>
      <c r="Q370" s="19" t="n"/>
      <c r="R370" s="14">
        <f>IF($P370="","",IF(AND(ISNUMBER($J370),$P370=$J370,ISNUMBER($K370),$P370=$K370),"= ambos",IF(AND(ISNUMBER($J370),$P370=$J370),"= GP",IF(AND(ISNUMBER($K370),$P370=$K370),"= LT","nenhuma das duas"))))</f>
        <v/>
      </c>
      <c r="S370" s="19" t="n"/>
      <c r="T370" s="19" t="n"/>
      <c r="U370" s="14">
        <f>IF($C370="","",COUNTIFS('Ocorrências'!$V$5:$V$604,$C370&amp;"|"&amp;$B370&amp;"|"&amp;$G370,'Ocorrências'!$X$5:$X$604,"Sim"))</f>
        <v/>
      </c>
      <c r="V370" s="14">
        <f>IF($P370="","",IF(OR($P370=1,$P370=2,$P370=5),IF($U370&gt;0,"OK","SEM LASTRO"),"OK"))</f>
        <v/>
      </c>
      <c r="W370" s="19" t="n"/>
      <c r="X370" s="18" t="n"/>
      <c r="Y370" s="14">
        <f>IF($C370="","",$C370&amp;"|"&amp;$B370)</f>
        <v/>
      </c>
      <c r="Z370" s="14">
        <f>IF($C370="","",$C370&amp;"|"&amp;$B370&amp;"|"&amp;$H370)</f>
        <v/>
      </c>
      <c r="AA370" s="14">
        <f>IF($C370="","",$C370&amp;"|"&amp;$B370&amp;"|"&amp;$G370)</f>
        <v/>
      </c>
    </row>
    <row r="371">
      <c r="A371" s="19" t="n"/>
      <c r="B371" s="14">
        <f>IF($A371="","",VALUE(LEFT($A371,4))*4+VALUE(RIGHT($A371,1)))</f>
        <v/>
      </c>
      <c r="C371" s="19" t="n"/>
      <c r="D371" s="14">
        <f>IFERROR(INDEX(Pessoas!$B$5:$B$64,MATCH($C371,Pessoas!$A$5:$A$64,0)),"")</f>
        <v/>
      </c>
      <c r="E371" s="19" t="n"/>
      <c r="F371" s="14">
        <f>IFERROR(INDEX(Pessoas!$D$5:$D$64,MATCH($C371,Pessoas!$A$5:$A$64,0)),"")</f>
        <v/>
      </c>
      <c r="G371" s="19" t="n"/>
      <c r="H371" s="14">
        <f>IFERROR(INDEX(Config!$B$40:$B$45,MATCH($G371,Config!$C$40:$C$45,0)),"")</f>
        <v/>
      </c>
      <c r="I371" s="14">
        <f>IFERROR(INDEX(Config!$D$40:$D$45,MATCH($G371,Config!$C$40:$C$45,0)),"")</f>
        <v/>
      </c>
      <c r="J371" s="19" t="n"/>
      <c r="K371" s="19" t="n"/>
      <c r="L371" s="19" t="n"/>
      <c r="M371" s="19" t="n"/>
      <c r="N371" s="14">
        <f>IF(AND(ISNUMBER($J371),ISNUMBER($K371)),ABS($J371-$K371),"")</f>
        <v/>
      </c>
      <c r="O371" s="14">
        <f>IF(AND(NOT(ISNUMBER($J371)),NOT(ISNUMBER($K371))),"",IF(NOT(ISNUMBER($K371)),$J371,IF(NOT(ISNUMBER($J371)),$K371,IF($N371=0,$J371,IF(AND($N371=1,$T371&lt;&gt;"Sim"),IF($I371="Líder Técnico",$K371,IF($I371="GP",$J371,"CALIBRAR")),"CALIBRAR")))))</f>
        <v/>
      </c>
      <c r="P371" s="19" t="n"/>
      <c r="Q371" s="19" t="n"/>
      <c r="R371" s="14">
        <f>IF($P371="","",IF(AND(ISNUMBER($J371),$P371=$J371,ISNUMBER($K371),$P371=$K371),"= ambos",IF(AND(ISNUMBER($J371),$P371=$J371),"= GP",IF(AND(ISNUMBER($K371),$P371=$K371),"= LT","nenhuma das duas"))))</f>
        <v/>
      </c>
      <c r="S371" s="19" t="n"/>
      <c r="T371" s="19" t="n"/>
      <c r="U371" s="14">
        <f>IF($C371="","",COUNTIFS('Ocorrências'!$V$5:$V$604,$C371&amp;"|"&amp;$B371&amp;"|"&amp;$G371,'Ocorrências'!$X$5:$X$604,"Sim"))</f>
        <v/>
      </c>
      <c r="V371" s="14">
        <f>IF($P371="","",IF(OR($P371=1,$P371=2,$P371=5),IF($U371&gt;0,"OK","SEM LASTRO"),"OK"))</f>
        <v/>
      </c>
      <c r="W371" s="19" t="n"/>
      <c r="X371" s="18" t="n"/>
      <c r="Y371" s="14">
        <f>IF($C371="","",$C371&amp;"|"&amp;$B371)</f>
        <v/>
      </c>
      <c r="Z371" s="14">
        <f>IF($C371="","",$C371&amp;"|"&amp;$B371&amp;"|"&amp;$H371)</f>
        <v/>
      </c>
      <c r="AA371" s="14">
        <f>IF($C371="","",$C371&amp;"|"&amp;$B371&amp;"|"&amp;$G371)</f>
        <v/>
      </c>
    </row>
    <row r="372">
      <c r="A372" s="19" t="n"/>
      <c r="B372" s="14">
        <f>IF($A372="","",VALUE(LEFT($A372,4))*4+VALUE(RIGHT($A372,1)))</f>
        <v/>
      </c>
      <c r="C372" s="19" t="n"/>
      <c r="D372" s="14">
        <f>IFERROR(INDEX(Pessoas!$B$5:$B$64,MATCH($C372,Pessoas!$A$5:$A$64,0)),"")</f>
        <v/>
      </c>
      <c r="E372" s="19" t="n"/>
      <c r="F372" s="14">
        <f>IFERROR(INDEX(Pessoas!$D$5:$D$64,MATCH($C372,Pessoas!$A$5:$A$64,0)),"")</f>
        <v/>
      </c>
      <c r="G372" s="19" t="n"/>
      <c r="H372" s="14">
        <f>IFERROR(INDEX(Config!$B$40:$B$45,MATCH($G372,Config!$C$40:$C$45,0)),"")</f>
        <v/>
      </c>
      <c r="I372" s="14">
        <f>IFERROR(INDEX(Config!$D$40:$D$45,MATCH($G372,Config!$C$40:$C$45,0)),"")</f>
        <v/>
      </c>
      <c r="J372" s="19" t="n"/>
      <c r="K372" s="19" t="n"/>
      <c r="L372" s="19" t="n"/>
      <c r="M372" s="19" t="n"/>
      <c r="N372" s="14">
        <f>IF(AND(ISNUMBER($J372),ISNUMBER($K372)),ABS($J372-$K372),"")</f>
        <v/>
      </c>
      <c r="O372" s="14">
        <f>IF(AND(NOT(ISNUMBER($J372)),NOT(ISNUMBER($K372))),"",IF(NOT(ISNUMBER($K372)),$J372,IF(NOT(ISNUMBER($J372)),$K372,IF($N372=0,$J372,IF(AND($N372=1,$T372&lt;&gt;"Sim"),IF($I372="Líder Técnico",$K372,IF($I372="GP",$J372,"CALIBRAR")),"CALIBRAR")))))</f>
        <v/>
      </c>
      <c r="P372" s="19" t="n"/>
      <c r="Q372" s="19" t="n"/>
      <c r="R372" s="14">
        <f>IF($P372="","",IF(AND(ISNUMBER($J372),$P372=$J372,ISNUMBER($K372),$P372=$K372),"= ambos",IF(AND(ISNUMBER($J372),$P372=$J372),"= GP",IF(AND(ISNUMBER($K372),$P372=$K372),"= LT","nenhuma das duas"))))</f>
        <v/>
      </c>
      <c r="S372" s="19" t="n"/>
      <c r="T372" s="19" t="n"/>
      <c r="U372" s="14">
        <f>IF($C372="","",COUNTIFS('Ocorrências'!$V$5:$V$604,$C372&amp;"|"&amp;$B372&amp;"|"&amp;$G372,'Ocorrências'!$X$5:$X$604,"Sim"))</f>
        <v/>
      </c>
      <c r="V372" s="14">
        <f>IF($P372="","",IF(OR($P372=1,$P372=2,$P372=5),IF($U372&gt;0,"OK","SEM LASTRO"),"OK"))</f>
        <v/>
      </c>
      <c r="W372" s="19" t="n"/>
      <c r="X372" s="18" t="n"/>
      <c r="Y372" s="14">
        <f>IF($C372="","",$C372&amp;"|"&amp;$B372)</f>
        <v/>
      </c>
      <c r="Z372" s="14">
        <f>IF($C372="","",$C372&amp;"|"&amp;$B372&amp;"|"&amp;$H372)</f>
        <v/>
      </c>
      <c r="AA372" s="14">
        <f>IF($C372="","",$C372&amp;"|"&amp;$B372&amp;"|"&amp;$G372)</f>
        <v/>
      </c>
    </row>
    <row r="373">
      <c r="A373" s="19" t="n"/>
      <c r="B373" s="14">
        <f>IF($A373="","",VALUE(LEFT($A373,4))*4+VALUE(RIGHT($A373,1)))</f>
        <v/>
      </c>
      <c r="C373" s="19" t="n"/>
      <c r="D373" s="14">
        <f>IFERROR(INDEX(Pessoas!$B$5:$B$64,MATCH($C373,Pessoas!$A$5:$A$64,0)),"")</f>
        <v/>
      </c>
      <c r="E373" s="19" t="n"/>
      <c r="F373" s="14">
        <f>IFERROR(INDEX(Pessoas!$D$5:$D$64,MATCH($C373,Pessoas!$A$5:$A$64,0)),"")</f>
        <v/>
      </c>
      <c r="G373" s="19" t="n"/>
      <c r="H373" s="14">
        <f>IFERROR(INDEX(Config!$B$40:$B$45,MATCH($G373,Config!$C$40:$C$45,0)),"")</f>
        <v/>
      </c>
      <c r="I373" s="14">
        <f>IFERROR(INDEX(Config!$D$40:$D$45,MATCH($G373,Config!$C$40:$C$45,0)),"")</f>
        <v/>
      </c>
      <c r="J373" s="19" t="n"/>
      <c r="K373" s="19" t="n"/>
      <c r="L373" s="19" t="n"/>
      <c r="M373" s="19" t="n"/>
      <c r="N373" s="14">
        <f>IF(AND(ISNUMBER($J373),ISNUMBER($K373)),ABS($J373-$K373),"")</f>
        <v/>
      </c>
      <c r="O373" s="14">
        <f>IF(AND(NOT(ISNUMBER($J373)),NOT(ISNUMBER($K373))),"",IF(NOT(ISNUMBER($K373)),$J373,IF(NOT(ISNUMBER($J373)),$K373,IF($N373=0,$J373,IF(AND($N373=1,$T373&lt;&gt;"Sim"),IF($I373="Líder Técnico",$K373,IF($I373="GP",$J373,"CALIBRAR")),"CALIBRAR")))))</f>
        <v/>
      </c>
      <c r="P373" s="19" t="n"/>
      <c r="Q373" s="19" t="n"/>
      <c r="R373" s="14">
        <f>IF($P373="","",IF(AND(ISNUMBER($J373),$P373=$J373,ISNUMBER($K373),$P373=$K373),"= ambos",IF(AND(ISNUMBER($J373),$P373=$J373),"= GP",IF(AND(ISNUMBER($K373),$P373=$K373),"= LT","nenhuma das duas"))))</f>
        <v/>
      </c>
      <c r="S373" s="19" t="n"/>
      <c r="T373" s="19" t="n"/>
      <c r="U373" s="14">
        <f>IF($C373="","",COUNTIFS('Ocorrências'!$V$5:$V$604,$C373&amp;"|"&amp;$B373&amp;"|"&amp;$G373,'Ocorrências'!$X$5:$X$604,"Sim"))</f>
        <v/>
      </c>
      <c r="V373" s="14">
        <f>IF($P373="","",IF(OR($P373=1,$P373=2,$P373=5),IF($U373&gt;0,"OK","SEM LASTRO"),"OK"))</f>
        <v/>
      </c>
      <c r="W373" s="19" t="n"/>
      <c r="X373" s="18" t="n"/>
      <c r="Y373" s="14">
        <f>IF($C373="","",$C373&amp;"|"&amp;$B373)</f>
        <v/>
      </c>
      <c r="Z373" s="14">
        <f>IF($C373="","",$C373&amp;"|"&amp;$B373&amp;"|"&amp;$H373)</f>
        <v/>
      </c>
      <c r="AA373" s="14">
        <f>IF($C373="","",$C373&amp;"|"&amp;$B373&amp;"|"&amp;$G373)</f>
        <v/>
      </c>
    </row>
    <row r="374">
      <c r="A374" s="19" t="n"/>
      <c r="B374" s="14">
        <f>IF($A374="","",VALUE(LEFT($A374,4))*4+VALUE(RIGHT($A374,1)))</f>
        <v/>
      </c>
      <c r="C374" s="19" t="n"/>
      <c r="D374" s="14">
        <f>IFERROR(INDEX(Pessoas!$B$5:$B$64,MATCH($C374,Pessoas!$A$5:$A$64,0)),"")</f>
        <v/>
      </c>
      <c r="E374" s="19" t="n"/>
      <c r="F374" s="14">
        <f>IFERROR(INDEX(Pessoas!$D$5:$D$64,MATCH($C374,Pessoas!$A$5:$A$64,0)),"")</f>
        <v/>
      </c>
      <c r="G374" s="19" t="n"/>
      <c r="H374" s="14">
        <f>IFERROR(INDEX(Config!$B$40:$B$45,MATCH($G374,Config!$C$40:$C$45,0)),"")</f>
        <v/>
      </c>
      <c r="I374" s="14">
        <f>IFERROR(INDEX(Config!$D$40:$D$45,MATCH($G374,Config!$C$40:$C$45,0)),"")</f>
        <v/>
      </c>
      <c r="J374" s="19" t="n"/>
      <c r="K374" s="19" t="n"/>
      <c r="L374" s="19" t="n"/>
      <c r="M374" s="19" t="n"/>
      <c r="N374" s="14">
        <f>IF(AND(ISNUMBER($J374),ISNUMBER($K374)),ABS($J374-$K374),"")</f>
        <v/>
      </c>
      <c r="O374" s="14">
        <f>IF(AND(NOT(ISNUMBER($J374)),NOT(ISNUMBER($K374))),"",IF(NOT(ISNUMBER($K374)),$J374,IF(NOT(ISNUMBER($J374)),$K374,IF($N374=0,$J374,IF(AND($N374=1,$T374&lt;&gt;"Sim"),IF($I374="Líder Técnico",$K374,IF($I374="GP",$J374,"CALIBRAR")),"CALIBRAR")))))</f>
        <v/>
      </c>
      <c r="P374" s="19" t="n"/>
      <c r="Q374" s="19" t="n"/>
      <c r="R374" s="14">
        <f>IF($P374="","",IF(AND(ISNUMBER($J374),$P374=$J374,ISNUMBER($K374),$P374=$K374),"= ambos",IF(AND(ISNUMBER($J374),$P374=$J374),"= GP",IF(AND(ISNUMBER($K374),$P374=$K374),"= LT","nenhuma das duas"))))</f>
        <v/>
      </c>
      <c r="S374" s="19" t="n"/>
      <c r="T374" s="19" t="n"/>
      <c r="U374" s="14">
        <f>IF($C374="","",COUNTIFS('Ocorrências'!$V$5:$V$604,$C374&amp;"|"&amp;$B374&amp;"|"&amp;$G374,'Ocorrências'!$X$5:$X$604,"Sim"))</f>
        <v/>
      </c>
      <c r="V374" s="14">
        <f>IF($P374="","",IF(OR($P374=1,$P374=2,$P374=5),IF($U374&gt;0,"OK","SEM LASTRO"),"OK"))</f>
        <v/>
      </c>
      <c r="W374" s="19" t="n"/>
      <c r="X374" s="18" t="n"/>
      <c r="Y374" s="14">
        <f>IF($C374="","",$C374&amp;"|"&amp;$B374)</f>
        <v/>
      </c>
      <c r="Z374" s="14">
        <f>IF($C374="","",$C374&amp;"|"&amp;$B374&amp;"|"&amp;$H374)</f>
        <v/>
      </c>
      <c r="AA374" s="14">
        <f>IF($C374="","",$C374&amp;"|"&amp;$B374&amp;"|"&amp;$G374)</f>
        <v/>
      </c>
    </row>
    <row r="375">
      <c r="A375" s="19" t="n"/>
      <c r="B375" s="14">
        <f>IF($A375="","",VALUE(LEFT($A375,4))*4+VALUE(RIGHT($A375,1)))</f>
        <v/>
      </c>
      <c r="C375" s="19" t="n"/>
      <c r="D375" s="14">
        <f>IFERROR(INDEX(Pessoas!$B$5:$B$64,MATCH($C375,Pessoas!$A$5:$A$64,0)),"")</f>
        <v/>
      </c>
      <c r="E375" s="19" t="n"/>
      <c r="F375" s="14">
        <f>IFERROR(INDEX(Pessoas!$D$5:$D$64,MATCH($C375,Pessoas!$A$5:$A$64,0)),"")</f>
        <v/>
      </c>
      <c r="G375" s="19" t="n"/>
      <c r="H375" s="14">
        <f>IFERROR(INDEX(Config!$B$40:$B$45,MATCH($G375,Config!$C$40:$C$45,0)),"")</f>
        <v/>
      </c>
      <c r="I375" s="14">
        <f>IFERROR(INDEX(Config!$D$40:$D$45,MATCH($G375,Config!$C$40:$C$45,0)),"")</f>
        <v/>
      </c>
      <c r="J375" s="19" t="n"/>
      <c r="K375" s="19" t="n"/>
      <c r="L375" s="19" t="n"/>
      <c r="M375" s="19" t="n"/>
      <c r="N375" s="14">
        <f>IF(AND(ISNUMBER($J375),ISNUMBER($K375)),ABS($J375-$K375),"")</f>
        <v/>
      </c>
      <c r="O375" s="14">
        <f>IF(AND(NOT(ISNUMBER($J375)),NOT(ISNUMBER($K375))),"",IF(NOT(ISNUMBER($K375)),$J375,IF(NOT(ISNUMBER($J375)),$K375,IF($N375=0,$J375,IF(AND($N375=1,$T375&lt;&gt;"Sim"),IF($I375="Líder Técnico",$K375,IF($I375="GP",$J375,"CALIBRAR")),"CALIBRAR")))))</f>
        <v/>
      </c>
      <c r="P375" s="19" t="n"/>
      <c r="Q375" s="19" t="n"/>
      <c r="R375" s="14">
        <f>IF($P375="","",IF(AND(ISNUMBER($J375),$P375=$J375,ISNUMBER($K375),$P375=$K375),"= ambos",IF(AND(ISNUMBER($J375),$P375=$J375),"= GP",IF(AND(ISNUMBER($K375),$P375=$K375),"= LT","nenhuma das duas"))))</f>
        <v/>
      </c>
      <c r="S375" s="19" t="n"/>
      <c r="T375" s="19" t="n"/>
      <c r="U375" s="14">
        <f>IF($C375="","",COUNTIFS('Ocorrências'!$V$5:$V$604,$C375&amp;"|"&amp;$B375&amp;"|"&amp;$G375,'Ocorrências'!$X$5:$X$604,"Sim"))</f>
        <v/>
      </c>
      <c r="V375" s="14">
        <f>IF($P375="","",IF(OR($P375=1,$P375=2,$P375=5),IF($U375&gt;0,"OK","SEM LASTRO"),"OK"))</f>
        <v/>
      </c>
      <c r="W375" s="19" t="n"/>
      <c r="X375" s="18" t="n"/>
      <c r="Y375" s="14">
        <f>IF($C375="","",$C375&amp;"|"&amp;$B375)</f>
        <v/>
      </c>
      <c r="Z375" s="14">
        <f>IF($C375="","",$C375&amp;"|"&amp;$B375&amp;"|"&amp;$H375)</f>
        <v/>
      </c>
      <c r="AA375" s="14">
        <f>IF($C375="","",$C375&amp;"|"&amp;$B375&amp;"|"&amp;$G375)</f>
        <v/>
      </c>
    </row>
    <row r="376">
      <c r="A376" s="19" t="n"/>
      <c r="B376" s="14">
        <f>IF($A376="","",VALUE(LEFT($A376,4))*4+VALUE(RIGHT($A376,1)))</f>
        <v/>
      </c>
      <c r="C376" s="19" t="n"/>
      <c r="D376" s="14">
        <f>IFERROR(INDEX(Pessoas!$B$5:$B$64,MATCH($C376,Pessoas!$A$5:$A$64,0)),"")</f>
        <v/>
      </c>
      <c r="E376" s="19" t="n"/>
      <c r="F376" s="14">
        <f>IFERROR(INDEX(Pessoas!$D$5:$D$64,MATCH($C376,Pessoas!$A$5:$A$64,0)),"")</f>
        <v/>
      </c>
      <c r="G376" s="19" t="n"/>
      <c r="H376" s="14">
        <f>IFERROR(INDEX(Config!$B$40:$B$45,MATCH($G376,Config!$C$40:$C$45,0)),"")</f>
        <v/>
      </c>
      <c r="I376" s="14">
        <f>IFERROR(INDEX(Config!$D$40:$D$45,MATCH($G376,Config!$C$40:$C$45,0)),"")</f>
        <v/>
      </c>
      <c r="J376" s="19" t="n"/>
      <c r="K376" s="19" t="n"/>
      <c r="L376" s="19" t="n"/>
      <c r="M376" s="19" t="n"/>
      <c r="N376" s="14">
        <f>IF(AND(ISNUMBER($J376),ISNUMBER($K376)),ABS($J376-$K376),"")</f>
        <v/>
      </c>
      <c r="O376" s="14">
        <f>IF(AND(NOT(ISNUMBER($J376)),NOT(ISNUMBER($K376))),"",IF(NOT(ISNUMBER($K376)),$J376,IF(NOT(ISNUMBER($J376)),$K376,IF($N376=0,$J376,IF(AND($N376=1,$T376&lt;&gt;"Sim"),IF($I376="Líder Técnico",$K376,IF($I376="GP",$J376,"CALIBRAR")),"CALIBRAR")))))</f>
        <v/>
      </c>
      <c r="P376" s="19" t="n"/>
      <c r="Q376" s="19" t="n"/>
      <c r="R376" s="14">
        <f>IF($P376="","",IF(AND(ISNUMBER($J376),$P376=$J376,ISNUMBER($K376),$P376=$K376),"= ambos",IF(AND(ISNUMBER($J376),$P376=$J376),"= GP",IF(AND(ISNUMBER($K376),$P376=$K376),"= LT","nenhuma das duas"))))</f>
        <v/>
      </c>
      <c r="S376" s="19" t="n"/>
      <c r="T376" s="19" t="n"/>
      <c r="U376" s="14">
        <f>IF($C376="","",COUNTIFS('Ocorrências'!$V$5:$V$604,$C376&amp;"|"&amp;$B376&amp;"|"&amp;$G376,'Ocorrências'!$X$5:$X$604,"Sim"))</f>
        <v/>
      </c>
      <c r="V376" s="14">
        <f>IF($P376="","",IF(OR($P376=1,$P376=2,$P376=5),IF($U376&gt;0,"OK","SEM LASTRO"),"OK"))</f>
        <v/>
      </c>
      <c r="W376" s="19" t="n"/>
      <c r="X376" s="18" t="n"/>
      <c r="Y376" s="14">
        <f>IF($C376="","",$C376&amp;"|"&amp;$B376)</f>
        <v/>
      </c>
      <c r="Z376" s="14">
        <f>IF($C376="","",$C376&amp;"|"&amp;$B376&amp;"|"&amp;$H376)</f>
        <v/>
      </c>
      <c r="AA376" s="14">
        <f>IF($C376="","",$C376&amp;"|"&amp;$B376&amp;"|"&amp;$G376)</f>
        <v/>
      </c>
    </row>
    <row r="377">
      <c r="A377" s="19" t="n"/>
      <c r="B377" s="14">
        <f>IF($A377="","",VALUE(LEFT($A377,4))*4+VALUE(RIGHT($A377,1)))</f>
        <v/>
      </c>
      <c r="C377" s="19" t="n"/>
      <c r="D377" s="14">
        <f>IFERROR(INDEX(Pessoas!$B$5:$B$64,MATCH($C377,Pessoas!$A$5:$A$64,0)),"")</f>
        <v/>
      </c>
      <c r="E377" s="19" t="n"/>
      <c r="F377" s="14">
        <f>IFERROR(INDEX(Pessoas!$D$5:$D$64,MATCH($C377,Pessoas!$A$5:$A$64,0)),"")</f>
        <v/>
      </c>
      <c r="G377" s="19" t="n"/>
      <c r="H377" s="14">
        <f>IFERROR(INDEX(Config!$B$40:$B$45,MATCH($G377,Config!$C$40:$C$45,0)),"")</f>
        <v/>
      </c>
      <c r="I377" s="14">
        <f>IFERROR(INDEX(Config!$D$40:$D$45,MATCH($G377,Config!$C$40:$C$45,0)),"")</f>
        <v/>
      </c>
      <c r="J377" s="19" t="n"/>
      <c r="K377" s="19" t="n"/>
      <c r="L377" s="19" t="n"/>
      <c r="M377" s="19" t="n"/>
      <c r="N377" s="14">
        <f>IF(AND(ISNUMBER($J377),ISNUMBER($K377)),ABS($J377-$K377),"")</f>
        <v/>
      </c>
      <c r="O377" s="14">
        <f>IF(AND(NOT(ISNUMBER($J377)),NOT(ISNUMBER($K377))),"",IF(NOT(ISNUMBER($K377)),$J377,IF(NOT(ISNUMBER($J377)),$K377,IF($N377=0,$J377,IF(AND($N377=1,$T377&lt;&gt;"Sim"),IF($I377="Líder Técnico",$K377,IF($I377="GP",$J377,"CALIBRAR")),"CALIBRAR")))))</f>
        <v/>
      </c>
      <c r="P377" s="19" t="n"/>
      <c r="Q377" s="19" t="n"/>
      <c r="R377" s="14">
        <f>IF($P377="","",IF(AND(ISNUMBER($J377),$P377=$J377,ISNUMBER($K377),$P377=$K377),"= ambos",IF(AND(ISNUMBER($J377),$P377=$J377),"= GP",IF(AND(ISNUMBER($K377),$P377=$K377),"= LT","nenhuma das duas"))))</f>
        <v/>
      </c>
      <c r="S377" s="19" t="n"/>
      <c r="T377" s="19" t="n"/>
      <c r="U377" s="14">
        <f>IF($C377="","",COUNTIFS('Ocorrências'!$V$5:$V$604,$C377&amp;"|"&amp;$B377&amp;"|"&amp;$G377,'Ocorrências'!$X$5:$X$604,"Sim"))</f>
        <v/>
      </c>
      <c r="V377" s="14">
        <f>IF($P377="","",IF(OR($P377=1,$P377=2,$P377=5),IF($U377&gt;0,"OK","SEM LASTRO"),"OK"))</f>
        <v/>
      </c>
      <c r="W377" s="19" t="n"/>
      <c r="X377" s="18" t="n"/>
      <c r="Y377" s="14">
        <f>IF($C377="","",$C377&amp;"|"&amp;$B377)</f>
        <v/>
      </c>
      <c r="Z377" s="14">
        <f>IF($C377="","",$C377&amp;"|"&amp;$B377&amp;"|"&amp;$H377)</f>
        <v/>
      </c>
      <c r="AA377" s="14">
        <f>IF($C377="","",$C377&amp;"|"&amp;$B377&amp;"|"&amp;$G377)</f>
        <v/>
      </c>
    </row>
    <row r="378">
      <c r="A378" s="19" t="n"/>
      <c r="B378" s="14">
        <f>IF($A378="","",VALUE(LEFT($A378,4))*4+VALUE(RIGHT($A378,1)))</f>
        <v/>
      </c>
      <c r="C378" s="19" t="n"/>
      <c r="D378" s="14">
        <f>IFERROR(INDEX(Pessoas!$B$5:$B$64,MATCH($C378,Pessoas!$A$5:$A$64,0)),"")</f>
        <v/>
      </c>
      <c r="E378" s="19" t="n"/>
      <c r="F378" s="14">
        <f>IFERROR(INDEX(Pessoas!$D$5:$D$64,MATCH($C378,Pessoas!$A$5:$A$64,0)),"")</f>
        <v/>
      </c>
      <c r="G378" s="19" t="n"/>
      <c r="H378" s="14">
        <f>IFERROR(INDEX(Config!$B$40:$B$45,MATCH($G378,Config!$C$40:$C$45,0)),"")</f>
        <v/>
      </c>
      <c r="I378" s="14">
        <f>IFERROR(INDEX(Config!$D$40:$D$45,MATCH($G378,Config!$C$40:$C$45,0)),"")</f>
        <v/>
      </c>
      <c r="J378" s="19" t="n"/>
      <c r="K378" s="19" t="n"/>
      <c r="L378" s="19" t="n"/>
      <c r="M378" s="19" t="n"/>
      <c r="N378" s="14">
        <f>IF(AND(ISNUMBER($J378),ISNUMBER($K378)),ABS($J378-$K378),"")</f>
        <v/>
      </c>
      <c r="O378" s="14">
        <f>IF(AND(NOT(ISNUMBER($J378)),NOT(ISNUMBER($K378))),"",IF(NOT(ISNUMBER($K378)),$J378,IF(NOT(ISNUMBER($J378)),$K378,IF($N378=0,$J378,IF(AND($N378=1,$T378&lt;&gt;"Sim"),IF($I378="Líder Técnico",$K378,IF($I378="GP",$J378,"CALIBRAR")),"CALIBRAR")))))</f>
        <v/>
      </c>
      <c r="P378" s="19" t="n"/>
      <c r="Q378" s="19" t="n"/>
      <c r="R378" s="14">
        <f>IF($P378="","",IF(AND(ISNUMBER($J378),$P378=$J378,ISNUMBER($K378),$P378=$K378),"= ambos",IF(AND(ISNUMBER($J378),$P378=$J378),"= GP",IF(AND(ISNUMBER($K378),$P378=$K378),"= LT","nenhuma das duas"))))</f>
        <v/>
      </c>
      <c r="S378" s="19" t="n"/>
      <c r="T378" s="19" t="n"/>
      <c r="U378" s="14">
        <f>IF($C378="","",COUNTIFS('Ocorrências'!$V$5:$V$604,$C378&amp;"|"&amp;$B378&amp;"|"&amp;$G378,'Ocorrências'!$X$5:$X$604,"Sim"))</f>
        <v/>
      </c>
      <c r="V378" s="14">
        <f>IF($P378="","",IF(OR($P378=1,$P378=2,$P378=5),IF($U378&gt;0,"OK","SEM LASTRO"),"OK"))</f>
        <v/>
      </c>
      <c r="W378" s="19" t="n"/>
      <c r="X378" s="18" t="n"/>
      <c r="Y378" s="14">
        <f>IF($C378="","",$C378&amp;"|"&amp;$B378)</f>
        <v/>
      </c>
      <c r="Z378" s="14">
        <f>IF($C378="","",$C378&amp;"|"&amp;$B378&amp;"|"&amp;$H378)</f>
        <v/>
      </c>
      <c r="AA378" s="14">
        <f>IF($C378="","",$C378&amp;"|"&amp;$B378&amp;"|"&amp;$G378)</f>
        <v/>
      </c>
    </row>
    <row r="379">
      <c r="A379" s="19" t="n"/>
      <c r="B379" s="14">
        <f>IF($A379="","",VALUE(LEFT($A379,4))*4+VALUE(RIGHT($A379,1)))</f>
        <v/>
      </c>
      <c r="C379" s="19" t="n"/>
      <c r="D379" s="14">
        <f>IFERROR(INDEX(Pessoas!$B$5:$B$64,MATCH($C379,Pessoas!$A$5:$A$64,0)),"")</f>
        <v/>
      </c>
      <c r="E379" s="19" t="n"/>
      <c r="F379" s="14">
        <f>IFERROR(INDEX(Pessoas!$D$5:$D$64,MATCH($C379,Pessoas!$A$5:$A$64,0)),"")</f>
        <v/>
      </c>
      <c r="G379" s="19" t="n"/>
      <c r="H379" s="14">
        <f>IFERROR(INDEX(Config!$B$40:$B$45,MATCH($G379,Config!$C$40:$C$45,0)),"")</f>
        <v/>
      </c>
      <c r="I379" s="14">
        <f>IFERROR(INDEX(Config!$D$40:$D$45,MATCH($G379,Config!$C$40:$C$45,0)),"")</f>
        <v/>
      </c>
      <c r="J379" s="19" t="n"/>
      <c r="K379" s="19" t="n"/>
      <c r="L379" s="19" t="n"/>
      <c r="M379" s="19" t="n"/>
      <c r="N379" s="14">
        <f>IF(AND(ISNUMBER($J379),ISNUMBER($K379)),ABS($J379-$K379),"")</f>
        <v/>
      </c>
      <c r="O379" s="14">
        <f>IF(AND(NOT(ISNUMBER($J379)),NOT(ISNUMBER($K379))),"",IF(NOT(ISNUMBER($K379)),$J379,IF(NOT(ISNUMBER($J379)),$K379,IF($N379=0,$J379,IF(AND($N379=1,$T379&lt;&gt;"Sim"),IF($I379="Líder Técnico",$K379,IF($I379="GP",$J379,"CALIBRAR")),"CALIBRAR")))))</f>
        <v/>
      </c>
      <c r="P379" s="19" t="n"/>
      <c r="Q379" s="19" t="n"/>
      <c r="R379" s="14">
        <f>IF($P379="","",IF(AND(ISNUMBER($J379),$P379=$J379,ISNUMBER($K379),$P379=$K379),"= ambos",IF(AND(ISNUMBER($J379),$P379=$J379),"= GP",IF(AND(ISNUMBER($K379),$P379=$K379),"= LT","nenhuma das duas"))))</f>
        <v/>
      </c>
      <c r="S379" s="19" t="n"/>
      <c r="T379" s="19" t="n"/>
      <c r="U379" s="14">
        <f>IF($C379="","",COUNTIFS('Ocorrências'!$V$5:$V$604,$C379&amp;"|"&amp;$B379&amp;"|"&amp;$G379,'Ocorrências'!$X$5:$X$604,"Sim"))</f>
        <v/>
      </c>
      <c r="V379" s="14">
        <f>IF($P379="","",IF(OR($P379=1,$P379=2,$P379=5),IF($U379&gt;0,"OK","SEM LASTRO"),"OK"))</f>
        <v/>
      </c>
      <c r="W379" s="19" t="n"/>
      <c r="X379" s="18" t="n"/>
      <c r="Y379" s="14">
        <f>IF($C379="","",$C379&amp;"|"&amp;$B379)</f>
        <v/>
      </c>
      <c r="Z379" s="14">
        <f>IF($C379="","",$C379&amp;"|"&amp;$B379&amp;"|"&amp;$H379)</f>
        <v/>
      </c>
      <c r="AA379" s="14">
        <f>IF($C379="","",$C379&amp;"|"&amp;$B379&amp;"|"&amp;$G379)</f>
        <v/>
      </c>
    </row>
    <row r="380">
      <c r="A380" s="19" t="n"/>
      <c r="B380" s="14">
        <f>IF($A380="","",VALUE(LEFT($A380,4))*4+VALUE(RIGHT($A380,1)))</f>
        <v/>
      </c>
      <c r="C380" s="19" t="n"/>
      <c r="D380" s="14">
        <f>IFERROR(INDEX(Pessoas!$B$5:$B$64,MATCH($C380,Pessoas!$A$5:$A$64,0)),"")</f>
        <v/>
      </c>
      <c r="E380" s="19" t="n"/>
      <c r="F380" s="14">
        <f>IFERROR(INDEX(Pessoas!$D$5:$D$64,MATCH($C380,Pessoas!$A$5:$A$64,0)),"")</f>
        <v/>
      </c>
      <c r="G380" s="19" t="n"/>
      <c r="H380" s="14">
        <f>IFERROR(INDEX(Config!$B$40:$B$45,MATCH($G380,Config!$C$40:$C$45,0)),"")</f>
        <v/>
      </c>
      <c r="I380" s="14">
        <f>IFERROR(INDEX(Config!$D$40:$D$45,MATCH($G380,Config!$C$40:$C$45,0)),"")</f>
        <v/>
      </c>
      <c r="J380" s="19" t="n"/>
      <c r="K380" s="19" t="n"/>
      <c r="L380" s="19" t="n"/>
      <c r="M380" s="19" t="n"/>
      <c r="N380" s="14">
        <f>IF(AND(ISNUMBER($J380),ISNUMBER($K380)),ABS($J380-$K380),"")</f>
        <v/>
      </c>
      <c r="O380" s="14">
        <f>IF(AND(NOT(ISNUMBER($J380)),NOT(ISNUMBER($K380))),"",IF(NOT(ISNUMBER($K380)),$J380,IF(NOT(ISNUMBER($J380)),$K380,IF($N380=0,$J380,IF(AND($N380=1,$T380&lt;&gt;"Sim"),IF($I380="Líder Técnico",$K380,IF($I380="GP",$J380,"CALIBRAR")),"CALIBRAR")))))</f>
        <v/>
      </c>
      <c r="P380" s="19" t="n"/>
      <c r="Q380" s="19" t="n"/>
      <c r="R380" s="14">
        <f>IF($P380="","",IF(AND(ISNUMBER($J380),$P380=$J380,ISNUMBER($K380),$P380=$K380),"= ambos",IF(AND(ISNUMBER($J380),$P380=$J380),"= GP",IF(AND(ISNUMBER($K380),$P380=$K380),"= LT","nenhuma das duas"))))</f>
        <v/>
      </c>
      <c r="S380" s="19" t="n"/>
      <c r="T380" s="19" t="n"/>
      <c r="U380" s="14">
        <f>IF($C380="","",COUNTIFS('Ocorrências'!$V$5:$V$604,$C380&amp;"|"&amp;$B380&amp;"|"&amp;$G380,'Ocorrências'!$X$5:$X$604,"Sim"))</f>
        <v/>
      </c>
      <c r="V380" s="14">
        <f>IF($P380="","",IF(OR($P380=1,$P380=2,$P380=5),IF($U380&gt;0,"OK","SEM LASTRO"),"OK"))</f>
        <v/>
      </c>
      <c r="W380" s="19" t="n"/>
      <c r="X380" s="18" t="n"/>
      <c r="Y380" s="14">
        <f>IF($C380="","",$C380&amp;"|"&amp;$B380)</f>
        <v/>
      </c>
      <c r="Z380" s="14">
        <f>IF($C380="","",$C380&amp;"|"&amp;$B380&amp;"|"&amp;$H380)</f>
        <v/>
      </c>
      <c r="AA380" s="14">
        <f>IF($C380="","",$C380&amp;"|"&amp;$B380&amp;"|"&amp;$G380)</f>
        <v/>
      </c>
    </row>
    <row r="381">
      <c r="A381" s="19" t="n"/>
      <c r="B381" s="14">
        <f>IF($A381="","",VALUE(LEFT($A381,4))*4+VALUE(RIGHT($A381,1)))</f>
        <v/>
      </c>
      <c r="C381" s="19" t="n"/>
      <c r="D381" s="14">
        <f>IFERROR(INDEX(Pessoas!$B$5:$B$64,MATCH($C381,Pessoas!$A$5:$A$64,0)),"")</f>
        <v/>
      </c>
      <c r="E381" s="19" t="n"/>
      <c r="F381" s="14">
        <f>IFERROR(INDEX(Pessoas!$D$5:$D$64,MATCH($C381,Pessoas!$A$5:$A$64,0)),"")</f>
        <v/>
      </c>
      <c r="G381" s="19" t="n"/>
      <c r="H381" s="14">
        <f>IFERROR(INDEX(Config!$B$40:$B$45,MATCH($G381,Config!$C$40:$C$45,0)),"")</f>
        <v/>
      </c>
      <c r="I381" s="14">
        <f>IFERROR(INDEX(Config!$D$40:$D$45,MATCH($G381,Config!$C$40:$C$45,0)),"")</f>
        <v/>
      </c>
      <c r="J381" s="19" t="n"/>
      <c r="K381" s="19" t="n"/>
      <c r="L381" s="19" t="n"/>
      <c r="M381" s="19" t="n"/>
      <c r="N381" s="14">
        <f>IF(AND(ISNUMBER($J381),ISNUMBER($K381)),ABS($J381-$K381),"")</f>
        <v/>
      </c>
      <c r="O381" s="14">
        <f>IF(AND(NOT(ISNUMBER($J381)),NOT(ISNUMBER($K381))),"",IF(NOT(ISNUMBER($K381)),$J381,IF(NOT(ISNUMBER($J381)),$K381,IF($N381=0,$J381,IF(AND($N381=1,$T381&lt;&gt;"Sim"),IF($I381="Líder Técnico",$K381,IF($I381="GP",$J381,"CALIBRAR")),"CALIBRAR")))))</f>
        <v/>
      </c>
      <c r="P381" s="19" t="n"/>
      <c r="Q381" s="19" t="n"/>
      <c r="R381" s="14">
        <f>IF($P381="","",IF(AND(ISNUMBER($J381),$P381=$J381,ISNUMBER($K381),$P381=$K381),"= ambos",IF(AND(ISNUMBER($J381),$P381=$J381),"= GP",IF(AND(ISNUMBER($K381),$P381=$K381),"= LT","nenhuma das duas"))))</f>
        <v/>
      </c>
      <c r="S381" s="19" t="n"/>
      <c r="T381" s="19" t="n"/>
      <c r="U381" s="14">
        <f>IF($C381="","",COUNTIFS('Ocorrências'!$V$5:$V$604,$C381&amp;"|"&amp;$B381&amp;"|"&amp;$G381,'Ocorrências'!$X$5:$X$604,"Sim"))</f>
        <v/>
      </c>
      <c r="V381" s="14">
        <f>IF($P381="","",IF(OR($P381=1,$P381=2,$P381=5),IF($U381&gt;0,"OK","SEM LASTRO"),"OK"))</f>
        <v/>
      </c>
      <c r="W381" s="19" t="n"/>
      <c r="X381" s="18" t="n"/>
      <c r="Y381" s="14">
        <f>IF($C381="","",$C381&amp;"|"&amp;$B381)</f>
        <v/>
      </c>
      <c r="Z381" s="14">
        <f>IF($C381="","",$C381&amp;"|"&amp;$B381&amp;"|"&amp;$H381)</f>
        <v/>
      </c>
      <c r="AA381" s="14">
        <f>IF($C381="","",$C381&amp;"|"&amp;$B381&amp;"|"&amp;$G381)</f>
        <v/>
      </c>
    </row>
    <row r="382">
      <c r="A382" s="19" t="n"/>
      <c r="B382" s="14">
        <f>IF($A382="","",VALUE(LEFT($A382,4))*4+VALUE(RIGHT($A382,1)))</f>
        <v/>
      </c>
      <c r="C382" s="19" t="n"/>
      <c r="D382" s="14">
        <f>IFERROR(INDEX(Pessoas!$B$5:$B$64,MATCH($C382,Pessoas!$A$5:$A$64,0)),"")</f>
        <v/>
      </c>
      <c r="E382" s="19" t="n"/>
      <c r="F382" s="14">
        <f>IFERROR(INDEX(Pessoas!$D$5:$D$64,MATCH($C382,Pessoas!$A$5:$A$64,0)),"")</f>
        <v/>
      </c>
      <c r="G382" s="19" t="n"/>
      <c r="H382" s="14">
        <f>IFERROR(INDEX(Config!$B$40:$B$45,MATCH($G382,Config!$C$40:$C$45,0)),"")</f>
        <v/>
      </c>
      <c r="I382" s="14">
        <f>IFERROR(INDEX(Config!$D$40:$D$45,MATCH($G382,Config!$C$40:$C$45,0)),"")</f>
        <v/>
      </c>
      <c r="J382" s="19" t="n"/>
      <c r="K382" s="19" t="n"/>
      <c r="L382" s="19" t="n"/>
      <c r="M382" s="19" t="n"/>
      <c r="N382" s="14">
        <f>IF(AND(ISNUMBER($J382),ISNUMBER($K382)),ABS($J382-$K382),"")</f>
        <v/>
      </c>
      <c r="O382" s="14">
        <f>IF(AND(NOT(ISNUMBER($J382)),NOT(ISNUMBER($K382))),"",IF(NOT(ISNUMBER($K382)),$J382,IF(NOT(ISNUMBER($J382)),$K382,IF($N382=0,$J382,IF(AND($N382=1,$T382&lt;&gt;"Sim"),IF($I382="Líder Técnico",$K382,IF($I382="GP",$J382,"CALIBRAR")),"CALIBRAR")))))</f>
        <v/>
      </c>
      <c r="P382" s="19" t="n"/>
      <c r="Q382" s="19" t="n"/>
      <c r="R382" s="14">
        <f>IF($P382="","",IF(AND(ISNUMBER($J382),$P382=$J382,ISNUMBER($K382),$P382=$K382),"= ambos",IF(AND(ISNUMBER($J382),$P382=$J382),"= GP",IF(AND(ISNUMBER($K382),$P382=$K382),"= LT","nenhuma das duas"))))</f>
        <v/>
      </c>
      <c r="S382" s="19" t="n"/>
      <c r="T382" s="19" t="n"/>
      <c r="U382" s="14">
        <f>IF($C382="","",COUNTIFS('Ocorrências'!$V$5:$V$604,$C382&amp;"|"&amp;$B382&amp;"|"&amp;$G382,'Ocorrências'!$X$5:$X$604,"Sim"))</f>
        <v/>
      </c>
      <c r="V382" s="14">
        <f>IF($P382="","",IF(OR($P382=1,$P382=2,$P382=5),IF($U382&gt;0,"OK","SEM LASTRO"),"OK"))</f>
        <v/>
      </c>
      <c r="W382" s="19" t="n"/>
      <c r="X382" s="18" t="n"/>
      <c r="Y382" s="14">
        <f>IF($C382="","",$C382&amp;"|"&amp;$B382)</f>
        <v/>
      </c>
      <c r="Z382" s="14">
        <f>IF($C382="","",$C382&amp;"|"&amp;$B382&amp;"|"&amp;$H382)</f>
        <v/>
      </c>
      <c r="AA382" s="14">
        <f>IF($C382="","",$C382&amp;"|"&amp;$B382&amp;"|"&amp;$G382)</f>
        <v/>
      </c>
    </row>
    <row r="383">
      <c r="A383" s="19" t="n"/>
      <c r="B383" s="14">
        <f>IF($A383="","",VALUE(LEFT($A383,4))*4+VALUE(RIGHT($A383,1)))</f>
        <v/>
      </c>
      <c r="C383" s="19" t="n"/>
      <c r="D383" s="14">
        <f>IFERROR(INDEX(Pessoas!$B$5:$B$64,MATCH($C383,Pessoas!$A$5:$A$64,0)),"")</f>
        <v/>
      </c>
      <c r="E383" s="19" t="n"/>
      <c r="F383" s="14">
        <f>IFERROR(INDEX(Pessoas!$D$5:$D$64,MATCH($C383,Pessoas!$A$5:$A$64,0)),"")</f>
        <v/>
      </c>
      <c r="G383" s="19" t="n"/>
      <c r="H383" s="14">
        <f>IFERROR(INDEX(Config!$B$40:$B$45,MATCH($G383,Config!$C$40:$C$45,0)),"")</f>
        <v/>
      </c>
      <c r="I383" s="14">
        <f>IFERROR(INDEX(Config!$D$40:$D$45,MATCH($G383,Config!$C$40:$C$45,0)),"")</f>
        <v/>
      </c>
      <c r="J383" s="19" t="n"/>
      <c r="K383" s="19" t="n"/>
      <c r="L383" s="19" t="n"/>
      <c r="M383" s="19" t="n"/>
      <c r="N383" s="14">
        <f>IF(AND(ISNUMBER($J383),ISNUMBER($K383)),ABS($J383-$K383),"")</f>
        <v/>
      </c>
      <c r="O383" s="14">
        <f>IF(AND(NOT(ISNUMBER($J383)),NOT(ISNUMBER($K383))),"",IF(NOT(ISNUMBER($K383)),$J383,IF(NOT(ISNUMBER($J383)),$K383,IF($N383=0,$J383,IF(AND($N383=1,$T383&lt;&gt;"Sim"),IF($I383="Líder Técnico",$K383,IF($I383="GP",$J383,"CALIBRAR")),"CALIBRAR")))))</f>
        <v/>
      </c>
      <c r="P383" s="19" t="n"/>
      <c r="Q383" s="19" t="n"/>
      <c r="R383" s="14">
        <f>IF($P383="","",IF(AND(ISNUMBER($J383),$P383=$J383,ISNUMBER($K383),$P383=$K383),"= ambos",IF(AND(ISNUMBER($J383),$P383=$J383),"= GP",IF(AND(ISNUMBER($K383),$P383=$K383),"= LT","nenhuma das duas"))))</f>
        <v/>
      </c>
      <c r="S383" s="19" t="n"/>
      <c r="T383" s="19" t="n"/>
      <c r="U383" s="14">
        <f>IF($C383="","",COUNTIFS('Ocorrências'!$V$5:$V$604,$C383&amp;"|"&amp;$B383&amp;"|"&amp;$G383,'Ocorrências'!$X$5:$X$604,"Sim"))</f>
        <v/>
      </c>
      <c r="V383" s="14">
        <f>IF($P383="","",IF(OR($P383=1,$P383=2,$P383=5),IF($U383&gt;0,"OK","SEM LASTRO"),"OK"))</f>
        <v/>
      </c>
      <c r="W383" s="19" t="n"/>
      <c r="X383" s="18" t="n"/>
      <c r="Y383" s="14">
        <f>IF($C383="","",$C383&amp;"|"&amp;$B383)</f>
        <v/>
      </c>
      <c r="Z383" s="14">
        <f>IF($C383="","",$C383&amp;"|"&amp;$B383&amp;"|"&amp;$H383)</f>
        <v/>
      </c>
      <c r="AA383" s="14">
        <f>IF($C383="","",$C383&amp;"|"&amp;$B383&amp;"|"&amp;$G383)</f>
        <v/>
      </c>
    </row>
    <row r="384">
      <c r="A384" s="19" t="n"/>
      <c r="B384" s="14">
        <f>IF($A384="","",VALUE(LEFT($A384,4))*4+VALUE(RIGHT($A384,1)))</f>
        <v/>
      </c>
      <c r="C384" s="19" t="n"/>
      <c r="D384" s="14">
        <f>IFERROR(INDEX(Pessoas!$B$5:$B$64,MATCH($C384,Pessoas!$A$5:$A$64,0)),"")</f>
        <v/>
      </c>
      <c r="E384" s="19" t="n"/>
      <c r="F384" s="14">
        <f>IFERROR(INDEX(Pessoas!$D$5:$D$64,MATCH($C384,Pessoas!$A$5:$A$64,0)),"")</f>
        <v/>
      </c>
      <c r="G384" s="19" t="n"/>
      <c r="H384" s="14">
        <f>IFERROR(INDEX(Config!$B$40:$B$45,MATCH($G384,Config!$C$40:$C$45,0)),"")</f>
        <v/>
      </c>
      <c r="I384" s="14">
        <f>IFERROR(INDEX(Config!$D$40:$D$45,MATCH($G384,Config!$C$40:$C$45,0)),"")</f>
        <v/>
      </c>
      <c r="J384" s="19" t="n"/>
      <c r="K384" s="19" t="n"/>
      <c r="L384" s="19" t="n"/>
      <c r="M384" s="19" t="n"/>
      <c r="N384" s="14">
        <f>IF(AND(ISNUMBER($J384),ISNUMBER($K384)),ABS($J384-$K384),"")</f>
        <v/>
      </c>
      <c r="O384" s="14">
        <f>IF(AND(NOT(ISNUMBER($J384)),NOT(ISNUMBER($K384))),"",IF(NOT(ISNUMBER($K384)),$J384,IF(NOT(ISNUMBER($J384)),$K384,IF($N384=0,$J384,IF(AND($N384=1,$T384&lt;&gt;"Sim"),IF($I384="Líder Técnico",$K384,IF($I384="GP",$J384,"CALIBRAR")),"CALIBRAR")))))</f>
        <v/>
      </c>
      <c r="P384" s="19" t="n"/>
      <c r="Q384" s="19" t="n"/>
      <c r="R384" s="14">
        <f>IF($P384="","",IF(AND(ISNUMBER($J384),$P384=$J384,ISNUMBER($K384),$P384=$K384),"= ambos",IF(AND(ISNUMBER($J384),$P384=$J384),"= GP",IF(AND(ISNUMBER($K384),$P384=$K384),"= LT","nenhuma das duas"))))</f>
        <v/>
      </c>
      <c r="S384" s="19" t="n"/>
      <c r="T384" s="19" t="n"/>
      <c r="U384" s="14">
        <f>IF($C384="","",COUNTIFS('Ocorrências'!$V$5:$V$604,$C384&amp;"|"&amp;$B384&amp;"|"&amp;$G384,'Ocorrências'!$X$5:$X$604,"Sim"))</f>
        <v/>
      </c>
      <c r="V384" s="14">
        <f>IF($P384="","",IF(OR($P384=1,$P384=2,$P384=5),IF($U384&gt;0,"OK","SEM LASTRO"),"OK"))</f>
        <v/>
      </c>
      <c r="W384" s="19" t="n"/>
      <c r="X384" s="18" t="n"/>
      <c r="Y384" s="14">
        <f>IF($C384="","",$C384&amp;"|"&amp;$B384)</f>
        <v/>
      </c>
      <c r="Z384" s="14">
        <f>IF($C384="","",$C384&amp;"|"&amp;$B384&amp;"|"&amp;$H384)</f>
        <v/>
      </c>
      <c r="AA384" s="14">
        <f>IF($C384="","",$C384&amp;"|"&amp;$B384&amp;"|"&amp;$G384)</f>
        <v/>
      </c>
    </row>
    <row r="385">
      <c r="A385" s="19" t="n"/>
      <c r="B385" s="14">
        <f>IF($A385="","",VALUE(LEFT($A385,4))*4+VALUE(RIGHT($A385,1)))</f>
        <v/>
      </c>
      <c r="C385" s="19" t="n"/>
      <c r="D385" s="14">
        <f>IFERROR(INDEX(Pessoas!$B$5:$B$64,MATCH($C385,Pessoas!$A$5:$A$64,0)),"")</f>
        <v/>
      </c>
      <c r="E385" s="19" t="n"/>
      <c r="F385" s="14">
        <f>IFERROR(INDEX(Pessoas!$D$5:$D$64,MATCH($C385,Pessoas!$A$5:$A$64,0)),"")</f>
        <v/>
      </c>
      <c r="G385" s="19" t="n"/>
      <c r="H385" s="14">
        <f>IFERROR(INDEX(Config!$B$40:$B$45,MATCH($G385,Config!$C$40:$C$45,0)),"")</f>
        <v/>
      </c>
      <c r="I385" s="14">
        <f>IFERROR(INDEX(Config!$D$40:$D$45,MATCH($G385,Config!$C$40:$C$45,0)),"")</f>
        <v/>
      </c>
      <c r="J385" s="19" t="n"/>
      <c r="K385" s="19" t="n"/>
      <c r="L385" s="19" t="n"/>
      <c r="M385" s="19" t="n"/>
      <c r="N385" s="14">
        <f>IF(AND(ISNUMBER($J385),ISNUMBER($K385)),ABS($J385-$K385),"")</f>
        <v/>
      </c>
      <c r="O385" s="14">
        <f>IF(AND(NOT(ISNUMBER($J385)),NOT(ISNUMBER($K385))),"",IF(NOT(ISNUMBER($K385)),$J385,IF(NOT(ISNUMBER($J385)),$K385,IF($N385=0,$J385,IF(AND($N385=1,$T385&lt;&gt;"Sim"),IF($I385="Líder Técnico",$K385,IF($I385="GP",$J385,"CALIBRAR")),"CALIBRAR")))))</f>
        <v/>
      </c>
      <c r="P385" s="19" t="n"/>
      <c r="Q385" s="19" t="n"/>
      <c r="R385" s="14">
        <f>IF($P385="","",IF(AND(ISNUMBER($J385),$P385=$J385,ISNUMBER($K385),$P385=$K385),"= ambos",IF(AND(ISNUMBER($J385),$P385=$J385),"= GP",IF(AND(ISNUMBER($K385),$P385=$K385),"= LT","nenhuma das duas"))))</f>
        <v/>
      </c>
      <c r="S385" s="19" t="n"/>
      <c r="T385" s="19" t="n"/>
      <c r="U385" s="14">
        <f>IF($C385="","",COUNTIFS('Ocorrências'!$V$5:$V$604,$C385&amp;"|"&amp;$B385&amp;"|"&amp;$G385,'Ocorrências'!$X$5:$X$604,"Sim"))</f>
        <v/>
      </c>
      <c r="V385" s="14">
        <f>IF($P385="","",IF(OR($P385=1,$P385=2,$P385=5),IF($U385&gt;0,"OK","SEM LASTRO"),"OK"))</f>
        <v/>
      </c>
      <c r="W385" s="19" t="n"/>
      <c r="X385" s="18" t="n"/>
      <c r="Y385" s="14">
        <f>IF($C385="","",$C385&amp;"|"&amp;$B385)</f>
        <v/>
      </c>
      <c r="Z385" s="14">
        <f>IF($C385="","",$C385&amp;"|"&amp;$B385&amp;"|"&amp;$H385)</f>
        <v/>
      </c>
      <c r="AA385" s="14">
        <f>IF($C385="","",$C385&amp;"|"&amp;$B385&amp;"|"&amp;$G385)</f>
        <v/>
      </c>
    </row>
    <row r="386">
      <c r="A386" s="19" t="n"/>
      <c r="B386" s="14">
        <f>IF($A386="","",VALUE(LEFT($A386,4))*4+VALUE(RIGHT($A386,1)))</f>
        <v/>
      </c>
      <c r="C386" s="19" t="n"/>
      <c r="D386" s="14">
        <f>IFERROR(INDEX(Pessoas!$B$5:$B$64,MATCH($C386,Pessoas!$A$5:$A$64,0)),"")</f>
        <v/>
      </c>
      <c r="E386" s="19" t="n"/>
      <c r="F386" s="14">
        <f>IFERROR(INDEX(Pessoas!$D$5:$D$64,MATCH($C386,Pessoas!$A$5:$A$64,0)),"")</f>
        <v/>
      </c>
      <c r="G386" s="19" t="n"/>
      <c r="H386" s="14">
        <f>IFERROR(INDEX(Config!$B$40:$B$45,MATCH($G386,Config!$C$40:$C$45,0)),"")</f>
        <v/>
      </c>
      <c r="I386" s="14">
        <f>IFERROR(INDEX(Config!$D$40:$D$45,MATCH($G386,Config!$C$40:$C$45,0)),"")</f>
        <v/>
      </c>
      <c r="J386" s="19" t="n"/>
      <c r="K386" s="19" t="n"/>
      <c r="L386" s="19" t="n"/>
      <c r="M386" s="19" t="n"/>
      <c r="N386" s="14">
        <f>IF(AND(ISNUMBER($J386),ISNUMBER($K386)),ABS($J386-$K386),"")</f>
        <v/>
      </c>
      <c r="O386" s="14">
        <f>IF(AND(NOT(ISNUMBER($J386)),NOT(ISNUMBER($K386))),"",IF(NOT(ISNUMBER($K386)),$J386,IF(NOT(ISNUMBER($J386)),$K386,IF($N386=0,$J386,IF(AND($N386=1,$T386&lt;&gt;"Sim"),IF($I386="Líder Técnico",$K386,IF($I386="GP",$J386,"CALIBRAR")),"CALIBRAR")))))</f>
        <v/>
      </c>
      <c r="P386" s="19" t="n"/>
      <c r="Q386" s="19" t="n"/>
      <c r="R386" s="14">
        <f>IF($P386="","",IF(AND(ISNUMBER($J386),$P386=$J386,ISNUMBER($K386),$P386=$K386),"= ambos",IF(AND(ISNUMBER($J386),$P386=$J386),"= GP",IF(AND(ISNUMBER($K386),$P386=$K386),"= LT","nenhuma das duas"))))</f>
        <v/>
      </c>
      <c r="S386" s="19" t="n"/>
      <c r="T386" s="19" t="n"/>
      <c r="U386" s="14">
        <f>IF($C386="","",COUNTIFS('Ocorrências'!$V$5:$V$604,$C386&amp;"|"&amp;$B386&amp;"|"&amp;$G386,'Ocorrências'!$X$5:$X$604,"Sim"))</f>
        <v/>
      </c>
      <c r="V386" s="14">
        <f>IF($P386="","",IF(OR($P386=1,$P386=2,$P386=5),IF($U386&gt;0,"OK","SEM LASTRO"),"OK"))</f>
        <v/>
      </c>
      <c r="W386" s="19" t="n"/>
      <c r="X386" s="18" t="n"/>
      <c r="Y386" s="14">
        <f>IF($C386="","",$C386&amp;"|"&amp;$B386)</f>
        <v/>
      </c>
      <c r="Z386" s="14">
        <f>IF($C386="","",$C386&amp;"|"&amp;$B386&amp;"|"&amp;$H386)</f>
        <v/>
      </c>
      <c r="AA386" s="14">
        <f>IF($C386="","",$C386&amp;"|"&amp;$B386&amp;"|"&amp;$G386)</f>
        <v/>
      </c>
    </row>
    <row r="387">
      <c r="A387" s="19" t="n"/>
      <c r="B387" s="14">
        <f>IF($A387="","",VALUE(LEFT($A387,4))*4+VALUE(RIGHT($A387,1)))</f>
        <v/>
      </c>
      <c r="C387" s="19" t="n"/>
      <c r="D387" s="14">
        <f>IFERROR(INDEX(Pessoas!$B$5:$B$64,MATCH($C387,Pessoas!$A$5:$A$64,0)),"")</f>
        <v/>
      </c>
      <c r="E387" s="19" t="n"/>
      <c r="F387" s="14">
        <f>IFERROR(INDEX(Pessoas!$D$5:$D$64,MATCH($C387,Pessoas!$A$5:$A$64,0)),"")</f>
        <v/>
      </c>
      <c r="G387" s="19" t="n"/>
      <c r="H387" s="14">
        <f>IFERROR(INDEX(Config!$B$40:$B$45,MATCH($G387,Config!$C$40:$C$45,0)),"")</f>
        <v/>
      </c>
      <c r="I387" s="14">
        <f>IFERROR(INDEX(Config!$D$40:$D$45,MATCH($G387,Config!$C$40:$C$45,0)),"")</f>
        <v/>
      </c>
      <c r="J387" s="19" t="n"/>
      <c r="K387" s="19" t="n"/>
      <c r="L387" s="19" t="n"/>
      <c r="M387" s="19" t="n"/>
      <c r="N387" s="14">
        <f>IF(AND(ISNUMBER($J387),ISNUMBER($K387)),ABS($J387-$K387),"")</f>
        <v/>
      </c>
      <c r="O387" s="14">
        <f>IF(AND(NOT(ISNUMBER($J387)),NOT(ISNUMBER($K387))),"",IF(NOT(ISNUMBER($K387)),$J387,IF(NOT(ISNUMBER($J387)),$K387,IF($N387=0,$J387,IF(AND($N387=1,$T387&lt;&gt;"Sim"),IF($I387="Líder Técnico",$K387,IF($I387="GP",$J387,"CALIBRAR")),"CALIBRAR")))))</f>
        <v/>
      </c>
      <c r="P387" s="19" t="n"/>
      <c r="Q387" s="19" t="n"/>
      <c r="R387" s="14">
        <f>IF($P387="","",IF(AND(ISNUMBER($J387),$P387=$J387,ISNUMBER($K387),$P387=$K387),"= ambos",IF(AND(ISNUMBER($J387),$P387=$J387),"= GP",IF(AND(ISNUMBER($K387),$P387=$K387),"= LT","nenhuma das duas"))))</f>
        <v/>
      </c>
      <c r="S387" s="19" t="n"/>
      <c r="T387" s="19" t="n"/>
      <c r="U387" s="14">
        <f>IF($C387="","",COUNTIFS('Ocorrências'!$V$5:$V$604,$C387&amp;"|"&amp;$B387&amp;"|"&amp;$G387,'Ocorrências'!$X$5:$X$604,"Sim"))</f>
        <v/>
      </c>
      <c r="V387" s="14">
        <f>IF($P387="","",IF(OR($P387=1,$P387=2,$P387=5),IF($U387&gt;0,"OK","SEM LASTRO"),"OK"))</f>
        <v/>
      </c>
      <c r="W387" s="19" t="n"/>
      <c r="X387" s="18" t="n"/>
      <c r="Y387" s="14">
        <f>IF($C387="","",$C387&amp;"|"&amp;$B387)</f>
        <v/>
      </c>
      <c r="Z387" s="14">
        <f>IF($C387="","",$C387&amp;"|"&amp;$B387&amp;"|"&amp;$H387)</f>
        <v/>
      </c>
      <c r="AA387" s="14">
        <f>IF($C387="","",$C387&amp;"|"&amp;$B387&amp;"|"&amp;$G387)</f>
        <v/>
      </c>
    </row>
    <row r="388">
      <c r="A388" s="19" t="n"/>
      <c r="B388" s="14">
        <f>IF($A388="","",VALUE(LEFT($A388,4))*4+VALUE(RIGHT($A388,1)))</f>
        <v/>
      </c>
      <c r="C388" s="19" t="n"/>
      <c r="D388" s="14">
        <f>IFERROR(INDEX(Pessoas!$B$5:$B$64,MATCH($C388,Pessoas!$A$5:$A$64,0)),"")</f>
        <v/>
      </c>
      <c r="E388" s="19" t="n"/>
      <c r="F388" s="14">
        <f>IFERROR(INDEX(Pessoas!$D$5:$D$64,MATCH($C388,Pessoas!$A$5:$A$64,0)),"")</f>
        <v/>
      </c>
      <c r="G388" s="19" t="n"/>
      <c r="H388" s="14">
        <f>IFERROR(INDEX(Config!$B$40:$B$45,MATCH($G388,Config!$C$40:$C$45,0)),"")</f>
        <v/>
      </c>
      <c r="I388" s="14">
        <f>IFERROR(INDEX(Config!$D$40:$D$45,MATCH($G388,Config!$C$40:$C$45,0)),"")</f>
        <v/>
      </c>
      <c r="J388" s="19" t="n"/>
      <c r="K388" s="19" t="n"/>
      <c r="L388" s="19" t="n"/>
      <c r="M388" s="19" t="n"/>
      <c r="N388" s="14">
        <f>IF(AND(ISNUMBER($J388),ISNUMBER($K388)),ABS($J388-$K388),"")</f>
        <v/>
      </c>
      <c r="O388" s="14">
        <f>IF(AND(NOT(ISNUMBER($J388)),NOT(ISNUMBER($K388))),"",IF(NOT(ISNUMBER($K388)),$J388,IF(NOT(ISNUMBER($J388)),$K388,IF($N388=0,$J388,IF(AND($N388=1,$T388&lt;&gt;"Sim"),IF($I388="Líder Técnico",$K388,IF($I388="GP",$J388,"CALIBRAR")),"CALIBRAR")))))</f>
        <v/>
      </c>
      <c r="P388" s="19" t="n"/>
      <c r="Q388" s="19" t="n"/>
      <c r="R388" s="14">
        <f>IF($P388="","",IF(AND(ISNUMBER($J388),$P388=$J388,ISNUMBER($K388),$P388=$K388),"= ambos",IF(AND(ISNUMBER($J388),$P388=$J388),"= GP",IF(AND(ISNUMBER($K388),$P388=$K388),"= LT","nenhuma das duas"))))</f>
        <v/>
      </c>
      <c r="S388" s="19" t="n"/>
      <c r="T388" s="19" t="n"/>
      <c r="U388" s="14">
        <f>IF($C388="","",COUNTIFS('Ocorrências'!$V$5:$V$604,$C388&amp;"|"&amp;$B388&amp;"|"&amp;$G388,'Ocorrências'!$X$5:$X$604,"Sim"))</f>
        <v/>
      </c>
      <c r="V388" s="14">
        <f>IF($P388="","",IF(OR($P388=1,$P388=2,$P388=5),IF($U388&gt;0,"OK","SEM LASTRO"),"OK"))</f>
        <v/>
      </c>
      <c r="W388" s="19" t="n"/>
      <c r="X388" s="18" t="n"/>
      <c r="Y388" s="14">
        <f>IF($C388="","",$C388&amp;"|"&amp;$B388)</f>
        <v/>
      </c>
      <c r="Z388" s="14">
        <f>IF($C388="","",$C388&amp;"|"&amp;$B388&amp;"|"&amp;$H388)</f>
        <v/>
      </c>
      <c r="AA388" s="14">
        <f>IF($C388="","",$C388&amp;"|"&amp;$B388&amp;"|"&amp;$G388)</f>
        <v/>
      </c>
    </row>
    <row r="389">
      <c r="A389" s="19" t="n"/>
      <c r="B389" s="14">
        <f>IF($A389="","",VALUE(LEFT($A389,4))*4+VALUE(RIGHT($A389,1)))</f>
        <v/>
      </c>
      <c r="C389" s="19" t="n"/>
      <c r="D389" s="14">
        <f>IFERROR(INDEX(Pessoas!$B$5:$B$64,MATCH($C389,Pessoas!$A$5:$A$64,0)),"")</f>
        <v/>
      </c>
      <c r="E389" s="19" t="n"/>
      <c r="F389" s="14">
        <f>IFERROR(INDEX(Pessoas!$D$5:$D$64,MATCH($C389,Pessoas!$A$5:$A$64,0)),"")</f>
        <v/>
      </c>
      <c r="G389" s="19" t="n"/>
      <c r="H389" s="14">
        <f>IFERROR(INDEX(Config!$B$40:$B$45,MATCH($G389,Config!$C$40:$C$45,0)),"")</f>
        <v/>
      </c>
      <c r="I389" s="14">
        <f>IFERROR(INDEX(Config!$D$40:$D$45,MATCH($G389,Config!$C$40:$C$45,0)),"")</f>
        <v/>
      </c>
      <c r="J389" s="19" t="n"/>
      <c r="K389" s="19" t="n"/>
      <c r="L389" s="19" t="n"/>
      <c r="M389" s="19" t="n"/>
      <c r="N389" s="14">
        <f>IF(AND(ISNUMBER($J389),ISNUMBER($K389)),ABS($J389-$K389),"")</f>
        <v/>
      </c>
      <c r="O389" s="14">
        <f>IF(AND(NOT(ISNUMBER($J389)),NOT(ISNUMBER($K389))),"",IF(NOT(ISNUMBER($K389)),$J389,IF(NOT(ISNUMBER($J389)),$K389,IF($N389=0,$J389,IF(AND($N389=1,$T389&lt;&gt;"Sim"),IF($I389="Líder Técnico",$K389,IF($I389="GP",$J389,"CALIBRAR")),"CALIBRAR")))))</f>
        <v/>
      </c>
      <c r="P389" s="19" t="n"/>
      <c r="Q389" s="19" t="n"/>
      <c r="R389" s="14">
        <f>IF($P389="","",IF(AND(ISNUMBER($J389),$P389=$J389,ISNUMBER($K389),$P389=$K389),"= ambos",IF(AND(ISNUMBER($J389),$P389=$J389),"= GP",IF(AND(ISNUMBER($K389),$P389=$K389),"= LT","nenhuma das duas"))))</f>
        <v/>
      </c>
      <c r="S389" s="19" t="n"/>
      <c r="T389" s="19" t="n"/>
      <c r="U389" s="14">
        <f>IF($C389="","",COUNTIFS('Ocorrências'!$V$5:$V$604,$C389&amp;"|"&amp;$B389&amp;"|"&amp;$G389,'Ocorrências'!$X$5:$X$604,"Sim"))</f>
        <v/>
      </c>
      <c r="V389" s="14">
        <f>IF($P389="","",IF(OR($P389=1,$P389=2,$P389=5),IF($U389&gt;0,"OK","SEM LASTRO"),"OK"))</f>
        <v/>
      </c>
      <c r="W389" s="19" t="n"/>
      <c r="X389" s="18" t="n"/>
      <c r="Y389" s="14">
        <f>IF($C389="","",$C389&amp;"|"&amp;$B389)</f>
        <v/>
      </c>
      <c r="Z389" s="14">
        <f>IF($C389="","",$C389&amp;"|"&amp;$B389&amp;"|"&amp;$H389)</f>
        <v/>
      </c>
      <c r="AA389" s="14">
        <f>IF($C389="","",$C389&amp;"|"&amp;$B389&amp;"|"&amp;$G389)</f>
        <v/>
      </c>
    </row>
    <row r="390">
      <c r="A390" s="19" t="n"/>
      <c r="B390" s="14">
        <f>IF($A390="","",VALUE(LEFT($A390,4))*4+VALUE(RIGHT($A390,1)))</f>
        <v/>
      </c>
      <c r="C390" s="19" t="n"/>
      <c r="D390" s="14">
        <f>IFERROR(INDEX(Pessoas!$B$5:$B$64,MATCH($C390,Pessoas!$A$5:$A$64,0)),"")</f>
        <v/>
      </c>
      <c r="E390" s="19" t="n"/>
      <c r="F390" s="14">
        <f>IFERROR(INDEX(Pessoas!$D$5:$D$64,MATCH($C390,Pessoas!$A$5:$A$64,0)),"")</f>
        <v/>
      </c>
      <c r="G390" s="19" t="n"/>
      <c r="H390" s="14">
        <f>IFERROR(INDEX(Config!$B$40:$B$45,MATCH($G390,Config!$C$40:$C$45,0)),"")</f>
        <v/>
      </c>
      <c r="I390" s="14">
        <f>IFERROR(INDEX(Config!$D$40:$D$45,MATCH($G390,Config!$C$40:$C$45,0)),"")</f>
        <v/>
      </c>
      <c r="J390" s="19" t="n"/>
      <c r="K390" s="19" t="n"/>
      <c r="L390" s="19" t="n"/>
      <c r="M390" s="19" t="n"/>
      <c r="N390" s="14">
        <f>IF(AND(ISNUMBER($J390),ISNUMBER($K390)),ABS($J390-$K390),"")</f>
        <v/>
      </c>
      <c r="O390" s="14">
        <f>IF(AND(NOT(ISNUMBER($J390)),NOT(ISNUMBER($K390))),"",IF(NOT(ISNUMBER($K390)),$J390,IF(NOT(ISNUMBER($J390)),$K390,IF($N390=0,$J390,IF(AND($N390=1,$T390&lt;&gt;"Sim"),IF($I390="Líder Técnico",$K390,IF($I390="GP",$J390,"CALIBRAR")),"CALIBRAR")))))</f>
        <v/>
      </c>
      <c r="P390" s="19" t="n"/>
      <c r="Q390" s="19" t="n"/>
      <c r="R390" s="14">
        <f>IF($P390="","",IF(AND(ISNUMBER($J390),$P390=$J390,ISNUMBER($K390),$P390=$K390),"= ambos",IF(AND(ISNUMBER($J390),$P390=$J390),"= GP",IF(AND(ISNUMBER($K390),$P390=$K390),"= LT","nenhuma das duas"))))</f>
        <v/>
      </c>
      <c r="S390" s="19" t="n"/>
      <c r="T390" s="19" t="n"/>
      <c r="U390" s="14">
        <f>IF($C390="","",COUNTIFS('Ocorrências'!$V$5:$V$604,$C390&amp;"|"&amp;$B390&amp;"|"&amp;$G390,'Ocorrências'!$X$5:$X$604,"Sim"))</f>
        <v/>
      </c>
      <c r="V390" s="14">
        <f>IF($P390="","",IF(OR($P390=1,$P390=2,$P390=5),IF($U390&gt;0,"OK","SEM LASTRO"),"OK"))</f>
        <v/>
      </c>
      <c r="W390" s="19" t="n"/>
      <c r="X390" s="18" t="n"/>
      <c r="Y390" s="14">
        <f>IF($C390="","",$C390&amp;"|"&amp;$B390)</f>
        <v/>
      </c>
      <c r="Z390" s="14">
        <f>IF($C390="","",$C390&amp;"|"&amp;$B390&amp;"|"&amp;$H390)</f>
        <v/>
      </c>
      <c r="AA390" s="14">
        <f>IF($C390="","",$C390&amp;"|"&amp;$B390&amp;"|"&amp;$G390)</f>
        <v/>
      </c>
    </row>
    <row r="391">
      <c r="A391" s="19" t="n"/>
      <c r="B391" s="14">
        <f>IF($A391="","",VALUE(LEFT($A391,4))*4+VALUE(RIGHT($A391,1)))</f>
        <v/>
      </c>
      <c r="C391" s="19" t="n"/>
      <c r="D391" s="14">
        <f>IFERROR(INDEX(Pessoas!$B$5:$B$64,MATCH($C391,Pessoas!$A$5:$A$64,0)),"")</f>
        <v/>
      </c>
      <c r="E391" s="19" t="n"/>
      <c r="F391" s="14">
        <f>IFERROR(INDEX(Pessoas!$D$5:$D$64,MATCH($C391,Pessoas!$A$5:$A$64,0)),"")</f>
        <v/>
      </c>
      <c r="G391" s="19" t="n"/>
      <c r="H391" s="14">
        <f>IFERROR(INDEX(Config!$B$40:$B$45,MATCH($G391,Config!$C$40:$C$45,0)),"")</f>
        <v/>
      </c>
      <c r="I391" s="14">
        <f>IFERROR(INDEX(Config!$D$40:$D$45,MATCH($G391,Config!$C$40:$C$45,0)),"")</f>
        <v/>
      </c>
      <c r="J391" s="19" t="n"/>
      <c r="K391" s="19" t="n"/>
      <c r="L391" s="19" t="n"/>
      <c r="M391" s="19" t="n"/>
      <c r="N391" s="14">
        <f>IF(AND(ISNUMBER($J391),ISNUMBER($K391)),ABS($J391-$K391),"")</f>
        <v/>
      </c>
      <c r="O391" s="14">
        <f>IF(AND(NOT(ISNUMBER($J391)),NOT(ISNUMBER($K391))),"",IF(NOT(ISNUMBER($K391)),$J391,IF(NOT(ISNUMBER($J391)),$K391,IF($N391=0,$J391,IF(AND($N391=1,$T391&lt;&gt;"Sim"),IF($I391="Líder Técnico",$K391,IF($I391="GP",$J391,"CALIBRAR")),"CALIBRAR")))))</f>
        <v/>
      </c>
      <c r="P391" s="19" t="n"/>
      <c r="Q391" s="19" t="n"/>
      <c r="R391" s="14">
        <f>IF($P391="","",IF(AND(ISNUMBER($J391),$P391=$J391,ISNUMBER($K391),$P391=$K391),"= ambos",IF(AND(ISNUMBER($J391),$P391=$J391),"= GP",IF(AND(ISNUMBER($K391),$P391=$K391),"= LT","nenhuma das duas"))))</f>
        <v/>
      </c>
      <c r="S391" s="19" t="n"/>
      <c r="T391" s="19" t="n"/>
      <c r="U391" s="14">
        <f>IF($C391="","",COUNTIFS('Ocorrências'!$V$5:$V$604,$C391&amp;"|"&amp;$B391&amp;"|"&amp;$G391,'Ocorrências'!$X$5:$X$604,"Sim"))</f>
        <v/>
      </c>
      <c r="V391" s="14">
        <f>IF($P391="","",IF(OR($P391=1,$P391=2,$P391=5),IF($U391&gt;0,"OK","SEM LASTRO"),"OK"))</f>
        <v/>
      </c>
      <c r="W391" s="19" t="n"/>
      <c r="X391" s="18" t="n"/>
      <c r="Y391" s="14">
        <f>IF($C391="","",$C391&amp;"|"&amp;$B391)</f>
        <v/>
      </c>
      <c r="Z391" s="14">
        <f>IF($C391="","",$C391&amp;"|"&amp;$B391&amp;"|"&amp;$H391)</f>
        <v/>
      </c>
      <c r="AA391" s="14">
        <f>IF($C391="","",$C391&amp;"|"&amp;$B391&amp;"|"&amp;$G391)</f>
        <v/>
      </c>
    </row>
    <row r="392">
      <c r="A392" s="19" t="n"/>
      <c r="B392" s="14">
        <f>IF($A392="","",VALUE(LEFT($A392,4))*4+VALUE(RIGHT($A392,1)))</f>
        <v/>
      </c>
      <c r="C392" s="19" t="n"/>
      <c r="D392" s="14">
        <f>IFERROR(INDEX(Pessoas!$B$5:$B$64,MATCH($C392,Pessoas!$A$5:$A$64,0)),"")</f>
        <v/>
      </c>
      <c r="E392" s="19" t="n"/>
      <c r="F392" s="14">
        <f>IFERROR(INDEX(Pessoas!$D$5:$D$64,MATCH($C392,Pessoas!$A$5:$A$64,0)),"")</f>
        <v/>
      </c>
      <c r="G392" s="19" t="n"/>
      <c r="H392" s="14">
        <f>IFERROR(INDEX(Config!$B$40:$B$45,MATCH($G392,Config!$C$40:$C$45,0)),"")</f>
        <v/>
      </c>
      <c r="I392" s="14">
        <f>IFERROR(INDEX(Config!$D$40:$D$45,MATCH($G392,Config!$C$40:$C$45,0)),"")</f>
        <v/>
      </c>
      <c r="J392" s="19" t="n"/>
      <c r="K392" s="19" t="n"/>
      <c r="L392" s="19" t="n"/>
      <c r="M392" s="19" t="n"/>
      <c r="N392" s="14">
        <f>IF(AND(ISNUMBER($J392),ISNUMBER($K392)),ABS($J392-$K392),"")</f>
        <v/>
      </c>
      <c r="O392" s="14">
        <f>IF(AND(NOT(ISNUMBER($J392)),NOT(ISNUMBER($K392))),"",IF(NOT(ISNUMBER($K392)),$J392,IF(NOT(ISNUMBER($J392)),$K392,IF($N392=0,$J392,IF(AND($N392=1,$T392&lt;&gt;"Sim"),IF($I392="Líder Técnico",$K392,IF($I392="GP",$J392,"CALIBRAR")),"CALIBRAR")))))</f>
        <v/>
      </c>
      <c r="P392" s="19" t="n"/>
      <c r="Q392" s="19" t="n"/>
      <c r="R392" s="14">
        <f>IF($P392="","",IF(AND(ISNUMBER($J392),$P392=$J392,ISNUMBER($K392),$P392=$K392),"= ambos",IF(AND(ISNUMBER($J392),$P392=$J392),"= GP",IF(AND(ISNUMBER($K392),$P392=$K392),"= LT","nenhuma das duas"))))</f>
        <v/>
      </c>
      <c r="S392" s="19" t="n"/>
      <c r="T392" s="19" t="n"/>
      <c r="U392" s="14">
        <f>IF($C392="","",COUNTIFS('Ocorrências'!$V$5:$V$604,$C392&amp;"|"&amp;$B392&amp;"|"&amp;$G392,'Ocorrências'!$X$5:$X$604,"Sim"))</f>
        <v/>
      </c>
      <c r="V392" s="14">
        <f>IF($P392="","",IF(OR($P392=1,$P392=2,$P392=5),IF($U392&gt;0,"OK","SEM LASTRO"),"OK"))</f>
        <v/>
      </c>
      <c r="W392" s="19" t="n"/>
      <c r="X392" s="18" t="n"/>
      <c r="Y392" s="14">
        <f>IF($C392="","",$C392&amp;"|"&amp;$B392)</f>
        <v/>
      </c>
      <c r="Z392" s="14">
        <f>IF($C392="","",$C392&amp;"|"&amp;$B392&amp;"|"&amp;$H392)</f>
        <v/>
      </c>
      <c r="AA392" s="14">
        <f>IF($C392="","",$C392&amp;"|"&amp;$B392&amp;"|"&amp;$G392)</f>
        <v/>
      </c>
    </row>
    <row r="393">
      <c r="A393" s="19" t="n"/>
      <c r="B393" s="14">
        <f>IF($A393="","",VALUE(LEFT($A393,4))*4+VALUE(RIGHT($A393,1)))</f>
        <v/>
      </c>
      <c r="C393" s="19" t="n"/>
      <c r="D393" s="14">
        <f>IFERROR(INDEX(Pessoas!$B$5:$B$64,MATCH($C393,Pessoas!$A$5:$A$64,0)),"")</f>
        <v/>
      </c>
      <c r="E393" s="19" t="n"/>
      <c r="F393" s="14">
        <f>IFERROR(INDEX(Pessoas!$D$5:$D$64,MATCH($C393,Pessoas!$A$5:$A$64,0)),"")</f>
        <v/>
      </c>
      <c r="G393" s="19" t="n"/>
      <c r="H393" s="14">
        <f>IFERROR(INDEX(Config!$B$40:$B$45,MATCH($G393,Config!$C$40:$C$45,0)),"")</f>
        <v/>
      </c>
      <c r="I393" s="14">
        <f>IFERROR(INDEX(Config!$D$40:$D$45,MATCH($G393,Config!$C$40:$C$45,0)),"")</f>
        <v/>
      </c>
      <c r="J393" s="19" t="n"/>
      <c r="K393" s="19" t="n"/>
      <c r="L393" s="19" t="n"/>
      <c r="M393" s="19" t="n"/>
      <c r="N393" s="14">
        <f>IF(AND(ISNUMBER($J393),ISNUMBER($K393)),ABS($J393-$K393),"")</f>
        <v/>
      </c>
      <c r="O393" s="14">
        <f>IF(AND(NOT(ISNUMBER($J393)),NOT(ISNUMBER($K393))),"",IF(NOT(ISNUMBER($K393)),$J393,IF(NOT(ISNUMBER($J393)),$K393,IF($N393=0,$J393,IF(AND($N393=1,$T393&lt;&gt;"Sim"),IF($I393="Líder Técnico",$K393,IF($I393="GP",$J393,"CALIBRAR")),"CALIBRAR")))))</f>
        <v/>
      </c>
      <c r="P393" s="19" t="n"/>
      <c r="Q393" s="19" t="n"/>
      <c r="R393" s="14">
        <f>IF($P393="","",IF(AND(ISNUMBER($J393),$P393=$J393,ISNUMBER($K393),$P393=$K393),"= ambos",IF(AND(ISNUMBER($J393),$P393=$J393),"= GP",IF(AND(ISNUMBER($K393),$P393=$K393),"= LT","nenhuma das duas"))))</f>
        <v/>
      </c>
      <c r="S393" s="19" t="n"/>
      <c r="T393" s="19" t="n"/>
      <c r="U393" s="14">
        <f>IF($C393="","",COUNTIFS('Ocorrências'!$V$5:$V$604,$C393&amp;"|"&amp;$B393&amp;"|"&amp;$G393,'Ocorrências'!$X$5:$X$604,"Sim"))</f>
        <v/>
      </c>
      <c r="V393" s="14">
        <f>IF($P393="","",IF(OR($P393=1,$P393=2,$P393=5),IF($U393&gt;0,"OK","SEM LASTRO"),"OK"))</f>
        <v/>
      </c>
      <c r="W393" s="19" t="n"/>
      <c r="X393" s="18" t="n"/>
      <c r="Y393" s="14">
        <f>IF($C393="","",$C393&amp;"|"&amp;$B393)</f>
        <v/>
      </c>
      <c r="Z393" s="14">
        <f>IF($C393="","",$C393&amp;"|"&amp;$B393&amp;"|"&amp;$H393)</f>
        <v/>
      </c>
      <c r="AA393" s="14">
        <f>IF($C393="","",$C393&amp;"|"&amp;$B393&amp;"|"&amp;$G393)</f>
        <v/>
      </c>
    </row>
    <row r="394">
      <c r="A394" s="19" t="n"/>
      <c r="B394" s="14">
        <f>IF($A394="","",VALUE(LEFT($A394,4))*4+VALUE(RIGHT($A394,1)))</f>
        <v/>
      </c>
      <c r="C394" s="19" t="n"/>
      <c r="D394" s="14">
        <f>IFERROR(INDEX(Pessoas!$B$5:$B$64,MATCH($C394,Pessoas!$A$5:$A$64,0)),"")</f>
        <v/>
      </c>
      <c r="E394" s="19" t="n"/>
      <c r="F394" s="14">
        <f>IFERROR(INDEX(Pessoas!$D$5:$D$64,MATCH($C394,Pessoas!$A$5:$A$64,0)),"")</f>
        <v/>
      </c>
      <c r="G394" s="19" t="n"/>
      <c r="H394" s="14">
        <f>IFERROR(INDEX(Config!$B$40:$B$45,MATCH($G394,Config!$C$40:$C$45,0)),"")</f>
        <v/>
      </c>
      <c r="I394" s="14">
        <f>IFERROR(INDEX(Config!$D$40:$D$45,MATCH($G394,Config!$C$40:$C$45,0)),"")</f>
        <v/>
      </c>
      <c r="J394" s="19" t="n"/>
      <c r="K394" s="19" t="n"/>
      <c r="L394" s="19" t="n"/>
      <c r="M394" s="19" t="n"/>
      <c r="N394" s="14">
        <f>IF(AND(ISNUMBER($J394),ISNUMBER($K394)),ABS($J394-$K394),"")</f>
        <v/>
      </c>
      <c r="O394" s="14">
        <f>IF(AND(NOT(ISNUMBER($J394)),NOT(ISNUMBER($K394))),"",IF(NOT(ISNUMBER($K394)),$J394,IF(NOT(ISNUMBER($J394)),$K394,IF($N394=0,$J394,IF(AND($N394=1,$T394&lt;&gt;"Sim"),IF($I394="Líder Técnico",$K394,IF($I394="GP",$J394,"CALIBRAR")),"CALIBRAR")))))</f>
        <v/>
      </c>
      <c r="P394" s="19" t="n"/>
      <c r="Q394" s="19" t="n"/>
      <c r="R394" s="14">
        <f>IF($P394="","",IF(AND(ISNUMBER($J394),$P394=$J394,ISNUMBER($K394),$P394=$K394),"= ambos",IF(AND(ISNUMBER($J394),$P394=$J394),"= GP",IF(AND(ISNUMBER($K394),$P394=$K394),"= LT","nenhuma das duas"))))</f>
        <v/>
      </c>
      <c r="S394" s="19" t="n"/>
      <c r="T394" s="19" t="n"/>
      <c r="U394" s="14">
        <f>IF($C394="","",COUNTIFS('Ocorrências'!$V$5:$V$604,$C394&amp;"|"&amp;$B394&amp;"|"&amp;$G394,'Ocorrências'!$X$5:$X$604,"Sim"))</f>
        <v/>
      </c>
      <c r="V394" s="14">
        <f>IF($P394="","",IF(OR($P394=1,$P394=2,$P394=5),IF($U394&gt;0,"OK","SEM LASTRO"),"OK"))</f>
        <v/>
      </c>
      <c r="W394" s="19" t="n"/>
      <c r="X394" s="18" t="n"/>
      <c r="Y394" s="14">
        <f>IF($C394="","",$C394&amp;"|"&amp;$B394)</f>
        <v/>
      </c>
      <c r="Z394" s="14">
        <f>IF($C394="","",$C394&amp;"|"&amp;$B394&amp;"|"&amp;$H394)</f>
        <v/>
      </c>
      <c r="AA394" s="14">
        <f>IF($C394="","",$C394&amp;"|"&amp;$B394&amp;"|"&amp;$G394)</f>
        <v/>
      </c>
    </row>
    <row r="395">
      <c r="A395" s="19" t="n"/>
      <c r="B395" s="14">
        <f>IF($A395="","",VALUE(LEFT($A395,4))*4+VALUE(RIGHT($A395,1)))</f>
        <v/>
      </c>
      <c r="C395" s="19" t="n"/>
      <c r="D395" s="14">
        <f>IFERROR(INDEX(Pessoas!$B$5:$B$64,MATCH($C395,Pessoas!$A$5:$A$64,0)),"")</f>
        <v/>
      </c>
      <c r="E395" s="19" t="n"/>
      <c r="F395" s="14">
        <f>IFERROR(INDEX(Pessoas!$D$5:$D$64,MATCH($C395,Pessoas!$A$5:$A$64,0)),"")</f>
        <v/>
      </c>
      <c r="G395" s="19" t="n"/>
      <c r="H395" s="14">
        <f>IFERROR(INDEX(Config!$B$40:$B$45,MATCH($G395,Config!$C$40:$C$45,0)),"")</f>
        <v/>
      </c>
      <c r="I395" s="14">
        <f>IFERROR(INDEX(Config!$D$40:$D$45,MATCH($G395,Config!$C$40:$C$45,0)),"")</f>
        <v/>
      </c>
      <c r="J395" s="19" t="n"/>
      <c r="K395" s="19" t="n"/>
      <c r="L395" s="19" t="n"/>
      <c r="M395" s="19" t="n"/>
      <c r="N395" s="14">
        <f>IF(AND(ISNUMBER($J395),ISNUMBER($K395)),ABS($J395-$K395),"")</f>
        <v/>
      </c>
      <c r="O395" s="14">
        <f>IF(AND(NOT(ISNUMBER($J395)),NOT(ISNUMBER($K395))),"",IF(NOT(ISNUMBER($K395)),$J395,IF(NOT(ISNUMBER($J395)),$K395,IF($N395=0,$J395,IF(AND($N395=1,$T395&lt;&gt;"Sim"),IF($I395="Líder Técnico",$K395,IF($I395="GP",$J395,"CALIBRAR")),"CALIBRAR")))))</f>
        <v/>
      </c>
      <c r="P395" s="19" t="n"/>
      <c r="Q395" s="19" t="n"/>
      <c r="R395" s="14">
        <f>IF($P395="","",IF(AND(ISNUMBER($J395),$P395=$J395,ISNUMBER($K395),$P395=$K395),"= ambos",IF(AND(ISNUMBER($J395),$P395=$J395),"= GP",IF(AND(ISNUMBER($K395),$P395=$K395),"= LT","nenhuma das duas"))))</f>
        <v/>
      </c>
      <c r="S395" s="19" t="n"/>
      <c r="T395" s="19" t="n"/>
      <c r="U395" s="14">
        <f>IF($C395="","",COUNTIFS('Ocorrências'!$V$5:$V$604,$C395&amp;"|"&amp;$B395&amp;"|"&amp;$G395,'Ocorrências'!$X$5:$X$604,"Sim"))</f>
        <v/>
      </c>
      <c r="V395" s="14">
        <f>IF($P395="","",IF(OR($P395=1,$P395=2,$P395=5),IF($U395&gt;0,"OK","SEM LASTRO"),"OK"))</f>
        <v/>
      </c>
      <c r="W395" s="19" t="n"/>
      <c r="X395" s="18" t="n"/>
      <c r="Y395" s="14">
        <f>IF($C395="","",$C395&amp;"|"&amp;$B395)</f>
        <v/>
      </c>
      <c r="Z395" s="14">
        <f>IF($C395="","",$C395&amp;"|"&amp;$B395&amp;"|"&amp;$H395)</f>
        <v/>
      </c>
      <c r="AA395" s="14">
        <f>IF($C395="","",$C395&amp;"|"&amp;$B395&amp;"|"&amp;$G395)</f>
        <v/>
      </c>
    </row>
    <row r="396">
      <c r="A396" s="19" t="n"/>
      <c r="B396" s="14">
        <f>IF($A396="","",VALUE(LEFT($A396,4))*4+VALUE(RIGHT($A396,1)))</f>
        <v/>
      </c>
      <c r="C396" s="19" t="n"/>
      <c r="D396" s="14">
        <f>IFERROR(INDEX(Pessoas!$B$5:$B$64,MATCH($C396,Pessoas!$A$5:$A$64,0)),"")</f>
        <v/>
      </c>
      <c r="E396" s="19" t="n"/>
      <c r="F396" s="14">
        <f>IFERROR(INDEX(Pessoas!$D$5:$D$64,MATCH($C396,Pessoas!$A$5:$A$64,0)),"")</f>
        <v/>
      </c>
      <c r="G396" s="19" t="n"/>
      <c r="H396" s="14">
        <f>IFERROR(INDEX(Config!$B$40:$B$45,MATCH($G396,Config!$C$40:$C$45,0)),"")</f>
        <v/>
      </c>
      <c r="I396" s="14">
        <f>IFERROR(INDEX(Config!$D$40:$D$45,MATCH($G396,Config!$C$40:$C$45,0)),"")</f>
        <v/>
      </c>
      <c r="J396" s="19" t="n"/>
      <c r="K396" s="19" t="n"/>
      <c r="L396" s="19" t="n"/>
      <c r="M396" s="19" t="n"/>
      <c r="N396" s="14">
        <f>IF(AND(ISNUMBER($J396),ISNUMBER($K396)),ABS($J396-$K396),"")</f>
        <v/>
      </c>
      <c r="O396" s="14">
        <f>IF(AND(NOT(ISNUMBER($J396)),NOT(ISNUMBER($K396))),"",IF(NOT(ISNUMBER($K396)),$J396,IF(NOT(ISNUMBER($J396)),$K396,IF($N396=0,$J396,IF(AND($N396=1,$T396&lt;&gt;"Sim"),IF($I396="Líder Técnico",$K396,IF($I396="GP",$J396,"CALIBRAR")),"CALIBRAR")))))</f>
        <v/>
      </c>
      <c r="P396" s="19" t="n"/>
      <c r="Q396" s="19" t="n"/>
      <c r="R396" s="14">
        <f>IF($P396="","",IF(AND(ISNUMBER($J396),$P396=$J396,ISNUMBER($K396),$P396=$K396),"= ambos",IF(AND(ISNUMBER($J396),$P396=$J396),"= GP",IF(AND(ISNUMBER($K396),$P396=$K396),"= LT","nenhuma das duas"))))</f>
        <v/>
      </c>
      <c r="S396" s="19" t="n"/>
      <c r="T396" s="19" t="n"/>
      <c r="U396" s="14">
        <f>IF($C396="","",COUNTIFS('Ocorrências'!$V$5:$V$604,$C396&amp;"|"&amp;$B396&amp;"|"&amp;$G396,'Ocorrências'!$X$5:$X$604,"Sim"))</f>
        <v/>
      </c>
      <c r="V396" s="14">
        <f>IF($P396="","",IF(OR($P396=1,$P396=2,$P396=5),IF($U396&gt;0,"OK","SEM LASTRO"),"OK"))</f>
        <v/>
      </c>
      <c r="W396" s="19" t="n"/>
      <c r="X396" s="18" t="n"/>
      <c r="Y396" s="14">
        <f>IF($C396="","",$C396&amp;"|"&amp;$B396)</f>
        <v/>
      </c>
      <c r="Z396" s="14">
        <f>IF($C396="","",$C396&amp;"|"&amp;$B396&amp;"|"&amp;$H396)</f>
        <v/>
      </c>
      <c r="AA396" s="14">
        <f>IF($C396="","",$C396&amp;"|"&amp;$B396&amp;"|"&amp;$G396)</f>
        <v/>
      </c>
    </row>
    <row r="397">
      <c r="A397" s="19" t="n"/>
      <c r="B397" s="14">
        <f>IF($A397="","",VALUE(LEFT($A397,4))*4+VALUE(RIGHT($A397,1)))</f>
        <v/>
      </c>
      <c r="C397" s="19" t="n"/>
      <c r="D397" s="14">
        <f>IFERROR(INDEX(Pessoas!$B$5:$B$64,MATCH($C397,Pessoas!$A$5:$A$64,0)),"")</f>
        <v/>
      </c>
      <c r="E397" s="19" t="n"/>
      <c r="F397" s="14">
        <f>IFERROR(INDEX(Pessoas!$D$5:$D$64,MATCH($C397,Pessoas!$A$5:$A$64,0)),"")</f>
        <v/>
      </c>
      <c r="G397" s="19" t="n"/>
      <c r="H397" s="14">
        <f>IFERROR(INDEX(Config!$B$40:$B$45,MATCH($G397,Config!$C$40:$C$45,0)),"")</f>
        <v/>
      </c>
      <c r="I397" s="14">
        <f>IFERROR(INDEX(Config!$D$40:$D$45,MATCH($G397,Config!$C$40:$C$45,0)),"")</f>
        <v/>
      </c>
      <c r="J397" s="19" t="n"/>
      <c r="K397" s="19" t="n"/>
      <c r="L397" s="19" t="n"/>
      <c r="M397" s="19" t="n"/>
      <c r="N397" s="14">
        <f>IF(AND(ISNUMBER($J397),ISNUMBER($K397)),ABS($J397-$K397),"")</f>
        <v/>
      </c>
      <c r="O397" s="14">
        <f>IF(AND(NOT(ISNUMBER($J397)),NOT(ISNUMBER($K397))),"",IF(NOT(ISNUMBER($K397)),$J397,IF(NOT(ISNUMBER($J397)),$K397,IF($N397=0,$J397,IF(AND($N397=1,$T397&lt;&gt;"Sim"),IF($I397="Líder Técnico",$K397,IF($I397="GP",$J397,"CALIBRAR")),"CALIBRAR")))))</f>
        <v/>
      </c>
      <c r="P397" s="19" t="n"/>
      <c r="Q397" s="19" t="n"/>
      <c r="R397" s="14">
        <f>IF($P397="","",IF(AND(ISNUMBER($J397),$P397=$J397,ISNUMBER($K397),$P397=$K397),"= ambos",IF(AND(ISNUMBER($J397),$P397=$J397),"= GP",IF(AND(ISNUMBER($K397),$P397=$K397),"= LT","nenhuma das duas"))))</f>
        <v/>
      </c>
      <c r="S397" s="19" t="n"/>
      <c r="T397" s="19" t="n"/>
      <c r="U397" s="14">
        <f>IF($C397="","",COUNTIFS('Ocorrências'!$V$5:$V$604,$C397&amp;"|"&amp;$B397&amp;"|"&amp;$G397,'Ocorrências'!$X$5:$X$604,"Sim"))</f>
        <v/>
      </c>
      <c r="V397" s="14">
        <f>IF($P397="","",IF(OR($P397=1,$P397=2,$P397=5),IF($U397&gt;0,"OK","SEM LASTRO"),"OK"))</f>
        <v/>
      </c>
      <c r="W397" s="19" t="n"/>
      <c r="X397" s="18" t="n"/>
      <c r="Y397" s="14">
        <f>IF($C397="","",$C397&amp;"|"&amp;$B397)</f>
        <v/>
      </c>
      <c r="Z397" s="14">
        <f>IF($C397="","",$C397&amp;"|"&amp;$B397&amp;"|"&amp;$H397)</f>
        <v/>
      </c>
      <c r="AA397" s="14">
        <f>IF($C397="","",$C397&amp;"|"&amp;$B397&amp;"|"&amp;$G397)</f>
        <v/>
      </c>
    </row>
    <row r="398">
      <c r="A398" s="19" t="n"/>
      <c r="B398" s="14">
        <f>IF($A398="","",VALUE(LEFT($A398,4))*4+VALUE(RIGHT($A398,1)))</f>
        <v/>
      </c>
      <c r="C398" s="19" t="n"/>
      <c r="D398" s="14">
        <f>IFERROR(INDEX(Pessoas!$B$5:$B$64,MATCH($C398,Pessoas!$A$5:$A$64,0)),"")</f>
        <v/>
      </c>
      <c r="E398" s="19" t="n"/>
      <c r="F398" s="14">
        <f>IFERROR(INDEX(Pessoas!$D$5:$D$64,MATCH($C398,Pessoas!$A$5:$A$64,0)),"")</f>
        <v/>
      </c>
      <c r="G398" s="19" t="n"/>
      <c r="H398" s="14">
        <f>IFERROR(INDEX(Config!$B$40:$B$45,MATCH($G398,Config!$C$40:$C$45,0)),"")</f>
        <v/>
      </c>
      <c r="I398" s="14">
        <f>IFERROR(INDEX(Config!$D$40:$D$45,MATCH($G398,Config!$C$40:$C$45,0)),"")</f>
        <v/>
      </c>
      <c r="J398" s="19" t="n"/>
      <c r="K398" s="19" t="n"/>
      <c r="L398" s="19" t="n"/>
      <c r="M398" s="19" t="n"/>
      <c r="N398" s="14">
        <f>IF(AND(ISNUMBER($J398),ISNUMBER($K398)),ABS($J398-$K398),"")</f>
        <v/>
      </c>
      <c r="O398" s="14">
        <f>IF(AND(NOT(ISNUMBER($J398)),NOT(ISNUMBER($K398))),"",IF(NOT(ISNUMBER($K398)),$J398,IF(NOT(ISNUMBER($J398)),$K398,IF($N398=0,$J398,IF(AND($N398=1,$T398&lt;&gt;"Sim"),IF($I398="Líder Técnico",$K398,IF($I398="GP",$J398,"CALIBRAR")),"CALIBRAR")))))</f>
        <v/>
      </c>
      <c r="P398" s="19" t="n"/>
      <c r="Q398" s="19" t="n"/>
      <c r="R398" s="14">
        <f>IF($P398="","",IF(AND(ISNUMBER($J398),$P398=$J398,ISNUMBER($K398),$P398=$K398),"= ambos",IF(AND(ISNUMBER($J398),$P398=$J398),"= GP",IF(AND(ISNUMBER($K398),$P398=$K398),"= LT","nenhuma das duas"))))</f>
        <v/>
      </c>
      <c r="S398" s="19" t="n"/>
      <c r="T398" s="19" t="n"/>
      <c r="U398" s="14">
        <f>IF($C398="","",COUNTIFS('Ocorrências'!$V$5:$V$604,$C398&amp;"|"&amp;$B398&amp;"|"&amp;$G398,'Ocorrências'!$X$5:$X$604,"Sim"))</f>
        <v/>
      </c>
      <c r="V398" s="14">
        <f>IF($P398="","",IF(OR($P398=1,$P398=2,$P398=5),IF($U398&gt;0,"OK","SEM LASTRO"),"OK"))</f>
        <v/>
      </c>
      <c r="W398" s="19" t="n"/>
      <c r="X398" s="18" t="n"/>
      <c r="Y398" s="14">
        <f>IF($C398="","",$C398&amp;"|"&amp;$B398)</f>
        <v/>
      </c>
      <c r="Z398" s="14">
        <f>IF($C398="","",$C398&amp;"|"&amp;$B398&amp;"|"&amp;$H398)</f>
        <v/>
      </c>
      <c r="AA398" s="14">
        <f>IF($C398="","",$C398&amp;"|"&amp;$B398&amp;"|"&amp;$G398)</f>
        <v/>
      </c>
    </row>
    <row r="399">
      <c r="A399" s="19" t="n"/>
      <c r="B399" s="14">
        <f>IF($A399="","",VALUE(LEFT($A399,4))*4+VALUE(RIGHT($A399,1)))</f>
        <v/>
      </c>
      <c r="C399" s="19" t="n"/>
      <c r="D399" s="14">
        <f>IFERROR(INDEX(Pessoas!$B$5:$B$64,MATCH($C399,Pessoas!$A$5:$A$64,0)),"")</f>
        <v/>
      </c>
      <c r="E399" s="19" t="n"/>
      <c r="F399" s="14">
        <f>IFERROR(INDEX(Pessoas!$D$5:$D$64,MATCH($C399,Pessoas!$A$5:$A$64,0)),"")</f>
        <v/>
      </c>
      <c r="G399" s="19" t="n"/>
      <c r="H399" s="14">
        <f>IFERROR(INDEX(Config!$B$40:$B$45,MATCH($G399,Config!$C$40:$C$45,0)),"")</f>
        <v/>
      </c>
      <c r="I399" s="14">
        <f>IFERROR(INDEX(Config!$D$40:$D$45,MATCH($G399,Config!$C$40:$C$45,0)),"")</f>
        <v/>
      </c>
      <c r="J399" s="19" t="n"/>
      <c r="K399" s="19" t="n"/>
      <c r="L399" s="19" t="n"/>
      <c r="M399" s="19" t="n"/>
      <c r="N399" s="14">
        <f>IF(AND(ISNUMBER($J399),ISNUMBER($K399)),ABS($J399-$K399),"")</f>
        <v/>
      </c>
      <c r="O399" s="14">
        <f>IF(AND(NOT(ISNUMBER($J399)),NOT(ISNUMBER($K399))),"",IF(NOT(ISNUMBER($K399)),$J399,IF(NOT(ISNUMBER($J399)),$K399,IF($N399=0,$J399,IF(AND($N399=1,$T399&lt;&gt;"Sim"),IF($I399="Líder Técnico",$K399,IF($I399="GP",$J399,"CALIBRAR")),"CALIBRAR")))))</f>
        <v/>
      </c>
      <c r="P399" s="19" t="n"/>
      <c r="Q399" s="19" t="n"/>
      <c r="R399" s="14">
        <f>IF($P399="","",IF(AND(ISNUMBER($J399),$P399=$J399,ISNUMBER($K399),$P399=$K399),"= ambos",IF(AND(ISNUMBER($J399),$P399=$J399),"= GP",IF(AND(ISNUMBER($K399),$P399=$K399),"= LT","nenhuma das duas"))))</f>
        <v/>
      </c>
      <c r="S399" s="19" t="n"/>
      <c r="T399" s="19" t="n"/>
      <c r="U399" s="14">
        <f>IF($C399="","",COUNTIFS('Ocorrências'!$V$5:$V$604,$C399&amp;"|"&amp;$B399&amp;"|"&amp;$G399,'Ocorrências'!$X$5:$X$604,"Sim"))</f>
        <v/>
      </c>
      <c r="V399" s="14">
        <f>IF($P399="","",IF(OR($P399=1,$P399=2,$P399=5),IF($U399&gt;0,"OK","SEM LASTRO"),"OK"))</f>
        <v/>
      </c>
      <c r="W399" s="19" t="n"/>
      <c r="X399" s="18" t="n"/>
      <c r="Y399" s="14">
        <f>IF($C399="","",$C399&amp;"|"&amp;$B399)</f>
        <v/>
      </c>
      <c r="Z399" s="14">
        <f>IF($C399="","",$C399&amp;"|"&amp;$B399&amp;"|"&amp;$H399)</f>
        <v/>
      </c>
      <c r="AA399" s="14">
        <f>IF($C399="","",$C399&amp;"|"&amp;$B399&amp;"|"&amp;$G399)</f>
        <v/>
      </c>
    </row>
    <row r="400">
      <c r="A400" s="19" t="n"/>
      <c r="B400" s="14">
        <f>IF($A400="","",VALUE(LEFT($A400,4))*4+VALUE(RIGHT($A400,1)))</f>
        <v/>
      </c>
      <c r="C400" s="19" t="n"/>
      <c r="D400" s="14">
        <f>IFERROR(INDEX(Pessoas!$B$5:$B$64,MATCH($C400,Pessoas!$A$5:$A$64,0)),"")</f>
        <v/>
      </c>
      <c r="E400" s="19" t="n"/>
      <c r="F400" s="14">
        <f>IFERROR(INDEX(Pessoas!$D$5:$D$64,MATCH($C400,Pessoas!$A$5:$A$64,0)),"")</f>
        <v/>
      </c>
      <c r="G400" s="19" t="n"/>
      <c r="H400" s="14">
        <f>IFERROR(INDEX(Config!$B$40:$B$45,MATCH($G400,Config!$C$40:$C$45,0)),"")</f>
        <v/>
      </c>
      <c r="I400" s="14">
        <f>IFERROR(INDEX(Config!$D$40:$D$45,MATCH($G400,Config!$C$40:$C$45,0)),"")</f>
        <v/>
      </c>
      <c r="J400" s="19" t="n"/>
      <c r="K400" s="19" t="n"/>
      <c r="L400" s="19" t="n"/>
      <c r="M400" s="19" t="n"/>
      <c r="N400" s="14">
        <f>IF(AND(ISNUMBER($J400),ISNUMBER($K400)),ABS($J400-$K400),"")</f>
        <v/>
      </c>
      <c r="O400" s="14">
        <f>IF(AND(NOT(ISNUMBER($J400)),NOT(ISNUMBER($K400))),"",IF(NOT(ISNUMBER($K400)),$J400,IF(NOT(ISNUMBER($J400)),$K400,IF($N400=0,$J400,IF(AND($N400=1,$T400&lt;&gt;"Sim"),IF($I400="Líder Técnico",$K400,IF($I400="GP",$J400,"CALIBRAR")),"CALIBRAR")))))</f>
        <v/>
      </c>
      <c r="P400" s="19" t="n"/>
      <c r="Q400" s="19" t="n"/>
      <c r="R400" s="14">
        <f>IF($P400="","",IF(AND(ISNUMBER($J400),$P400=$J400,ISNUMBER($K400),$P400=$K400),"= ambos",IF(AND(ISNUMBER($J400),$P400=$J400),"= GP",IF(AND(ISNUMBER($K400),$P400=$K400),"= LT","nenhuma das duas"))))</f>
        <v/>
      </c>
      <c r="S400" s="19" t="n"/>
      <c r="T400" s="19" t="n"/>
      <c r="U400" s="14">
        <f>IF($C400="","",COUNTIFS('Ocorrências'!$V$5:$V$604,$C400&amp;"|"&amp;$B400&amp;"|"&amp;$G400,'Ocorrências'!$X$5:$X$604,"Sim"))</f>
        <v/>
      </c>
      <c r="V400" s="14">
        <f>IF($P400="","",IF(OR($P400=1,$P400=2,$P400=5),IF($U400&gt;0,"OK","SEM LASTRO"),"OK"))</f>
        <v/>
      </c>
      <c r="W400" s="19" t="n"/>
      <c r="X400" s="18" t="n"/>
      <c r="Y400" s="14">
        <f>IF($C400="","",$C400&amp;"|"&amp;$B400)</f>
        <v/>
      </c>
      <c r="Z400" s="14">
        <f>IF($C400="","",$C400&amp;"|"&amp;$B400&amp;"|"&amp;$H400)</f>
        <v/>
      </c>
      <c r="AA400" s="14">
        <f>IF($C400="","",$C400&amp;"|"&amp;$B400&amp;"|"&amp;$G400)</f>
        <v/>
      </c>
    </row>
    <row r="401">
      <c r="A401" s="19" t="n"/>
      <c r="B401" s="14">
        <f>IF($A401="","",VALUE(LEFT($A401,4))*4+VALUE(RIGHT($A401,1)))</f>
        <v/>
      </c>
      <c r="C401" s="19" t="n"/>
      <c r="D401" s="14">
        <f>IFERROR(INDEX(Pessoas!$B$5:$B$64,MATCH($C401,Pessoas!$A$5:$A$64,0)),"")</f>
        <v/>
      </c>
      <c r="E401" s="19" t="n"/>
      <c r="F401" s="14">
        <f>IFERROR(INDEX(Pessoas!$D$5:$D$64,MATCH($C401,Pessoas!$A$5:$A$64,0)),"")</f>
        <v/>
      </c>
      <c r="G401" s="19" t="n"/>
      <c r="H401" s="14">
        <f>IFERROR(INDEX(Config!$B$40:$B$45,MATCH($G401,Config!$C$40:$C$45,0)),"")</f>
        <v/>
      </c>
      <c r="I401" s="14">
        <f>IFERROR(INDEX(Config!$D$40:$D$45,MATCH($G401,Config!$C$40:$C$45,0)),"")</f>
        <v/>
      </c>
      <c r="J401" s="19" t="n"/>
      <c r="K401" s="19" t="n"/>
      <c r="L401" s="19" t="n"/>
      <c r="M401" s="19" t="n"/>
      <c r="N401" s="14">
        <f>IF(AND(ISNUMBER($J401),ISNUMBER($K401)),ABS($J401-$K401),"")</f>
        <v/>
      </c>
      <c r="O401" s="14">
        <f>IF(AND(NOT(ISNUMBER($J401)),NOT(ISNUMBER($K401))),"",IF(NOT(ISNUMBER($K401)),$J401,IF(NOT(ISNUMBER($J401)),$K401,IF($N401=0,$J401,IF(AND($N401=1,$T401&lt;&gt;"Sim"),IF($I401="Líder Técnico",$K401,IF($I401="GP",$J401,"CALIBRAR")),"CALIBRAR")))))</f>
        <v/>
      </c>
      <c r="P401" s="19" t="n"/>
      <c r="Q401" s="19" t="n"/>
      <c r="R401" s="14">
        <f>IF($P401="","",IF(AND(ISNUMBER($J401),$P401=$J401,ISNUMBER($K401),$P401=$K401),"= ambos",IF(AND(ISNUMBER($J401),$P401=$J401),"= GP",IF(AND(ISNUMBER($K401),$P401=$K401),"= LT","nenhuma das duas"))))</f>
        <v/>
      </c>
      <c r="S401" s="19" t="n"/>
      <c r="T401" s="19" t="n"/>
      <c r="U401" s="14">
        <f>IF($C401="","",COUNTIFS('Ocorrências'!$V$5:$V$604,$C401&amp;"|"&amp;$B401&amp;"|"&amp;$G401,'Ocorrências'!$X$5:$X$604,"Sim"))</f>
        <v/>
      </c>
      <c r="V401" s="14">
        <f>IF($P401="","",IF(OR($P401=1,$P401=2,$P401=5),IF($U401&gt;0,"OK","SEM LASTRO"),"OK"))</f>
        <v/>
      </c>
      <c r="W401" s="19" t="n"/>
      <c r="X401" s="18" t="n"/>
      <c r="Y401" s="14">
        <f>IF($C401="","",$C401&amp;"|"&amp;$B401)</f>
        <v/>
      </c>
      <c r="Z401" s="14">
        <f>IF($C401="","",$C401&amp;"|"&amp;$B401&amp;"|"&amp;$H401)</f>
        <v/>
      </c>
      <c r="AA401" s="14">
        <f>IF($C401="","",$C401&amp;"|"&amp;$B401&amp;"|"&amp;$G401)</f>
        <v/>
      </c>
    </row>
    <row r="402">
      <c r="A402" s="19" t="n"/>
      <c r="B402" s="14">
        <f>IF($A402="","",VALUE(LEFT($A402,4))*4+VALUE(RIGHT($A402,1)))</f>
        <v/>
      </c>
      <c r="C402" s="19" t="n"/>
      <c r="D402" s="14">
        <f>IFERROR(INDEX(Pessoas!$B$5:$B$64,MATCH($C402,Pessoas!$A$5:$A$64,0)),"")</f>
        <v/>
      </c>
      <c r="E402" s="19" t="n"/>
      <c r="F402" s="14">
        <f>IFERROR(INDEX(Pessoas!$D$5:$D$64,MATCH($C402,Pessoas!$A$5:$A$64,0)),"")</f>
        <v/>
      </c>
      <c r="G402" s="19" t="n"/>
      <c r="H402" s="14">
        <f>IFERROR(INDEX(Config!$B$40:$B$45,MATCH($G402,Config!$C$40:$C$45,0)),"")</f>
        <v/>
      </c>
      <c r="I402" s="14">
        <f>IFERROR(INDEX(Config!$D$40:$D$45,MATCH($G402,Config!$C$40:$C$45,0)),"")</f>
        <v/>
      </c>
      <c r="J402" s="19" t="n"/>
      <c r="K402" s="19" t="n"/>
      <c r="L402" s="19" t="n"/>
      <c r="M402" s="19" t="n"/>
      <c r="N402" s="14">
        <f>IF(AND(ISNUMBER($J402),ISNUMBER($K402)),ABS($J402-$K402),"")</f>
        <v/>
      </c>
      <c r="O402" s="14">
        <f>IF(AND(NOT(ISNUMBER($J402)),NOT(ISNUMBER($K402))),"",IF(NOT(ISNUMBER($K402)),$J402,IF(NOT(ISNUMBER($J402)),$K402,IF($N402=0,$J402,IF(AND($N402=1,$T402&lt;&gt;"Sim"),IF($I402="Líder Técnico",$K402,IF($I402="GP",$J402,"CALIBRAR")),"CALIBRAR")))))</f>
        <v/>
      </c>
      <c r="P402" s="19" t="n"/>
      <c r="Q402" s="19" t="n"/>
      <c r="R402" s="14">
        <f>IF($P402="","",IF(AND(ISNUMBER($J402),$P402=$J402,ISNUMBER($K402),$P402=$K402),"= ambos",IF(AND(ISNUMBER($J402),$P402=$J402),"= GP",IF(AND(ISNUMBER($K402),$P402=$K402),"= LT","nenhuma das duas"))))</f>
        <v/>
      </c>
      <c r="S402" s="19" t="n"/>
      <c r="T402" s="19" t="n"/>
      <c r="U402" s="14">
        <f>IF($C402="","",COUNTIFS('Ocorrências'!$V$5:$V$604,$C402&amp;"|"&amp;$B402&amp;"|"&amp;$G402,'Ocorrências'!$X$5:$X$604,"Sim"))</f>
        <v/>
      </c>
      <c r="V402" s="14">
        <f>IF($P402="","",IF(OR($P402=1,$P402=2,$P402=5),IF($U402&gt;0,"OK","SEM LASTRO"),"OK"))</f>
        <v/>
      </c>
      <c r="W402" s="19" t="n"/>
      <c r="X402" s="18" t="n"/>
      <c r="Y402" s="14">
        <f>IF($C402="","",$C402&amp;"|"&amp;$B402)</f>
        <v/>
      </c>
      <c r="Z402" s="14">
        <f>IF($C402="","",$C402&amp;"|"&amp;$B402&amp;"|"&amp;$H402)</f>
        <v/>
      </c>
      <c r="AA402" s="14">
        <f>IF($C402="","",$C402&amp;"|"&amp;$B402&amp;"|"&amp;$G402)</f>
        <v/>
      </c>
    </row>
    <row r="403">
      <c r="A403" s="19" t="n"/>
      <c r="B403" s="14">
        <f>IF($A403="","",VALUE(LEFT($A403,4))*4+VALUE(RIGHT($A403,1)))</f>
        <v/>
      </c>
      <c r="C403" s="19" t="n"/>
      <c r="D403" s="14">
        <f>IFERROR(INDEX(Pessoas!$B$5:$B$64,MATCH($C403,Pessoas!$A$5:$A$64,0)),"")</f>
        <v/>
      </c>
      <c r="E403" s="19" t="n"/>
      <c r="F403" s="14">
        <f>IFERROR(INDEX(Pessoas!$D$5:$D$64,MATCH($C403,Pessoas!$A$5:$A$64,0)),"")</f>
        <v/>
      </c>
      <c r="G403" s="19" t="n"/>
      <c r="H403" s="14">
        <f>IFERROR(INDEX(Config!$B$40:$B$45,MATCH($G403,Config!$C$40:$C$45,0)),"")</f>
        <v/>
      </c>
      <c r="I403" s="14">
        <f>IFERROR(INDEX(Config!$D$40:$D$45,MATCH($G403,Config!$C$40:$C$45,0)),"")</f>
        <v/>
      </c>
      <c r="J403" s="19" t="n"/>
      <c r="K403" s="19" t="n"/>
      <c r="L403" s="19" t="n"/>
      <c r="M403" s="19" t="n"/>
      <c r="N403" s="14">
        <f>IF(AND(ISNUMBER($J403),ISNUMBER($K403)),ABS($J403-$K403),"")</f>
        <v/>
      </c>
      <c r="O403" s="14">
        <f>IF(AND(NOT(ISNUMBER($J403)),NOT(ISNUMBER($K403))),"",IF(NOT(ISNUMBER($K403)),$J403,IF(NOT(ISNUMBER($J403)),$K403,IF($N403=0,$J403,IF(AND($N403=1,$T403&lt;&gt;"Sim"),IF($I403="Líder Técnico",$K403,IF($I403="GP",$J403,"CALIBRAR")),"CALIBRAR")))))</f>
        <v/>
      </c>
      <c r="P403" s="19" t="n"/>
      <c r="Q403" s="19" t="n"/>
      <c r="R403" s="14">
        <f>IF($P403="","",IF(AND(ISNUMBER($J403),$P403=$J403,ISNUMBER($K403),$P403=$K403),"= ambos",IF(AND(ISNUMBER($J403),$P403=$J403),"= GP",IF(AND(ISNUMBER($K403),$P403=$K403),"= LT","nenhuma das duas"))))</f>
        <v/>
      </c>
      <c r="S403" s="19" t="n"/>
      <c r="T403" s="19" t="n"/>
      <c r="U403" s="14">
        <f>IF($C403="","",COUNTIFS('Ocorrências'!$V$5:$V$604,$C403&amp;"|"&amp;$B403&amp;"|"&amp;$G403,'Ocorrências'!$X$5:$X$604,"Sim"))</f>
        <v/>
      </c>
      <c r="V403" s="14">
        <f>IF($P403="","",IF(OR($P403=1,$P403=2,$P403=5),IF($U403&gt;0,"OK","SEM LASTRO"),"OK"))</f>
        <v/>
      </c>
      <c r="W403" s="19" t="n"/>
      <c r="X403" s="18" t="n"/>
      <c r="Y403" s="14">
        <f>IF($C403="","",$C403&amp;"|"&amp;$B403)</f>
        <v/>
      </c>
      <c r="Z403" s="14">
        <f>IF($C403="","",$C403&amp;"|"&amp;$B403&amp;"|"&amp;$H403)</f>
        <v/>
      </c>
      <c r="AA403" s="14">
        <f>IF($C403="","",$C403&amp;"|"&amp;$B403&amp;"|"&amp;$G403)</f>
        <v/>
      </c>
    </row>
    <row r="404">
      <c r="A404" s="19" t="n"/>
      <c r="B404" s="14">
        <f>IF($A404="","",VALUE(LEFT($A404,4))*4+VALUE(RIGHT($A404,1)))</f>
        <v/>
      </c>
      <c r="C404" s="19" t="n"/>
      <c r="D404" s="14">
        <f>IFERROR(INDEX(Pessoas!$B$5:$B$64,MATCH($C404,Pessoas!$A$5:$A$64,0)),"")</f>
        <v/>
      </c>
      <c r="E404" s="19" t="n"/>
      <c r="F404" s="14">
        <f>IFERROR(INDEX(Pessoas!$D$5:$D$64,MATCH($C404,Pessoas!$A$5:$A$64,0)),"")</f>
        <v/>
      </c>
      <c r="G404" s="19" t="n"/>
      <c r="H404" s="14">
        <f>IFERROR(INDEX(Config!$B$40:$B$45,MATCH($G404,Config!$C$40:$C$45,0)),"")</f>
        <v/>
      </c>
      <c r="I404" s="14">
        <f>IFERROR(INDEX(Config!$D$40:$D$45,MATCH($G404,Config!$C$40:$C$45,0)),"")</f>
        <v/>
      </c>
      <c r="J404" s="19" t="n"/>
      <c r="K404" s="19" t="n"/>
      <c r="L404" s="19" t="n"/>
      <c r="M404" s="19" t="n"/>
      <c r="N404" s="14">
        <f>IF(AND(ISNUMBER($J404),ISNUMBER($K404)),ABS($J404-$K404),"")</f>
        <v/>
      </c>
      <c r="O404" s="14">
        <f>IF(AND(NOT(ISNUMBER($J404)),NOT(ISNUMBER($K404))),"",IF(NOT(ISNUMBER($K404)),$J404,IF(NOT(ISNUMBER($J404)),$K404,IF($N404=0,$J404,IF(AND($N404=1,$T404&lt;&gt;"Sim"),IF($I404="Líder Técnico",$K404,IF($I404="GP",$J404,"CALIBRAR")),"CALIBRAR")))))</f>
        <v/>
      </c>
      <c r="P404" s="19" t="n"/>
      <c r="Q404" s="19" t="n"/>
      <c r="R404" s="14">
        <f>IF($P404="","",IF(AND(ISNUMBER($J404),$P404=$J404,ISNUMBER($K404),$P404=$K404),"= ambos",IF(AND(ISNUMBER($J404),$P404=$J404),"= GP",IF(AND(ISNUMBER($K404),$P404=$K404),"= LT","nenhuma das duas"))))</f>
        <v/>
      </c>
      <c r="S404" s="19" t="n"/>
      <c r="T404" s="19" t="n"/>
      <c r="U404" s="14">
        <f>IF($C404="","",COUNTIFS('Ocorrências'!$V$5:$V$604,$C404&amp;"|"&amp;$B404&amp;"|"&amp;$G404,'Ocorrências'!$X$5:$X$604,"Sim"))</f>
        <v/>
      </c>
      <c r="V404" s="14">
        <f>IF($P404="","",IF(OR($P404=1,$P404=2,$P404=5),IF($U404&gt;0,"OK","SEM LASTRO"),"OK"))</f>
        <v/>
      </c>
      <c r="W404" s="19" t="n"/>
      <c r="X404" s="18" t="n"/>
      <c r="Y404" s="14">
        <f>IF($C404="","",$C404&amp;"|"&amp;$B404)</f>
        <v/>
      </c>
      <c r="Z404" s="14">
        <f>IF($C404="","",$C404&amp;"|"&amp;$B404&amp;"|"&amp;$H404)</f>
        <v/>
      </c>
      <c r="AA404" s="14">
        <f>IF($C404="","",$C404&amp;"|"&amp;$B404&amp;"|"&amp;$G404)</f>
        <v/>
      </c>
    </row>
  </sheetData>
  <autoFilter ref="A4:AA404"/>
  <conditionalFormatting sqref="V5:V404">
    <cfRule type="cellIs" priority="1" operator="equal" dxfId="5">
      <formula>"SEM LASTRO"</formula>
    </cfRule>
  </conditionalFormatting>
  <conditionalFormatting sqref="N5:O404">
    <cfRule type="expression" priority="2" dxfId="0">
      <formula>$N5&gt;=2</formula>
    </cfRule>
  </conditionalFormatting>
  <conditionalFormatting sqref="S5:S404">
    <cfRule type="expression" priority="3" dxfId="1">
      <formula>AND($N5&gt;=1,$S5="")</formula>
    </cfRule>
  </conditionalFormatting>
  <conditionalFormatting sqref="L5:M404">
    <cfRule type="cellIs" priority="4" operator="equal" dxfId="0">
      <formula>"Insuficiente"</formula>
    </cfRule>
  </conditionalFormatting>
  <dataValidations count="8">
    <dataValidation sqref="A5:A404" showDropDown="0" showInputMessage="0" showErrorMessage="0" allowBlank="1" type="list">
      <formula1>=Config!$Z$13:$Z$18</formula1>
    </dataValidation>
    <dataValidation sqref="G5:G404" showDropDown="0" showInputMessage="0" showErrorMessage="0" allowBlank="1" type="list">
      <formula1>=Config!$Y$13:$Y$18</formula1>
    </dataValidation>
    <dataValidation sqref="J5:J404" showDropDown="0" showInputMessage="0" showErrorMessage="0" allowBlank="1" type="list">
      <formula1>=Config!$X$13:$X$18</formula1>
    </dataValidation>
    <dataValidation sqref="K5:K404" showDropDown="0" showInputMessage="0" showErrorMessage="0" allowBlank="1" type="list">
      <formula1>=Config!$X$13:$X$18</formula1>
    </dataValidation>
    <dataValidation sqref="L5:L404" showDropDown="0" showInputMessage="0" showErrorMessage="0" allowBlank="1" type="list">
      <formula1>=Config!$T$13:$T$16</formula1>
    </dataValidation>
    <dataValidation sqref="M5:M404" showDropDown="0" showInputMessage="0" showErrorMessage="0" allowBlank="1" type="list">
      <formula1>=Config!$T$13:$T$16</formula1>
    </dataValidation>
    <dataValidation sqref="P5:P404" showDropDown="0" showInputMessage="0" showErrorMessage="0" allowBlank="1" type="list">
      <formula1>=Config!$X$13:$X$18</formula1>
    </dataValidation>
    <dataValidation sqref="T5:T404" showDropDown="0" showInputMessage="0" showErrorMessage="0" allowBlank="1" type="list">
      <formula1>=Config!$R$13:$R$15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1" customWidth="1" min="4" max="4"/>
    <col width="46" customWidth="1" min="5" max="5"/>
    <col width="34" customWidth="1" min="6" max="6"/>
    <col width="13" customWidth="1" min="7" max="7"/>
  </cols>
  <sheetData>
    <row r="1" ht="22" customHeight="1">
      <c r="A1" s="1" t="inlineStr">
        <is>
          <t>Pauta de 1:1 — imprima e leve na conversa</t>
        </is>
      </c>
    </row>
    <row r="2">
      <c r="A2" s="2" t="inlineStr">
        <is>
          <t>Escolha a pessoa em B4. A folha monta sozinha. Reconhecimentos vêm primeiro, de propósito.</t>
        </is>
      </c>
    </row>
    <row r="3"/>
    <row r="4">
      <c r="A4" s="21" t="inlineStr">
        <is>
          <t>Pessoa</t>
        </is>
      </c>
      <c r="B4" s="22" t="inlineStr">
        <is>
          <t>Ana Ribeiro</t>
        </is>
      </c>
      <c r="C4" s="23">
        <f>IFERROR(INDEX(Pessoas!$A$5:$A$64,MATCH($B$4,Pessoas!$B$5:$B$64,0)),"")</f>
        <v/>
      </c>
      <c r="D4" s="2">
        <f>IFERROR(INDEX(Pessoas!$D$5:$D$64,MATCH($B$4,Pessoas!$B$5:$B$64,0))&amp;"  ·  "&amp;INDEX(Pessoas!$L$5:$L$64,MATCH($B$4,Pessoas!$B$5:$B$64,0))&amp;"  ·  "&amp;INDEX(Pessoas!$N$5:$N$64,MATCH($B$4,Pessoas!$B$5:$B$64,0))&amp;" meses no nível","")</f>
        <v/>
      </c>
    </row>
    <row r="5">
      <c r="A5" s="21" t="inlineStr">
        <is>
          <t>Ciclo</t>
        </is>
      </c>
      <c r="B5" s="24">
        <f>Config!$B$4</f>
        <v/>
      </c>
      <c r="D5" s="25">
        <f>IFERROR("Nota ponderada "&amp;TEXT(INDEX('Painel'!$J$7:$J$64,MATCH($B$4,'Painel'!$B$7:$B$64,0)),"0.00")&amp;"   ·   expectativa "&amp;TEXT(INDEX('Painel'!$K$7:$K$64,MATCH($B$4,'Painel'!$B$7:$B$64,0)),"0.0")&amp;"   ·   gap "&amp;TEXT(INDEX('Painel'!$L$7:$L$64,MATCH($B$4,'Painel'!$B$7:$B$64,0)),"+0.00;-0.00")&amp;"   ·   "&amp;INDEX('Painel'!$M$7:$M$64,MATCH($B$4,'Painel'!$B$7:$B$64,0)),"Sem avaliação neste ciclo")</f>
        <v/>
      </c>
    </row>
    <row r="6"/>
    <row r="7">
      <c r="A7" s="3" t="inlineStr">
        <is>
          <t>1.  COMPETÊNCIAS — a conversa é sobre a distância até a expectativa, não sobre a nota</t>
        </is>
      </c>
      <c r="B7" s="4" t="n"/>
      <c r="C7" s="4" t="n"/>
      <c r="D7" s="4" t="n"/>
      <c r="E7" s="4" t="n"/>
      <c r="F7" s="4" t="n"/>
      <c r="G7" s="4" t="n"/>
    </row>
    <row r="8" ht="32" customHeight="1">
      <c r="A8" s="12" t="inlineStr">
        <is>
          <t>Competência</t>
        </is>
      </c>
      <c r="B8" s="12" t="inlineStr">
        <is>
          <t>GP</t>
        </is>
      </c>
      <c r="C8" s="12" t="inlineStr">
        <is>
          <t>LT</t>
        </is>
      </c>
      <c r="D8" s="12" t="inlineStr">
        <is>
          <t>Final</t>
        </is>
      </c>
      <c r="E8" s="12" t="inlineStr">
        <is>
          <t>Onde ela está hoje (âncora do nível)</t>
        </is>
      </c>
      <c r="F8" s="12" t="inlineStr">
        <is>
          <t>O que falta para o próximo nível</t>
        </is>
      </c>
      <c r="G8" s="12" t="inlineStr">
        <is>
          <t>Gap</t>
        </is>
      </c>
    </row>
    <row r="9" ht="44" customHeight="1">
      <c r="A9" s="14" t="inlineStr">
        <is>
          <t>Previsibilidade</t>
        </is>
      </c>
      <c r="B9" s="26">
        <f>IF(COUNTIFS('Avaliação'!$AA$5:$AA$404,$C$4&amp;"|"&amp;Config!$B$7&amp;"|"&amp;$A9,'Avaliação'!$J$5:$J$404,"&gt;0")=0,"",SUMIFS('Avaliação'!$J$5:$J$404,'Avaliação'!$AA$5:$AA$404,$C$4&amp;"|"&amp;Config!$B$7&amp;"|"&amp;$A9))</f>
        <v/>
      </c>
      <c r="C9" s="26">
        <f>IF(COUNTIFS('Avaliação'!$AA$5:$AA$404,$C$4&amp;"|"&amp;Config!$B$7&amp;"|"&amp;$A9,'Avaliação'!$K$5:$K$404,"&gt;0")=0,"",SUMIFS('Avaliação'!$K$5:$K$404,'Avaliação'!$AA$5:$AA$404,$C$4&amp;"|"&amp;Config!$B$7&amp;"|"&amp;$A9))</f>
        <v/>
      </c>
      <c r="D9" s="26">
        <f>IF(COUNTIFS('Avaliação'!$AA$5:$AA$404,$C$4&amp;"|"&amp;Config!$B$7&amp;"|"&amp;$A9,'Avaliação'!$P$5:$P$404,"&gt;0")=0,"",SUMIFS('Avaliação'!$P$5:$P$404,'Avaliação'!$AA$5:$AA$404,$C$4&amp;"|"&amp;Config!$B$7&amp;"|"&amp;$A9))</f>
        <v/>
      </c>
      <c r="E9" s="14">
        <f>IFERROR(INDEX(Config!$E$40:$I$45,MATCH($A9,Config!$C$40:$C$45,0),$D9),"")</f>
        <v/>
      </c>
      <c r="F9" s="14">
        <f>IFERROR(IF($D9&gt;=5,"Já é referência nesta competência.",INDEX(Config!$E$40:$I$45,MATCH($A9,Config!$C$40:$C$45,0),$D9+1)),"")</f>
        <v/>
      </c>
      <c r="G9" s="26">
        <f>IFERROR(IF($D9="","",$D9-INDEX('Painel'!$K$7:$K$64,MATCH($B$4,'Painel'!$B$7:$B$64,0))),"")</f>
        <v/>
      </c>
    </row>
    <row r="10" ht="44" customHeight="1">
      <c r="A10" s="14" t="inlineStr">
        <is>
          <t>Qualidade da entrega</t>
        </is>
      </c>
      <c r="B10" s="26">
        <f>IF(COUNTIFS('Avaliação'!$AA$5:$AA$404,$C$4&amp;"|"&amp;Config!$B$7&amp;"|"&amp;$A10,'Avaliação'!$J$5:$J$404,"&gt;0")=0,"",SUMIFS('Avaliação'!$J$5:$J$404,'Avaliação'!$AA$5:$AA$404,$C$4&amp;"|"&amp;Config!$B$7&amp;"|"&amp;$A10))</f>
        <v/>
      </c>
      <c r="C10" s="26">
        <f>IF(COUNTIFS('Avaliação'!$AA$5:$AA$404,$C$4&amp;"|"&amp;Config!$B$7&amp;"|"&amp;$A10,'Avaliação'!$K$5:$K$404,"&gt;0")=0,"",SUMIFS('Avaliação'!$K$5:$K$404,'Avaliação'!$AA$5:$AA$404,$C$4&amp;"|"&amp;Config!$B$7&amp;"|"&amp;$A10))</f>
        <v/>
      </c>
      <c r="D10" s="26">
        <f>IF(COUNTIFS('Avaliação'!$AA$5:$AA$404,$C$4&amp;"|"&amp;Config!$B$7&amp;"|"&amp;$A10,'Avaliação'!$P$5:$P$404,"&gt;0")=0,"",SUMIFS('Avaliação'!$P$5:$P$404,'Avaliação'!$AA$5:$AA$404,$C$4&amp;"|"&amp;Config!$B$7&amp;"|"&amp;$A10))</f>
        <v/>
      </c>
      <c r="E10" s="14">
        <f>IFERROR(INDEX(Config!$E$40:$I$45,MATCH($A10,Config!$C$40:$C$45,0),$D10),"")</f>
        <v/>
      </c>
      <c r="F10" s="14">
        <f>IFERROR(IF($D10&gt;=5,"Já é referência nesta competência.",INDEX(Config!$E$40:$I$45,MATCH($A10,Config!$C$40:$C$45,0),$D10+1)),"")</f>
        <v/>
      </c>
      <c r="G10" s="26">
        <f>IFERROR(IF($D10="","",$D10-INDEX('Painel'!$K$7:$K$64,MATCH($B$4,'Painel'!$B$7:$B$64,0))),"")</f>
        <v/>
      </c>
    </row>
    <row r="11" ht="44" customHeight="1">
      <c r="A11" s="14" t="inlineStr">
        <is>
          <t>Domínio técnico</t>
        </is>
      </c>
      <c r="B11" s="26">
        <f>IF(COUNTIFS('Avaliação'!$AA$5:$AA$404,$C$4&amp;"|"&amp;Config!$B$7&amp;"|"&amp;$A11,'Avaliação'!$J$5:$J$404,"&gt;0")=0,"",SUMIFS('Avaliação'!$J$5:$J$404,'Avaliação'!$AA$5:$AA$404,$C$4&amp;"|"&amp;Config!$B$7&amp;"|"&amp;$A11))</f>
        <v/>
      </c>
      <c r="C11" s="26">
        <f>IF(COUNTIFS('Avaliação'!$AA$5:$AA$404,$C$4&amp;"|"&amp;Config!$B$7&amp;"|"&amp;$A11,'Avaliação'!$K$5:$K$404,"&gt;0")=0,"",SUMIFS('Avaliação'!$K$5:$K$404,'Avaliação'!$AA$5:$AA$404,$C$4&amp;"|"&amp;Config!$B$7&amp;"|"&amp;$A11))</f>
        <v/>
      </c>
      <c r="D11" s="26">
        <f>IF(COUNTIFS('Avaliação'!$AA$5:$AA$404,$C$4&amp;"|"&amp;Config!$B$7&amp;"|"&amp;$A11,'Avaliação'!$P$5:$P$404,"&gt;0")=0,"",SUMIFS('Avaliação'!$P$5:$P$404,'Avaliação'!$AA$5:$AA$404,$C$4&amp;"|"&amp;Config!$B$7&amp;"|"&amp;$A11))</f>
        <v/>
      </c>
      <c r="E11" s="14">
        <f>IFERROR(INDEX(Config!$E$40:$I$45,MATCH($A11,Config!$C$40:$C$45,0),$D11),"")</f>
        <v/>
      </c>
      <c r="F11" s="14">
        <f>IFERROR(IF($D11&gt;=5,"Já é referência nesta competência.",INDEX(Config!$E$40:$I$45,MATCH($A11,Config!$C$40:$C$45,0),$D11+1)),"")</f>
        <v/>
      </c>
      <c r="G11" s="26">
        <f>IFERROR(IF($D11="","",$D11-INDEX('Painel'!$K$7:$K$64,MATCH($B$4,'Painel'!$B$7:$B$64,0))),"")</f>
        <v/>
      </c>
    </row>
    <row r="12" ht="44" customHeight="1">
      <c r="A12" s="14" t="inlineStr">
        <is>
          <t>Design de solução</t>
        </is>
      </c>
      <c r="B12" s="26">
        <f>IF(COUNTIFS('Avaliação'!$AA$5:$AA$404,$C$4&amp;"|"&amp;Config!$B$7&amp;"|"&amp;$A12,'Avaliação'!$J$5:$J$404,"&gt;0")=0,"",SUMIFS('Avaliação'!$J$5:$J$404,'Avaliação'!$AA$5:$AA$404,$C$4&amp;"|"&amp;Config!$B$7&amp;"|"&amp;$A12))</f>
        <v/>
      </c>
      <c r="C12" s="26">
        <f>IF(COUNTIFS('Avaliação'!$AA$5:$AA$404,$C$4&amp;"|"&amp;Config!$B$7&amp;"|"&amp;$A12,'Avaliação'!$K$5:$K$404,"&gt;0")=0,"",SUMIFS('Avaliação'!$K$5:$K$404,'Avaliação'!$AA$5:$AA$404,$C$4&amp;"|"&amp;Config!$B$7&amp;"|"&amp;$A12))</f>
        <v/>
      </c>
      <c r="D12" s="26">
        <f>IF(COUNTIFS('Avaliação'!$AA$5:$AA$404,$C$4&amp;"|"&amp;Config!$B$7&amp;"|"&amp;$A12,'Avaliação'!$P$5:$P$404,"&gt;0")=0,"",SUMIFS('Avaliação'!$P$5:$P$404,'Avaliação'!$AA$5:$AA$404,$C$4&amp;"|"&amp;Config!$B$7&amp;"|"&amp;$A12))</f>
        <v/>
      </c>
      <c r="E12" s="14">
        <f>IFERROR(INDEX(Config!$E$40:$I$45,MATCH($A12,Config!$C$40:$C$45,0),$D12),"")</f>
        <v/>
      </c>
      <c r="F12" s="14">
        <f>IFERROR(IF($D12&gt;=5,"Já é referência nesta competência.",INDEX(Config!$E$40:$I$45,MATCH($A12,Config!$C$40:$C$45,0),$D12+1)),"")</f>
        <v/>
      </c>
      <c r="G12" s="26">
        <f>IFERROR(IF($D12="","",$D12-INDEX('Painel'!$K$7:$K$64,MATCH($B$4,'Painel'!$B$7:$B$64,0))),"")</f>
        <v/>
      </c>
    </row>
    <row r="13" ht="44" customHeight="1">
      <c r="A13" s="14" t="inlineStr">
        <is>
          <t>Comunicação e colaboração</t>
        </is>
      </c>
      <c r="B13" s="26">
        <f>IF(COUNTIFS('Avaliação'!$AA$5:$AA$404,$C$4&amp;"|"&amp;Config!$B$7&amp;"|"&amp;$A13,'Avaliação'!$J$5:$J$404,"&gt;0")=0,"",SUMIFS('Avaliação'!$J$5:$J$404,'Avaliação'!$AA$5:$AA$404,$C$4&amp;"|"&amp;Config!$B$7&amp;"|"&amp;$A13))</f>
        <v/>
      </c>
      <c r="C13" s="26">
        <f>IF(COUNTIFS('Avaliação'!$AA$5:$AA$404,$C$4&amp;"|"&amp;Config!$B$7&amp;"|"&amp;$A13,'Avaliação'!$K$5:$K$404,"&gt;0")=0,"",SUMIFS('Avaliação'!$K$5:$K$404,'Avaliação'!$AA$5:$AA$404,$C$4&amp;"|"&amp;Config!$B$7&amp;"|"&amp;$A13))</f>
        <v/>
      </c>
      <c r="D13" s="26">
        <f>IF(COUNTIFS('Avaliação'!$AA$5:$AA$404,$C$4&amp;"|"&amp;Config!$B$7&amp;"|"&amp;$A13,'Avaliação'!$P$5:$P$404,"&gt;0")=0,"",SUMIFS('Avaliação'!$P$5:$P$404,'Avaliação'!$AA$5:$AA$404,$C$4&amp;"|"&amp;Config!$B$7&amp;"|"&amp;$A13))</f>
        <v/>
      </c>
      <c r="E13" s="14">
        <f>IFERROR(INDEX(Config!$E$40:$I$45,MATCH($A13,Config!$C$40:$C$45,0),$D13),"")</f>
        <v/>
      </c>
      <c r="F13" s="14">
        <f>IFERROR(IF($D13&gt;=5,"Já é referência nesta competência.",INDEX(Config!$E$40:$I$45,MATCH($A13,Config!$C$40:$C$45,0),$D13+1)),"")</f>
        <v/>
      </c>
      <c r="G13" s="26">
        <f>IFERROR(IF($D13="","",$D13-INDEX('Painel'!$K$7:$K$64,MATCH($B$4,'Painel'!$B$7:$B$64,0))),"")</f>
        <v/>
      </c>
    </row>
    <row r="14" ht="44" customHeight="1">
      <c r="A14" s="14" t="inlineStr">
        <is>
          <t>Autonomia e ownership</t>
        </is>
      </c>
      <c r="B14" s="26">
        <f>IF(COUNTIFS('Avaliação'!$AA$5:$AA$404,$C$4&amp;"|"&amp;Config!$B$7&amp;"|"&amp;$A14,'Avaliação'!$J$5:$J$404,"&gt;0")=0,"",SUMIFS('Avaliação'!$J$5:$J$404,'Avaliação'!$AA$5:$AA$404,$C$4&amp;"|"&amp;Config!$B$7&amp;"|"&amp;$A14))</f>
        <v/>
      </c>
      <c r="C14" s="26">
        <f>IF(COUNTIFS('Avaliação'!$AA$5:$AA$404,$C$4&amp;"|"&amp;Config!$B$7&amp;"|"&amp;$A14,'Avaliação'!$K$5:$K$404,"&gt;0")=0,"",SUMIFS('Avaliação'!$K$5:$K$404,'Avaliação'!$AA$5:$AA$404,$C$4&amp;"|"&amp;Config!$B$7&amp;"|"&amp;$A14))</f>
        <v/>
      </c>
      <c r="D14" s="26">
        <f>IF(COUNTIFS('Avaliação'!$AA$5:$AA$404,$C$4&amp;"|"&amp;Config!$B$7&amp;"|"&amp;$A14,'Avaliação'!$P$5:$P$404,"&gt;0")=0,"",SUMIFS('Avaliação'!$P$5:$P$404,'Avaliação'!$AA$5:$AA$404,$C$4&amp;"|"&amp;Config!$B$7&amp;"|"&amp;$A14))</f>
        <v/>
      </c>
      <c r="E14" s="14">
        <f>IFERROR(INDEX(Config!$E$40:$I$45,MATCH($A14,Config!$C$40:$C$45,0),$D14),"")</f>
        <v/>
      </c>
      <c r="F14" s="14">
        <f>IFERROR(IF($D14&gt;=5,"Já é referência nesta competência.",INDEX(Config!$E$40:$I$45,MATCH($A14,Config!$C$40:$C$45,0),$D14+1)),"")</f>
        <v/>
      </c>
      <c r="G14" s="26">
        <f>IFERROR(IF($D14="","",$D14-INDEX('Painel'!$K$7:$K$64,MATCH($B$4,'Painel'!$B$7:$B$64,0))),"")</f>
        <v/>
      </c>
    </row>
    <row r="15"/>
    <row r="16">
      <c r="A16" s="3" t="inlineStr">
        <is>
          <t>2.  O QUE ACONTECEU NESTE CICLO — o antídoto contra o viés de recência</t>
        </is>
      </c>
      <c r="B16" s="4" t="n"/>
      <c r="C16" s="4" t="n"/>
      <c r="D16" s="4" t="n"/>
      <c r="E16" s="4" t="n"/>
      <c r="F16" s="4" t="n"/>
      <c r="G16" s="4" t="n"/>
    </row>
    <row r="17" ht="32" customHeight="1">
      <c r="A17" s="12" t="inlineStr">
        <is>
          <t>Data</t>
        </is>
      </c>
      <c r="B17" s="12" t="inlineStr">
        <is>
          <t>Tipo</t>
        </is>
      </c>
      <c r="C17" s="12" t="inlineStr">
        <is>
          <t>Competência</t>
        </is>
      </c>
      <c r="D17" s="12" t="inlineStr">
        <is>
          <t>Impacto</t>
        </is>
      </c>
      <c r="E17" s="12" t="inlineStr">
        <is>
          <t>Fato observável</t>
        </is>
      </c>
      <c r="F17" s="12" t="inlineStr">
        <is>
          <t>Consequência / desfecho</t>
        </is>
      </c>
      <c r="G17" s="12" t="inlineStr">
        <is>
          <t>Conversado?</t>
        </is>
      </c>
    </row>
    <row r="18" ht="30" customHeight="1">
      <c r="A18" s="20">
        <f>IFERROR(INDEX('Ocorrências'!$A$5:$A$604,MATCH(1,'Ocorrências'!$AB$5:$AB$604,0)),"")</f>
        <v/>
      </c>
      <c r="B18" s="14">
        <f>IFERROR(INDEX('Ocorrências'!$F$5:$F$604,MATCH(1,'Ocorrências'!$AB$5:$AB$604,0)),"")</f>
        <v/>
      </c>
      <c r="C18" s="14">
        <f>IFERROR(INDEX('Ocorrências'!$G$5:$G$604,MATCH(1,'Ocorrências'!$AB$5:$AB$604,0)),"")</f>
        <v/>
      </c>
      <c r="D18" s="14">
        <f>IFERROR(INDEX('Ocorrências'!$I$5:$I$604,MATCH(1,'Ocorrências'!$AB$5:$AB$604,0)),"")</f>
        <v/>
      </c>
      <c r="E18" s="14">
        <f>IFERROR(INDEX('Ocorrências'!$H$5:$H$604,MATCH(1,'Ocorrências'!$AB$5:$AB$604,0)),"")</f>
        <v/>
      </c>
      <c r="F18" s="14">
        <f>IFERROR(INDEX('Ocorrências'!$K$5:$K$604,MATCH(1,'Ocorrências'!$AB$5:$AB$604,0)),"")</f>
        <v/>
      </c>
      <c r="G18" s="14">
        <f>IFERROR(INDEX('Ocorrências'!$L$5:$L$604,MATCH(1,'Ocorrências'!$AB$5:$AB$604,0)),"")</f>
        <v/>
      </c>
    </row>
    <row r="19" ht="30" customHeight="1">
      <c r="A19" s="20">
        <f>IFERROR(INDEX('Ocorrências'!$A$5:$A$604,MATCH(2,'Ocorrências'!$AB$5:$AB$604,0)),"")</f>
        <v/>
      </c>
      <c r="B19" s="14">
        <f>IFERROR(INDEX('Ocorrências'!$F$5:$F$604,MATCH(2,'Ocorrências'!$AB$5:$AB$604,0)),"")</f>
        <v/>
      </c>
      <c r="C19" s="14">
        <f>IFERROR(INDEX('Ocorrências'!$G$5:$G$604,MATCH(2,'Ocorrências'!$AB$5:$AB$604,0)),"")</f>
        <v/>
      </c>
      <c r="D19" s="14">
        <f>IFERROR(INDEX('Ocorrências'!$I$5:$I$604,MATCH(2,'Ocorrências'!$AB$5:$AB$604,0)),"")</f>
        <v/>
      </c>
      <c r="E19" s="14">
        <f>IFERROR(INDEX('Ocorrências'!$H$5:$H$604,MATCH(2,'Ocorrências'!$AB$5:$AB$604,0)),"")</f>
        <v/>
      </c>
      <c r="F19" s="14">
        <f>IFERROR(INDEX('Ocorrências'!$K$5:$K$604,MATCH(2,'Ocorrências'!$AB$5:$AB$604,0)),"")</f>
        <v/>
      </c>
      <c r="G19" s="14">
        <f>IFERROR(INDEX('Ocorrências'!$L$5:$L$604,MATCH(2,'Ocorrências'!$AB$5:$AB$604,0)),"")</f>
        <v/>
      </c>
    </row>
    <row r="20" ht="30" customHeight="1">
      <c r="A20" s="20">
        <f>IFERROR(INDEX('Ocorrências'!$A$5:$A$604,MATCH(3,'Ocorrências'!$AB$5:$AB$604,0)),"")</f>
        <v/>
      </c>
      <c r="B20" s="14">
        <f>IFERROR(INDEX('Ocorrências'!$F$5:$F$604,MATCH(3,'Ocorrências'!$AB$5:$AB$604,0)),"")</f>
        <v/>
      </c>
      <c r="C20" s="14">
        <f>IFERROR(INDEX('Ocorrências'!$G$5:$G$604,MATCH(3,'Ocorrências'!$AB$5:$AB$604,0)),"")</f>
        <v/>
      </c>
      <c r="D20" s="14">
        <f>IFERROR(INDEX('Ocorrências'!$I$5:$I$604,MATCH(3,'Ocorrências'!$AB$5:$AB$604,0)),"")</f>
        <v/>
      </c>
      <c r="E20" s="14">
        <f>IFERROR(INDEX('Ocorrências'!$H$5:$H$604,MATCH(3,'Ocorrências'!$AB$5:$AB$604,0)),"")</f>
        <v/>
      </c>
      <c r="F20" s="14">
        <f>IFERROR(INDEX('Ocorrências'!$K$5:$K$604,MATCH(3,'Ocorrências'!$AB$5:$AB$604,0)),"")</f>
        <v/>
      </c>
      <c r="G20" s="14">
        <f>IFERROR(INDEX('Ocorrências'!$L$5:$L$604,MATCH(3,'Ocorrências'!$AB$5:$AB$604,0)),"")</f>
        <v/>
      </c>
    </row>
    <row r="21" ht="30" customHeight="1">
      <c r="A21" s="20">
        <f>IFERROR(INDEX('Ocorrências'!$A$5:$A$604,MATCH(4,'Ocorrências'!$AB$5:$AB$604,0)),"")</f>
        <v/>
      </c>
      <c r="B21" s="14">
        <f>IFERROR(INDEX('Ocorrências'!$F$5:$F$604,MATCH(4,'Ocorrências'!$AB$5:$AB$604,0)),"")</f>
        <v/>
      </c>
      <c r="C21" s="14">
        <f>IFERROR(INDEX('Ocorrências'!$G$5:$G$604,MATCH(4,'Ocorrências'!$AB$5:$AB$604,0)),"")</f>
        <v/>
      </c>
      <c r="D21" s="14">
        <f>IFERROR(INDEX('Ocorrências'!$I$5:$I$604,MATCH(4,'Ocorrências'!$AB$5:$AB$604,0)),"")</f>
        <v/>
      </c>
      <c r="E21" s="14">
        <f>IFERROR(INDEX('Ocorrências'!$H$5:$H$604,MATCH(4,'Ocorrências'!$AB$5:$AB$604,0)),"")</f>
        <v/>
      </c>
      <c r="F21" s="14">
        <f>IFERROR(INDEX('Ocorrências'!$K$5:$K$604,MATCH(4,'Ocorrências'!$AB$5:$AB$604,0)),"")</f>
        <v/>
      </c>
      <c r="G21" s="14">
        <f>IFERROR(INDEX('Ocorrências'!$L$5:$L$604,MATCH(4,'Ocorrências'!$AB$5:$AB$604,0)),"")</f>
        <v/>
      </c>
    </row>
    <row r="22" ht="30" customHeight="1">
      <c r="A22" s="20">
        <f>IFERROR(INDEX('Ocorrências'!$A$5:$A$604,MATCH(5,'Ocorrências'!$AB$5:$AB$604,0)),"")</f>
        <v/>
      </c>
      <c r="B22" s="14">
        <f>IFERROR(INDEX('Ocorrências'!$F$5:$F$604,MATCH(5,'Ocorrências'!$AB$5:$AB$604,0)),"")</f>
        <v/>
      </c>
      <c r="C22" s="14">
        <f>IFERROR(INDEX('Ocorrências'!$G$5:$G$604,MATCH(5,'Ocorrências'!$AB$5:$AB$604,0)),"")</f>
        <v/>
      </c>
      <c r="D22" s="14">
        <f>IFERROR(INDEX('Ocorrências'!$I$5:$I$604,MATCH(5,'Ocorrências'!$AB$5:$AB$604,0)),"")</f>
        <v/>
      </c>
      <c r="E22" s="14">
        <f>IFERROR(INDEX('Ocorrências'!$H$5:$H$604,MATCH(5,'Ocorrências'!$AB$5:$AB$604,0)),"")</f>
        <v/>
      </c>
      <c r="F22" s="14">
        <f>IFERROR(INDEX('Ocorrências'!$K$5:$K$604,MATCH(5,'Ocorrências'!$AB$5:$AB$604,0)),"")</f>
        <v/>
      </c>
      <c r="G22" s="14">
        <f>IFERROR(INDEX('Ocorrências'!$L$5:$L$604,MATCH(5,'Ocorrências'!$AB$5:$AB$604,0)),"")</f>
        <v/>
      </c>
    </row>
    <row r="23" ht="30" customHeight="1">
      <c r="A23" s="20">
        <f>IFERROR(INDEX('Ocorrências'!$A$5:$A$604,MATCH(6,'Ocorrências'!$AB$5:$AB$604,0)),"")</f>
        <v/>
      </c>
      <c r="B23" s="14">
        <f>IFERROR(INDEX('Ocorrências'!$F$5:$F$604,MATCH(6,'Ocorrências'!$AB$5:$AB$604,0)),"")</f>
        <v/>
      </c>
      <c r="C23" s="14">
        <f>IFERROR(INDEX('Ocorrências'!$G$5:$G$604,MATCH(6,'Ocorrências'!$AB$5:$AB$604,0)),"")</f>
        <v/>
      </c>
      <c r="D23" s="14">
        <f>IFERROR(INDEX('Ocorrências'!$I$5:$I$604,MATCH(6,'Ocorrências'!$AB$5:$AB$604,0)),"")</f>
        <v/>
      </c>
      <c r="E23" s="14">
        <f>IFERROR(INDEX('Ocorrências'!$H$5:$H$604,MATCH(6,'Ocorrências'!$AB$5:$AB$604,0)),"")</f>
        <v/>
      </c>
      <c r="F23" s="14">
        <f>IFERROR(INDEX('Ocorrências'!$K$5:$K$604,MATCH(6,'Ocorrências'!$AB$5:$AB$604,0)),"")</f>
        <v/>
      </c>
      <c r="G23" s="14">
        <f>IFERROR(INDEX('Ocorrências'!$L$5:$L$604,MATCH(6,'Ocorrências'!$AB$5:$AB$604,0)),"")</f>
        <v/>
      </c>
    </row>
    <row r="24" ht="30" customHeight="1">
      <c r="A24" s="20">
        <f>IFERROR(INDEX('Ocorrências'!$A$5:$A$604,MATCH(7,'Ocorrências'!$AB$5:$AB$604,0)),"")</f>
        <v/>
      </c>
      <c r="B24" s="14">
        <f>IFERROR(INDEX('Ocorrências'!$F$5:$F$604,MATCH(7,'Ocorrências'!$AB$5:$AB$604,0)),"")</f>
        <v/>
      </c>
      <c r="C24" s="14">
        <f>IFERROR(INDEX('Ocorrências'!$G$5:$G$604,MATCH(7,'Ocorrências'!$AB$5:$AB$604,0)),"")</f>
        <v/>
      </c>
      <c r="D24" s="14">
        <f>IFERROR(INDEX('Ocorrências'!$I$5:$I$604,MATCH(7,'Ocorrências'!$AB$5:$AB$604,0)),"")</f>
        <v/>
      </c>
      <c r="E24" s="14">
        <f>IFERROR(INDEX('Ocorrências'!$H$5:$H$604,MATCH(7,'Ocorrências'!$AB$5:$AB$604,0)),"")</f>
        <v/>
      </c>
      <c r="F24" s="14">
        <f>IFERROR(INDEX('Ocorrências'!$K$5:$K$604,MATCH(7,'Ocorrências'!$AB$5:$AB$604,0)),"")</f>
        <v/>
      </c>
      <c r="G24" s="14">
        <f>IFERROR(INDEX('Ocorrências'!$L$5:$L$604,MATCH(7,'Ocorrências'!$AB$5:$AB$604,0)),"")</f>
        <v/>
      </c>
    </row>
    <row r="25" ht="30" customHeight="1">
      <c r="A25" s="20">
        <f>IFERROR(INDEX('Ocorrências'!$A$5:$A$604,MATCH(8,'Ocorrências'!$AB$5:$AB$604,0)),"")</f>
        <v/>
      </c>
      <c r="B25" s="14">
        <f>IFERROR(INDEX('Ocorrências'!$F$5:$F$604,MATCH(8,'Ocorrências'!$AB$5:$AB$604,0)),"")</f>
        <v/>
      </c>
      <c r="C25" s="14">
        <f>IFERROR(INDEX('Ocorrências'!$G$5:$G$604,MATCH(8,'Ocorrências'!$AB$5:$AB$604,0)),"")</f>
        <v/>
      </c>
      <c r="D25" s="14">
        <f>IFERROR(INDEX('Ocorrências'!$I$5:$I$604,MATCH(8,'Ocorrências'!$AB$5:$AB$604,0)),"")</f>
        <v/>
      </c>
      <c r="E25" s="14">
        <f>IFERROR(INDEX('Ocorrências'!$H$5:$H$604,MATCH(8,'Ocorrências'!$AB$5:$AB$604,0)),"")</f>
        <v/>
      </c>
      <c r="F25" s="14">
        <f>IFERROR(INDEX('Ocorrências'!$K$5:$K$604,MATCH(8,'Ocorrências'!$AB$5:$AB$604,0)),"")</f>
        <v/>
      </c>
      <c r="G25" s="14">
        <f>IFERROR(INDEX('Ocorrências'!$L$5:$L$604,MATCH(8,'Ocorrências'!$AB$5:$AB$604,0)),"")</f>
        <v/>
      </c>
    </row>
    <row r="26" ht="30" customHeight="1">
      <c r="A26" s="20">
        <f>IFERROR(INDEX('Ocorrências'!$A$5:$A$604,MATCH(9,'Ocorrências'!$AB$5:$AB$604,0)),"")</f>
        <v/>
      </c>
      <c r="B26" s="14">
        <f>IFERROR(INDEX('Ocorrências'!$F$5:$F$604,MATCH(9,'Ocorrências'!$AB$5:$AB$604,0)),"")</f>
        <v/>
      </c>
      <c r="C26" s="14">
        <f>IFERROR(INDEX('Ocorrências'!$G$5:$G$604,MATCH(9,'Ocorrências'!$AB$5:$AB$604,0)),"")</f>
        <v/>
      </c>
      <c r="D26" s="14">
        <f>IFERROR(INDEX('Ocorrências'!$I$5:$I$604,MATCH(9,'Ocorrências'!$AB$5:$AB$604,0)),"")</f>
        <v/>
      </c>
      <c r="E26" s="14">
        <f>IFERROR(INDEX('Ocorrências'!$H$5:$H$604,MATCH(9,'Ocorrências'!$AB$5:$AB$604,0)),"")</f>
        <v/>
      </c>
      <c r="F26" s="14">
        <f>IFERROR(INDEX('Ocorrências'!$K$5:$K$604,MATCH(9,'Ocorrências'!$AB$5:$AB$604,0)),"")</f>
        <v/>
      </c>
      <c r="G26" s="14">
        <f>IFERROR(INDEX('Ocorrências'!$L$5:$L$604,MATCH(9,'Ocorrências'!$AB$5:$AB$604,0)),"")</f>
        <v/>
      </c>
    </row>
    <row r="27" ht="30" customHeight="1">
      <c r="A27" s="20">
        <f>IFERROR(INDEX('Ocorrências'!$A$5:$A$604,MATCH(10,'Ocorrências'!$AB$5:$AB$604,0)),"")</f>
        <v/>
      </c>
      <c r="B27" s="14">
        <f>IFERROR(INDEX('Ocorrências'!$F$5:$F$604,MATCH(10,'Ocorrências'!$AB$5:$AB$604,0)),"")</f>
        <v/>
      </c>
      <c r="C27" s="14">
        <f>IFERROR(INDEX('Ocorrências'!$G$5:$G$604,MATCH(10,'Ocorrências'!$AB$5:$AB$604,0)),"")</f>
        <v/>
      </c>
      <c r="D27" s="14">
        <f>IFERROR(INDEX('Ocorrências'!$I$5:$I$604,MATCH(10,'Ocorrências'!$AB$5:$AB$604,0)),"")</f>
        <v/>
      </c>
      <c r="E27" s="14">
        <f>IFERROR(INDEX('Ocorrências'!$H$5:$H$604,MATCH(10,'Ocorrências'!$AB$5:$AB$604,0)),"")</f>
        <v/>
      </c>
      <c r="F27" s="14">
        <f>IFERROR(INDEX('Ocorrências'!$K$5:$K$604,MATCH(10,'Ocorrências'!$AB$5:$AB$604,0)),"")</f>
        <v/>
      </c>
      <c r="G27" s="14">
        <f>IFERROR(INDEX('Ocorrências'!$L$5:$L$604,MATCH(10,'Ocorrências'!$AB$5:$AB$604,0)),"")</f>
        <v/>
      </c>
    </row>
    <row r="28" ht="30" customHeight="1">
      <c r="A28" s="20">
        <f>IFERROR(INDEX('Ocorrências'!$A$5:$A$604,MATCH(11,'Ocorrências'!$AB$5:$AB$604,0)),"")</f>
        <v/>
      </c>
      <c r="B28" s="14">
        <f>IFERROR(INDEX('Ocorrências'!$F$5:$F$604,MATCH(11,'Ocorrências'!$AB$5:$AB$604,0)),"")</f>
        <v/>
      </c>
      <c r="C28" s="14">
        <f>IFERROR(INDEX('Ocorrências'!$G$5:$G$604,MATCH(11,'Ocorrências'!$AB$5:$AB$604,0)),"")</f>
        <v/>
      </c>
      <c r="D28" s="14">
        <f>IFERROR(INDEX('Ocorrências'!$I$5:$I$604,MATCH(11,'Ocorrências'!$AB$5:$AB$604,0)),"")</f>
        <v/>
      </c>
      <c r="E28" s="14">
        <f>IFERROR(INDEX('Ocorrências'!$H$5:$H$604,MATCH(11,'Ocorrências'!$AB$5:$AB$604,0)),"")</f>
        <v/>
      </c>
      <c r="F28" s="14">
        <f>IFERROR(INDEX('Ocorrências'!$K$5:$K$604,MATCH(11,'Ocorrências'!$AB$5:$AB$604,0)),"")</f>
        <v/>
      </c>
      <c r="G28" s="14">
        <f>IFERROR(INDEX('Ocorrências'!$L$5:$L$604,MATCH(11,'Ocorrências'!$AB$5:$AB$604,0)),"")</f>
        <v/>
      </c>
    </row>
    <row r="29" ht="30" customHeight="1">
      <c r="A29" s="20">
        <f>IFERROR(INDEX('Ocorrências'!$A$5:$A$604,MATCH(12,'Ocorrências'!$AB$5:$AB$604,0)),"")</f>
        <v/>
      </c>
      <c r="B29" s="14">
        <f>IFERROR(INDEX('Ocorrências'!$F$5:$F$604,MATCH(12,'Ocorrências'!$AB$5:$AB$604,0)),"")</f>
        <v/>
      </c>
      <c r="C29" s="14">
        <f>IFERROR(INDEX('Ocorrências'!$G$5:$G$604,MATCH(12,'Ocorrências'!$AB$5:$AB$604,0)),"")</f>
        <v/>
      </c>
      <c r="D29" s="14">
        <f>IFERROR(INDEX('Ocorrências'!$I$5:$I$604,MATCH(12,'Ocorrências'!$AB$5:$AB$604,0)),"")</f>
        <v/>
      </c>
      <c r="E29" s="14">
        <f>IFERROR(INDEX('Ocorrências'!$H$5:$H$604,MATCH(12,'Ocorrências'!$AB$5:$AB$604,0)),"")</f>
        <v/>
      </c>
      <c r="F29" s="14">
        <f>IFERROR(INDEX('Ocorrências'!$K$5:$K$604,MATCH(12,'Ocorrências'!$AB$5:$AB$604,0)),"")</f>
        <v/>
      </c>
      <c r="G29" s="14">
        <f>IFERROR(INDEX('Ocorrências'!$L$5:$L$604,MATCH(12,'Ocorrências'!$AB$5:$AB$604,0)),"")</f>
        <v/>
      </c>
    </row>
    <row r="30"/>
    <row r="31">
      <c r="A31" s="3" t="inlineStr">
        <is>
          <t>3.  PLANO DE DESENVOLVIMENTO — no máximo 2 focos</t>
        </is>
      </c>
      <c r="B31" s="4" t="n"/>
      <c r="C31" s="4" t="n"/>
      <c r="D31" s="4" t="n"/>
      <c r="E31" s="4" t="n"/>
      <c r="F31" s="4" t="n"/>
      <c r="G31" s="4" t="n"/>
    </row>
    <row r="32" ht="32" customHeight="1">
      <c r="A32" s="12" t="inlineStr">
        <is>
          <t>Competência</t>
        </is>
      </c>
      <c r="B32" s="12" t="inlineStr">
        <is>
          <t>Atual</t>
        </is>
      </c>
      <c r="C32" s="12" t="inlineStr">
        <is>
          <t>Alvo</t>
        </is>
      </c>
      <c r="D32" s="12" t="inlineStr">
        <is>
          <t>Prazo</t>
        </is>
      </c>
      <c r="E32" s="12" t="inlineStr">
        <is>
          <t>Ação concreta no trabalho real</t>
        </is>
      </c>
      <c r="F32" s="12" t="inlineStr">
        <is>
          <t>Como saberemos que fechou</t>
        </is>
      </c>
      <c r="G32" s="12" t="inlineStr">
        <is>
          <t>Status</t>
        </is>
      </c>
    </row>
    <row r="33" ht="34" customHeight="1">
      <c r="A33" s="14">
        <f>IFERROR(INDEX('PDI'!$C$5:$C$104,MATCH(1,'PDI'!$N$5:$N$104,0)),"")</f>
        <v/>
      </c>
      <c r="B33" s="14">
        <f>IFERROR(INDEX('PDI'!$E$5:$E$104,MATCH(1,'PDI'!$N$5:$N$104,0)),"")</f>
        <v/>
      </c>
      <c r="C33" s="14">
        <f>IFERROR(INDEX('PDI'!$F$5:$F$104,MATCH(1,'PDI'!$N$5:$N$104,0)),"")</f>
        <v/>
      </c>
      <c r="D33" s="20">
        <f>IFERROR(INDEX('PDI'!$J$5:$J$104,MATCH(1,'PDI'!$N$5:$N$104,0)),"")</f>
        <v/>
      </c>
      <c r="E33" s="14">
        <f>IFERROR(INDEX('PDI'!$G$5:$G$104,MATCH(1,'PDI'!$N$5:$N$104,0)),"")</f>
        <v/>
      </c>
      <c r="F33" s="14">
        <f>IFERROR(INDEX('PDI'!$H$5:$H$104,MATCH(1,'PDI'!$N$5:$N$104,0)),"")</f>
        <v/>
      </c>
      <c r="G33" s="14">
        <f>IFERROR(INDEX('PDI'!$L$5:$L$104,MATCH(1,'PDI'!$N$5:$N$104,0)),"")</f>
        <v/>
      </c>
    </row>
    <row r="34" ht="34" customHeight="1">
      <c r="A34" s="14">
        <f>IFERROR(INDEX('PDI'!$C$5:$C$104,MATCH(2,'PDI'!$N$5:$N$104,0)),"")</f>
        <v/>
      </c>
      <c r="B34" s="14">
        <f>IFERROR(INDEX('PDI'!$E$5:$E$104,MATCH(2,'PDI'!$N$5:$N$104,0)),"")</f>
        <v/>
      </c>
      <c r="C34" s="14">
        <f>IFERROR(INDEX('PDI'!$F$5:$F$104,MATCH(2,'PDI'!$N$5:$N$104,0)),"")</f>
        <v/>
      </c>
      <c r="D34" s="20">
        <f>IFERROR(INDEX('PDI'!$J$5:$J$104,MATCH(2,'PDI'!$N$5:$N$104,0)),"")</f>
        <v/>
      </c>
      <c r="E34" s="14">
        <f>IFERROR(INDEX('PDI'!$G$5:$G$104,MATCH(2,'PDI'!$N$5:$N$104,0)),"")</f>
        <v/>
      </c>
      <c r="F34" s="14">
        <f>IFERROR(INDEX('PDI'!$H$5:$H$104,MATCH(2,'PDI'!$N$5:$N$104,0)),"")</f>
        <v/>
      </c>
      <c r="G34" s="14">
        <f>IFERROR(INDEX('PDI'!$L$5:$L$104,MATCH(2,'PDI'!$N$5:$N$104,0)),"")</f>
        <v/>
      </c>
    </row>
    <row r="35" ht="34" customHeight="1">
      <c r="A35" s="14">
        <f>IFERROR(INDEX('PDI'!$C$5:$C$104,MATCH(3,'PDI'!$N$5:$N$104,0)),"")</f>
        <v/>
      </c>
      <c r="B35" s="14">
        <f>IFERROR(INDEX('PDI'!$E$5:$E$104,MATCH(3,'PDI'!$N$5:$N$104,0)),"")</f>
        <v/>
      </c>
      <c r="C35" s="14">
        <f>IFERROR(INDEX('PDI'!$F$5:$F$104,MATCH(3,'PDI'!$N$5:$N$104,0)),"")</f>
        <v/>
      </c>
      <c r="D35" s="20">
        <f>IFERROR(INDEX('PDI'!$J$5:$J$104,MATCH(3,'PDI'!$N$5:$N$104,0)),"")</f>
        <v/>
      </c>
      <c r="E35" s="14">
        <f>IFERROR(INDEX('PDI'!$G$5:$G$104,MATCH(3,'PDI'!$N$5:$N$104,0)),"")</f>
        <v/>
      </c>
      <c r="F35" s="14">
        <f>IFERROR(INDEX('PDI'!$H$5:$H$104,MATCH(3,'PDI'!$N$5:$N$104,0)),"")</f>
        <v/>
      </c>
      <c r="G35" s="14">
        <f>IFERROR(INDEX('PDI'!$L$5:$L$104,MATCH(3,'PDI'!$N$5:$N$104,0)),"")</f>
        <v/>
      </c>
    </row>
    <row r="36"/>
    <row r="37">
      <c r="A37" s="3" t="inlineStr">
        <is>
          <t>4.  ESCUTA — as perguntas que o gestor esquece de fazer</t>
        </is>
      </c>
      <c r="B37" s="4" t="n"/>
      <c r="C37" s="4" t="n"/>
      <c r="D37" s="4" t="n"/>
      <c r="E37" s="4" t="n"/>
      <c r="F37" s="4" t="n"/>
      <c r="G37" s="4" t="n"/>
    </row>
    <row r="38" ht="30" customHeight="1">
      <c r="A38" s="27" t="inlineStr">
        <is>
          <t>Como está a sua carga? O que está pesando mais do que deveria?</t>
        </is>
      </c>
      <c r="B38" s="28" t="n"/>
      <c r="C38" s="28" t="n"/>
      <c r="D38" s="28" t="n"/>
      <c r="E38" s="28" t="n"/>
      <c r="F38" s="28" t="n"/>
      <c r="G38" s="28" t="n"/>
    </row>
    <row r="39" ht="30" customHeight="1">
      <c r="A39" s="27" t="inlineStr">
        <is>
          <t>O que te travou neste ciclo e eu não vi?</t>
        </is>
      </c>
      <c r="B39" s="28" t="n"/>
      <c r="C39" s="28" t="n"/>
      <c r="D39" s="28" t="n"/>
      <c r="E39" s="28" t="n"/>
      <c r="F39" s="28" t="n"/>
      <c r="G39" s="28" t="n"/>
    </row>
    <row r="40" ht="30" customHeight="1">
      <c r="A40" s="27" t="inlineStr">
        <is>
          <t>O que você quer estar fazendo daqui a um ano?</t>
        </is>
      </c>
      <c r="B40" s="28" t="n"/>
      <c r="C40" s="28" t="n"/>
      <c r="D40" s="28" t="n"/>
      <c r="E40" s="28" t="n"/>
      <c r="F40" s="28" t="n"/>
      <c r="G40" s="28" t="n"/>
    </row>
    <row r="41" ht="30" customHeight="1">
      <c r="A41" s="27" t="inlineStr">
        <is>
          <t>O que eu preciso fazer diferente como gestor?</t>
        </is>
      </c>
      <c r="B41" s="28" t="n"/>
      <c r="C41" s="28" t="n"/>
      <c r="D41" s="28" t="n"/>
      <c r="E41" s="28" t="n"/>
      <c r="F41" s="28" t="n"/>
      <c r="G41" s="28" t="n"/>
    </row>
    <row r="42"/>
    <row r="43">
      <c r="A43" s="3" t="inlineStr">
        <is>
          <t>5.  ANOTAÇÕES DA CONVERSA — escreva à mão, aqui</t>
        </is>
      </c>
      <c r="B43" s="4" t="n"/>
      <c r="C43" s="4" t="n"/>
      <c r="D43" s="4" t="n"/>
      <c r="E43" s="4" t="n"/>
      <c r="F43" s="4" t="n"/>
      <c r="G43" s="4" t="n"/>
    </row>
    <row r="44" ht="24" customHeight="1">
      <c r="A44" s="28" t="n"/>
      <c r="B44" s="28" t="n"/>
      <c r="C44" s="28" t="n"/>
      <c r="D44" s="28" t="n"/>
      <c r="E44" s="28" t="n"/>
      <c r="F44" s="28" t="n"/>
      <c r="G44" s="28" t="n"/>
    </row>
    <row r="45" ht="24" customHeight="1">
      <c r="A45" s="28" t="n"/>
      <c r="B45" s="28" t="n"/>
      <c r="C45" s="28" t="n"/>
      <c r="D45" s="28" t="n"/>
      <c r="E45" s="28" t="n"/>
      <c r="F45" s="28" t="n"/>
      <c r="G45" s="28" t="n"/>
    </row>
    <row r="46" ht="24" customHeight="1">
      <c r="A46" s="28" t="n"/>
      <c r="B46" s="28" t="n"/>
      <c r="C46" s="28" t="n"/>
      <c r="D46" s="28" t="n"/>
      <c r="E46" s="28" t="n"/>
      <c r="F46" s="28" t="n"/>
      <c r="G46" s="28" t="n"/>
    </row>
    <row r="47" ht="24" customHeight="1">
      <c r="A47" s="28" t="n"/>
      <c r="B47" s="28" t="n"/>
      <c r="C47" s="28" t="n"/>
      <c r="D47" s="28" t="n"/>
      <c r="E47" s="28" t="n"/>
      <c r="F47" s="28" t="n"/>
      <c r="G47" s="28" t="n"/>
    </row>
    <row r="48" ht="24" customHeight="1">
      <c r="A48" s="28" t="n"/>
      <c r="B48" s="28" t="n"/>
      <c r="C48" s="28" t="n"/>
      <c r="D48" s="28" t="n"/>
      <c r="E48" s="28" t="n"/>
      <c r="F48" s="28" t="n"/>
      <c r="G48" s="28" t="n"/>
    </row>
    <row r="49"/>
    <row r="50">
      <c r="A50" s="3" t="inlineStr">
        <is>
          <t>6.  REGISTRO DE 1:1 — digite depois da conversa. É esta data que alimenta o alerta de 1:1 atrasada no Painel.</t>
        </is>
      </c>
      <c r="B50" s="4" t="n"/>
      <c r="C50" s="4" t="n"/>
      <c r="D50" s="4" t="n"/>
      <c r="E50" s="4" t="n"/>
      <c r="F50" s="4" t="n"/>
      <c r="G50" s="4" t="n"/>
    </row>
    <row r="51" ht="32" customHeight="1">
      <c r="A51" s="12" t="inlineStr">
        <is>
          <t>Data da 1:1</t>
        </is>
      </c>
      <c r="B51" s="12" t="inlineStr">
        <is>
          <t>Pessoa (ID)</t>
        </is>
      </c>
      <c r="C51" s="12" t="inlineStr">
        <is>
          <t>Gestor</t>
        </is>
      </c>
      <c r="D51" s="12" t="inlineStr">
        <is>
          <t>Compromisso assumido</t>
        </is>
      </c>
      <c r="E51" s="12" t="inlineStr">
        <is>
          <t>Dono</t>
        </is>
      </c>
      <c r="F51" s="12" t="inlineStr">
        <is>
          <t>Prazo</t>
        </is>
      </c>
      <c r="G51" s="12" t="inlineStr">
        <is>
          <t>1:1 realizada?</t>
        </is>
      </c>
    </row>
    <row r="52">
      <c r="A52" s="18" t="n">
        <v>46254</v>
      </c>
      <c r="B52" s="19" t="inlineStr">
        <is>
          <t>P001</t>
        </is>
      </c>
      <c r="C52" s="19" t="inlineStr">
        <is>
          <t>Rafael Souza</t>
        </is>
      </c>
      <c r="D52" s="19" t="inlineStr">
        <is>
          <t>Incluir teste de caminho de erro nos próximos 3 PRs de rota nova.</t>
        </is>
      </c>
      <c r="E52" s="19" t="inlineStr">
        <is>
          <t>Ana Ribeiro</t>
        </is>
      </c>
      <c r="F52" s="18" t="n">
        <v>46356</v>
      </c>
      <c r="G52" s="19" t="inlineStr">
        <is>
          <t>Sim</t>
        </is>
      </c>
    </row>
    <row r="53">
      <c r="A53" s="18" t="n"/>
      <c r="B53" s="19" t="n"/>
      <c r="C53" s="19" t="n"/>
      <c r="D53" s="19" t="n"/>
      <c r="E53" s="19" t="n"/>
      <c r="F53" s="18" t="n"/>
      <c r="G53" s="19" t="n"/>
    </row>
    <row r="54">
      <c r="A54" s="18" t="n"/>
      <c r="B54" s="19" t="n"/>
      <c r="C54" s="19" t="n"/>
      <c r="D54" s="19" t="n"/>
      <c r="E54" s="19" t="n"/>
      <c r="F54" s="18" t="n"/>
      <c r="G54" s="19" t="n"/>
    </row>
    <row r="55">
      <c r="A55" s="18" t="n"/>
      <c r="B55" s="19" t="n"/>
      <c r="C55" s="19" t="n"/>
      <c r="D55" s="19" t="n"/>
      <c r="E55" s="19" t="n"/>
      <c r="F55" s="18" t="n"/>
      <c r="G55" s="19" t="n"/>
    </row>
    <row r="56">
      <c r="A56" s="18" t="n"/>
      <c r="B56" s="19" t="n"/>
      <c r="C56" s="19" t="n"/>
      <c r="D56" s="19" t="n"/>
      <c r="E56" s="19" t="n"/>
      <c r="F56" s="18" t="n"/>
      <c r="G56" s="19" t="n"/>
    </row>
    <row r="57">
      <c r="A57" s="18" t="n"/>
      <c r="B57" s="19" t="n"/>
      <c r="C57" s="19" t="n"/>
      <c r="D57" s="19" t="n"/>
      <c r="E57" s="19" t="n"/>
      <c r="F57" s="18" t="n"/>
      <c r="G57" s="19" t="n"/>
    </row>
    <row r="58">
      <c r="A58" s="18" t="n"/>
      <c r="B58" s="19" t="n"/>
      <c r="C58" s="19" t="n"/>
      <c r="D58" s="19" t="n"/>
      <c r="E58" s="19" t="n"/>
      <c r="F58" s="18" t="n"/>
      <c r="G58" s="19" t="n"/>
    </row>
    <row r="59">
      <c r="A59" s="18" t="n"/>
      <c r="B59" s="19" t="n"/>
      <c r="C59" s="19" t="n"/>
      <c r="D59" s="19" t="n"/>
      <c r="E59" s="19" t="n"/>
      <c r="F59" s="18" t="n"/>
      <c r="G59" s="19" t="n"/>
    </row>
    <row r="60">
      <c r="A60" s="18" t="n"/>
      <c r="B60" s="19" t="n"/>
      <c r="C60" s="19" t="n"/>
      <c r="D60" s="19" t="n"/>
      <c r="E60" s="19" t="n"/>
      <c r="F60" s="18" t="n"/>
      <c r="G60" s="19" t="n"/>
    </row>
    <row r="61">
      <c r="A61" s="18" t="n"/>
      <c r="B61" s="19" t="n"/>
      <c r="C61" s="19" t="n"/>
      <c r="D61" s="19" t="n"/>
      <c r="E61" s="19" t="n"/>
      <c r="F61" s="18" t="n"/>
      <c r="G61" s="19" t="n"/>
    </row>
    <row r="62">
      <c r="A62" s="18" t="n"/>
      <c r="B62" s="19" t="n"/>
      <c r="C62" s="19" t="n"/>
      <c r="D62" s="19" t="n"/>
      <c r="E62" s="19" t="n"/>
      <c r="F62" s="18" t="n"/>
      <c r="G62" s="19" t="n"/>
    </row>
    <row r="63">
      <c r="A63" s="18" t="n"/>
      <c r="B63" s="19" t="n"/>
      <c r="C63" s="19" t="n"/>
      <c r="D63" s="19" t="n"/>
      <c r="E63" s="19" t="n"/>
      <c r="F63" s="18" t="n"/>
      <c r="G63" s="19" t="n"/>
    </row>
    <row r="64">
      <c r="A64" s="18" t="n"/>
      <c r="B64" s="19" t="n"/>
      <c r="C64" s="19" t="n"/>
      <c r="D64" s="19" t="n"/>
      <c r="E64" s="19" t="n"/>
      <c r="F64" s="18" t="n"/>
      <c r="G64" s="19" t="n"/>
    </row>
    <row r="65">
      <c r="A65" s="18" t="n"/>
      <c r="B65" s="19" t="n"/>
      <c r="C65" s="19" t="n"/>
      <c r="D65" s="19" t="n"/>
      <c r="E65" s="19" t="n"/>
      <c r="F65" s="18" t="n"/>
      <c r="G65" s="19" t="n"/>
    </row>
    <row r="66">
      <c r="A66" s="18" t="n"/>
      <c r="B66" s="19" t="n"/>
      <c r="C66" s="19" t="n"/>
      <c r="D66" s="19" t="n"/>
      <c r="E66" s="19" t="n"/>
      <c r="F66" s="18" t="n"/>
      <c r="G66" s="19" t="n"/>
    </row>
    <row r="67">
      <c r="A67" s="18" t="n"/>
      <c r="B67" s="19" t="n"/>
      <c r="C67" s="19" t="n"/>
      <c r="D67" s="19" t="n"/>
      <c r="E67" s="19" t="n"/>
      <c r="F67" s="18" t="n"/>
      <c r="G67" s="19" t="n"/>
    </row>
    <row r="68">
      <c r="A68" s="18" t="n"/>
      <c r="B68" s="19" t="n"/>
      <c r="C68" s="19" t="n"/>
      <c r="D68" s="19" t="n"/>
      <c r="E68" s="19" t="n"/>
      <c r="F68" s="18" t="n"/>
      <c r="G68" s="19" t="n"/>
    </row>
    <row r="69">
      <c r="A69" s="18" t="n"/>
      <c r="B69" s="19" t="n"/>
      <c r="C69" s="19" t="n"/>
      <c r="D69" s="19" t="n"/>
      <c r="E69" s="19" t="n"/>
      <c r="F69" s="18" t="n"/>
      <c r="G69" s="19" t="n"/>
    </row>
    <row r="70">
      <c r="A70" s="18" t="n"/>
      <c r="B70" s="19" t="n"/>
      <c r="C70" s="19" t="n"/>
      <c r="D70" s="19" t="n"/>
      <c r="E70" s="19" t="n"/>
      <c r="F70" s="18" t="n"/>
      <c r="G70" s="19" t="n"/>
    </row>
    <row r="71">
      <c r="A71" s="18" t="n"/>
      <c r="B71" s="19" t="n"/>
      <c r="C71" s="19" t="n"/>
      <c r="D71" s="19" t="n"/>
      <c r="E71" s="19" t="n"/>
      <c r="F71" s="18" t="n"/>
      <c r="G71" s="19" t="n"/>
    </row>
    <row r="72">
      <c r="A72" s="18" t="n"/>
      <c r="B72" s="19" t="n"/>
      <c r="C72" s="19" t="n"/>
      <c r="D72" s="19" t="n"/>
      <c r="E72" s="19" t="n"/>
      <c r="F72" s="18" t="n"/>
      <c r="G72" s="19" t="n"/>
    </row>
    <row r="73">
      <c r="A73" s="18" t="n"/>
      <c r="B73" s="19" t="n"/>
      <c r="C73" s="19" t="n"/>
      <c r="D73" s="19" t="n"/>
      <c r="E73" s="19" t="n"/>
      <c r="F73" s="18" t="n"/>
      <c r="G73" s="19" t="n"/>
    </row>
    <row r="74">
      <c r="A74" s="18" t="n"/>
      <c r="B74" s="19" t="n"/>
      <c r="C74" s="19" t="n"/>
      <c r="D74" s="19" t="n"/>
      <c r="E74" s="19" t="n"/>
      <c r="F74" s="18" t="n"/>
      <c r="G74" s="19" t="n"/>
    </row>
    <row r="75">
      <c r="A75" s="18" t="n"/>
      <c r="B75" s="19" t="n"/>
      <c r="C75" s="19" t="n"/>
      <c r="D75" s="19" t="n"/>
      <c r="E75" s="19" t="n"/>
      <c r="F75" s="18" t="n"/>
      <c r="G75" s="19" t="n"/>
    </row>
    <row r="76">
      <c r="A76" s="18" t="n"/>
      <c r="B76" s="19" t="n"/>
      <c r="C76" s="19" t="n"/>
      <c r="D76" s="19" t="n"/>
      <c r="E76" s="19" t="n"/>
      <c r="F76" s="18" t="n"/>
      <c r="G76" s="19" t="n"/>
    </row>
    <row r="77">
      <c r="A77" s="18" t="n"/>
      <c r="B77" s="19" t="n"/>
      <c r="C77" s="19" t="n"/>
      <c r="D77" s="19" t="n"/>
      <c r="E77" s="19" t="n"/>
      <c r="F77" s="18" t="n"/>
      <c r="G77" s="19" t="n"/>
    </row>
    <row r="78">
      <c r="A78" s="18" t="n"/>
      <c r="B78" s="19" t="n"/>
      <c r="C78" s="19" t="n"/>
      <c r="D78" s="19" t="n"/>
      <c r="E78" s="19" t="n"/>
      <c r="F78" s="18" t="n"/>
      <c r="G78" s="19" t="n"/>
    </row>
    <row r="79">
      <c r="A79" s="18" t="n"/>
      <c r="B79" s="19" t="n"/>
      <c r="C79" s="19" t="n"/>
      <c r="D79" s="19" t="n"/>
      <c r="E79" s="19" t="n"/>
      <c r="F79" s="18" t="n"/>
      <c r="G79" s="19" t="n"/>
    </row>
    <row r="80">
      <c r="A80" s="18" t="n"/>
      <c r="B80" s="19" t="n"/>
      <c r="C80" s="19" t="n"/>
      <c r="D80" s="19" t="n"/>
      <c r="E80" s="19" t="n"/>
      <c r="F80" s="18" t="n"/>
      <c r="G80" s="19" t="n"/>
    </row>
    <row r="81">
      <c r="A81" s="18" t="n"/>
      <c r="B81" s="19" t="n"/>
      <c r="C81" s="19" t="n"/>
      <c r="D81" s="19" t="n"/>
      <c r="E81" s="19" t="n"/>
      <c r="F81" s="18" t="n"/>
      <c r="G81" s="19" t="n"/>
    </row>
    <row r="82">
      <c r="A82" s="18" t="n"/>
      <c r="B82" s="19" t="n"/>
      <c r="C82" s="19" t="n"/>
      <c r="D82" s="19" t="n"/>
      <c r="E82" s="19" t="n"/>
      <c r="F82" s="18" t="n"/>
      <c r="G82" s="19" t="n"/>
    </row>
    <row r="83">
      <c r="A83" s="18" t="n"/>
      <c r="B83" s="19" t="n"/>
      <c r="C83" s="19" t="n"/>
      <c r="D83" s="19" t="n"/>
      <c r="E83" s="19" t="n"/>
      <c r="F83" s="18" t="n"/>
      <c r="G83" s="19" t="n"/>
    </row>
    <row r="84">
      <c r="A84" s="18" t="n"/>
      <c r="B84" s="19" t="n"/>
      <c r="C84" s="19" t="n"/>
      <c r="D84" s="19" t="n"/>
      <c r="E84" s="19" t="n"/>
      <c r="F84" s="18" t="n"/>
      <c r="G84" s="19" t="n"/>
    </row>
    <row r="85">
      <c r="A85" s="18" t="n"/>
      <c r="B85" s="19" t="n"/>
      <c r="C85" s="19" t="n"/>
      <c r="D85" s="19" t="n"/>
      <c r="E85" s="19" t="n"/>
      <c r="F85" s="18" t="n"/>
      <c r="G85" s="19" t="n"/>
    </row>
    <row r="86">
      <c r="A86" s="18" t="n"/>
      <c r="B86" s="19" t="n"/>
      <c r="C86" s="19" t="n"/>
      <c r="D86" s="19" t="n"/>
      <c r="E86" s="19" t="n"/>
      <c r="F86" s="18" t="n"/>
      <c r="G86" s="19" t="n"/>
    </row>
    <row r="87">
      <c r="A87" s="18" t="n"/>
      <c r="B87" s="19" t="n"/>
      <c r="C87" s="19" t="n"/>
      <c r="D87" s="19" t="n"/>
      <c r="E87" s="19" t="n"/>
      <c r="F87" s="18" t="n"/>
      <c r="G87" s="19" t="n"/>
    </row>
    <row r="88">
      <c r="A88" s="18" t="n"/>
      <c r="B88" s="19" t="n"/>
      <c r="C88" s="19" t="n"/>
      <c r="D88" s="19" t="n"/>
      <c r="E88" s="19" t="n"/>
      <c r="F88" s="18" t="n"/>
      <c r="G88" s="19" t="n"/>
    </row>
    <row r="89">
      <c r="A89" s="18" t="n"/>
      <c r="B89" s="19" t="n"/>
      <c r="C89" s="19" t="n"/>
      <c r="D89" s="19" t="n"/>
      <c r="E89" s="19" t="n"/>
      <c r="F89" s="18" t="n"/>
      <c r="G89" s="19" t="n"/>
    </row>
    <row r="90">
      <c r="A90" s="18" t="n"/>
      <c r="B90" s="19" t="n"/>
      <c r="C90" s="19" t="n"/>
      <c r="D90" s="19" t="n"/>
      <c r="E90" s="19" t="n"/>
      <c r="F90" s="18" t="n"/>
      <c r="G90" s="19" t="n"/>
    </row>
    <row r="91">
      <c r="A91" s="18" t="n"/>
      <c r="B91" s="19" t="n"/>
      <c r="C91" s="19" t="n"/>
      <c r="D91" s="19" t="n"/>
      <c r="E91" s="19" t="n"/>
      <c r="F91" s="18" t="n"/>
      <c r="G91" s="19" t="n"/>
    </row>
    <row r="92">
      <c r="A92" s="18" t="n"/>
      <c r="B92" s="19" t="n"/>
      <c r="C92" s="19" t="n"/>
      <c r="D92" s="19" t="n"/>
      <c r="E92" s="19" t="n"/>
      <c r="F92" s="18" t="n"/>
      <c r="G92" s="19" t="n"/>
    </row>
    <row r="93">
      <c r="A93" s="18" t="n"/>
      <c r="B93" s="19" t="n"/>
      <c r="C93" s="19" t="n"/>
      <c r="D93" s="19" t="n"/>
      <c r="E93" s="19" t="n"/>
      <c r="F93" s="18" t="n"/>
      <c r="G93" s="19" t="n"/>
    </row>
    <row r="94">
      <c r="A94" s="18" t="n"/>
      <c r="B94" s="19" t="n"/>
      <c r="C94" s="19" t="n"/>
      <c r="D94" s="19" t="n"/>
      <c r="E94" s="19" t="n"/>
      <c r="F94" s="18" t="n"/>
      <c r="G94" s="19" t="n"/>
    </row>
    <row r="95">
      <c r="A95" s="18" t="n"/>
      <c r="B95" s="19" t="n"/>
      <c r="C95" s="19" t="n"/>
      <c r="D95" s="19" t="n"/>
      <c r="E95" s="19" t="n"/>
      <c r="F95" s="18" t="n"/>
      <c r="G95" s="19" t="n"/>
    </row>
    <row r="96">
      <c r="A96" s="18" t="n"/>
      <c r="B96" s="19" t="n"/>
      <c r="C96" s="19" t="n"/>
      <c r="D96" s="19" t="n"/>
      <c r="E96" s="19" t="n"/>
      <c r="F96" s="18" t="n"/>
      <c r="G96" s="19" t="n"/>
    </row>
    <row r="97">
      <c r="A97" s="18" t="n"/>
      <c r="B97" s="19" t="n"/>
      <c r="C97" s="19" t="n"/>
      <c r="D97" s="19" t="n"/>
      <c r="E97" s="19" t="n"/>
      <c r="F97" s="18" t="n"/>
      <c r="G97" s="19" t="n"/>
    </row>
    <row r="98">
      <c r="A98" s="18" t="n"/>
      <c r="B98" s="19" t="n"/>
      <c r="C98" s="19" t="n"/>
      <c r="D98" s="19" t="n"/>
      <c r="E98" s="19" t="n"/>
      <c r="F98" s="18" t="n"/>
      <c r="G98" s="19" t="n"/>
    </row>
    <row r="99">
      <c r="A99" s="18" t="n"/>
      <c r="B99" s="19" t="n"/>
      <c r="C99" s="19" t="n"/>
      <c r="D99" s="19" t="n"/>
      <c r="E99" s="19" t="n"/>
      <c r="F99" s="18" t="n"/>
      <c r="G99" s="19" t="n"/>
    </row>
    <row r="100">
      <c r="A100" s="18" t="n"/>
      <c r="B100" s="19" t="n"/>
      <c r="C100" s="19" t="n"/>
      <c r="D100" s="19" t="n"/>
      <c r="E100" s="19" t="n"/>
      <c r="F100" s="18" t="n"/>
      <c r="G100" s="19" t="n"/>
    </row>
    <row r="101">
      <c r="A101" s="18" t="n"/>
      <c r="B101" s="19" t="n"/>
      <c r="C101" s="19" t="n"/>
      <c r="D101" s="19" t="n"/>
      <c r="E101" s="19" t="n"/>
      <c r="F101" s="18" t="n"/>
      <c r="G101" s="19" t="n"/>
    </row>
    <row r="102">
      <c r="A102" s="18" t="n"/>
      <c r="B102" s="19" t="n"/>
      <c r="C102" s="19" t="n"/>
      <c r="D102" s="19" t="n"/>
      <c r="E102" s="19" t="n"/>
      <c r="F102" s="18" t="n"/>
      <c r="G102" s="19" t="n"/>
    </row>
    <row r="103">
      <c r="A103" s="18" t="n"/>
      <c r="B103" s="19" t="n"/>
      <c r="C103" s="19" t="n"/>
      <c r="D103" s="19" t="n"/>
      <c r="E103" s="19" t="n"/>
      <c r="F103" s="18" t="n"/>
      <c r="G103" s="19" t="n"/>
    </row>
    <row r="104">
      <c r="A104" s="18" t="n"/>
      <c r="B104" s="19" t="n"/>
      <c r="C104" s="19" t="n"/>
      <c r="D104" s="19" t="n"/>
      <c r="E104" s="19" t="n"/>
      <c r="F104" s="18" t="n"/>
      <c r="G104" s="19" t="n"/>
    </row>
    <row r="105">
      <c r="A105" s="18" t="n"/>
      <c r="B105" s="19" t="n"/>
      <c r="C105" s="19" t="n"/>
      <c r="D105" s="19" t="n"/>
      <c r="E105" s="19" t="n"/>
      <c r="F105" s="18" t="n"/>
      <c r="G105" s="19" t="n"/>
    </row>
    <row r="106">
      <c r="A106" s="18" t="n"/>
      <c r="B106" s="19" t="n"/>
      <c r="C106" s="19" t="n"/>
      <c r="D106" s="19" t="n"/>
      <c r="E106" s="19" t="n"/>
      <c r="F106" s="18" t="n"/>
      <c r="G106" s="19" t="n"/>
    </row>
    <row r="107">
      <c r="A107" s="18" t="n"/>
      <c r="B107" s="19" t="n"/>
      <c r="C107" s="19" t="n"/>
      <c r="D107" s="19" t="n"/>
      <c r="E107" s="19" t="n"/>
      <c r="F107" s="18" t="n"/>
      <c r="G107" s="19" t="n"/>
    </row>
    <row r="108">
      <c r="A108" s="18" t="n"/>
      <c r="B108" s="19" t="n"/>
      <c r="C108" s="19" t="n"/>
      <c r="D108" s="19" t="n"/>
      <c r="E108" s="19" t="n"/>
      <c r="F108" s="18" t="n"/>
      <c r="G108" s="19" t="n"/>
    </row>
    <row r="109">
      <c r="A109" s="18" t="n"/>
      <c r="B109" s="19" t="n"/>
      <c r="C109" s="19" t="n"/>
      <c r="D109" s="19" t="n"/>
      <c r="E109" s="19" t="n"/>
      <c r="F109" s="18" t="n"/>
      <c r="G109" s="19" t="n"/>
    </row>
    <row r="110">
      <c r="A110" s="18" t="n"/>
      <c r="B110" s="19" t="n"/>
      <c r="C110" s="19" t="n"/>
      <c r="D110" s="19" t="n"/>
      <c r="E110" s="19" t="n"/>
      <c r="F110" s="18" t="n"/>
      <c r="G110" s="19" t="n"/>
    </row>
    <row r="111">
      <c r="A111" s="18" t="n"/>
      <c r="B111" s="19" t="n"/>
      <c r="C111" s="19" t="n"/>
      <c r="D111" s="19" t="n"/>
      <c r="E111" s="19" t="n"/>
      <c r="F111" s="18" t="n"/>
      <c r="G111" s="19" t="n"/>
    </row>
  </sheetData>
  <mergeCells count="4">
    <mergeCell ref="B38:G38"/>
    <mergeCell ref="B40:G40"/>
    <mergeCell ref="B39:G39"/>
    <mergeCell ref="B41:G41"/>
  </mergeCells>
  <conditionalFormatting sqref="G9:G14">
    <cfRule type="cellIs" priority="1" operator="lessThan" dxfId="0">
      <formula>0</formula>
    </cfRule>
  </conditionalFormatting>
  <conditionalFormatting sqref="B9:C14">
    <cfRule type="expression" priority="2" dxfId="1">
      <formula>AND(ISNUMBER($B9),ISNUMBER($C9),ABS($B9-$C9)&gt;=2)</formula>
    </cfRule>
  </conditionalFormatting>
  <conditionalFormatting sqref="A18:G29">
    <cfRule type="expression" priority="3" dxfId="2">
      <formula>OR($B18="Reconhecimento",$B18="Positiva")</formula>
    </cfRule>
    <cfRule type="expression" priority="4" dxfId="1">
      <formula>AND($G18="Não",OR($B18="Ponto de atenção",$B18="Incidente"))</formula>
    </cfRule>
  </conditionalFormatting>
  <dataValidations count="2">
    <dataValidation sqref="B4" showDropDown="0" showInputMessage="0" showErrorMessage="0" allowBlank="1" type="list">
      <formula1>=Pessoas!$B$5:$B$64</formula1>
    </dataValidation>
    <dataValidation sqref="G52:G111" showDropDown="0" showInputMessage="0" showErrorMessage="0" allowBlank="1" type="list">
      <formula1>=Config!$R$13:$R$15</formula1>
    </dataValidation>
  </dataValidations>
  <pageMargins left="0.75" right="0.75" top="1" bottom="1" header="0.5" footer="0.5"/>
  <pageSetup orientation="portrait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0" customWidth="1" min="4" max="4"/>
    <col width="10" customWidth="1" min="5" max="5"/>
    <col width="8" customWidth="1" min="6" max="6"/>
    <col width="46" customWidth="1" min="7" max="7"/>
    <col width="46" customWidth="1" min="8" max="8"/>
    <col width="22" customWidth="1" min="9" max="9"/>
    <col width="12" customWidth="1" min="10" max="10"/>
    <col width="13" customWidth="1" min="11" max="11"/>
    <col width="14" customWidth="1" min="12" max="12"/>
    <col width="11" customWidth="1" min="13" max="13"/>
    <col width="6" customWidth="1" min="14" max="14"/>
  </cols>
  <sheetData>
    <row r="1" ht="22" customHeight="1">
      <c r="A1" s="1" t="inlineStr">
        <is>
          <t>Plano de desenvolvimento</t>
        </is>
      </c>
    </row>
    <row r="2">
      <c r="A2" s="2" t="inlineStr">
        <is>
          <t>No máximo 2 focos por pessoa por ciclo. Plano com 6 itens não é plano.</t>
        </is>
      </c>
    </row>
    <row r="3">
      <c r="A3" s="16" t="inlineStr">
        <is>
          <t>"Melhorar em testes" não é PDI.  ·  "Nos próximos 3 PRs de rota nova, incluir teste de caminho de erro sem que o review precise pedir — verificado por mim em 30/11" é PDI.</t>
        </is>
      </c>
    </row>
    <row r="4" ht="32" customHeight="1">
      <c r="A4" s="12" t="inlineStr">
        <is>
          <t>Ciclo</t>
        </is>
      </c>
      <c r="B4" s="12" t="inlineStr">
        <is>
          <t>Pessoa</t>
        </is>
      </c>
      <c r="C4" s="12" t="inlineStr">
        <is>
          <t>Competência-alvo</t>
        </is>
      </c>
      <c r="D4" s="12" t="inlineStr">
        <is>
          <t>Nota atual</t>
        </is>
      </c>
      <c r="E4" s="12" t="inlineStr">
        <is>
          <t>Nota alvo</t>
        </is>
      </c>
      <c r="F4" s="12" t="inlineStr">
        <is>
          <t>Gap</t>
        </is>
      </c>
      <c r="G4" s="12" t="inlineStr">
        <is>
          <t>Ação concreta no trabalho real</t>
        </is>
      </c>
      <c r="H4" s="12" t="inlineStr">
        <is>
          <t>Como saberemos que fechou</t>
        </is>
      </c>
      <c r="I4" s="12" t="inlineStr">
        <is>
          <t>Apoio</t>
        </is>
      </c>
      <c r="J4" s="12" t="inlineStr">
        <is>
          <t>Prazo</t>
        </is>
      </c>
      <c r="K4" s="12" t="inlineStr">
        <is>
          <t>Último check-in</t>
        </is>
      </c>
      <c r="L4" s="12" t="inlineStr">
        <is>
          <t>Status</t>
        </is>
      </c>
      <c r="M4" s="12" t="inlineStr">
        <is>
          <t>ID_PESSOA</t>
        </is>
      </c>
      <c r="N4" s="12" t="inlineStr">
        <is>
          <t>seq</t>
        </is>
      </c>
    </row>
    <row r="5">
      <c r="A5" s="19" t="inlineStr">
        <is>
          <t>2026-Q3</t>
        </is>
      </c>
      <c r="B5" s="19" t="inlineStr">
        <is>
          <t>Ana Ribeiro</t>
        </is>
      </c>
      <c r="C5" s="19" t="inlineStr">
        <is>
          <t>Qualidade da entrega</t>
        </is>
      </c>
      <c r="D5" s="14">
        <f>IF($B5="","",IF(COUNTIFS('Avaliação'!$AA$5:$AA$404,$M5&amp;"|"&amp;VALUE(LEFT($A5,4))*4+VALUE(RIGHT($A5,1))&amp;"|"&amp;$C5,'Avaliação'!$P$5:$P$404,"&gt;0")=0,"",SUMIFS('Avaliação'!$P$5:$P$404,'Avaliação'!$AA$5:$AA$404,$M5&amp;"|"&amp;VALUE(LEFT($A5,4))*4+VALUE(RIGHT($A5,1))&amp;"|"&amp;$C5)))</f>
        <v/>
      </c>
      <c r="E5" s="19" t="n">
        <v>3</v>
      </c>
      <c r="F5" s="14">
        <f>IF(OR($D5="",$E5=""),"",$E5-$D5)</f>
        <v/>
      </c>
      <c r="G5" s="19" t="inlineStr">
        <is>
          <t>Ser a dona dos testes da nova rota de resgate — escopo real, com o LT como rede de proteção. Não curso.</t>
        </is>
      </c>
      <c r="H5" s="19" t="inlineStr">
        <is>
          <t>Nos próximos 3 PRs de rota nova, teste de caminho de erro presente sem o review precisar pedir.</t>
        </is>
      </c>
      <c r="I5" s="19" t="inlineStr">
        <is>
          <t>Rafael Souza (LT), pareamento de 1h/semana</t>
        </is>
      </c>
      <c r="J5" s="18" t="n">
        <v>46356</v>
      </c>
      <c r="K5" s="18" t="n">
        <v>46295</v>
      </c>
      <c r="L5" s="19" t="inlineStr">
        <is>
          <t>Em andamento</t>
        </is>
      </c>
      <c r="M5" s="14">
        <f>IFERROR(INDEX(Pessoas!$A$5:$A$64,MATCH($B5,Pessoas!$B$5:$B$64,0)),"")</f>
        <v/>
      </c>
      <c r="N5" s="14">
        <f>IF(OR($B5="",$B5&lt;&gt;'1a1'!$B$4,$A5&lt;&gt;Config!$B$4),"",COUNTIFS($B$5:$B5,'1a1'!$B$4,$A$5:$A5,Config!$B$4))</f>
        <v/>
      </c>
    </row>
    <row r="6">
      <c r="A6" s="19" t="inlineStr">
        <is>
          <t>2026-Q3</t>
        </is>
      </c>
      <c r="B6" s="19" t="inlineStr">
        <is>
          <t>Ana Ribeiro</t>
        </is>
      </c>
      <c r="C6" s="19" t="inlineStr">
        <is>
          <t>Previsibilidade</t>
        </is>
      </c>
      <c r="D6" s="14">
        <f>IF($B6="","",IF(COUNTIFS('Avaliação'!$AA$5:$AA$404,$M6&amp;"|"&amp;VALUE(LEFT($A6,4))*4+VALUE(RIGHT($A6,1))&amp;"|"&amp;$C6,'Avaliação'!$P$5:$P$404,"&gt;0")=0,"",SUMIFS('Avaliação'!$P$5:$P$404,'Avaliação'!$AA$5:$AA$404,$M6&amp;"|"&amp;VALUE(LEFT($A6,4))*4+VALUE(RIGHT($A6,1))&amp;"|"&amp;$C6)))</f>
        <v/>
      </c>
      <c r="E6" s="19" t="n">
        <v>4</v>
      </c>
      <c r="F6" s="14">
        <f>IF(OR($D6="",$E6=""),"",$E6-$D6)</f>
        <v/>
      </c>
      <c r="G6" s="19" t="inlineStr">
        <is>
          <t>Conduzir o refinamento do épico de cupom de ponta a ponta, incluindo a conversa com o PO.</t>
        </is>
      </c>
      <c r="H6" s="19" t="inlineStr">
        <is>
          <t>Dois refinamentos conduzidos sem o GP precisar entrar para destravar.</t>
        </is>
      </c>
      <c r="I6" s="19" t="inlineStr">
        <is>
          <t>Marcos Lima (GP), observando sem intervir</t>
        </is>
      </c>
      <c r="J6" s="18" t="n">
        <v>46371</v>
      </c>
      <c r="K6" s="18" t="n">
        <v>46295</v>
      </c>
      <c r="L6" s="19" t="inlineStr">
        <is>
          <t>Não iniciado</t>
        </is>
      </c>
      <c r="M6" s="14">
        <f>IFERROR(INDEX(Pessoas!$A$5:$A$64,MATCH($B6,Pessoas!$B$5:$B$64,0)),"")</f>
        <v/>
      </c>
      <c r="N6" s="14">
        <f>IF(OR($B6="",$B6&lt;&gt;'1a1'!$B$4,$A6&lt;&gt;Config!$B$4),"",COUNTIFS($B$5:$B6,'1a1'!$B$4,$A$5:$A6,Config!$B$4))</f>
        <v/>
      </c>
    </row>
    <row r="7">
      <c r="A7" s="19" t="n"/>
      <c r="B7" s="19" t="n"/>
      <c r="C7" s="19" t="n"/>
      <c r="D7" s="14">
        <f>IF($B7="","",IF(COUNTIFS('Avaliação'!$AA$5:$AA$404,$M7&amp;"|"&amp;VALUE(LEFT($A7,4))*4+VALUE(RIGHT($A7,1))&amp;"|"&amp;$C7,'Avaliação'!$P$5:$P$404,"&gt;0")=0,"",SUMIFS('Avaliação'!$P$5:$P$404,'Avaliação'!$AA$5:$AA$404,$M7&amp;"|"&amp;VALUE(LEFT($A7,4))*4+VALUE(RIGHT($A7,1))&amp;"|"&amp;$C7)))</f>
        <v/>
      </c>
      <c r="E7" s="19" t="n"/>
      <c r="F7" s="14">
        <f>IF(OR($D7="",$E7=""),"",$E7-$D7)</f>
        <v/>
      </c>
      <c r="G7" s="19" t="n"/>
      <c r="H7" s="19" t="n"/>
      <c r="I7" s="19" t="n"/>
      <c r="J7" s="18" t="n"/>
      <c r="K7" s="18" t="n"/>
      <c r="L7" s="19" t="n"/>
      <c r="M7" s="14">
        <f>IFERROR(INDEX(Pessoas!$A$5:$A$64,MATCH($B7,Pessoas!$B$5:$B$64,0)),"")</f>
        <v/>
      </c>
      <c r="N7" s="14">
        <f>IF(OR($B7="",$B7&lt;&gt;'1a1'!$B$4,$A7&lt;&gt;Config!$B$4),"",COUNTIFS($B$5:$B7,'1a1'!$B$4,$A$5:$A7,Config!$B$4))</f>
        <v/>
      </c>
    </row>
    <row r="8">
      <c r="A8" s="19" t="n"/>
      <c r="B8" s="19" t="n"/>
      <c r="C8" s="19" t="n"/>
      <c r="D8" s="14">
        <f>IF($B8="","",IF(COUNTIFS('Avaliação'!$AA$5:$AA$404,$M8&amp;"|"&amp;VALUE(LEFT($A8,4))*4+VALUE(RIGHT($A8,1))&amp;"|"&amp;$C8,'Avaliação'!$P$5:$P$404,"&gt;0")=0,"",SUMIFS('Avaliação'!$P$5:$P$404,'Avaliação'!$AA$5:$AA$404,$M8&amp;"|"&amp;VALUE(LEFT($A8,4))*4+VALUE(RIGHT($A8,1))&amp;"|"&amp;$C8)))</f>
        <v/>
      </c>
      <c r="E8" s="19" t="n"/>
      <c r="F8" s="14">
        <f>IF(OR($D8="",$E8=""),"",$E8-$D8)</f>
        <v/>
      </c>
      <c r="G8" s="19" t="n"/>
      <c r="H8" s="19" t="n"/>
      <c r="I8" s="19" t="n"/>
      <c r="J8" s="18" t="n"/>
      <c r="K8" s="18" t="n"/>
      <c r="L8" s="19" t="n"/>
      <c r="M8" s="14">
        <f>IFERROR(INDEX(Pessoas!$A$5:$A$64,MATCH($B8,Pessoas!$B$5:$B$64,0)),"")</f>
        <v/>
      </c>
      <c r="N8" s="14">
        <f>IF(OR($B8="",$B8&lt;&gt;'1a1'!$B$4,$A8&lt;&gt;Config!$B$4),"",COUNTIFS($B$5:$B8,'1a1'!$B$4,$A$5:$A8,Config!$B$4))</f>
        <v/>
      </c>
    </row>
    <row r="9">
      <c r="A9" s="19" t="n"/>
      <c r="B9" s="19" t="n"/>
      <c r="C9" s="19" t="n"/>
      <c r="D9" s="14">
        <f>IF($B9="","",IF(COUNTIFS('Avaliação'!$AA$5:$AA$404,$M9&amp;"|"&amp;VALUE(LEFT($A9,4))*4+VALUE(RIGHT($A9,1))&amp;"|"&amp;$C9,'Avaliação'!$P$5:$P$404,"&gt;0")=0,"",SUMIFS('Avaliação'!$P$5:$P$404,'Avaliação'!$AA$5:$AA$404,$M9&amp;"|"&amp;VALUE(LEFT($A9,4))*4+VALUE(RIGHT($A9,1))&amp;"|"&amp;$C9)))</f>
        <v/>
      </c>
      <c r="E9" s="19" t="n"/>
      <c r="F9" s="14">
        <f>IF(OR($D9="",$E9=""),"",$E9-$D9)</f>
        <v/>
      </c>
      <c r="G9" s="19" t="n"/>
      <c r="H9" s="19" t="n"/>
      <c r="I9" s="19" t="n"/>
      <c r="J9" s="18" t="n"/>
      <c r="K9" s="18" t="n"/>
      <c r="L9" s="19" t="n"/>
      <c r="M9" s="14">
        <f>IFERROR(INDEX(Pessoas!$A$5:$A$64,MATCH($B9,Pessoas!$B$5:$B$64,0)),"")</f>
        <v/>
      </c>
      <c r="N9" s="14">
        <f>IF(OR($B9="",$B9&lt;&gt;'1a1'!$B$4,$A9&lt;&gt;Config!$B$4),"",COUNTIFS($B$5:$B9,'1a1'!$B$4,$A$5:$A9,Config!$B$4))</f>
        <v/>
      </c>
    </row>
    <row r="10">
      <c r="A10" s="19" t="n"/>
      <c r="B10" s="19" t="n"/>
      <c r="C10" s="19" t="n"/>
      <c r="D10" s="14">
        <f>IF($B10="","",IF(COUNTIFS('Avaliação'!$AA$5:$AA$404,$M10&amp;"|"&amp;VALUE(LEFT($A10,4))*4+VALUE(RIGHT($A10,1))&amp;"|"&amp;$C10,'Avaliação'!$P$5:$P$404,"&gt;0")=0,"",SUMIFS('Avaliação'!$P$5:$P$404,'Avaliação'!$AA$5:$AA$404,$M10&amp;"|"&amp;VALUE(LEFT($A10,4))*4+VALUE(RIGHT($A10,1))&amp;"|"&amp;$C10)))</f>
        <v/>
      </c>
      <c r="E10" s="19" t="n"/>
      <c r="F10" s="14">
        <f>IF(OR($D10="",$E10=""),"",$E10-$D10)</f>
        <v/>
      </c>
      <c r="G10" s="19" t="n"/>
      <c r="H10" s="19" t="n"/>
      <c r="I10" s="19" t="n"/>
      <c r="J10" s="18" t="n"/>
      <c r="K10" s="18" t="n"/>
      <c r="L10" s="19" t="n"/>
      <c r="M10" s="14">
        <f>IFERROR(INDEX(Pessoas!$A$5:$A$64,MATCH($B10,Pessoas!$B$5:$B$64,0)),"")</f>
        <v/>
      </c>
      <c r="N10" s="14">
        <f>IF(OR($B10="",$B10&lt;&gt;'1a1'!$B$4,$A10&lt;&gt;Config!$B$4),"",COUNTIFS($B$5:$B10,'1a1'!$B$4,$A$5:$A10,Config!$B$4))</f>
        <v/>
      </c>
    </row>
    <row r="11">
      <c r="A11" s="19" t="n"/>
      <c r="B11" s="19" t="n"/>
      <c r="C11" s="19" t="n"/>
      <c r="D11" s="14">
        <f>IF($B11="","",IF(COUNTIFS('Avaliação'!$AA$5:$AA$404,$M11&amp;"|"&amp;VALUE(LEFT($A11,4))*4+VALUE(RIGHT($A11,1))&amp;"|"&amp;$C11,'Avaliação'!$P$5:$P$404,"&gt;0")=0,"",SUMIFS('Avaliação'!$P$5:$P$404,'Avaliação'!$AA$5:$AA$404,$M11&amp;"|"&amp;VALUE(LEFT($A11,4))*4+VALUE(RIGHT($A11,1))&amp;"|"&amp;$C11)))</f>
        <v/>
      </c>
      <c r="E11" s="19" t="n"/>
      <c r="F11" s="14">
        <f>IF(OR($D11="",$E11=""),"",$E11-$D11)</f>
        <v/>
      </c>
      <c r="G11" s="19" t="n"/>
      <c r="H11" s="19" t="n"/>
      <c r="I11" s="19" t="n"/>
      <c r="J11" s="18" t="n"/>
      <c r="K11" s="18" t="n"/>
      <c r="L11" s="19" t="n"/>
      <c r="M11" s="14">
        <f>IFERROR(INDEX(Pessoas!$A$5:$A$64,MATCH($B11,Pessoas!$B$5:$B$64,0)),"")</f>
        <v/>
      </c>
      <c r="N11" s="14">
        <f>IF(OR($B11="",$B11&lt;&gt;'1a1'!$B$4,$A11&lt;&gt;Config!$B$4),"",COUNTIFS($B$5:$B11,'1a1'!$B$4,$A$5:$A11,Config!$B$4))</f>
        <v/>
      </c>
    </row>
    <row r="12">
      <c r="A12" s="19" t="n"/>
      <c r="B12" s="19" t="n"/>
      <c r="C12" s="19" t="n"/>
      <c r="D12" s="14">
        <f>IF($B12="","",IF(COUNTIFS('Avaliação'!$AA$5:$AA$404,$M12&amp;"|"&amp;VALUE(LEFT($A12,4))*4+VALUE(RIGHT($A12,1))&amp;"|"&amp;$C12,'Avaliação'!$P$5:$P$404,"&gt;0")=0,"",SUMIFS('Avaliação'!$P$5:$P$404,'Avaliação'!$AA$5:$AA$404,$M12&amp;"|"&amp;VALUE(LEFT($A12,4))*4+VALUE(RIGHT($A12,1))&amp;"|"&amp;$C12)))</f>
        <v/>
      </c>
      <c r="E12" s="19" t="n"/>
      <c r="F12" s="14">
        <f>IF(OR($D12="",$E12=""),"",$E12-$D12)</f>
        <v/>
      </c>
      <c r="G12" s="19" t="n"/>
      <c r="H12" s="19" t="n"/>
      <c r="I12" s="19" t="n"/>
      <c r="J12" s="18" t="n"/>
      <c r="K12" s="18" t="n"/>
      <c r="L12" s="19" t="n"/>
      <c r="M12" s="14">
        <f>IFERROR(INDEX(Pessoas!$A$5:$A$64,MATCH($B12,Pessoas!$B$5:$B$64,0)),"")</f>
        <v/>
      </c>
      <c r="N12" s="14">
        <f>IF(OR($B12="",$B12&lt;&gt;'1a1'!$B$4,$A12&lt;&gt;Config!$B$4),"",COUNTIFS($B$5:$B12,'1a1'!$B$4,$A$5:$A12,Config!$B$4))</f>
        <v/>
      </c>
    </row>
    <row r="13">
      <c r="A13" s="19" t="n"/>
      <c r="B13" s="19" t="n"/>
      <c r="C13" s="19" t="n"/>
      <c r="D13" s="14">
        <f>IF($B13="","",IF(COUNTIFS('Avaliação'!$AA$5:$AA$404,$M13&amp;"|"&amp;VALUE(LEFT($A13,4))*4+VALUE(RIGHT($A13,1))&amp;"|"&amp;$C13,'Avaliação'!$P$5:$P$404,"&gt;0")=0,"",SUMIFS('Avaliação'!$P$5:$P$404,'Avaliação'!$AA$5:$AA$404,$M13&amp;"|"&amp;VALUE(LEFT($A13,4))*4+VALUE(RIGHT($A13,1))&amp;"|"&amp;$C13)))</f>
        <v/>
      </c>
      <c r="E13" s="19" t="n"/>
      <c r="F13" s="14">
        <f>IF(OR($D13="",$E13=""),"",$E13-$D13)</f>
        <v/>
      </c>
      <c r="G13" s="19" t="n"/>
      <c r="H13" s="19" t="n"/>
      <c r="I13" s="19" t="n"/>
      <c r="J13" s="18" t="n"/>
      <c r="K13" s="18" t="n"/>
      <c r="L13" s="19" t="n"/>
      <c r="M13" s="14">
        <f>IFERROR(INDEX(Pessoas!$A$5:$A$64,MATCH($B13,Pessoas!$B$5:$B$64,0)),"")</f>
        <v/>
      </c>
      <c r="N13" s="14">
        <f>IF(OR($B13="",$B13&lt;&gt;'1a1'!$B$4,$A13&lt;&gt;Config!$B$4),"",COUNTIFS($B$5:$B13,'1a1'!$B$4,$A$5:$A13,Config!$B$4))</f>
        <v/>
      </c>
    </row>
    <row r="14">
      <c r="A14" s="19" t="n"/>
      <c r="B14" s="19" t="n"/>
      <c r="C14" s="19" t="n"/>
      <c r="D14" s="14">
        <f>IF($B14="","",IF(COUNTIFS('Avaliação'!$AA$5:$AA$404,$M14&amp;"|"&amp;VALUE(LEFT($A14,4))*4+VALUE(RIGHT($A14,1))&amp;"|"&amp;$C14,'Avaliação'!$P$5:$P$404,"&gt;0")=0,"",SUMIFS('Avaliação'!$P$5:$P$404,'Avaliação'!$AA$5:$AA$404,$M14&amp;"|"&amp;VALUE(LEFT($A14,4))*4+VALUE(RIGHT($A14,1))&amp;"|"&amp;$C14)))</f>
        <v/>
      </c>
      <c r="E14" s="19" t="n"/>
      <c r="F14" s="14">
        <f>IF(OR($D14="",$E14=""),"",$E14-$D14)</f>
        <v/>
      </c>
      <c r="G14" s="19" t="n"/>
      <c r="H14" s="19" t="n"/>
      <c r="I14" s="19" t="n"/>
      <c r="J14" s="18" t="n"/>
      <c r="K14" s="18" t="n"/>
      <c r="L14" s="19" t="n"/>
      <c r="M14" s="14">
        <f>IFERROR(INDEX(Pessoas!$A$5:$A$64,MATCH($B14,Pessoas!$B$5:$B$64,0)),"")</f>
        <v/>
      </c>
      <c r="N14" s="14">
        <f>IF(OR($B14="",$B14&lt;&gt;'1a1'!$B$4,$A14&lt;&gt;Config!$B$4),"",COUNTIFS($B$5:$B14,'1a1'!$B$4,$A$5:$A14,Config!$B$4))</f>
        <v/>
      </c>
    </row>
    <row r="15">
      <c r="A15" s="19" t="n"/>
      <c r="B15" s="19" t="n"/>
      <c r="C15" s="19" t="n"/>
      <c r="D15" s="14">
        <f>IF($B15="","",IF(COUNTIFS('Avaliação'!$AA$5:$AA$404,$M15&amp;"|"&amp;VALUE(LEFT($A15,4))*4+VALUE(RIGHT($A15,1))&amp;"|"&amp;$C15,'Avaliação'!$P$5:$P$404,"&gt;0")=0,"",SUMIFS('Avaliação'!$P$5:$P$404,'Avaliação'!$AA$5:$AA$404,$M15&amp;"|"&amp;VALUE(LEFT($A15,4))*4+VALUE(RIGHT($A15,1))&amp;"|"&amp;$C15)))</f>
        <v/>
      </c>
      <c r="E15" s="19" t="n"/>
      <c r="F15" s="14">
        <f>IF(OR($D15="",$E15=""),"",$E15-$D15)</f>
        <v/>
      </c>
      <c r="G15" s="19" t="n"/>
      <c r="H15" s="19" t="n"/>
      <c r="I15" s="19" t="n"/>
      <c r="J15" s="18" t="n"/>
      <c r="K15" s="18" t="n"/>
      <c r="L15" s="19" t="n"/>
      <c r="M15" s="14">
        <f>IFERROR(INDEX(Pessoas!$A$5:$A$64,MATCH($B15,Pessoas!$B$5:$B$64,0)),"")</f>
        <v/>
      </c>
      <c r="N15" s="14">
        <f>IF(OR($B15="",$B15&lt;&gt;'1a1'!$B$4,$A15&lt;&gt;Config!$B$4),"",COUNTIFS($B$5:$B15,'1a1'!$B$4,$A$5:$A15,Config!$B$4))</f>
        <v/>
      </c>
    </row>
    <row r="16">
      <c r="A16" s="19" t="n"/>
      <c r="B16" s="19" t="n"/>
      <c r="C16" s="19" t="n"/>
      <c r="D16" s="14">
        <f>IF($B16="","",IF(COUNTIFS('Avaliação'!$AA$5:$AA$404,$M16&amp;"|"&amp;VALUE(LEFT($A16,4))*4+VALUE(RIGHT($A16,1))&amp;"|"&amp;$C16,'Avaliação'!$P$5:$P$404,"&gt;0")=0,"",SUMIFS('Avaliação'!$P$5:$P$404,'Avaliação'!$AA$5:$AA$404,$M16&amp;"|"&amp;VALUE(LEFT($A16,4))*4+VALUE(RIGHT($A16,1))&amp;"|"&amp;$C16)))</f>
        <v/>
      </c>
      <c r="E16" s="19" t="n"/>
      <c r="F16" s="14">
        <f>IF(OR($D16="",$E16=""),"",$E16-$D16)</f>
        <v/>
      </c>
      <c r="G16" s="19" t="n"/>
      <c r="H16" s="19" t="n"/>
      <c r="I16" s="19" t="n"/>
      <c r="J16" s="18" t="n"/>
      <c r="K16" s="18" t="n"/>
      <c r="L16" s="19" t="n"/>
      <c r="M16" s="14">
        <f>IFERROR(INDEX(Pessoas!$A$5:$A$64,MATCH($B16,Pessoas!$B$5:$B$64,0)),"")</f>
        <v/>
      </c>
      <c r="N16" s="14">
        <f>IF(OR($B16="",$B16&lt;&gt;'1a1'!$B$4,$A16&lt;&gt;Config!$B$4),"",COUNTIFS($B$5:$B16,'1a1'!$B$4,$A$5:$A16,Config!$B$4))</f>
        <v/>
      </c>
    </row>
    <row r="17">
      <c r="A17" s="19" t="n"/>
      <c r="B17" s="19" t="n"/>
      <c r="C17" s="19" t="n"/>
      <c r="D17" s="14">
        <f>IF($B17="","",IF(COUNTIFS('Avaliação'!$AA$5:$AA$404,$M17&amp;"|"&amp;VALUE(LEFT($A17,4))*4+VALUE(RIGHT($A17,1))&amp;"|"&amp;$C17,'Avaliação'!$P$5:$P$404,"&gt;0")=0,"",SUMIFS('Avaliação'!$P$5:$P$404,'Avaliação'!$AA$5:$AA$404,$M17&amp;"|"&amp;VALUE(LEFT($A17,4))*4+VALUE(RIGHT($A17,1))&amp;"|"&amp;$C17)))</f>
        <v/>
      </c>
      <c r="E17" s="19" t="n"/>
      <c r="F17" s="14">
        <f>IF(OR($D17="",$E17=""),"",$E17-$D17)</f>
        <v/>
      </c>
      <c r="G17" s="19" t="n"/>
      <c r="H17" s="19" t="n"/>
      <c r="I17" s="19" t="n"/>
      <c r="J17" s="18" t="n"/>
      <c r="K17" s="18" t="n"/>
      <c r="L17" s="19" t="n"/>
      <c r="M17" s="14">
        <f>IFERROR(INDEX(Pessoas!$A$5:$A$64,MATCH($B17,Pessoas!$B$5:$B$64,0)),"")</f>
        <v/>
      </c>
      <c r="N17" s="14">
        <f>IF(OR($B17="",$B17&lt;&gt;'1a1'!$B$4,$A17&lt;&gt;Config!$B$4),"",COUNTIFS($B$5:$B17,'1a1'!$B$4,$A$5:$A17,Config!$B$4))</f>
        <v/>
      </c>
    </row>
    <row r="18">
      <c r="A18" s="19" t="n"/>
      <c r="B18" s="19" t="n"/>
      <c r="C18" s="19" t="n"/>
      <c r="D18" s="14">
        <f>IF($B18="","",IF(COUNTIFS('Avaliação'!$AA$5:$AA$404,$M18&amp;"|"&amp;VALUE(LEFT($A18,4))*4+VALUE(RIGHT($A18,1))&amp;"|"&amp;$C18,'Avaliação'!$P$5:$P$404,"&gt;0")=0,"",SUMIFS('Avaliação'!$P$5:$P$404,'Avaliação'!$AA$5:$AA$404,$M18&amp;"|"&amp;VALUE(LEFT($A18,4))*4+VALUE(RIGHT($A18,1))&amp;"|"&amp;$C18)))</f>
        <v/>
      </c>
      <c r="E18" s="19" t="n"/>
      <c r="F18" s="14">
        <f>IF(OR($D18="",$E18=""),"",$E18-$D18)</f>
        <v/>
      </c>
      <c r="G18" s="19" t="n"/>
      <c r="H18" s="19" t="n"/>
      <c r="I18" s="19" t="n"/>
      <c r="J18" s="18" t="n"/>
      <c r="K18" s="18" t="n"/>
      <c r="L18" s="19" t="n"/>
      <c r="M18" s="14">
        <f>IFERROR(INDEX(Pessoas!$A$5:$A$64,MATCH($B18,Pessoas!$B$5:$B$64,0)),"")</f>
        <v/>
      </c>
      <c r="N18" s="14">
        <f>IF(OR($B18="",$B18&lt;&gt;'1a1'!$B$4,$A18&lt;&gt;Config!$B$4),"",COUNTIFS($B$5:$B18,'1a1'!$B$4,$A$5:$A18,Config!$B$4))</f>
        <v/>
      </c>
    </row>
    <row r="19">
      <c r="A19" s="19" t="n"/>
      <c r="B19" s="19" t="n"/>
      <c r="C19" s="19" t="n"/>
      <c r="D19" s="14">
        <f>IF($B19="","",IF(COUNTIFS('Avaliação'!$AA$5:$AA$404,$M19&amp;"|"&amp;VALUE(LEFT($A19,4))*4+VALUE(RIGHT($A19,1))&amp;"|"&amp;$C19,'Avaliação'!$P$5:$P$404,"&gt;0")=0,"",SUMIFS('Avaliação'!$P$5:$P$404,'Avaliação'!$AA$5:$AA$404,$M19&amp;"|"&amp;VALUE(LEFT($A19,4))*4+VALUE(RIGHT($A19,1))&amp;"|"&amp;$C19)))</f>
        <v/>
      </c>
      <c r="E19" s="19" t="n"/>
      <c r="F19" s="14">
        <f>IF(OR($D19="",$E19=""),"",$E19-$D19)</f>
        <v/>
      </c>
      <c r="G19" s="19" t="n"/>
      <c r="H19" s="19" t="n"/>
      <c r="I19" s="19" t="n"/>
      <c r="J19" s="18" t="n"/>
      <c r="K19" s="18" t="n"/>
      <c r="L19" s="19" t="n"/>
      <c r="M19" s="14">
        <f>IFERROR(INDEX(Pessoas!$A$5:$A$64,MATCH($B19,Pessoas!$B$5:$B$64,0)),"")</f>
        <v/>
      </c>
      <c r="N19" s="14">
        <f>IF(OR($B19="",$B19&lt;&gt;'1a1'!$B$4,$A19&lt;&gt;Config!$B$4),"",COUNTIFS($B$5:$B19,'1a1'!$B$4,$A$5:$A19,Config!$B$4))</f>
        <v/>
      </c>
    </row>
    <row r="20">
      <c r="A20" s="19" t="n"/>
      <c r="B20" s="19" t="n"/>
      <c r="C20" s="19" t="n"/>
      <c r="D20" s="14">
        <f>IF($B20="","",IF(COUNTIFS('Avaliação'!$AA$5:$AA$404,$M20&amp;"|"&amp;VALUE(LEFT($A20,4))*4+VALUE(RIGHT($A20,1))&amp;"|"&amp;$C20,'Avaliação'!$P$5:$P$404,"&gt;0")=0,"",SUMIFS('Avaliação'!$P$5:$P$404,'Avaliação'!$AA$5:$AA$404,$M20&amp;"|"&amp;VALUE(LEFT($A20,4))*4+VALUE(RIGHT($A20,1))&amp;"|"&amp;$C20)))</f>
        <v/>
      </c>
      <c r="E20" s="19" t="n"/>
      <c r="F20" s="14">
        <f>IF(OR($D20="",$E20=""),"",$E20-$D20)</f>
        <v/>
      </c>
      <c r="G20" s="19" t="n"/>
      <c r="H20" s="19" t="n"/>
      <c r="I20" s="19" t="n"/>
      <c r="J20" s="18" t="n"/>
      <c r="K20" s="18" t="n"/>
      <c r="L20" s="19" t="n"/>
      <c r="M20" s="14">
        <f>IFERROR(INDEX(Pessoas!$A$5:$A$64,MATCH($B20,Pessoas!$B$5:$B$64,0)),"")</f>
        <v/>
      </c>
      <c r="N20" s="14">
        <f>IF(OR($B20="",$B20&lt;&gt;'1a1'!$B$4,$A20&lt;&gt;Config!$B$4),"",COUNTIFS($B$5:$B20,'1a1'!$B$4,$A$5:$A20,Config!$B$4))</f>
        <v/>
      </c>
    </row>
    <row r="21">
      <c r="A21" s="19" t="n"/>
      <c r="B21" s="19" t="n"/>
      <c r="C21" s="19" t="n"/>
      <c r="D21" s="14">
        <f>IF($B21="","",IF(COUNTIFS('Avaliação'!$AA$5:$AA$404,$M21&amp;"|"&amp;VALUE(LEFT($A21,4))*4+VALUE(RIGHT($A21,1))&amp;"|"&amp;$C21,'Avaliação'!$P$5:$P$404,"&gt;0")=0,"",SUMIFS('Avaliação'!$P$5:$P$404,'Avaliação'!$AA$5:$AA$404,$M21&amp;"|"&amp;VALUE(LEFT($A21,4))*4+VALUE(RIGHT($A21,1))&amp;"|"&amp;$C21)))</f>
        <v/>
      </c>
      <c r="E21" s="19" t="n"/>
      <c r="F21" s="14">
        <f>IF(OR($D21="",$E21=""),"",$E21-$D21)</f>
        <v/>
      </c>
      <c r="G21" s="19" t="n"/>
      <c r="H21" s="19" t="n"/>
      <c r="I21" s="19" t="n"/>
      <c r="J21" s="18" t="n"/>
      <c r="K21" s="18" t="n"/>
      <c r="L21" s="19" t="n"/>
      <c r="M21" s="14">
        <f>IFERROR(INDEX(Pessoas!$A$5:$A$64,MATCH($B21,Pessoas!$B$5:$B$64,0)),"")</f>
        <v/>
      </c>
      <c r="N21" s="14">
        <f>IF(OR($B21="",$B21&lt;&gt;'1a1'!$B$4,$A21&lt;&gt;Config!$B$4),"",COUNTIFS($B$5:$B21,'1a1'!$B$4,$A$5:$A21,Config!$B$4))</f>
        <v/>
      </c>
    </row>
    <row r="22">
      <c r="A22" s="19" t="n"/>
      <c r="B22" s="19" t="n"/>
      <c r="C22" s="19" t="n"/>
      <c r="D22" s="14">
        <f>IF($B22="","",IF(COUNTIFS('Avaliação'!$AA$5:$AA$404,$M22&amp;"|"&amp;VALUE(LEFT($A22,4))*4+VALUE(RIGHT($A22,1))&amp;"|"&amp;$C22,'Avaliação'!$P$5:$P$404,"&gt;0")=0,"",SUMIFS('Avaliação'!$P$5:$P$404,'Avaliação'!$AA$5:$AA$404,$M22&amp;"|"&amp;VALUE(LEFT($A22,4))*4+VALUE(RIGHT($A22,1))&amp;"|"&amp;$C22)))</f>
        <v/>
      </c>
      <c r="E22" s="19" t="n"/>
      <c r="F22" s="14">
        <f>IF(OR($D22="",$E22=""),"",$E22-$D22)</f>
        <v/>
      </c>
      <c r="G22" s="19" t="n"/>
      <c r="H22" s="19" t="n"/>
      <c r="I22" s="19" t="n"/>
      <c r="J22" s="18" t="n"/>
      <c r="K22" s="18" t="n"/>
      <c r="L22" s="19" t="n"/>
      <c r="M22" s="14">
        <f>IFERROR(INDEX(Pessoas!$A$5:$A$64,MATCH($B22,Pessoas!$B$5:$B$64,0)),"")</f>
        <v/>
      </c>
      <c r="N22" s="14">
        <f>IF(OR($B22="",$B22&lt;&gt;'1a1'!$B$4,$A22&lt;&gt;Config!$B$4),"",COUNTIFS($B$5:$B22,'1a1'!$B$4,$A$5:$A22,Config!$B$4))</f>
        <v/>
      </c>
    </row>
    <row r="23">
      <c r="A23" s="19" t="n"/>
      <c r="B23" s="19" t="n"/>
      <c r="C23" s="19" t="n"/>
      <c r="D23" s="14">
        <f>IF($B23="","",IF(COUNTIFS('Avaliação'!$AA$5:$AA$404,$M23&amp;"|"&amp;VALUE(LEFT($A23,4))*4+VALUE(RIGHT($A23,1))&amp;"|"&amp;$C23,'Avaliação'!$P$5:$P$404,"&gt;0")=0,"",SUMIFS('Avaliação'!$P$5:$P$404,'Avaliação'!$AA$5:$AA$404,$M23&amp;"|"&amp;VALUE(LEFT($A23,4))*4+VALUE(RIGHT($A23,1))&amp;"|"&amp;$C23)))</f>
        <v/>
      </c>
      <c r="E23" s="19" t="n"/>
      <c r="F23" s="14">
        <f>IF(OR($D23="",$E23=""),"",$E23-$D23)</f>
        <v/>
      </c>
      <c r="G23" s="19" t="n"/>
      <c r="H23" s="19" t="n"/>
      <c r="I23" s="19" t="n"/>
      <c r="J23" s="18" t="n"/>
      <c r="K23" s="18" t="n"/>
      <c r="L23" s="19" t="n"/>
      <c r="M23" s="14">
        <f>IFERROR(INDEX(Pessoas!$A$5:$A$64,MATCH($B23,Pessoas!$B$5:$B$64,0)),"")</f>
        <v/>
      </c>
      <c r="N23" s="14">
        <f>IF(OR($B23="",$B23&lt;&gt;'1a1'!$B$4,$A23&lt;&gt;Config!$B$4),"",COUNTIFS($B$5:$B23,'1a1'!$B$4,$A$5:$A23,Config!$B$4))</f>
        <v/>
      </c>
    </row>
    <row r="24">
      <c r="A24" s="19" t="n"/>
      <c r="B24" s="19" t="n"/>
      <c r="C24" s="19" t="n"/>
      <c r="D24" s="14">
        <f>IF($B24="","",IF(COUNTIFS('Avaliação'!$AA$5:$AA$404,$M24&amp;"|"&amp;VALUE(LEFT($A24,4))*4+VALUE(RIGHT($A24,1))&amp;"|"&amp;$C24,'Avaliação'!$P$5:$P$404,"&gt;0")=0,"",SUMIFS('Avaliação'!$P$5:$P$404,'Avaliação'!$AA$5:$AA$404,$M24&amp;"|"&amp;VALUE(LEFT($A24,4))*4+VALUE(RIGHT($A24,1))&amp;"|"&amp;$C24)))</f>
        <v/>
      </c>
      <c r="E24" s="19" t="n"/>
      <c r="F24" s="14">
        <f>IF(OR($D24="",$E24=""),"",$E24-$D24)</f>
        <v/>
      </c>
      <c r="G24" s="19" t="n"/>
      <c r="H24" s="19" t="n"/>
      <c r="I24" s="19" t="n"/>
      <c r="J24" s="18" t="n"/>
      <c r="K24" s="18" t="n"/>
      <c r="L24" s="19" t="n"/>
      <c r="M24" s="14">
        <f>IFERROR(INDEX(Pessoas!$A$5:$A$64,MATCH($B24,Pessoas!$B$5:$B$64,0)),"")</f>
        <v/>
      </c>
      <c r="N24" s="14">
        <f>IF(OR($B24="",$B24&lt;&gt;'1a1'!$B$4,$A24&lt;&gt;Config!$B$4),"",COUNTIFS($B$5:$B24,'1a1'!$B$4,$A$5:$A24,Config!$B$4))</f>
        <v/>
      </c>
    </row>
    <row r="25">
      <c r="A25" s="19" t="n"/>
      <c r="B25" s="19" t="n"/>
      <c r="C25" s="19" t="n"/>
      <c r="D25" s="14">
        <f>IF($B25="","",IF(COUNTIFS('Avaliação'!$AA$5:$AA$404,$M25&amp;"|"&amp;VALUE(LEFT($A25,4))*4+VALUE(RIGHT($A25,1))&amp;"|"&amp;$C25,'Avaliação'!$P$5:$P$404,"&gt;0")=0,"",SUMIFS('Avaliação'!$P$5:$P$404,'Avaliação'!$AA$5:$AA$404,$M25&amp;"|"&amp;VALUE(LEFT($A25,4))*4+VALUE(RIGHT($A25,1))&amp;"|"&amp;$C25)))</f>
        <v/>
      </c>
      <c r="E25" s="19" t="n"/>
      <c r="F25" s="14">
        <f>IF(OR($D25="",$E25=""),"",$E25-$D25)</f>
        <v/>
      </c>
      <c r="G25" s="19" t="n"/>
      <c r="H25" s="19" t="n"/>
      <c r="I25" s="19" t="n"/>
      <c r="J25" s="18" t="n"/>
      <c r="K25" s="18" t="n"/>
      <c r="L25" s="19" t="n"/>
      <c r="M25" s="14">
        <f>IFERROR(INDEX(Pessoas!$A$5:$A$64,MATCH($B25,Pessoas!$B$5:$B$64,0)),"")</f>
        <v/>
      </c>
      <c r="N25" s="14">
        <f>IF(OR($B25="",$B25&lt;&gt;'1a1'!$B$4,$A25&lt;&gt;Config!$B$4),"",COUNTIFS($B$5:$B25,'1a1'!$B$4,$A$5:$A25,Config!$B$4))</f>
        <v/>
      </c>
    </row>
    <row r="26">
      <c r="A26" s="19" t="n"/>
      <c r="B26" s="19" t="n"/>
      <c r="C26" s="19" t="n"/>
      <c r="D26" s="14">
        <f>IF($B26="","",IF(COUNTIFS('Avaliação'!$AA$5:$AA$404,$M26&amp;"|"&amp;VALUE(LEFT($A26,4))*4+VALUE(RIGHT($A26,1))&amp;"|"&amp;$C26,'Avaliação'!$P$5:$P$404,"&gt;0")=0,"",SUMIFS('Avaliação'!$P$5:$P$404,'Avaliação'!$AA$5:$AA$404,$M26&amp;"|"&amp;VALUE(LEFT($A26,4))*4+VALUE(RIGHT($A26,1))&amp;"|"&amp;$C26)))</f>
        <v/>
      </c>
      <c r="E26" s="19" t="n"/>
      <c r="F26" s="14">
        <f>IF(OR($D26="",$E26=""),"",$E26-$D26)</f>
        <v/>
      </c>
      <c r="G26" s="19" t="n"/>
      <c r="H26" s="19" t="n"/>
      <c r="I26" s="19" t="n"/>
      <c r="J26" s="18" t="n"/>
      <c r="K26" s="18" t="n"/>
      <c r="L26" s="19" t="n"/>
      <c r="M26" s="14">
        <f>IFERROR(INDEX(Pessoas!$A$5:$A$64,MATCH($B26,Pessoas!$B$5:$B$64,0)),"")</f>
        <v/>
      </c>
      <c r="N26" s="14">
        <f>IF(OR($B26="",$B26&lt;&gt;'1a1'!$B$4,$A26&lt;&gt;Config!$B$4),"",COUNTIFS($B$5:$B26,'1a1'!$B$4,$A$5:$A26,Config!$B$4))</f>
        <v/>
      </c>
    </row>
    <row r="27">
      <c r="A27" s="19" t="n"/>
      <c r="B27" s="19" t="n"/>
      <c r="C27" s="19" t="n"/>
      <c r="D27" s="14">
        <f>IF($B27="","",IF(COUNTIFS('Avaliação'!$AA$5:$AA$404,$M27&amp;"|"&amp;VALUE(LEFT($A27,4))*4+VALUE(RIGHT($A27,1))&amp;"|"&amp;$C27,'Avaliação'!$P$5:$P$404,"&gt;0")=0,"",SUMIFS('Avaliação'!$P$5:$P$404,'Avaliação'!$AA$5:$AA$404,$M27&amp;"|"&amp;VALUE(LEFT($A27,4))*4+VALUE(RIGHT($A27,1))&amp;"|"&amp;$C27)))</f>
        <v/>
      </c>
      <c r="E27" s="19" t="n"/>
      <c r="F27" s="14">
        <f>IF(OR($D27="",$E27=""),"",$E27-$D27)</f>
        <v/>
      </c>
      <c r="G27" s="19" t="n"/>
      <c r="H27" s="19" t="n"/>
      <c r="I27" s="19" t="n"/>
      <c r="J27" s="18" t="n"/>
      <c r="K27" s="18" t="n"/>
      <c r="L27" s="19" t="n"/>
      <c r="M27" s="14">
        <f>IFERROR(INDEX(Pessoas!$A$5:$A$64,MATCH($B27,Pessoas!$B$5:$B$64,0)),"")</f>
        <v/>
      </c>
      <c r="N27" s="14">
        <f>IF(OR($B27="",$B27&lt;&gt;'1a1'!$B$4,$A27&lt;&gt;Config!$B$4),"",COUNTIFS($B$5:$B27,'1a1'!$B$4,$A$5:$A27,Config!$B$4))</f>
        <v/>
      </c>
    </row>
    <row r="28">
      <c r="A28" s="19" t="n"/>
      <c r="B28" s="19" t="n"/>
      <c r="C28" s="19" t="n"/>
      <c r="D28" s="14">
        <f>IF($B28="","",IF(COUNTIFS('Avaliação'!$AA$5:$AA$404,$M28&amp;"|"&amp;VALUE(LEFT($A28,4))*4+VALUE(RIGHT($A28,1))&amp;"|"&amp;$C28,'Avaliação'!$P$5:$P$404,"&gt;0")=0,"",SUMIFS('Avaliação'!$P$5:$P$404,'Avaliação'!$AA$5:$AA$404,$M28&amp;"|"&amp;VALUE(LEFT($A28,4))*4+VALUE(RIGHT($A28,1))&amp;"|"&amp;$C28)))</f>
        <v/>
      </c>
      <c r="E28" s="19" t="n"/>
      <c r="F28" s="14">
        <f>IF(OR($D28="",$E28=""),"",$E28-$D28)</f>
        <v/>
      </c>
      <c r="G28" s="19" t="n"/>
      <c r="H28" s="19" t="n"/>
      <c r="I28" s="19" t="n"/>
      <c r="J28" s="18" t="n"/>
      <c r="K28" s="18" t="n"/>
      <c r="L28" s="19" t="n"/>
      <c r="M28" s="14">
        <f>IFERROR(INDEX(Pessoas!$A$5:$A$64,MATCH($B28,Pessoas!$B$5:$B$64,0)),"")</f>
        <v/>
      </c>
      <c r="N28" s="14">
        <f>IF(OR($B28="",$B28&lt;&gt;'1a1'!$B$4,$A28&lt;&gt;Config!$B$4),"",COUNTIFS($B$5:$B28,'1a1'!$B$4,$A$5:$A28,Config!$B$4))</f>
        <v/>
      </c>
    </row>
    <row r="29">
      <c r="A29" s="19" t="n"/>
      <c r="B29" s="19" t="n"/>
      <c r="C29" s="19" t="n"/>
      <c r="D29" s="14">
        <f>IF($B29="","",IF(COUNTIFS('Avaliação'!$AA$5:$AA$404,$M29&amp;"|"&amp;VALUE(LEFT($A29,4))*4+VALUE(RIGHT($A29,1))&amp;"|"&amp;$C29,'Avaliação'!$P$5:$P$404,"&gt;0")=0,"",SUMIFS('Avaliação'!$P$5:$P$404,'Avaliação'!$AA$5:$AA$404,$M29&amp;"|"&amp;VALUE(LEFT($A29,4))*4+VALUE(RIGHT($A29,1))&amp;"|"&amp;$C29)))</f>
        <v/>
      </c>
      <c r="E29" s="19" t="n"/>
      <c r="F29" s="14">
        <f>IF(OR($D29="",$E29=""),"",$E29-$D29)</f>
        <v/>
      </c>
      <c r="G29" s="19" t="n"/>
      <c r="H29" s="19" t="n"/>
      <c r="I29" s="19" t="n"/>
      <c r="J29" s="18" t="n"/>
      <c r="K29" s="18" t="n"/>
      <c r="L29" s="19" t="n"/>
      <c r="M29" s="14">
        <f>IFERROR(INDEX(Pessoas!$A$5:$A$64,MATCH($B29,Pessoas!$B$5:$B$64,0)),"")</f>
        <v/>
      </c>
      <c r="N29" s="14">
        <f>IF(OR($B29="",$B29&lt;&gt;'1a1'!$B$4,$A29&lt;&gt;Config!$B$4),"",COUNTIFS($B$5:$B29,'1a1'!$B$4,$A$5:$A29,Config!$B$4))</f>
        <v/>
      </c>
    </row>
    <row r="30">
      <c r="A30" s="19" t="n"/>
      <c r="B30" s="19" t="n"/>
      <c r="C30" s="19" t="n"/>
      <c r="D30" s="14">
        <f>IF($B30="","",IF(COUNTIFS('Avaliação'!$AA$5:$AA$404,$M30&amp;"|"&amp;VALUE(LEFT($A30,4))*4+VALUE(RIGHT($A30,1))&amp;"|"&amp;$C30,'Avaliação'!$P$5:$P$404,"&gt;0")=0,"",SUMIFS('Avaliação'!$P$5:$P$404,'Avaliação'!$AA$5:$AA$404,$M30&amp;"|"&amp;VALUE(LEFT($A30,4))*4+VALUE(RIGHT($A30,1))&amp;"|"&amp;$C30)))</f>
        <v/>
      </c>
      <c r="E30" s="19" t="n"/>
      <c r="F30" s="14">
        <f>IF(OR($D30="",$E30=""),"",$E30-$D30)</f>
        <v/>
      </c>
      <c r="G30" s="19" t="n"/>
      <c r="H30" s="19" t="n"/>
      <c r="I30" s="19" t="n"/>
      <c r="J30" s="18" t="n"/>
      <c r="K30" s="18" t="n"/>
      <c r="L30" s="19" t="n"/>
      <c r="M30" s="14">
        <f>IFERROR(INDEX(Pessoas!$A$5:$A$64,MATCH($B30,Pessoas!$B$5:$B$64,0)),"")</f>
        <v/>
      </c>
      <c r="N30" s="14">
        <f>IF(OR($B30="",$B30&lt;&gt;'1a1'!$B$4,$A30&lt;&gt;Config!$B$4),"",COUNTIFS($B$5:$B30,'1a1'!$B$4,$A$5:$A30,Config!$B$4))</f>
        <v/>
      </c>
    </row>
    <row r="31">
      <c r="A31" s="19" t="n"/>
      <c r="B31" s="19" t="n"/>
      <c r="C31" s="19" t="n"/>
      <c r="D31" s="14">
        <f>IF($B31="","",IF(COUNTIFS('Avaliação'!$AA$5:$AA$404,$M31&amp;"|"&amp;VALUE(LEFT($A31,4))*4+VALUE(RIGHT($A31,1))&amp;"|"&amp;$C31,'Avaliação'!$P$5:$P$404,"&gt;0")=0,"",SUMIFS('Avaliação'!$P$5:$P$404,'Avaliação'!$AA$5:$AA$404,$M31&amp;"|"&amp;VALUE(LEFT($A31,4))*4+VALUE(RIGHT($A31,1))&amp;"|"&amp;$C31)))</f>
        <v/>
      </c>
      <c r="E31" s="19" t="n"/>
      <c r="F31" s="14">
        <f>IF(OR($D31="",$E31=""),"",$E31-$D31)</f>
        <v/>
      </c>
      <c r="G31" s="19" t="n"/>
      <c r="H31" s="19" t="n"/>
      <c r="I31" s="19" t="n"/>
      <c r="J31" s="18" t="n"/>
      <c r="K31" s="18" t="n"/>
      <c r="L31" s="19" t="n"/>
      <c r="M31" s="14">
        <f>IFERROR(INDEX(Pessoas!$A$5:$A$64,MATCH($B31,Pessoas!$B$5:$B$64,0)),"")</f>
        <v/>
      </c>
      <c r="N31" s="14">
        <f>IF(OR($B31="",$B31&lt;&gt;'1a1'!$B$4,$A31&lt;&gt;Config!$B$4),"",COUNTIFS($B$5:$B31,'1a1'!$B$4,$A$5:$A31,Config!$B$4))</f>
        <v/>
      </c>
    </row>
    <row r="32">
      <c r="A32" s="19" t="n"/>
      <c r="B32" s="19" t="n"/>
      <c r="C32" s="19" t="n"/>
      <c r="D32" s="14">
        <f>IF($B32="","",IF(COUNTIFS('Avaliação'!$AA$5:$AA$404,$M32&amp;"|"&amp;VALUE(LEFT($A32,4))*4+VALUE(RIGHT($A32,1))&amp;"|"&amp;$C32,'Avaliação'!$P$5:$P$404,"&gt;0")=0,"",SUMIFS('Avaliação'!$P$5:$P$404,'Avaliação'!$AA$5:$AA$404,$M32&amp;"|"&amp;VALUE(LEFT($A32,4))*4+VALUE(RIGHT($A32,1))&amp;"|"&amp;$C32)))</f>
        <v/>
      </c>
      <c r="E32" s="19" t="n"/>
      <c r="F32" s="14">
        <f>IF(OR($D32="",$E32=""),"",$E32-$D32)</f>
        <v/>
      </c>
      <c r="G32" s="19" t="n"/>
      <c r="H32" s="19" t="n"/>
      <c r="I32" s="19" t="n"/>
      <c r="J32" s="18" t="n"/>
      <c r="K32" s="18" t="n"/>
      <c r="L32" s="19" t="n"/>
      <c r="M32" s="14">
        <f>IFERROR(INDEX(Pessoas!$A$5:$A$64,MATCH($B32,Pessoas!$B$5:$B$64,0)),"")</f>
        <v/>
      </c>
      <c r="N32" s="14">
        <f>IF(OR($B32="",$B32&lt;&gt;'1a1'!$B$4,$A32&lt;&gt;Config!$B$4),"",COUNTIFS($B$5:$B32,'1a1'!$B$4,$A$5:$A32,Config!$B$4))</f>
        <v/>
      </c>
    </row>
    <row r="33">
      <c r="A33" s="19" t="n"/>
      <c r="B33" s="19" t="n"/>
      <c r="C33" s="19" t="n"/>
      <c r="D33" s="14">
        <f>IF($B33="","",IF(COUNTIFS('Avaliação'!$AA$5:$AA$404,$M33&amp;"|"&amp;VALUE(LEFT($A33,4))*4+VALUE(RIGHT($A33,1))&amp;"|"&amp;$C33,'Avaliação'!$P$5:$P$404,"&gt;0")=0,"",SUMIFS('Avaliação'!$P$5:$P$404,'Avaliação'!$AA$5:$AA$404,$M33&amp;"|"&amp;VALUE(LEFT($A33,4))*4+VALUE(RIGHT($A33,1))&amp;"|"&amp;$C33)))</f>
        <v/>
      </c>
      <c r="E33" s="19" t="n"/>
      <c r="F33" s="14">
        <f>IF(OR($D33="",$E33=""),"",$E33-$D33)</f>
        <v/>
      </c>
      <c r="G33" s="19" t="n"/>
      <c r="H33" s="19" t="n"/>
      <c r="I33" s="19" t="n"/>
      <c r="J33" s="18" t="n"/>
      <c r="K33" s="18" t="n"/>
      <c r="L33" s="19" t="n"/>
      <c r="M33" s="14">
        <f>IFERROR(INDEX(Pessoas!$A$5:$A$64,MATCH($B33,Pessoas!$B$5:$B$64,0)),"")</f>
        <v/>
      </c>
      <c r="N33" s="14">
        <f>IF(OR($B33="",$B33&lt;&gt;'1a1'!$B$4,$A33&lt;&gt;Config!$B$4),"",COUNTIFS($B$5:$B33,'1a1'!$B$4,$A$5:$A33,Config!$B$4))</f>
        <v/>
      </c>
    </row>
    <row r="34">
      <c r="A34" s="19" t="n"/>
      <c r="B34" s="19" t="n"/>
      <c r="C34" s="19" t="n"/>
      <c r="D34" s="14">
        <f>IF($B34="","",IF(COUNTIFS('Avaliação'!$AA$5:$AA$404,$M34&amp;"|"&amp;VALUE(LEFT($A34,4))*4+VALUE(RIGHT($A34,1))&amp;"|"&amp;$C34,'Avaliação'!$P$5:$P$404,"&gt;0")=0,"",SUMIFS('Avaliação'!$P$5:$P$404,'Avaliação'!$AA$5:$AA$404,$M34&amp;"|"&amp;VALUE(LEFT($A34,4))*4+VALUE(RIGHT($A34,1))&amp;"|"&amp;$C34)))</f>
        <v/>
      </c>
      <c r="E34" s="19" t="n"/>
      <c r="F34" s="14">
        <f>IF(OR($D34="",$E34=""),"",$E34-$D34)</f>
        <v/>
      </c>
      <c r="G34" s="19" t="n"/>
      <c r="H34" s="19" t="n"/>
      <c r="I34" s="19" t="n"/>
      <c r="J34" s="18" t="n"/>
      <c r="K34" s="18" t="n"/>
      <c r="L34" s="19" t="n"/>
      <c r="M34" s="14">
        <f>IFERROR(INDEX(Pessoas!$A$5:$A$64,MATCH($B34,Pessoas!$B$5:$B$64,0)),"")</f>
        <v/>
      </c>
      <c r="N34" s="14">
        <f>IF(OR($B34="",$B34&lt;&gt;'1a1'!$B$4,$A34&lt;&gt;Config!$B$4),"",COUNTIFS($B$5:$B34,'1a1'!$B$4,$A$5:$A34,Config!$B$4))</f>
        <v/>
      </c>
    </row>
    <row r="35">
      <c r="A35" s="19" t="n"/>
      <c r="B35" s="19" t="n"/>
      <c r="C35" s="19" t="n"/>
      <c r="D35" s="14">
        <f>IF($B35="","",IF(COUNTIFS('Avaliação'!$AA$5:$AA$404,$M35&amp;"|"&amp;VALUE(LEFT($A35,4))*4+VALUE(RIGHT($A35,1))&amp;"|"&amp;$C35,'Avaliação'!$P$5:$P$404,"&gt;0")=0,"",SUMIFS('Avaliação'!$P$5:$P$404,'Avaliação'!$AA$5:$AA$404,$M35&amp;"|"&amp;VALUE(LEFT($A35,4))*4+VALUE(RIGHT($A35,1))&amp;"|"&amp;$C35)))</f>
        <v/>
      </c>
      <c r="E35" s="19" t="n"/>
      <c r="F35" s="14">
        <f>IF(OR($D35="",$E35=""),"",$E35-$D35)</f>
        <v/>
      </c>
      <c r="G35" s="19" t="n"/>
      <c r="H35" s="19" t="n"/>
      <c r="I35" s="19" t="n"/>
      <c r="J35" s="18" t="n"/>
      <c r="K35" s="18" t="n"/>
      <c r="L35" s="19" t="n"/>
      <c r="M35" s="14">
        <f>IFERROR(INDEX(Pessoas!$A$5:$A$64,MATCH($B35,Pessoas!$B$5:$B$64,0)),"")</f>
        <v/>
      </c>
      <c r="N35" s="14">
        <f>IF(OR($B35="",$B35&lt;&gt;'1a1'!$B$4,$A35&lt;&gt;Config!$B$4),"",COUNTIFS($B$5:$B35,'1a1'!$B$4,$A$5:$A35,Config!$B$4))</f>
        <v/>
      </c>
    </row>
    <row r="36">
      <c r="A36" s="19" t="n"/>
      <c r="B36" s="19" t="n"/>
      <c r="C36" s="19" t="n"/>
      <c r="D36" s="14">
        <f>IF($B36="","",IF(COUNTIFS('Avaliação'!$AA$5:$AA$404,$M36&amp;"|"&amp;VALUE(LEFT($A36,4))*4+VALUE(RIGHT($A36,1))&amp;"|"&amp;$C36,'Avaliação'!$P$5:$P$404,"&gt;0")=0,"",SUMIFS('Avaliação'!$P$5:$P$404,'Avaliação'!$AA$5:$AA$404,$M36&amp;"|"&amp;VALUE(LEFT($A36,4))*4+VALUE(RIGHT($A36,1))&amp;"|"&amp;$C36)))</f>
        <v/>
      </c>
      <c r="E36" s="19" t="n"/>
      <c r="F36" s="14">
        <f>IF(OR($D36="",$E36=""),"",$E36-$D36)</f>
        <v/>
      </c>
      <c r="G36" s="19" t="n"/>
      <c r="H36" s="19" t="n"/>
      <c r="I36" s="19" t="n"/>
      <c r="J36" s="18" t="n"/>
      <c r="K36" s="18" t="n"/>
      <c r="L36" s="19" t="n"/>
      <c r="M36" s="14">
        <f>IFERROR(INDEX(Pessoas!$A$5:$A$64,MATCH($B36,Pessoas!$B$5:$B$64,0)),"")</f>
        <v/>
      </c>
      <c r="N36" s="14">
        <f>IF(OR($B36="",$B36&lt;&gt;'1a1'!$B$4,$A36&lt;&gt;Config!$B$4),"",COUNTIFS($B$5:$B36,'1a1'!$B$4,$A$5:$A36,Config!$B$4))</f>
        <v/>
      </c>
    </row>
    <row r="37">
      <c r="A37" s="19" t="n"/>
      <c r="B37" s="19" t="n"/>
      <c r="C37" s="19" t="n"/>
      <c r="D37" s="14">
        <f>IF($B37="","",IF(COUNTIFS('Avaliação'!$AA$5:$AA$404,$M37&amp;"|"&amp;VALUE(LEFT($A37,4))*4+VALUE(RIGHT($A37,1))&amp;"|"&amp;$C37,'Avaliação'!$P$5:$P$404,"&gt;0")=0,"",SUMIFS('Avaliação'!$P$5:$P$404,'Avaliação'!$AA$5:$AA$404,$M37&amp;"|"&amp;VALUE(LEFT($A37,4))*4+VALUE(RIGHT($A37,1))&amp;"|"&amp;$C37)))</f>
        <v/>
      </c>
      <c r="E37" s="19" t="n"/>
      <c r="F37" s="14">
        <f>IF(OR($D37="",$E37=""),"",$E37-$D37)</f>
        <v/>
      </c>
      <c r="G37" s="19" t="n"/>
      <c r="H37" s="19" t="n"/>
      <c r="I37" s="19" t="n"/>
      <c r="J37" s="18" t="n"/>
      <c r="K37" s="18" t="n"/>
      <c r="L37" s="19" t="n"/>
      <c r="M37" s="14">
        <f>IFERROR(INDEX(Pessoas!$A$5:$A$64,MATCH($B37,Pessoas!$B$5:$B$64,0)),"")</f>
        <v/>
      </c>
      <c r="N37" s="14">
        <f>IF(OR($B37="",$B37&lt;&gt;'1a1'!$B$4,$A37&lt;&gt;Config!$B$4),"",COUNTIFS($B$5:$B37,'1a1'!$B$4,$A$5:$A37,Config!$B$4))</f>
        <v/>
      </c>
    </row>
    <row r="38">
      <c r="A38" s="19" t="n"/>
      <c r="B38" s="19" t="n"/>
      <c r="C38" s="19" t="n"/>
      <c r="D38" s="14">
        <f>IF($B38="","",IF(COUNTIFS('Avaliação'!$AA$5:$AA$404,$M38&amp;"|"&amp;VALUE(LEFT($A38,4))*4+VALUE(RIGHT($A38,1))&amp;"|"&amp;$C38,'Avaliação'!$P$5:$P$404,"&gt;0")=0,"",SUMIFS('Avaliação'!$P$5:$P$404,'Avaliação'!$AA$5:$AA$404,$M38&amp;"|"&amp;VALUE(LEFT($A38,4))*4+VALUE(RIGHT($A38,1))&amp;"|"&amp;$C38)))</f>
        <v/>
      </c>
      <c r="E38" s="19" t="n"/>
      <c r="F38" s="14">
        <f>IF(OR($D38="",$E38=""),"",$E38-$D38)</f>
        <v/>
      </c>
      <c r="G38" s="19" t="n"/>
      <c r="H38" s="19" t="n"/>
      <c r="I38" s="19" t="n"/>
      <c r="J38" s="18" t="n"/>
      <c r="K38" s="18" t="n"/>
      <c r="L38" s="19" t="n"/>
      <c r="M38" s="14">
        <f>IFERROR(INDEX(Pessoas!$A$5:$A$64,MATCH($B38,Pessoas!$B$5:$B$64,0)),"")</f>
        <v/>
      </c>
      <c r="N38" s="14">
        <f>IF(OR($B38="",$B38&lt;&gt;'1a1'!$B$4,$A38&lt;&gt;Config!$B$4),"",COUNTIFS($B$5:$B38,'1a1'!$B$4,$A$5:$A38,Config!$B$4))</f>
        <v/>
      </c>
    </row>
    <row r="39">
      <c r="A39" s="19" t="n"/>
      <c r="B39" s="19" t="n"/>
      <c r="C39" s="19" t="n"/>
      <c r="D39" s="14">
        <f>IF($B39="","",IF(COUNTIFS('Avaliação'!$AA$5:$AA$404,$M39&amp;"|"&amp;VALUE(LEFT($A39,4))*4+VALUE(RIGHT($A39,1))&amp;"|"&amp;$C39,'Avaliação'!$P$5:$P$404,"&gt;0")=0,"",SUMIFS('Avaliação'!$P$5:$P$404,'Avaliação'!$AA$5:$AA$404,$M39&amp;"|"&amp;VALUE(LEFT($A39,4))*4+VALUE(RIGHT($A39,1))&amp;"|"&amp;$C39)))</f>
        <v/>
      </c>
      <c r="E39" s="19" t="n"/>
      <c r="F39" s="14">
        <f>IF(OR($D39="",$E39=""),"",$E39-$D39)</f>
        <v/>
      </c>
      <c r="G39" s="19" t="n"/>
      <c r="H39" s="19" t="n"/>
      <c r="I39" s="19" t="n"/>
      <c r="J39" s="18" t="n"/>
      <c r="K39" s="18" t="n"/>
      <c r="L39" s="19" t="n"/>
      <c r="M39" s="14">
        <f>IFERROR(INDEX(Pessoas!$A$5:$A$64,MATCH($B39,Pessoas!$B$5:$B$64,0)),"")</f>
        <v/>
      </c>
      <c r="N39" s="14">
        <f>IF(OR($B39="",$B39&lt;&gt;'1a1'!$B$4,$A39&lt;&gt;Config!$B$4),"",COUNTIFS($B$5:$B39,'1a1'!$B$4,$A$5:$A39,Config!$B$4))</f>
        <v/>
      </c>
    </row>
    <row r="40">
      <c r="A40" s="19" t="n"/>
      <c r="B40" s="19" t="n"/>
      <c r="C40" s="19" t="n"/>
      <c r="D40" s="14">
        <f>IF($B40="","",IF(COUNTIFS('Avaliação'!$AA$5:$AA$404,$M40&amp;"|"&amp;VALUE(LEFT($A40,4))*4+VALUE(RIGHT($A40,1))&amp;"|"&amp;$C40,'Avaliação'!$P$5:$P$404,"&gt;0")=0,"",SUMIFS('Avaliação'!$P$5:$P$404,'Avaliação'!$AA$5:$AA$404,$M40&amp;"|"&amp;VALUE(LEFT($A40,4))*4+VALUE(RIGHT($A40,1))&amp;"|"&amp;$C40)))</f>
        <v/>
      </c>
      <c r="E40" s="19" t="n"/>
      <c r="F40" s="14">
        <f>IF(OR($D40="",$E40=""),"",$E40-$D40)</f>
        <v/>
      </c>
      <c r="G40" s="19" t="n"/>
      <c r="H40" s="19" t="n"/>
      <c r="I40" s="19" t="n"/>
      <c r="J40" s="18" t="n"/>
      <c r="K40" s="18" t="n"/>
      <c r="L40" s="19" t="n"/>
      <c r="M40" s="14">
        <f>IFERROR(INDEX(Pessoas!$A$5:$A$64,MATCH($B40,Pessoas!$B$5:$B$64,0)),"")</f>
        <v/>
      </c>
      <c r="N40" s="14">
        <f>IF(OR($B40="",$B40&lt;&gt;'1a1'!$B$4,$A40&lt;&gt;Config!$B$4),"",COUNTIFS($B$5:$B40,'1a1'!$B$4,$A$5:$A40,Config!$B$4))</f>
        <v/>
      </c>
    </row>
    <row r="41">
      <c r="A41" s="19" t="n"/>
      <c r="B41" s="19" t="n"/>
      <c r="C41" s="19" t="n"/>
      <c r="D41" s="14">
        <f>IF($B41="","",IF(COUNTIFS('Avaliação'!$AA$5:$AA$404,$M41&amp;"|"&amp;VALUE(LEFT($A41,4))*4+VALUE(RIGHT($A41,1))&amp;"|"&amp;$C41,'Avaliação'!$P$5:$P$404,"&gt;0")=0,"",SUMIFS('Avaliação'!$P$5:$P$404,'Avaliação'!$AA$5:$AA$404,$M41&amp;"|"&amp;VALUE(LEFT($A41,4))*4+VALUE(RIGHT($A41,1))&amp;"|"&amp;$C41)))</f>
        <v/>
      </c>
      <c r="E41" s="19" t="n"/>
      <c r="F41" s="14">
        <f>IF(OR($D41="",$E41=""),"",$E41-$D41)</f>
        <v/>
      </c>
      <c r="G41" s="19" t="n"/>
      <c r="H41" s="19" t="n"/>
      <c r="I41" s="19" t="n"/>
      <c r="J41" s="18" t="n"/>
      <c r="K41" s="18" t="n"/>
      <c r="L41" s="19" t="n"/>
      <c r="M41" s="14">
        <f>IFERROR(INDEX(Pessoas!$A$5:$A$64,MATCH($B41,Pessoas!$B$5:$B$64,0)),"")</f>
        <v/>
      </c>
      <c r="N41" s="14">
        <f>IF(OR($B41="",$B41&lt;&gt;'1a1'!$B$4,$A41&lt;&gt;Config!$B$4),"",COUNTIFS($B$5:$B41,'1a1'!$B$4,$A$5:$A41,Config!$B$4))</f>
        <v/>
      </c>
    </row>
    <row r="42">
      <c r="A42" s="19" t="n"/>
      <c r="B42" s="19" t="n"/>
      <c r="C42" s="19" t="n"/>
      <c r="D42" s="14">
        <f>IF($B42="","",IF(COUNTIFS('Avaliação'!$AA$5:$AA$404,$M42&amp;"|"&amp;VALUE(LEFT($A42,4))*4+VALUE(RIGHT($A42,1))&amp;"|"&amp;$C42,'Avaliação'!$P$5:$P$404,"&gt;0")=0,"",SUMIFS('Avaliação'!$P$5:$P$404,'Avaliação'!$AA$5:$AA$404,$M42&amp;"|"&amp;VALUE(LEFT($A42,4))*4+VALUE(RIGHT($A42,1))&amp;"|"&amp;$C42)))</f>
        <v/>
      </c>
      <c r="E42" s="19" t="n"/>
      <c r="F42" s="14">
        <f>IF(OR($D42="",$E42=""),"",$E42-$D42)</f>
        <v/>
      </c>
      <c r="G42" s="19" t="n"/>
      <c r="H42" s="19" t="n"/>
      <c r="I42" s="19" t="n"/>
      <c r="J42" s="18" t="n"/>
      <c r="K42" s="18" t="n"/>
      <c r="L42" s="19" t="n"/>
      <c r="M42" s="14">
        <f>IFERROR(INDEX(Pessoas!$A$5:$A$64,MATCH($B42,Pessoas!$B$5:$B$64,0)),"")</f>
        <v/>
      </c>
      <c r="N42" s="14">
        <f>IF(OR($B42="",$B42&lt;&gt;'1a1'!$B$4,$A42&lt;&gt;Config!$B$4),"",COUNTIFS($B$5:$B42,'1a1'!$B$4,$A$5:$A42,Config!$B$4))</f>
        <v/>
      </c>
    </row>
    <row r="43">
      <c r="A43" s="19" t="n"/>
      <c r="B43" s="19" t="n"/>
      <c r="C43" s="19" t="n"/>
      <c r="D43" s="14">
        <f>IF($B43="","",IF(COUNTIFS('Avaliação'!$AA$5:$AA$404,$M43&amp;"|"&amp;VALUE(LEFT($A43,4))*4+VALUE(RIGHT($A43,1))&amp;"|"&amp;$C43,'Avaliação'!$P$5:$P$404,"&gt;0")=0,"",SUMIFS('Avaliação'!$P$5:$P$404,'Avaliação'!$AA$5:$AA$404,$M43&amp;"|"&amp;VALUE(LEFT($A43,4))*4+VALUE(RIGHT($A43,1))&amp;"|"&amp;$C43)))</f>
        <v/>
      </c>
      <c r="E43" s="19" t="n"/>
      <c r="F43" s="14">
        <f>IF(OR($D43="",$E43=""),"",$E43-$D43)</f>
        <v/>
      </c>
      <c r="G43" s="19" t="n"/>
      <c r="H43" s="19" t="n"/>
      <c r="I43" s="19" t="n"/>
      <c r="J43" s="18" t="n"/>
      <c r="K43" s="18" t="n"/>
      <c r="L43" s="19" t="n"/>
      <c r="M43" s="14">
        <f>IFERROR(INDEX(Pessoas!$A$5:$A$64,MATCH($B43,Pessoas!$B$5:$B$64,0)),"")</f>
        <v/>
      </c>
      <c r="N43" s="14">
        <f>IF(OR($B43="",$B43&lt;&gt;'1a1'!$B$4,$A43&lt;&gt;Config!$B$4),"",COUNTIFS($B$5:$B43,'1a1'!$B$4,$A$5:$A43,Config!$B$4))</f>
        <v/>
      </c>
    </row>
    <row r="44">
      <c r="A44" s="19" t="n"/>
      <c r="B44" s="19" t="n"/>
      <c r="C44" s="19" t="n"/>
      <c r="D44" s="14">
        <f>IF($B44="","",IF(COUNTIFS('Avaliação'!$AA$5:$AA$404,$M44&amp;"|"&amp;VALUE(LEFT($A44,4))*4+VALUE(RIGHT($A44,1))&amp;"|"&amp;$C44,'Avaliação'!$P$5:$P$404,"&gt;0")=0,"",SUMIFS('Avaliação'!$P$5:$P$404,'Avaliação'!$AA$5:$AA$404,$M44&amp;"|"&amp;VALUE(LEFT($A44,4))*4+VALUE(RIGHT($A44,1))&amp;"|"&amp;$C44)))</f>
        <v/>
      </c>
      <c r="E44" s="19" t="n"/>
      <c r="F44" s="14">
        <f>IF(OR($D44="",$E44=""),"",$E44-$D44)</f>
        <v/>
      </c>
      <c r="G44" s="19" t="n"/>
      <c r="H44" s="19" t="n"/>
      <c r="I44" s="19" t="n"/>
      <c r="J44" s="18" t="n"/>
      <c r="K44" s="18" t="n"/>
      <c r="L44" s="19" t="n"/>
      <c r="M44" s="14">
        <f>IFERROR(INDEX(Pessoas!$A$5:$A$64,MATCH($B44,Pessoas!$B$5:$B$64,0)),"")</f>
        <v/>
      </c>
      <c r="N44" s="14">
        <f>IF(OR($B44="",$B44&lt;&gt;'1a1'!$B$4,$A44&lt;&gt;Config!$B$4),"",COUNTIFS($B$5:$B44,'1a1'!$B$4,$A$5:$A44,Config!$B$4))</f>
        <v/>
      </c>
    </row>
    <row r="45">
      <c r="A45" s="19" t="n"/>
      <c r="B45" s="19" t="n"/>
      <c r="C45" s="19" t="n"/>
      <c r="D45" s="14">
        <f>IF($B45="","",IF(COUNTIFS('Avaliação'!$AA$5:$AA$404,$M45&amp;"|"&amp;VALUE(LEFT($A45,4))*4+VALUE(RIGHT($A45,1))&amp;"|"&amp;$C45,'Avaliação'!$P$5:$P$404,"&gt;0")=0,"",SUMIFS('Avaliação'!$P$5:$P$404,'Avaliação'!$AA$5:$AA$404,$M45&amp;"|"&amp;VALUE(LEFT($A45,4))*4+VALUE(RIGHT($A45,1))&amp;"|"&amp;$C45)))</f>
        <v/>
      </c>
      <c r="E45" s="19" t="n"/>
      <c r="F45" s="14">
        <f>IF(OR($D45="",$E45=""),"",$E45-$D45)</f>
        <v/>
      </c>
      <c r="G45" s="19" t="n"/>
      <c r="H45" s="19" t="n"/>
      <c r="I45" s="19" t="n"/>
      <c r="J45" s="18" t="n"/>
      <c r="K45" s="18" t="n"/>
      <c r="L45" s="19" t="n"/>
      <c r="M45" s="14">
        <f>IFERROR(INDEX(Pessoas!$A$5:$A$64,MATCH($B45,Pessoas!$B$5:$B$64,0)),"")</f>
        <v/>
      </c>
      <c r="N45" s="14">
        <f>IF(OR($B45="",$B45&lt;&gt;'1a1'!$B$4,$A45&lt;&gt;Config!$B$4),"",COUNTIFS($B$5:$B45,'1a1'!$B$4,$A$5:$A45,Config!$B$4))</f>
        <v/>
      </c>
    </row>
    <row r="46">
      <c r="A46" s="19" t="n"/>
      <c r="B46" s="19" t="n"/>
      <c r="C46" s="19" t="n"/>
      <c r="D46" s="14">
        <f>IF($B46="","",IF(COUNTIFS('Avaliação'!$AA$5:$AA$404,$M46&amp;"|"&amp;VALUE(LEFT($A46,4))*4+VALUE(RIGHT($A46,1))&amp;"|"&amp;$C46,'Avaliação'!$P$5:$P$404,"&gt;0")=0,"",SUMIFS('Avaliação'!$P$5:$P$404,'Avaliação'!$AA$5:$AA$404,$M46&amp;"|"&amp;VALUE(LEFT($A46,4))*4+VALUE(RIGHT($A46,1))&amp;"|"&amp;$C46)))</f>
        <v/>
      </c>
      <c r="E46" s="19" t="n"/>
      <c r="F46" s="14">
        <f>IF(OR($D46="",$E46=""),"",$E46-$D46)</f>
        <v/>
      </c>
      <c r="G46" s="19" t="n"/>
      <c r="H46" s="19" t="n"/>
      <c r="I46" s="19" t="n"/>
      <c r="J46" s="18" t="n"/>
      <c r="K46" s="18" t="n"/>
      <c r="L46" s="19" t="n"/>
      <c r="M46" s="14">
        <f>IFERROR(INDEX(Pessoas!$A$5:$A$64,MATCH($B46,Pessoas!$B$5:$B$64,0)),"")</f>
        <v/>
      </c>
      <c r="N46" s="14">
        <f>IF(OR($B46="",$B46&lt;&gt;'1a1'!$B$4,$A46&lt;&gt;Config!$B$4),"",COUNTIFS($B$5:$B46,'1a1'!$B$4,$A$5:$A46,Config!$B$4))</f>
        <v/>
      </c>
    </row>
    <row r="47">
      <c r="A47" s="19" t="n"/>
      <c r="B47" s="19" t="n"/>
      <c r="C47" s="19" t="n"/>
      <c r="D47" s="14">
        <f>IF($B47="","",IF(COUNTIFS('Avaliação'!$AA$5:$AA$404,$M47&amp;"|"&amp;VALUE(LEFT($A47,4))*4+VALUE(RIGHT($A47,1))&amp;"|"&amp;$C47,'Avaliação'!$P$5:$P$404,"&gt;0")=0,"",SUMIFS('Avaliação'!$P$5:$P$404,'Avaliação'!$AA$5:$AA$404,$M47&amp;"|"&amp;VALUE(LEFT($A47,4))*4+VALUE(RIGHT($A47,1))&amp;"|"&amp;$C47)))</f>
        <v/>
      </c>
      <c r="E47" s="19" t="n"/>
      <c r="F47" s="14">
        <f>IF(OR($D47="",$E47=""),"",$E47-$D47)</f>
        <v/>
      </c>
      <c r="G47" s="19" t="n"/>
      <c r="H47" s="19" t="n"/>
      <c r="I47" s="19" t="n"/>
      <c r="J47" s="18" t="n"/>
      <c r="K47" s="18" t="n"/>
      <c r="L47" s="19" t="n"/>
      <c r="M47" s="14">
        <f>IFERROR(INDEX(Pessoas!$A$5:$A$64,MATCH($B47,Pessoas!$B$5:$B$64,0)),"")</f>
        <v/>
      </c>
      <c r="N47" s="14">
        <f>IF(OR($B47="",$B47&lt;&gt;'1a1'!$B$4,$A47&lt;&gt;Config!$B$4),"",COUNTIFS($B$5:$B47,'1a1'!$B$4,$A$5:$A47,Config!$B$4))</f>
        <v/>
      </c>
    </row>
    <row r="48">
      <c r="A48" s="19" t="n"/>
      <c r="B48" s="19" t="n"/>
      <c r="C48" s="19" t="n"/>
      <c r="D48" s="14">
        <f>IF($B48="","",IF(COUNTIFS('Avaliação'!$AA$5:$AA$404,$M48&amp;"|"&amp;VALUE(LEFT($A48,4))*4+VALUE(RIGHT($A48,1))&amp;"|"&amp;$C48,'Avaliação'!$P$5:$P$404,"&gt;0")=0,"",SUMIFS('Avaliação'!$P$5:$P$404,'Avaliação'!$AA$5:$AA$404,$M48&amp;"|"&amp;VALUE(LEFT($A48,4))*4+VALUE(RIGHT($A48,1))&amp;"|"&amp;$C48)))</f>
        <v/>
      </c>
      <c r="E48" s="19" t="n"/>
      <c r="F48" s="14">
        <f>IF(OR($D48="",$E48=""),"",$E48-$D48)</f>
        <v/>
      </c>
      <c r="G48" s="19" t="n"/>
      <c r="H48" s="19" t="n"/>
      <c r="I48" s="19" t="n"/>
      <c r="J48" s="18" t="n"/>
      <c r="K48" s="18" t="n"/>
      <c r="L48" s="19" t="n"/>
      <c r="M48" s="14">
        <f>IFERROR(INDEX(Pessoas!$A$5:$A$64,MATCH($B48,Pessoas!$B$5:$B$64,0)),"")</f>
        <v/>
      </c>
      <c r="N48" s="14">
        <f>IF(OR($B48="",$B48&lt;&gt;'1a1'!$B$4,$A48&lt;&gt;Config!$B$4),"",COUNTIFS($B$5:$B48,'1a1'!$B$4,$A$5:$A48,Config!$B$4))</f>
        <v/>
      </c>
    </row>
    <row r="49">
      <c r="A49" s="19" t="n"/>
      <c r="B49" s="19" t="n"/>
      <c r="C49" s="19" t="n"/>
      <c r="D49" s="14">
        <f>IF($B49="","",IF(COUNTIFS('Avaliação'!$AA$5:$AA$404,$M49&amp;"|"&amp;VALUE(LEFT($A49,4))*4+VALUE(RIGHT($A49,1))&amp;"|"&amp;$C49,'Avaliação'!$P$5:$P$404,"&gt;0")=0,"",SUMIFS('Avaliação'!$P$5:$P$404,'Avaliação'!$AA$5:$AA$404,$M49&amp;"|"&amp;VALUE(LEFT($A49,4))*4+VALUE(RIGHT($A49,1))&amp;"|"&amp;$C49)))</f>
        <v/>
      </c>
      <c r="E49" s="19" t="n"/>
      <c r="F49" s="14">
        <f>IF(OR($D49="",$E49=""),"",$E49-$D49)</f>
        <v/>
      </c>
      <c r="G49" s="19" t="n"/>
      <c r="H49" s="19" t="n"/>
      <c r="I49" s="19" t="n"/>
      <c r="J49" s="18" t="n"/>
      <c r="K49" s="18" t="n"/>
      <c r="L49" s="19" t="n"/>
      <c r="M49" s="14">
        <f>IFERROR(INDEX(Pessoas!$A$5:$A$64,MATCH($B49,Pessoas!$B$5:$B$64,0)),"")</f>
        <v/>
      </c>
      <c r="N49" s="14">
        <f>IF(OR($B49="",$B49&lt;&gt;'1a1'!$B$4,$A49&lt;&gt;Config!$B$4),"",COUNTIFS($B$5:$B49,'1a1'!$B$4,$A$5:$A49,Config!$B$4))</f>
        <v/>
      </c>
    </row>
    <row r="50">
      <c r="A50" s="19" t="n"/>
      <c r="B50" s="19" t="n"/>
      <c r="C50" s="19" t="n"/>
      <c r="D50" s="14">
        <f>IF($B50="","",IF(COUNTIFS('Avaliação'!$AA$5:$AA$404,$M50&amp;"|"&amp;VALUE(LEFT($A50,4))*4+VALUE(RIGHT($A50,1))&amp;"|"&amp;$C50,'Avaliação'!$P$5:$P$404,"&gt;0")=0,"",SUMIFS('Avaliação'!$P$5:$P$404,'Avaliação'!$AA$5:$AA$404,$M50&amp;"|"&amp;VALUE(LEFT($A50,4))*4+VALUE(RIGHT($A50,1))&amp;"|"&amp;$C50)))</f>
        <v/>
      </c>
      <c r="E50" s="19" t="n"/>
      <c r="F50" s="14">
        <f>IF(OR($D50="",$E50=""),"",$E50-$D50)</f>
        <v/>
      </c>
      <c r="G50" s="19" t="n"/>
      <c r="H50" s="19" t="n"/>
      <c r="I50" s="19" t="n"/>
      <c r="J50" s="18" t="n"/>
      <c r="K50" s="18" t="n"/>
      <c r="L50" s="19" t="n"/>
      <c r="M50" s="14">
        <f>IFERROR(INDEX(Pessoas!$A$5:$A$64,MATCH($B50,Pessoas!$B$5:$B$64,0)),"")</f>
        <v/>
      </c>
      <c r="N50" s="14">
        <f>IF(OR($B50="",$B50&lt;&gt;'1a1'!$B$4,$A50&lt;&gt;Config!$B$4),"",COUNTIFS($B$5:$B50,'1a1'!$B$4,$A$5:$A50,Config!$B$4))</f>
        <v/>
      </c>
    </row>
    <row r="51">
      <c r="A51" s="19" t="n"/>
      <c r="B51" s="19" t="n"/>
      <c r="C51" s="19" t="n"/>
      <c r="D51" s="14">
        <f>IF($B51="","",IF(COUNTIFS('Avaliação'!$AA$5:$AA$404,$M51&amp;"|"&amp;VALUE(LEFT($A51,4))*4+VALUE(RIGHT($A51,1))&amp;"|"&amp;$C51,'Avaliação'!$P$5:$P$404,"&gt;0")=0,"",SUMIFS('Avaliação'!$P$5:$P$404,'Avaliação'!$AA$5:$AA$404,$M51&amp;"|"&amp;VALUE(LEFT($A51,4))*4+VALUE(RIGHT($A51,1))&amp;"|"&amp;$C51)))</f>
        <v/>
      </c>
      <c r="E51" s="19" t="n"/>
      <c r="F51" s="14">
        <f>IF(OR($D51="",$E51=""),"",$E51-$D51)</f>
        <v/>
      </c>
      <c r="G51" s="19" t="n"/>
      <c r="H51" s="19" t="n"/>
      <c r="I51" s="19" t="n"/>
      <c r="J51" s="18" t="n"/>
      <c r="K51" s="18" t="n"/>
      <c r="L51" s="19" t="n"/>
      <c r="M51" s="14">
        <f>IFERROR(INDEX(Pessoas!$A$5:$A$64,MATCH($B51,Pessoas!$B$5:$B$64,0)),"")</f>
        <v/>
      </c>
      <c r="N51" s="14">
        <f>IF(OR($B51="",$B51&lt;&gt;'1a1'!$B$4,$A51&lt;&gt;Config!$B$4),"",COUNTIFS($B$5:$B51,'1a1'!$B$4,$A$5:$A51,Config!$B$4))</f>
        <v/>
      </c>
    </row>
    <row r="52">
      <c r="A52" s="19" t="n"/>
      <c r="B52" s="19" t="n"/>
      <c r="C52" s="19" t="n"/>
      <c r="D52" s="14">
        <f>IF($B52="","",IF(COUNTIFS('Avaliação'!$AA$5:$AA$404,$M52&amp;"|"&amp;VALUE(LEFT($A52,4))*4+VALUE(RIGHT($A52,1))&amp;"|"&amp;$C52,'Avaliação'!$P$5:$P$404,"&gt;0")=0,"",SUMIFS('Avaliação'!$P$5:$P$404,'Avaliação'!$AA$5:$AA$404,$M52&amp;"|"&amp;VALUE(LEFT($A52,4))*4+VALUE(RIGHT($A52,1))&amp;"|"&amp;$C52)))</f>
        <v/>
      </c>
      <c r="E52" s="19" t="n"/>
      <c r="F52" s="14">
        <f>IF(OR($D52="",$E52=""),"",$E52-$D52)</f>
        <v/>
      </c>
      <c r="G52" s="19" t="n"/>
      <c r="H52" s="19" t="n"/>
      <c r="I52" s="19" t="n"/>
      <c r="J52" s="18" t="n"/>
      <c r="K52" s="18" t="n"/>
      <c r="L52" s="19" t="n"/>
      <c r="M52" s="14">
        <f>IFERROR(INDEX(Pessoas!$A$5:$A$64,MATCH($B52,Pessoas!$B$5:$B$64,0)),"")</f>
        <v/>
      </c>
      <c r="N52" s="14">
        <f>IF(OR($B52="",$B52&lt;&gt;'1a1'!$B$4,$A52&lt;&gt;Config!$B$4),"",COUNTIFS($B$5:$B52,'1a1'!$B$4,$A$5:$A52,Config!$B$4))</f>
        <v/>
      </c>
    </row>
    <row r="53">
      <c r="A53" s="19" t="n"/>
      <c r="B53" s="19" t="n"/>
      <c r="C53" s="19" t="n"/>
      <c r="D53" s="14">
        <f>IF($B53="","",IF(COUNTIFS('Avaliação'!$AA$5:$AA$404,$M53&amp;"|"&amp;VALUE(LEFT($A53,4))*4+VALUE(RIGHT($A53,1))&amp;"|"&amp;$C53,'Avaliação'!$P$5:$P$404,"&gt;0")=0,"",SUMIFS('Avaliação'!$P$5:$P$404,'Avaliação'!$AA$5:$AA$404,$M53&amp;"|"&amp;VALUE(LEFT($A53,4))*4+VALUE(RIGHT($A53,1))&amp;"|"&amp;$C53)))</f>
        <v/>
      </c>
      <c r="E53" s="19" t="n"/>
      <c r="F53" s="14">
        <f>IF(OR($D53="",$E53=""),"",$E53-$D53)</f>
        <v/>
      </c>
      <c r="G53" s="19" t="n"/>
      <c r="H53" s="19" t="n"/>
      <c r="I53" s="19" t="n"/>
      <c r="J53" s="18" t="n"/>
      <c r="K53" s="18" t="n"/>
      <c r="L53" s="19" t="n"/>
      <c r="M53" s="14">
        <f>IFERROR(INDEX(Pessoas!$A$5:$A$64,MATCH($B53,Pessoas!$B$5:$B$64,0)),"")</f>
        <v/>
      </c>
      <c r="N53" s="14">
        <f>IF(OR($B53="",$B53&lt;&gt;'1a1'!$B$4,$A53&lt;&gt;Config!$B$4),"",COUNTIFS($B$5:$B53,'1a1'!$B$4,$A$5:$A53,Config!$B$4))</f>
        <v/>
      </c>
    </row>
    <row r="54">
      <c r="A54" s="19" t="n"/>
      <c r="B54" s="19" t="n"/>
      <c r="C54" s="19" t="n"/>
      <c r="D54" s="14">
        <f>IF($B54="","",IF(COUNTIFS('Avaliação'!$AA$5:$AA$404,$M54&amp;"|"&amp;VALUE(LEFT($A54,4))*4+VALUE(RIGHT($A54,1))&amp;"|"&amp;$C54,'Avaliação'!$P$5:$P$404,"&gt;0")=0,"",SUMIFS('Avaliação'!$P$5:$P$404,'Avaliação'!$AA$5:$AA$404,$M54&amp;"|"&amp;VALUE(LEFT($A54,4))*4+VALUE(RIGHT($A54,1))&amp;"|"&amp;$C54)))</f>
        <v/>
      </c>
      <c r="E54" s="19" t="n"/>
      <c r="F54" s="14">
        <f>IF(OR($D54="",$E54=""),"",$E54-$D54)</f>
        <v/>
      </c>
      <c r="G54" s="19" t="n"/>
      <c r="H54" s="19" t="n"/>
      <c r="I54" s="19" t="n"/>
      <c r="J54" s="18" t="n"/>
      <c r="K54" s="18" t="n"/>
      <c r="L54" s="19" t="n"/>
      <c r="M54" s="14">
        <f>IFERROR(INDEX(Pessoas!$A$5:$A$64,MATCH($B54,Pessoas!$B$5:$B$64,0)),"")</f>
        <v/>
      </c>
      <c r="N54" s="14">
        <f>IF(OR($B54="",$B54&lt;&gt;'1a1'!$B$4,$A54&lt;&gt;Config!$B$4),"",COUNTIFS($B$5:$B54,'1a1'!$B$4,$A$5:$A54,Config!$B$4))</f>
        <v/>
      </c>
    </row>
    <row r="55">
      <c r="A55" s="19" t="n"/>
      <c r="B55" s="19" t="n"/>
      <c r="C55" s="19" t="n"/>
      <c r="D55" s="14">
        <f>IF($B55="","",IF(COUNTIFS('Avaliação'!$AA$5:$AA$404,$M55&amp;"|"&amp;VALUE(LEFT($A55,4))*4+VALUE(RIGHT($A55,1))&amp;"|"&amp;$C55,'Avaliação'!$P$5:$P$404,"&gt;0")=0,"",SUMIFS('Avaliação'!$P$5:$P$404,'Avaliação'!$AA$5:$AA$404,$M55&amp;"|"&amp;VALUE(LEFT($A55,4))*4+VALUE(RIGHT($A55,1))&amp;"|"&amp;$C55)))</f>
        <v/>
      </c>
      <c r="E55" s="19" t="n"/>
      <c r="F55" s="14">
        <f>IF(OR($D55="",$E55=""),"",$E55-$D55)</f>
        <v/>
      </c>
      <c r="G55" s="19" t="n"/>
      <c r="H55" s="19" t="n"/>
      <c r="I55" s="19" t="n"/>
      <c r="J55" s="18" t="n"/>
      <c r="K55" s="18" t="n"/>
      <c r="L55" s="19" t="n"/>
      <c r="M55" s="14">
        <f>IFERROR(INDEX(Pessoas!$A$5:$A$64,MATCH($B55,Pessoas!$B$5:$B$64,0)),"")</f>
        <v/>
      </c>
      <c r="N55" s="14">
        <f>IF(OR($B55="",$B55&lt;&gt;'1a1'!$B$4,$A55&lt;&gt;Config!$B$4),"",COUNTIFS($B$5:$B55,'1a1'!$B$4,$A$5:$A55,Config!$B$4))</f>
        <v/>
      </c>
    </row>
    <row r="56">
      <c r="A56" s="19" t="n"/>
      <c r="B56" s="19" t="n"/>
      <c r="C56" s="19" t="n"/>
      <c r="D56" s="14">
        <f>IF($B56="","",IF(COUNTIFS('Avaliação'!$AA$5:$AA$404,$M56&amp;"|"&amp;VALUE(LEFT($A56,4))*4+VALUE(RIGHT($A56,1))&amp;"|"&amp;$C56,'Avaliação'!$P$5:$P$404,"&gt;0")=0,"",SUMIFS('Avaliação'!$P$5:$P$404,'Avaliação'!$AA$5:$AA$404,$M56&amp;"|"&amp;VALUE(LEFT($A56,4))*4+VALUE(RIGHT($A56,1))&amp;"|"&amp;$C56)))</f>
        <v/>
      </c>
      <c r="E56" s="19" t="n"/>
      <c r="F56" s="14">
        <f>IF(OR($D56="",$E56=""),"",$E56-$D56)</f>
        <v/>
      </c>
      <c r="G56" s="19" t="n"/>
      <c r="H56" s="19" t="n"/>
      <c r="I56" s="19" t="n"/>
      <c r="J56" s="18" t="n"/>
      <c r="K56" s="18" t="n"/>
      <c r="L56" s="19" t="n"/>
      <c r="M56" s="14">
        <f>IFERROR(INDEX(Pessoas!$A$5:$A$64,MATCH($B56,Pessoas!$B$5:$B$64,0)),"")</f>
        <v/>
      </c>
      <c r="N56" s="14">
        <f>IF(OR($B56="",$B56&lt;&gt;'1a1'!$B$4,$A56&lt;&gt;Config!$B$4),"",COUNTIFS($B$5:$B56,'1a1'!$B$4,$A$5:$A56,Config!$B$4))</f>
        <v/>
      </c>
    </row>
    <row r="57">
      <c r="A57" s="19" t="n"/>
      <c r="B57" s="19" t="n"/>
      <c r="C57" s="19" t="n"/>
      <c r="D57" s="14">
        <f>IF($B57="","",IF(COUNTIFS('Avaliação'!$AA$5:$AA$404,$M57&amp;"|"&amp;VALUE(LEFT($A57,4))*4+VALUE(RIGHT($A57,1))&amp;"|"&amp;$C57,'Avaliação'!$P$5:$P$404,"&gt;0")=0,"",SUMIFS('Avaliação'!$P$5:$P$404,'Avaliação'!$AA$5:$AA$404,$M57&amp;"|"&amp;VALUE(LEFT($A57,4))*4+VALUE(RIGHT($A57,1))&amp;"|"&amp;$C57)))</f>
        <v/>
      </c>
      <c r="E57" s="19" t="n"/>
      <c r="F57" s="14">
        <f>IF(OR($D57="",$E57=""),"",$E57-$D57)</f>
        <v/>
      </c>
      <c r="G57" s="19" t="n"/>
      <c r="H57" s="19" t="n"/>
      <c r="I57" s="19" t="n"/>
      <c r="J57" s="18" t="n"/>
      <c r="K57" s="18" t="n"/>
      <c r="L57" s="19" t="n"/>
      <c r="M57" s="14">
        <f>IFERROR(INDEX(Pessoas!$A$5:$A$64,MATCH($B57,Pessoas!$B$5:$B$64,0)),"")</f>
        <v/>
      </c>
      <c r="N57" s="14">
        <f>IF(OR($B57="",$B57&lt;&gt;'1a1'!$B$4,$A57&lt;&gt;Config!$B$4),"",COUNTIFS($B$5:$B57,'1a1'!$B$4,$A$5:$A57,Config!$B$4))</f>
        <v/>
      </c>
    </row>
    <row r="58">
      <c r="A58" s="19" t="n"/>
      <c r="B58" s="19" t="n"/>
      <c r="C58" s="19" t="n"/>
      <c r="D58" s="14">
        <f>IF($B58="","",IF(COUNTIFS('Avaliação'!$AA$5:$AA$404,$M58&amp;"|"&amp;VALUE(LEFT($A58,4))*4+VALUE(RIGHT($A58,1))&amp;"|"&amp;$C58,'Avaliação'!$P$5:$P$404,"&gt;0")=0,"",SUMIFS('Avaliação'!$P$5:$P$404,'Avaliação'!$AA$5:$AA$404,$M58&amp;"|"&amp;VALUE(LEFT($A58,4))*4+VALUE(RIGHT($A58,1))&amp;"|"&amp;$C58)))</f>
        <v/>
      </c>
      <c r="E58" s="19" t="n"/>
      <c r="F58" s="14">
        <f>IF(OR($D58="",$E58=""),"",$E58-$D58)</f>
        <v/>
      </c>
      <c r="G58" s="19" t="n"/>
      <c r="H58" s="19" t="n"/>
      <c r="I58" s="19" t="n"/>
      <c r="J58" s="18" t="n"/>
      <c r="K58" s="18" t="n"/>
      <c r="L58" s="19" t="n"/>
      <c r="M58" s="14">
        <f>IFERROR(INDEX(Pessoas!$A$5:$A$64,MATCH($B58,Pessoas!$B$5:$B$64,0)),"")</f>
        <v/>
      </c>
      <c r="N58" s="14">
        <f>IF(OR($B58="",$B58&lt;&gt;'1a1'!$B$4,$A58&lt;&gt;Config!$B$4),"",COUNTIFS($B$5:$B58,'1a1'!$B$4,$A$5:$A58,Config!$B$4))</f>
        <v/>
      </c>
    </row>
    <row r="59">
      <c r="A59" s="19" t="n"/>
      <c r="B59" s="19" t="n"/>
      <c r="C59" s="19" t="n"/>
      <c r="D59" s="14">
        <f>IF($B59="","",IF(COUNTIFS('Avaliação'!$AA$5:$AA$404,$M59&amp;"|"&amp;VALUE(LEFT($A59,4))*4+VALUE(RIGHT($A59,1))&amp;"|"&amp;$C59,'Avaliação'!$P$5:$P$404,"&gt;0")=0,"",SUMIFS('Avaliação'!$P$5:$P$404,'Avaliação'!$AA$5:$AA$404,$M59&amp;"|"&amp;VALUE(LEFT($A59,4))*4+VALUE(RIGHT($A59,1))&amp;"|"&amp;$C59)))</f>
        <v/>
      </c>
      <c r="E59" s="19" t="n"/>
      <c r="F59" s="14">
        <f>IF(OR($D59="",$E59=""),"",$E59-$D59)</f>
        <v/>
      </c>
      <c r="G59" s="19" t="n"/>
      <c r="H59" s="19" t="n"/>
      <c r="I59" s="19" t="n"/>
      <c r="J59" s="18" t="n"/>
      <c r="K59" s="18" t="n"/>
      <c r="L59" s="19" t="n"/>
      <c r="M59" s="14">
        <f>IFERROR(INDEX(Pessoas!$A$5:$A$64,MATCH($B59,Pessoas!$B$5:$B$64,0)),"")</f>
        <v/>
      </c>
      <c r="N59" s="14">
        <f>IF(OR($B59="",$B59&lt;&gt;'1a1'!$B$4,$A59&lt;&gt;Config!$B$4),"",COUNTIFS($B$5:$B59,'1a1'!$B$4,$A$5:$A59,Config!$B$4))</f>
        <v/>
      </c>
    </row>
    <row r="60">
      <c r="A60" s="19" t="n"/>
      <c r="B60" s="19" t="n"/>
      <c r="C60" s="19" t="n"/>
      <c r="D60" s="14">
        <f>IF($B60="","",IF(COUNTIFS('Avaliação'!$AA$5:$AA$404,$M60&amp;"|"&amp;VALUE(LEFT($A60,4))*4+VALUE(RIGHT($A60,1))&amp;"|"&amp;$C60,'Avaliação'!$P$5:$P$404,"&gt;0")=0,"",SUMIFS('Avaliação'!$P$5:$P$404,'Avaliação'!$AA$5:$AA$404,$M60&amp;"|"&amp;VALUE(LEFT($A60,4))*4+VALUE(RIGHT($A60,1))&amp;"|"&amp;$C60)))</f>
        <v/>
      </c>
      <c r="E60" s="19" t="n"/>
      <c r="F60" s="14">
        <f>IF(OR($D60="",$E60=""),"",$E60-$D60)</f>
        <v/>
      </c>
      <c r="G60" s="19" t="n"/>
      <c r="H60" s="19" t="n"/>
      <c r="I60" s="19" t="n"/>
      <c r="J60" s="18" t="n"/>
      <c r="K60" s="18" t="n"/>
      <c r="L60" s="19" t="n"/>
      <c r="M60" s="14">
        <f>IFERROR(INDEX(Pessoas!$A$5:$A$64,MATCH($B60,Pessoas!$B$5:$B$64,0)),"")</f>
        <v/>
      </c>
      <c r="N60" s="14">
        <f>IF(OR($B60="",$B60&lt;&gt;'1a1'!$B$4,$A60&lt;&gt;Config!$B$4),"",COUNTIFS($B$5:$B60,'1a1'!$B$4,$A$5:$A60,Config!$B$4))</f>
        <v/>
      </c>
    </row>
    <row r="61">
      <c r="A61" s="19" t="n"/>
      <c r="B61" s="19" t="n"/>
      <c r="C61" s="19" t="n"/>
      <c r="D61" s="14">
        <f>IF($B61="","",IF(COUNTIFS('Avaliação'!$AA$5:$AA$404,$M61&amp;"|"&amp;VALUE(LEFT($A61,4))*4+VALUE(RIGHT($A61,1))&amp;"|"&amp;$C61,'Avaliação'!$P$5:$P$404,"&gt;0")=0,"",SUMIFS('Avaliação'!$P$5:$P$404,'Avaliação'!$AA$5:$AA$404,$M61&amp;"|"&amp;VALUE(LEFT($A61,4))*4+VALUE(RIGHT($A61,1))&amp;"|"&amp;$C61)))</f>
        <v/>
      </c>
      <c r="E61" s="19" t="n"/>
      <c r="F61" s="14">
        <f>IF(OR($D61="",$E61=""),"",$E61-$D61)</f>
        <v/>
      </c>
      <c r="G61" s="19" t="n"/>
      <c r="H61" s="19" t="n"/>
      <c r="I61" s="19" t="n"/>
      <c r="J61" s="18" t="n"/>
      <c r="K61" s="18" t="n"/>
      <c r="L61" s="19" t="n"/>
      <c r="M61" s="14">
        <f>IFERROR(INDEX(Pessoas!$A$5:$A$64,MATCH($B61,Pessoas!$B$5:$B$64,0)),"")</f>
        <v/>
      </c>
      <c r="N61" s="14">
        <f>IF(OR($B61="",$B61&lt;&gt;'1a1'!$B$4,$A61&lt;&gt;Config!$B$4),"",COUNTIFS($B$5:$B61,'1a1'!$B$4,$A$5:$A61,Config!$B$4))</f>
        <v/>
      </c>
    </row>
    <row r="62">
      <c r="A62" s="19" t="n"/>
      <c r="B62" s="19" t="n"/>
      <c r="C62" s="19" t="n"/>
      <c r="D62" s="14">
        <f>IF($B62="","",IF(COUNTIFS('Avaliação'!$AA$5:$AA$404,$M62&amp;"|"&amp;VALUE(LEFT($A62,4))*4+VALUE(RIGHT($A62,1))&amp;"|"&amp;$C62,'Avaliação'!$P$5:$P$404,"&gt;0")=0,"",SUMIFS('Avaliação'!$P$5:$P$404,'Avaliação'!$AA$5:$AA$404,$M62&amp;"|"&amp;VALUE(LEFT($A62,4))*4+VALUE(RIGHT($A62,1))&amp;"|"&amp;$C62)))</f>
        <v/>
      </c>
      <c r="E62" s="19" t="n"/>
      <c r="F62" s="14">
        <f>IF(OR($D62="",$E62=""),"",$E62-$D62)</f>
        <v/>
      </c>
      <c r="G62" s="19" t="n"/>
      <c r="H62" s="19" t="n"/>
      <c r="I62" s="19" t="n"/>
      <c r="J62" s="18" t="n"/>
      <c r="K62" s="18" t="n"/>
      <c r="L62" s="19" t="n"/>
      <c r="M62" s="14">
        <f>IFERROR(INDEX(Pessoas!$A$5:$A$64,MATCH($B62,Pessoas!$B$5:$B$64,0)),"")</f>
        <v/>
      </c>
      <c r="N62" s="14">
        <f>IF(OR($B62="",$B62&lt;&gt;'1a1'!$B$4,$A62&lt;&gt;Config!$B$4),"",COUNTIFS($B$5:$B62,'1a1'!$B$4,$A$5:$A62,Config!$B$4))</f>
        <v/>
      </c>
    </row>
    <row r="63">
      <c r="A63" s="19" t="n"/>
      <c r="B63" s="19" t="n"/>
      <c r="C63" s="19" t="n"/>
      <c r="D63" s="14">
        <f>IF($B63="","",IF(COUNTIFS('Avaliação'!$AA$5:$AA$404,$M63&amp;"|"&amp;VALUE(LEFT($A63,4))*4+VALUE(RIGHT($A63,1))&amp;"|"&amp;$C63,'Avaliação'!$P$5:$P$404,"&gt;0")=0,"",SUMIFS('Avaliação'!$P$5:$P$404,'Avaliação'!$AA$5:$AA$404,$M63&amp;"|"&amp;VALUE(LEFT($A63,4))*4+VALUE(RIGHT($A63,1))&amp;"|"&amp;$C63)))</f>
        <v/>
      </c>
      <c r="E63" s="19" t="n"/>
      <c r="F63" s="14">
        <f>IF(OR($D63="",$E63=""),"",$E63-$D63)</f>
        <v/>
      </c>
      <c r="G63" s="19" t="n"/>
      <c r="H63" s="19" t="n"/>
      <c r="I63" s="19" t="n"/>
      <c r="J63" s="18" t="n"/>
      <c r="K63" s="18" t="n"/>
      <c r="L63" s="19" t="n"/>
      <c r="M63" s="14">
        <f>IFERROR(INDEX(Pessoas!$A$5:$A$64,MATCH($B63,Pessoas!$B$5:$B$64,0)),"")</f>
        <v/>
      </c>
      <c r="N63" s="14">
        <f>IF(OR($B63="",$B63&lt;&gt;'1a1'!$B$4,$A63&lt;&gt;Config!$B$4),"",COUNTIFS($B$5:$B63,'1a1'!$B$4,$A$5:$A63,Config!$B$4))</f>
        <v/>
      </c>
    </row>
    <row r="64">
      <c r="A64" s="19" t="n"/>
      <c r="B64" s="19" t="n"/>
      <c r="C64" s="19" t="n"/>
      <c r="D64" s="14">
        <f>IF($B64="","",IF(COUNTIFS('Avaliação'!$AA$5:$AA$404,$M64&amp;"|"&amp;VALUE(LEFT($A64,4))*4+VALUE(RIGHT($A64,1))&amp;"|"&amp;$C64,'Avaliação'!$P$5:$P$404,"&gt;0")=0,"",SUMIFS('Avaliação'!$P$5:$P$404,'Avaliação'!$AA$5:$AA$404,$M64&amp;"|"&amp;VALUE(LEFT($A64,4))*4+VALUE(RIGHT($A64,1))&amp;"|"&amp;$C64)))</f>
        <v/>
      </c>
      <c r="E64" s="19" t="n"/>
      <c r="F64" s="14">
        <f>IF(OR($D64="",$E64=""),"",$E64-$D64)</f>
        <v/>
      </c>
      <c r="G64" s="19" t="n"/>
      <c r="H64" s="19" t="n"/>
      <c r="I64" s="19" t="n"/>
      <c r="J64" s="18" t="n"/>
      <c r="K64" s="18" t="n"/>
      <c r="L64" s="19" t="n"/>
      <c r="M64" s="14">
        <f>IFERROR(INDEX(Pessoas!$A$5:$A$64,MATCH($B64,Pessoas!$B$5:$B$64,0)),"")</f>
        <v/>
      </c>
      <c r="N64" s="14">
        <f>IF(OR($B64="",$B64&lt;&gt;'1a1'!$B$4,$A64&lt;&gt;Config!$B$4),"",COUNTIFS($B$5:$B64,'1a1'!$B$4,$A$5:$A64,Config!$B$4))</f>
        <v/>
      </c>
    </row>
    <row r="65">
      <c r="A65" s="19" t="n"/>
      <c r="B65" s="19" t="n"/>
      <c r="C65" s="19" t="n"/>
      <c r="D65" s="14">
        <f>IF($B65="","",IF(COUNTIFS('Avaliação'!$AA$5:$AA$404,$M65&amp;"|"&amp;VALUE(LEFT($A65,4))*4+VALUE(RIGHT($A65,1))&amp;"|"&amp;$C65,'Avaliação'!$P$5:$P$404,"&gt;0")=0,"",SUMIFS('Avaliação'!$P$5:$P$404,'Avaliação'!$AA$5:$AA$404,$M65&amp;"|"&amp;VALUE(LEFT($A65,4))*4+VALUE(RIGHT($A65,1))&amp;"|"&amp;$C65)))</f>
        <v/>
      </c>
      <c r="E65" s="19" t="n"/>
      <c r="F65" s="14">
        <f>IF(OR($D65="",$E65=""),"",$E65-$D65)</f>
        <v/>
      </c>
      <c r="G65" s="19" t="n"/>
      <c r="H65" s="19" t="n"/>
      <c r="I65" s="19" t="n"/>
      <c r="J65" s="18" t="n"/>
      <c r="K65" s="18" t="n"/>
      <c r="L65" s="19" t="n"/>
      <c r="M65" s="14">
        <f>IFERROR(INDEX(Pessoas!$A$5:$A$64,MATCH($B65,Pessoas!$B$5:$B$64,0)),"")</f>
        <v/>
      </c>
      <c r="N65" s="14">
        <f>IF(OR($B65="",$B65&lt;&gt;'1a1'!$B$4,$A65&lt;&gt;Config!$B$4),"",COUNTIFS($B$5:$B65,'1a1'!$B$4,$A$5:$A65,Config!$B$4))</f>
        <v/>
      </c>
    </row>
    <row r="66">
      <c r="A66" s="19" t="n"/>
      <c r="B66" s="19" t="n"/>
      <c r="C66" s="19" t="n"/>
      <c r="D66" s="14">
        <f>IF($B66="","",IF(COUNTIFS('Avaliação'!$AA$5:$AA$404,$M66&amp;"|"&amp;VALUE(LEFT($A66,4))*4+VALUE(RIGHT($A66,1))&amp;"|"&amp;$C66,'Avaliação'!$P$5:$P$404,"&gt;0")=0,"",SUMIFS('Avaliação'!$P$5:$P$404,'Avaliação'!$AA$5:$AA$404,$M66&amp;"|"&amp;VALUE(LEFT($A66,4))*4+VALUE(RIGHT($A66,1))&amp;"|"&amp;$C66)))</f>
        <v/>
      </c>
      <c r="E66" s="19" t="n"/>
      <c r="F66" s="14">
        <f>IF(OR($D66="",$E66=""),"",$E66-$D66)</f>
        <v/>
      </c>
      <c r="G66" s="19" t="n"/>
      <c r="H66" s="19" t="n"/>
      <c r="I66" s="19" t="n"/>
      <c r="J66" s="18" t="n"/>
      <c r="K66" s="18" t="n"/>
      <c r="L66" s="19" t="n"/>
      <c r="M66" s="14">
        <f>IFERROR(INDEX(Pessoas!$A$5:$A$64,MATCH($B66,Pessoas!$B$5:$B$64,0)),"")</f>
        <v/>
      </c>
      <c r="N66" s="14">
        <f>IF(OR($B66="",$B66&lt;&gt;'1a1'!$B$4,$A66&lt;&gt;Config!$B$4),"",COUNTIFS($B$5:$B66,'1a1'!$B$4,$A$5:$A66,Config!$B$4))</f>
        <v/>
      </c>
    </row>
    <row r="67">
      <c r="A67" s="19" t="n"/>
      <c r="B67" s="19" t="n"/>
      <c r="C67" s="19" t="n"/>
      <c r="D67" s="14">
        <f>IF($B67="","",IF(COUNTIFS('Avaliação'!$AA$5:$AA$404,$M67&amp;"|"&amp;VALUE(LEFT($A67,4))*4+VALUE(RIGHT($A67,1))&amp;"|"&amp;$C67,'Avaliação'!$P$5:$P$404,"&gt;0")=0,"",SUMIFS('Avaliação'!$P$5:$P$404,'Avaliação'!$AA$5:$AA$404,$M67&amp;"|"&amp;VALUE(LEFT($A67,4))*4+VALUE(RIGHT($A67,1))&amp;"|"&amp;$C67)))</f>
        <v/>
      </c>
      <c r="E67" s="19" t="n"/>
      <c r="F67" s="14">
        <f>IF(OR($D67="",$E67=""),"",$E67-$D67)</f>
        <v/>
      </c>
      <c r="G67" s="19" t="n"/>
      <c r="H67" s="19" t="n"/>
      <c r="I67" s="19" t="n"/>
      <c r="J67" s="18" t="n"/>
      <c r="K67" s="18" t="n"/>
      <c r="L67" s="19" t="n"/>
      <c r="M67" s="14">
        <f>IFERROR(INDEX(Pessoas!$A$5:$A$64,MATCH($B67,Pessoas!$B$5:$B$64,0)),"")</f>
        <v/>
      </c>
      <c r="N67" s="14">
        <f>IF(OR($B67="",$B67&lt;&gt;'1a1'!$B$4,$A67&lt;&gt;Config!$B$4),"",COUNTIFS($B$5:$B67,'1a1'!$B$4,$A$5:$A67,Config!$B$4))</f>
        <v/>
      </c>
    </row>
    <row r="68">
      <c r="A68" s="19" t="n"/>
      <c r="B68" s="19" t="n"/>
      <c r="C68" s="19" t="n"/>
      <c r="D68" s="14">
        <f>IF($B68="","",IF(COUNTIFS('Avaliação'!$AA$5:$AA$404,$M68&amp;"|"&amp;VALUE(LEFT($A68,4))*4+VALUE(RIGHT($A68,1))&amp;"|"&amp;$C68,'Avaliação'!$P$5:$P$404,"&gt;0")=0,"",SUMIFS('Avaliação'!$P$5:$P$404,'Avaliação'!$AA$5:$AA$404,$M68&amp;"|"&amp;VALUE(LEFT($A68,4))*4+VALUE(RIGHT($A68,1))&amp;"|"&amp;$C68)))</f>
        <v/>
      </c>
      <c r="E68" s="19" t="n"/>
      <c r="F68" s="14">
        <f>IF(OR($D68="",$E68=""),"",$E68-$D68)</f>
        <v/>
      </c>
      <c r="G68" s="19" t="n"/>
      <c r="H68" s="19" t="n"/>
      <c r="I68" s="19" t="n"/>
      <c r="J68" s="18" t="n"/>
      <c r="K68" s="18" t="n"/>
      <c r="L68" s="19" t="n"/>
      <c r="M68" s="14">
        <f>IFERROR(INDEX(Pessoas!$A$5:$A$64,MATCH($B68,Pessoas!$B$5:$B$64,0)),"")</f>
        <v/>
      </c>
      <c r="N68" s="14">
        <f>IF(OR($B68="",$B68&lt;&gt;'1a1'!$B$4,$A68&lt;&gt;Config!$B$4),"",COUNTIFS($B$5:$B68,'1a1'!$B$4,$A$5:$A68,Config!$B$4))</f>
        <v/>
      </c>
    </row>
    <row r="69">
      <c r="A69" s="19" t="n"/>
      <c r="B69" s="19" t="n"/>
      <c r="C69" s="19" t="n"/>
      <c r="D69" s="14">
        <f>IF($B69="","",IF(COUNTIFS('Avaliação'!$AA$5:$AA$404,$M69&amp;"|"&amp;VALUE(LEFT($A69,4))*4+VALUE(RIGHT($A69,1))&amp;"|"&amp;$C69,'Avaliação'!$P$5:$P$404,"&gt;0")=0,"",SUMIFS('Avaliação'!$P$5:$P$404,'Avaliação'!$AA$5:$AA$404,$M69&amp;"|"&amp;VALUE(LEFT($A69,4))*4+VALUE(RIGHT($A69,1))&amp;"|"&amp;$C69)))</f>
        <v/>
      </c>
      <c r="E69" s="19" t="n"/>
      <c r="F69" s="14">
        <f>IF(OR($D69="",$E69=""),"",$E69-$D69)</f>
        <v/>
      </c>
      <c r="G69" s="19" t="n"/>
      <c r="H69" s="19" t="n"/>
      <c r="I69" s="19" t="n"/>
      <c r="J69" s="18" t="n"/>
      <c r="K69" s="18" t="n"/>
      <c r="L69" s="19" t="n"/>
      <c r="M69" s="14">
        <f>IFERROR(INDEX(Pessoas!$A$5:$A$64,MATCH($B69,Pessoas!$B$5:$B$64,0)),"")</f>
        <v/>
      </c>
      <c r="N69" s="14">
        <f>IF(OR($B69="",$B69&lt;&gt;'1a1'!$B$4,$A69&lt;&gt;Config!$B$4),"",COUNTIFS($B$5:$B69,'1a1'!$B$4,$A$5:$A69,Config!$B$4))</f>
        <v/>
      </c>
    </row>
    <row r="70">
      <c r="A70" s="19" t="n"/>
      <c r="B70" s="19" t="n"/>
      <c r="C70" s="19" t="n"/>
      <c r="D70" s="14">
        <f>IF($B70="","",IF(COUNTIFS('Avaliação'!$AA$5:$AA$404,$M70&amp;"|"&amp;VALUE(LEFT($A70,4))*4+VALUE(RIGHT($A70,1))&amp;"|"&amp;$C70,'Avaliação'!$P$5:$P$404,"&gt;0")=0,"",SUMIFS('Avaliação'!$P$5:$P$404,'Avaliação'!$AA$5:$AA$404,$M70&amp;"|"&amp;VALUE(LEFT($A70,4))*4+VALUE(RIGHT($A70,1))&amp;"|"&amp;$C70)))</f>
        <v/>
      </c>
      <c r="E70" s="19" t="n"/>
      <c r="F70" s="14">
        <f>IF(OR($D70="",$E70=""),"",$E70-$D70)</f>
        <v/>
      </c>
      <c r="G70" s="19" t="n"/>
      <c r="H70" s="19" t="n"/>
      <c r="I70" s="19" t="n"/>
      <c r="J70" s="18" t="n"/>
      <c r="K70" s="18" t="n"/>
      <c r="L70" s="19" t="n"/>
      <c r="M70" s="14">
        <f>IFERROR(INDEX(Pessoas!$A$5:$A$64,MATCH($B70,Pessoas!$B$5:$B$64,0)),"")</f>
        <v/>
      </c>
      <c r="N70" s="14">
        <f>IF(OR($B70="",$B70&lt;&gt;'1a1'!$B$4,$A70&lt;&gt;Config!$B$4),"",COUNTIFS($B$5:$B70,'1a1'!$B$4,$A$5:$A70,Config!$B$4))</f>
        <v/>
      </c>
    </row>
    <row r="71">
      <c r="A71" s="19" t="n"/>
      <c r="B71" s="19" t="n"/>
      <c r="C71" s="19" t="n"/>
      <c r="D71" s="14">
        <f>IF($B71="","",IF(COUNTIFS('Avaliação'!$AA$5:$AA$404,$M71&amp;"|"&amp;VALUE(LEFT($A71,4))*4+VALUE(RIGHT($A71,1))&amp;"|"&amp;$C71,'Avaliação'!$P$5:$P$404,"&gt;0")=0,"",SUMIFS('Avaliação'!$P$5:$P$404,'Avaliação'!$AA$5:$AA$404,$M71&amp;"|"&amp;VALUE(LEFT($A71,4))*4+VALUE(RIGHT($A71,1))&amp;"|"&amp;$C71)))</f>
        <v/>
      </c>
      <c r="E71" s="19" t="n"/>
      <c r="F71" s="14">
        <f>IF(OR($D71="",$E71=""),"",$E71-$D71)</f>
        <v/>
      </c>
      <c r="G71" s="19" t="n"/>
      <c r="H71" s="19" t="n"/>
      <c r="I71" s="19" t="n"/>
      <c r="J71" s="18" t="n"/>
      <c r="K71" s="18" t="n"/>
      <c r="L71" s="19" t="n"/>
      <c r="M71" s="14">
        <f>IFERROR(INDEX(Pessoas!$A$5:$A$64,MATCH($B71,Pessoas!$B$5:$B$64,0)),"")</f>
        <v/>
      </c>
      <c r="N71" s="14">
        <f>IF(OR($B71="",$B71&lt;&gt;'1a1'!$B$4,$A71&lt;&gt;Config!$B$4),"",COUNTIFS($B$5:$B71,'1a1'!$B$4,$A$5:$A71,Config!$B$4))</f>
        <v/>
      </c>
    </row>
    <row r="72">
      <c r="A72" s="19" t="n"/>
      <c r="B72" s="19" t="n"/>
      <c r="C72" s="19" t="n"/>
      <c r="D72" s="14">
        <f>IF($B72="","",IF(COUNTIFS('Avaliação'!$AA$5:$AA$404,$M72&amp;"|"&amp;VALUE(LEFT($A72,4))*4+VALUE(RIGHT($A72,1))&amp;"|"&amp;$C72,'Avaliação'!$P$5:$P$404,"&gt;0")=0,"",SUMIFS('Avaliação'!$P$5:$P$404,'Avaliação'!$AA$5:$AA$404,$M72&amp;"|"&amp;VALUE(LEFT($A72,4))*4+VALUE(RIGHT($A72,1))&amp;"|"&amp;$C72)))</f>
        <v/>
      </c>
      <c r="E72" s="19" t="n"/>
      <c r="F72" s="14">
        <f>IF(OR($D72="",$E72=""),"",$E72-$D72)</f>
        <v/>
      </c>
      <c r="G72" s="19" t="n"/>
      <c r="H72" s="19" t="n"/>
      <c r="I72" s="19" t="n"/>
      <c r="J72" s="18" t="n"/>
      <c r="K72" s="18" t="n"/>
      <c r="L72" s="19" t="n"/>
      <c r="M72" s="14">
        <f>IFERROR(INDEX(Pessoas!$A$5:$A$64,MATCH($B72,Pessoas!$B$5:$B$64,0)),"")</f>
        <v/>
      </c>
      <c r="N72" s="14">
        <f>IF(OR($B72="",$B72&lt;&gt;'1a1'!$B$4,$A72&lt;&gt;Config!$B$4),"",COUNTIFS($B$5:$B72,'1a1'!$B$4,$A$5:$A72,Config!$B$4))</f>
        <v/>
      </c>
    </row>
    <row r="73">
      <c r="A73" s="19" t="n"/>
      <c r="B73" s="19" t="n"/>
      <c r="C73" s="19" t="n"/>
      <c r="D73" s="14">
        <f>IF($B73="","",IF(COUNTIFS('Avaliação'!$AA$5:$AA$404,$M73&amp;"|"&amp;VALUE(LEFT($A73,4))*4+VALUE(RIGHT($A73,1))&amp;"|"&amp;$C73,'Avaliação'!$P$5:$P$404,"&gt;0")=0,"",SUMIFS('Avaliação'!$P$5:$P$404,'Avaliação'!$AA$5:$AA$404,$M73&amp;"|"&amp;VALUE(LEFT($A73,4))*4+VALUE(RIGHT($A73,1))&amp;"|"&amp;$C73)))</f>
        <v/>
      </c>
      <c r="E73" s="19" t="n"/>
      <c r="F73" s="14">
        <f>IF(OR($D73="",$E73=""),"",$E73-$D73)</f>
        <v/>
      </c>
      <c r="G73" s="19" t="n"/>
      <c r="H73" s="19" t="n"/>
      <c r="I73" s="19" t="n"/>
      <c r="J73" s="18" t="n"/>
      <c r="K73" s="18" t="n"/>
      <c r="L73" s="19" t="n"/>
      <c r="M73" s="14">
        <f>IFERROR(INDEX(Pessoas!$A$5:$A$64,MATCH($B73,Pessoas!$B$5:$B$64,0)),"")</f>
        <v/>
      </c>
      <c r="N73" s="14">
        <f>IF(OR($B73="",$B73&lt;&gt;'1a1'!$B$4,$A73&lt;&gt;Config!$B$4),"",COUNTIFS($B$5:$B73,'1a1'!$B$4,$A$5:$A73,Config!$B$4))</f>
        <v/>
      </c>
    </row>
    <row r="74">
      <c r="A74" s="19" t="n"/>
      <c r="B74" s="19" t="n"/>
      <c r="C74" s="19" t="n"/>
      <c r="D74" s="14">
        <f>IF($B74="","",IF(COUNTIFS('Avaliação'!$AA$5:$AA$404,$M74&amp;"|"&amp;VALUE(LEFT($A74,4))*4+VALUE(RIGHT($A74,1))&amp;"|"&amp;$C74,'Avaliação'!$P$5:$P$404,"&gt;0")=0,"",SUMIFS('Avaliação'!$P$5:$P$404,'Avaliação'!$AA$5:$AA$404,$M74&amp;"|"&amp;VALUE(LEFT($A74,4))*4+VALUE(RIGHT($A74,1))&amp;"|"&amp;$C74)))</f>
        <v/>
      </c>
      <c r="E74" s="19" t="n"/>
      <c r="F74" s="14">
        <f>IF(OR($D74="",$E74=""),"",$E74-$D74)</f>
        <v/>
      </c>
      <c r="G74" s="19" t="n"/>
      <c r="H74" s="19" t="n"/>
      <c r="I74" s="19" t="n"/>
      <c r="J74" s="18" t="n"/>
      <c r="K74" s="18" t="n"/>
      <c r="L74" s="19" t="n"/>
      <c r="M74" s="14">
        <f>IFERROR(INDEX(Pessoas!$A$5:$A$64,MATCH($B74,Pessoas!$B$5:$B$64,0)),"")</f>
        <v/>
      </c>
      <c r="N74" s="14">
        <f>IF(OR($B74="",$B74&lt;&gt;'1a1'!$B$4,$A74&lt;&gt;Config!$B$4),"",COUNTIFS($B$5:$B74,'1a1'!$B$4,$A$5:$A74,Config!$B$4))</f>
        <v/>
      </c>
    </row>
    <row r="75">
      <c r="A75" s="19" t="n"/>
      <c r="B75" s="19" t="n"/>
      <c r="C75" s="19" t="n"/>
      <c r="D75" s="14">
        <f>IF($B75="","",IF(COUNTIFS('Avaliação'!$AA$5:$AA$404,$M75&amp;"|"&amp;VALUE(LEFT($A75,4))*4+VALUE(RIGHT($A75,1))&amp;"|"&amp;$C75,'Avaliação'!$P$5:$P$404,"&gt;0")=0,"",SUMIFS('Avaliação'!$P$5:$P$404,'Avaliação'!$AA$5:$AA$404,$M75&amp;"|"&amp;VALUE(LEFT($A75,4))*4+VALUE(RIGHT($A75,1))&amp;"|"&amp;$C75)))</f>
        <v/>
      </c>
      <c r="E75" s="19" t="n"/>
      <c r="F75" s="14">
        <f>IF(OR($D75="",$E75=""),"",$E75-$D75)</f>
        <v/>
      </c>
      <c r="G75" s="19" t="n"/>
      <c r="H75" s="19" t="n"/>
      <c r="I75" s="19" t="n"/>
      <c r="J75" s="18" t="n"/>
      <c r="K75" s="18" t="n"/>
      <c r="L75" s="19" t="n"/>
      <c r="M75" s="14">
        <f>IFERROR(INDEX(Pessoas!$A$5:$A$64,MATCH($B75,Pessoas!$B$5:$B$64,0)),"")</f>
        <v/>
      </c>
      <c r="N75" s="14">
        <f>IF(OR($B75="",$B75&lt;&gt;'1a1'!$B$4,$A75&lt;&gt;Config!$B$4),"",COUNTIFS($B$5:$B75,'1a1'!$B$4,$A$5:$A75,Config!$B$4))</f>
        <v/>
      </c>
    </row>
    <row r="76">
      <c r="A76" s="19" t="n"/>
      <c r="B76" s="19" t="n"/>
      <c r="C76" s="19" t="n"/>
      <c r="D76" s="14">
        <f>IF($B76="","",IF(COUNTIFS('Avaliação'!$AA$5:$AA$404,$M76&amp;"|"&amp;VALUE(LEFT($A76,4))*4+VALUE(RIGHT($A76,1))&amp;"|"&amp;$C76,'Avaliação'!$P$5:$P$404,"&gt;0")=0,"",SUMIFS('Avaliação'!$P$5:$P$404,'Avaliação'!$AA$5:$AA$404,$M76&amp;"|"&amp;VALUE(LEFT($A76,4))*4+VALUE(RIGHT($A76,1))&amp;"|"&amp;$C76)))</f>
        <v/>
      </c>
      <c r="E76" s="19" t="n"/>
      <c r="F76" s="14">
        <f>IF(OR($D76="",$E76=""),"",$E76-$D76)</f>
        <v/>
      </c>
      <c r="G76" s="19" t="n"/>
      <c r="H76" s="19" t="n"/>
      <c r="I76" s="19" t="n"/>
      <c r="J76" s="18" t="n"/>
      <c r="K76" s="18" t="n"/>
      <c r="L76" s="19" t="n"/>
      <c r="M76" s="14">
        <f>IFERROR(INDEX(Pessoas!$A$5:$A$64,MATCH($B76,Pessoas!$B$5:$B$64,0)),"")</f>
        <v/>
      </c>
      <c r="N76" s="14">
        <f>IF(OR($B76="",$B76&lt;&gt;'1a1'!$B$4,$A76&lt;&gt;Config!$B$4),"",COUNTIFS($B$5:$B76,'1a1'!$B$4,$A$5:$A76,Config!$B$4))</f>
        <v/>
      </c>
    </row>
    <row r="77">
      <c r="A77" s="19" t="n"/>
      <c r="B77" s="19" t="n"/>
      <c r="C77" s="19" t="n"/>
      <c r="D77" s="14">
        <f>IF($B77="","",IF(COUNTIFS('Avaliação'!$AA$5:$AA$404,$M77&amp;"|"&amp;VALUE(LEFT($A77,4))*4+VALUE(RIGHT($A77,1))&amp;"|"&amp;$C77,'Avaliação'!$P$5:$P$404,"&gt;0")=0,"",SUMIFS('Avaliação'!$P$5:$P$404,'Avaliação'!$AA$5:$AA$404,$M77&amp;"|"&amp;VALUE(LEFT($A77,4))*4+VALUE(RIGHT($A77,1))&amp;"|"&amp;$C77)))</f>
        <v/>
      </c>
      <c r="E77" s="19" t="n"/>
      <c r="F77" s="14">
        <f>IF(OR($D77="",$E77=""),"",$E77-$D77)</f>
        <v/>
      </c>
      <c r="G77" s="19" t="n"/>
      <c r="H77" s="19" t="n"/>
      <c r="I77" s="19" t="n"/>
      <c r="J77" s="18" t="n"/>
      <c r="K77" s="18" t="n"/>
      <c r="L77" s="19" t="n"/>
      <c r="M77" s="14">
        <f>IFERROR(INDEX(Pessoas!$A$5:$A$64,MATCH($B77,Pessoas!$B$5:$B$64,0)),"")</f>
        <v/>
      </c>
      <c r="N77" s="14">
        <f>IF(OR($B77="",$B77&lt;&gt;'1a1'!$B$4,$A77&lt;&gt;Config!$B$4),"",COUNTIFS($B$5:$B77,'1a1'!$B$4,$A$5:$A77,Config!$B$4))</f>
        <v/>
      </c>
    </row>
    <row r="78">
      <c r="A78" s="19" t="n"/>
      <c r="B78" s="19" t="n"/>
      <c r="C78" s="19" t="n"/>
      <c r="D78" s="14">
        <f>IF($B78="","",IF(COUNTIFS('Avaliação'!$AA$5:$AA$404,$M78&amp;"|"&amp;VALUE(LEFT($A78,4))*4+VALUE(RIGHT($A78,1))&amp;"|"&amp;$C78,'Avaliação'!$P$5:$P$404,"&gt;0")=0,"",SUMIFS('Avaliação'!$P$5:$P$404,'Avaliação'!$AA$5:$AA$404,$M78&amp;"|"&amp;VALUE(LEFT($A78,4))*4+VALUE(RIGHT($A78,1))&amp;"|"&amp;$C78)))</f>
        <v/>
      </c>
      <c r="E78" s="19" t="n"/>
      <c r="F78" s="14">
        <f>IF(OR($D78="",$E78=""),"",$E78-$D78)</f>
        <v/>
      </c>
      <c r="G78" s="19" t="n"/>
      <c r="H78" s="19" t="n"/>
      <c r="I78" s="19" t="n"/>
      <c r="J78" s="18" t="n"/>
      <c r="K78" s="18" t="n"/>
      <c r="L78" s="19" t="n"/>
      <c r="M78" s="14">
        <f>IFERROR(INDEX(Pessoas!$A$5:$A$64,MATCH($B78,Pessoas!$B$5:$B$64,0)),"")</f>
        <v/>
      </c>
      <c r="N78" s="14">
        <f>IF(OR($B78="",$B78&lt;&gt;'1a1'!$B$4,$A78&lt;&gt;Config!$B$4),"",COUNTIFS($B$5:$B78,'1a1'!$B$4,$A$5:$A78,Config!$B$4))</f>
        <v/>
      </c>
    </row>
    <row r="79">
      <c r="A79" s="19" t="n"/>
      <c r="B79" s="19" t="n"/>
      <c r="C79" s="19" t="n"/>
      <c r="D79" s="14">
        <f>IF($B79="","",IF(COUNTIFS('Avaliação'!$AA$5:$AA$404,$M79&amp;"|"&amp;VALUE(LEFT($A79,4))*4+VALUE(RIGHT($A79,1))&amp;"|"&amp;$C79,'Avaliação'!$P$5:$P$404,"&gt;0")=0,"",SUMIFS('Avaliação'!$P$5:$P$404,'Avaliação'!$AA$5:$AA$404,$M79&amp;"|"&amp;VALUE(LEFT($A79,4))*4+VALUE(RIGHT($A79,1))&amp;"|"&amp;$C79)))</f>
        <v/>
      </c>
      <c r="E79" s="19" t="n"/>
      <c r="F79" s="14">
        <f>IF(OR($D79="",$E79=""),"",$E79-$D79)</f>
        <v/>
      </c>
      <c r="G79" s="19" t="n"/>
      <c r="H79" s="19" t="n"/>
      <c r="I79" s="19" t="n"/>
      <c r="J79" s="18" t="n"/>
      <c r="K79" s="18" t="n"/>
      <c r="L79" s="19" t="n"/>
      <c r="M79" s="14">
        <f>IFERROR(INDEX(Pessoas!$A$5:$A$64,MATCH($B79,Pessoas!$B$5:$B$64,0)),"")</f>
        <v/>
      </c>
      <c r="N79" s="14">
        <f>IF(OR($B79="",$B79&lt;&gt;'1a1'!$B$4,$A79&lt;&gt;Config!$B$4),"",COUNTIFS($B$5:$B79,'1a1'!$B$4,$A$5:$A79,Config!$B$4))</f>
        <v/>
      </c>
    </row>
    <row r="80">
      <c r="A80" s="19" t="n"/>
      <c r="B80" s="19" t="n"/>
      <c r="C80" s="19" t="n"/>
      <c r="D80" s="14">
        <f>IF($B80="","",IF(COUNTIFS('Avaliação'!$AA$5:$AA$404,$M80&amp;"|"&amp;VALUE(LEFT($A80,4))*4+VALUE(RIGHT($A80,1))&amp;"|"&amp;$C80,'Avaliação'!$P$5:$P$404,"&gt;0")=0,"",SUMIFS('Avaliação'!$P$5:$P$404,'Avaliação'!$AA$5:$AA$404,$M80&amp;"|"&amp;VALUE(LEFT($A80,4))*4+VALUE(RIGHT($A80,1))&amp;"|"&amp;$C80)))</f>
        <v/>
      </c>
      <c r="E80" s="19" t="n"/>
      <c r="F80" s="14">
        <f>IF(OR($D80="",$E80=""),"",$E80-$D80)</f>
        <v/>
      </c>
      <c r="G80" s="19" t="n"/>
      <c r="H80" s="19" t="n"/>
      <c r="I80" s="19" t="n"/>
      <c r="J80" s="18" t="n"/>
      <c r="K80" s="18" t="n"/>
      <c r="L80" s="19" t="n"/>
      <c r="M80" s="14">
        <f>IFERROR(INDEX(Pessoas!$A$5:$A$64,MATCH($B80,Pessoas!$B$5:$B$64,0)),"")</f>
        <v/>
      </c>
      <c r="N80" s="14">
        <f>IF(OR($B80="",$B80&lt;&gt;'1a1'!$B$4,$A80&lt;&gt;Config!$B$4),"",COUNTIFS($B$5:$B80,'1a1'!$B$4,$A$5:$A80,Config!$B$4))</f>
        <v/>
      </c>
    </row>
    <row r="81">
      <c r="A81" s="19" t="n"/>
      <c r="B81" s="19" t="n"/>
      <c r="C81" s="19" t="n"/>
      <c r="D81" s="14">
        <f>IF($B81="","",IF(COUNTIFS('Avaliação'!$AA$5:$AA$404,$M81&amp;"|"&amp;VALUE(LEFT($A81,4))*4+VALUE(RIGHT($A81,1))&amp;"|"&amp;$C81,'Avaliação'!$P$5:$P$404,"&gt;0")=0,"",SUMIFS('Avaliação'!$P$5:$P$404,'Avaliação'!$AA$5:$AA$404,$M81&amp;"|"&amp;VALUE(LEFT($A81,4))*4+VALUE(RIGHT($A81,1))&amp;"|"&amp;$C81)))</f>
        <v/>
      </c>
      <c r="E81" s="19" t="n"/>
      <c r="F81" s="14">
        <f>IF(OR($D81="",$E81=""),"",$E81-$D81)</f>
        <v/>
      </c>
      <c r="G81" s="19" t="n"/>
      <c r="H81" s="19" t="n"/>
      <c r="I81" s="19" t="n"/>
      <c r="J81" s="18" t="n"/>
      <c r="K81" s="18" t="n"/>
      <c r="L81" s="19" t="n"/>
      <c r="M81" s="14">
        <f>IFERROR(INDEX(Pessoas!$A$5:$A$64,MATCH($B81,Pessoas!$B$5:$B$64,0)),"")</f>
        <v/>
      </c>
      <c r="N81" s="14">
        <f>IF(OR($B81="",$B81&lt;&gt;'1a1'!$B$4,$A81&lt;&gt;Config!$B$4),"",COUNTIFS($B$5:$B81,'1a1'!$B$4,$A$5:$A81,Config!$B$4))</f>
        <v/>
      </c>
    </row>
    <row r="82">
      <c r="A82" s="19" t="n"/>
      <c r="B82" s="19" t="n"/>
      <c r="C82" s="19" t="n"/>
      <c r="D82" s="14">
        <f>IF($B82="","",IF(COUNTIFS('Avaliação'!$AA$5:$AA$404,$M82&amp;"|"&amp;VALUE(LEFT($A82,4))*4+VALUE(RIGHT($A82,1))&amp;"|"&amp;$C82,'Avaliação'!$P$5:$P$404,"&gt;0")=0,"",SUMIFS('Avaliação'!$P$5:$P$404,'Avaliação'!$AA$5:$AA$404,$M82&amp;"|"&amp;VALUE(LEFT($A82,4))*4+VALUE(RIGHT($A82,1))&amp;"|"&amp;$C82)))</f>
        <v/>
      </c>
      <c r="E82" s="19" t="n"/>
      <c r="F82" s="14">
        <f>IF(OR($D82="",$E82=""),"",$E82-$D82)</f>
        <v/>
      </c>
      <c r="G82" s="19" t="n"/>
      <c r="H82" s="19" t="n"/>
      <c r="I82" s="19" t="n"/>
      <c r="J82" s="18" t="n"/>
      <c r="K82" s="18" t="n"/>
      <c r="L82" s="19" t="n"/>
      <c r="M82" s="14">
        <f>IFERROR(INDEX(Pessoas!$A$5:$A$64,MATCH($B82,Pessoas!$B$5:$B$64,0)),"")</f>
        <v/>
      </c>
      <c r="N82" s="14">
        <f>IF(OR($B82="",$B82&lt;&gt;'1a1'!$B$4,$A82&lt;&gt;Config!$B$4),"",COUNTIFS($B$5:$B82,'1a1'!$B$4,$A$5:$A82,Config!$B$4))</f>
        <v/>
      </c>
    </row>
    <row r="83">
      <c r="A83" s="19" t="n"/>
      <c r="B83" s="19" t="n"/>
      <c r="C83" s="19" t="n"/>
      <c r="D83" s="14">
        <f>IF($B83="","",IF(COUNTIFS('Avaliação'!$AA$5:$AA$404,$M83&amp;"|"&amp;VALUE(LEFT($A83,4))*4+VALUE(RIGHT($A83,1))&amp;"|"&amp;$C83,'Avaliação'!$P$5:$P$404,"&gt;0")=0,"",SUMIFS('Avaliação'!$P$5:$P$404,'Avaliação'!$AA$5:$AA$404,$M83&amp;"|"&amp;VALUE(LEFT($A83,4))*4+VALUE(RIGHT($A83,1))&amp;"|"&amp;$C83)))</f>
        <v/>
      </c>
      <c r="E83" s="19" t="n"/>
      <c r="F83" s="14">
        <f>IF(OR($D83="",$E83=""),"",$E83-$D83)</f>
        <v/>
      </c>
      <c r="G83" s="19" t="n"/>
      <c r="H83" s="19" t="n"/>
      <c r="I83" s="19" t="n"/>
      <c r="J83" s="18" t="n"/>
      <c r="K83" s="18" t="n"/>
      <c r="L83" s="19" t="n"/>
      <c r="M83" s="14">
        <f>IFERROR(INDEX(Pessoas!$A$5:$A$64,MATCH($B83,Pessoas!$B$5:$B$64,0)),"")</f>
        <v/>
      </c>
      <c r="N83" s="14">
        <f>IF(OR($B83="",$B83&lt;&gt;'1a1'!$B$4,$A83&lt;&gt;Config!$B$4),"",COUNTIFS($B$5:$B83,'1a1'!$B$4,$A$5:$A83,Config!$B$4))</f>
        <v/>
      </c>
    </row>
    <row r="84">
      <c r="A84" s="19" t="n"/>
      <c r="B84" s="19" t="n"/>
      <c r="C84" s="19" t="n"/>
      <c r="D84" s="14">
        <f>IF($B84="","",IF(COUNTIFS('Avaliação'!$AA$5:$AA$404,$M84&amp;"|"&amp;VALUE(LEFT($A84,4))*4+VALUE(RIGHT($A84,1))&amp;"|"&amp;$C84,'Avaliação'!$P$5:$P$404,"&gt;0")=0,"",SUMIFS('Avaliação'!$P$5:$P$404,'Avaliação'!$AA$5:$AA$404,$M84&amp;"|"&amp;VALUE(LEFT($A84,4))*4+VALUE(RIGHT($A84,1))&amp;"|"&amp;$C84)))</f>
        <v/>
      </c>
      <c r="E84" s="19" t="n"/>
      <c r="F84" s="14">
        <f>IF(OR($D84="",$E84=""),"",$E84-$D84)</f>
        <v/>
      </c>
      <c r="G84" s="19" t="n"/>
      <c r="H84" s="19" t="n"/>
      <c r="I84" s="19" t="n"/>
      <c r="J84" s="18" t="n"/>
      <c r="K84" s="18" t="n"/>
      <c r="L84" s="19" t="n"/>
      <c r="M84" s="14">
        <f>IFERROR(INDEX(Pessoas!$A$5:$A$64,MATCH($B84,Pessoas!$B$5:$B$64,0)),"")</f>
        <v/>
      </c>
      <c r="N84" s="14">
        <f>IF(OR($B84="",$B84&lt;&gt;'1a1'!$B$4,$A84&lt;&gt;Config!$B$4),"",COUNTIFS($B$5:$B84,'1a1'!$B$4,$A$5:$A84,Config!$B$4))</f>
        <v/>
      </c>
    </row>
    <row r="85">
      <c r="A85" s="19" t="n"/>
      <c r="B85" s="19" t="n"/>
      <c r="C85" s="19" t="n"/>
      <c r="D85" s="14">
        <f>IF($B85="","",IF(COUNTIFS('Avaliação'!$AA$5:$AA$404,$M85&amp;"|"&amp;VALUE(LEFT($A85,4))*4+VALUE(RIGHT($A85,1))&amp;"|"&amp;$C85,'Avaliação'!$P$5:$P$404,"&gt;0")=0,"",SUMIFS('Avaliação'!$P$5:$P$404,'Avaliação'!$AA$5:$AA$404,$M85&amp;"|"&amp;VALUE(LEFT($A85,4))*4+VALUE(RIGHT($A85,1))&amp;"|"&amp;$C85)))</f>
        <v/>
      </c>
      <c r="E85" s="19" t="n"/>
      <c r="F85" s="14">
        <f>IF(OR($D85="",$E85=""),"",$E85-$D85)</f>
        <v/>
      </c>
      <c r="G85" s="19" t="n"/>
      <c r="H85" s="19" t="n"/>
      <c r="I85" s="19" t="n"/>
      <c r="J85" s="18" t="n"/>
      <c r="K85" s="18" t="n"/>
      <c r="L85" s="19" t="n"/>
      <c r="M85" s="14">
        <f>IFERROR(INDEX(Pessoas!$A$5:$A$64,MATCH($B85,Pessoas!$B$5:$B$64,0)),"")</f>
        <v/>
      </c>
      <c r="N85" s="14">
        <f>IF(OR($B85="",$B85&lt;&gt;'1a1'!$B$4,$A85&lt;&gt;Config!$B$4),"",COUNTIFS($B$5:$B85,'1a1'!$B$4,$A$5:$A85,Config!$B$4))</f>
        <v/>
      </c>
    </row>
    <row r="86">
      <c r="A86" s="19" t="n"/>
      <c r="B86" s="19" t="n"/>
      <c r="C86" s="19" t="n"/>
      <c r="D86" s="14">
        <f>IF($B86="","",IF(COUNTIFS('Avaliação'!$AA$5:$AA$404,$M86&amp;"|"&amp;VALUE(LEFT($A86,4))*4+VALUE(RIGHT($A86,1))&amp;"|"&amp;$C86,'Avaliação'!$P$5:$P$404,"&gt;0")=0,"",SUMIFS('Avaliação'!$P$5:$P$404,'Avaliação'!$AA$5:$AA$404,$M86&amp;"|"&amp;VALUE(LEFT($A86,4))*4+VALUE(RIGHT($A86,1))&amp;"|"&amp;$C86)))</f>
        <v/>
      </c>
      <c r="E86" s="19" t="n"/>
      <c r="F86" s="14">
        <f>IF(OR($D86="",$E86=""),"",$E86-$D86)</f>
        <v/>
      </c>
      <c r="G86" s="19" t="n"/>
      <c r="H86" s="19" t="n"/>
      <c r="I86" s="19" t="n"/>
      <c r="J86" s="18" t="n"/>
      <c r="K86" s="18" t="n"/>
      <c r="L86" s="19" t="n"/>
      <c r="M86" s="14">
        <f>IFERROR(INDEX(Pessoas!$A$5:$A$64,MATCH($B86,Pessoas!$B$5:$B$64,0)),"")</f>
        <v/>
      </c>
      <c r="N86" s="14">
        <f>IF(OR($B86="",$B86&lt;&gt;'1a1'!$B$4,$A86&lt;&gt;Config!$B$4),"",COUNTIFS($B$5:$B86,'1a1'!$B$4,$A$5:$A86,Config!$B$4))</f>
        <v/>
      </c>
    </row>
    <row r="87">
      <c r="A87" s="19" t="n"/>
      <c r="B87" s="19" t="n"/>
      <c r="C87" s="19" t="n"/>
      <c r="D87" s="14">
        <f>IF($B87="","",IF(COUNTIFS('Avaliação'!$AA$5:$AA$404,$M87&amp;"|"&amp;VALUE(LEFT($A87,4))*4+VALUE(RIGHT($A87,1))&amp;"|"&amp;$C87,'Avaliação'!$P$5:$P$404,"&gt;0")=0,"",SUMIFS('Avaliação'!$P$5:$P$404,'Avaliação'!$AA$5:$AA$404,$M87&amp;"|"&amp;VALUE(LEFT($A87,4))*4+VALUE(RIGHT($A87,1))&amp;"|"&amp;$C87)))</f>
        <v/>
      </c>
      <c r="E87" s="19" t="n"/>
      <c r="F87" s="14">
        <f>IF(OR($D87="",$E87=""),"",$E87-$D87)</f>
        <v/>
      </c>
      <c r="G87" s="19" t="n"/>
      <c r="H87" s="19" t="n"/>
      <c r="I87" s="19" t="n"/>
      <c r="J87" s="18" t="n"/>
      <c r="K87" s="18" t="n"/>
      <c r="L87" s="19" t="n"/>
      <c r="M87" s="14">
        <f>IFERROR(INDEX(Pessoas!$A$5:$A$64,MATCH($B87,Pessoas!$B$5:$B$64,0)),"")</f>
        <v/>
      </c>
      <c r="N87" s="14">
        <f>IF(OR($B87="",$B87&lt;&gt;'1a1'!$B$4,$A87&lt;&gt;Config!$B$4),"",COUNTIFS($B$5:$B87,'1a1'!$B$4,$A$5:$A87,Config!$B$4))</f>
        <v/>
      </c>
    </row>
    <row r="88">
      <c r="A88" s="19" t="n"/>
      <c r="B88" s="19" t="n"/>
      <c r="C88" s="19" t="n"/>
      <c r="D88" s="14">
        <f>IF($B88="","",IF(COUNTIFS('Avaliação'!$AA$5:$AA$404,$M88&amp;"|"&amp;VALUE(LEFT($A88,4))*4+VALUE(RIGHT($A88,1))&amp;"|"&amp;$C88,'Avaliação'!$P$5:$P$404,"&gt;0")=0,"",SUMIFS('Avaliação'!$P$5:$P$404,'Avaliação'!$AA$5:$AA$404,$M88&amp;"|"&amp;VALUE(LEFT($A88,4))*4+VALUE(RIGHT($A88,1))&amp;"|"&amp;$C88)))</f>
        <v/>
      </c>
      <c r="E88" s="19" t="n"/>
      <c r="F88" s="14">
        <f>IF(OR($D88="",$E88=""),"",$E88-$D88)</f>
        <v/>
      </c>
      <c r="G88" s="19" t="n"/>
      <c r="H88" s="19" t="n"/>
      <c r="I88" s="19" t="n"/>
      <c r="J88" s="18" t="n"/>
      <c r="K88" s="18" t="n"/>
      <c r="L88" s="19" t="n"/>
      <c r="M88" s="14">
        <f>IFERROR(INDEX(Pessoas!$A$5:$A$64,MATCH($B88,Pessoas!$B$5:$B$64,0)),"")</f>
        <v/>
      </c>
      <c r="N88" s="14">
        <f>IF(OR($B88="",$B88&lt;&gt;'1a1'!$B$4,$A88&lt;&gt;Config!$B$4),"",COUNTIFS($B$5:$B88,'1a1'!$B$4,$A$5:$A88,Config!$B$4))</f>
        <v/>
      </c>
    </row>
    <row r="89">
      <c r="A89" s="19" t="n"/>
      <c r="B89" s="19" t="n"/>
      <c r="C89" s="19" t="n"/>
      <c r="D89" s="14">
        <f>IF($B89="","",IF(COUNTIFS('Avaliação'!$AA$5:$AA$404,$M89&amp;"|"&amp;VALUE(LEFT($A89,4))*4+VALUE(RIGHT($A89,1))&amp;"|"&amp;$C89,'Avaliação'!$P$5:$P$404,"&gt;0")=0,"",SUMIFS('Avaliação'!$P$5:$P$404,'Avaliação'!$AA$5:$AA$404,$M89&amp;"|"&amp;VALUE(LEFT($A89,4))*4+VALUE(RIGHT($A89,1))&amp;"|"&amp;$C89)))</f>
        <v/>
      </c>
      <c r="E89" s="19" t="n"/>
      <c r="F89" s="14">
        <f>IF(OR($D89="",$E89=""),"",$E89-$D89)</f>
        <v/>
      </c>
      <c r="G89" s="19" t="n"/>
      <c r="H89" s="19" t="n"/>
      <c r="I89" s="19" t="n"/>
      <c r="J89" s="18" t="n"/>
      <c r="K89" s="18" t="n"/>
      <c r="L89" s="19" t="n"/>
      <c r="M89" s="14">
        <f>IFERROR(INDEX(Pessoas!$A$5:$A$64,MATCH($B89,Pessoas!$B$5:$B$64,0)),"")</f>
        <v/>
      </c>
      <c r="N89" s="14">
        <f>IF(OR($B89="",$B89&lt;&gt;'1a1'!$B$4,$A89&lt;&gt;Config!$B$4),"",COUNTIFS($B$5:$B89,'1a1'!$B$4,$A$5:$A89,Config!$B$4))</f>
        <v/>
      </c>
    </row>
    <row r="90">
      <c r="A90" s="19" t="n"/>
      <c r="B90" s="19" t="n"/>
      <c r="C90" s="19" t="n"/>
      <c r="D90" s="14">
        <f>IF($B90="","",IF(COUNTIFS('Avaliação'!$AA$5:$AA$404,$M90&amp;"|"&amp;VALUE(LEFT($A90,4))*4+VALUE(RIGHT($A90,1))&amp;"|"&amp;$C90,'Avaliação'!$P$5:$P$404,"&gt;0")=0,"",SUMIFS('Avaliação'!$P$5:$P$404,'Avaliação'!$AA$5:$AA$404,$M90&amp;"|"&amp;VALUE(LEFT($A90,4))*4+VALUE(RIGHT($A90,1))&amp;"|"&amp;$C90)))</f>
        <v/>
      </c>
      <c r="E90" s="19" t="n"/>
      <c r="F90" s="14">
        <f>IF(OR($D90="",$E90=""),"",$E90-$D90)</f>
        <v/>
      </c>
      <c r="G90" s="19" t="n"/>
      <c r="H90" s="19" t="n"/>
      <c r="I90" s="19" t="n"/>
      <c r="J90" s="18" t="n"/>
      <c r="K90" s="18" t="n"/>
      <c r="L90" s="19" t="n"/>
      <c r="M90" s="14">
        <f>IFERROR(INDEX(Pessoas!$A$5:$A$64,MATCH($B90,Pessoas!$B$5:$B$64,0)),"")</f>
        <v/>
      </c>
      <c r="N90" s="14">
        <f>IF(OR($B90="",$B90&lt;&gt;'1a1'!$B$4,$A90&lt;&gt;Config!$B$4),"",COUNTIFS($B$5:$B90,'1a1'!$B$4,$A$5:$A90,Config!$B$4))</f>
        <v/>
      </c>
    </row>
    <row r="91">
      <c r="A91" s="19" t="n"/>
      <c r="B91" s="19" t="n"/>
      <c r="C91" s="19" t="n"/>
      <c r="D91" s="14">
        <f>IF($B91="","",IF(COUNTIFS('Avaliação'!$AA$5:$AA$404,$M91&amp;"|"&amp;VALUE(LEFT($A91,4))*4+VALUE(RIGHT($A91,1))&amp;"|"&amp;$C91,'Avaliação'!$P$5:$P$404,"&gt;0")=0,"",SUMIFS('Avaliação'!$P$5:$P$404,'Avaliação'!$AA$5:$AA$404,$M91&amp;"|"&amp;VALUE(LEFT($A91,4))*4+VALUE(RIGHT($A91,1))&amp;"|"&amp;$C91)))</f>
        <v/>
      </c>
      <c r="E91" s="19" t="n"/>
      <c r="F91" s="14">
        <f>IF(OR($D91="",$E91=""),"",$E91-$D91)</f>
        <v/>
      </c>
      <c r="G91" s="19" t="n"/>
      <c r="H91" s="19" t="n"/>
      <c r="I91" s="19" t="n"/>
      <c r="J91" s="18" t="n"/>
      <c r="K91" s="18" t="n"/>
      <c r="L91" s="19" t="n"/>
      <c r="M91" s="14">
        <f>IFERROR(INDEX(Pessoas!$A$5:$A$64,MATCH($B91,Pessoas!$B$5:$B$64,0)),"")</f>
        <v/>
      </c>
      <c r="N91" s="14">
        <f>IF(OR($B91="",$B91&lt;&gt;'1a1'!$B$4,$A91&lt;&gt;Config!$B$4),"",COUNTIFS($B$5:$B91,'1a1'!$B$4,$A$5:$A91,Config!$B$4))</f>
        <v/>
      </c>
    </row>
    <row r="92">
      <c r="A92" s="19" t="n"/>
      <c r="B92" s="19" t="n"/>
      <c r="C92" s="19" t="n"/>
      <c r="D92" s="14">
        <f>IF($B92="","",IF(COUNTIFS('Avaliação'!$AA$5:$AA$404,$M92&amp;"|"&amp;VALUE(LEFT($A92,4))*4+VALUE(RIGHT($A92,1))&amp;"|"&amp;$C92,'Avaliação'!$P$5:$P$404,"&gt;0")=0,"",SUMIFS('Avaliação'!$P$5:$P$404,'Avaliação'!$AA$5:$AA$404,$M92&amp;"|"&amp;VALUE(LEFT($A92,4))*4+VALUE(RIGHT($A92,1))&amp;"|"&amp;$C92)))</f>
        <v/>
      </c>
      <c r="E92" s="19" t="n"/>
      <c r="F92" s="14">
        <f>IF(OR($D92="",$E92=""),"",$E92-$D92)</f>
        <v/>
      </c>
      <c r="G92" s="19" t="n"/>
      <c r="H92" s="19" t="n"/>
      <c r="I92" s="19" t="n"/>
      <c r="J92" s="18" t="n"/>
      <c r="K92" s="18" t="n"/>
      <c r="L92" s="19" t="n"/>
      <c r="M92" s="14">
        <f>IFERROR(INDEX(Pessoas!$A$5:$A$64,MATCH($B92,Pessoas!$B$5:$B$64,0)),"")</f>
        <v/>
      </c>
      <c r="N92" s="14">
        <f>IF(OR($B92="",$B92&lt;&gt;'1a1'!$B$4,$A92&lt;&gt;Config!$B$4),"",COUNTIFS($B$5:$B92,'1a1'!$B$4,$A$5:$A92,Config!$B$4))</f>
        <v/>
      </c>
    </row>
    <row r="93">
      <c r="A93" s="19" t="n"/>
      <c r="B93" s="19" t="n"/>
      <c r="C93" s="19" t="n"/>
      <c r="D93" s="14">
        <f>IF($B93="","",IF(COUNTIFS('Avaliação'!$AA$5:$AA$404,$M93&amp;"|"&amp;VALUE(LEFT($A93,4))*4+VALUE(RIGHT($A93,1))&amp;"|"&amp;$C93,'Avaliação'!$P$5:$P$404,"&gt;0")=0,"",SUMIFS('Avaliação'!$P$5:$P$404,'Avaliação'!$AA$5:$AA$404,$M93&amp;"|"&amp;VALUE(LEFT($A93,4))*4+VALUE(RIGHT($A93,1))&amp;"|"&amp;$C93)))</f>
        <v/>
      </c>
      <c r="E93" s="19" t="n"/>
      <c r="F93" s="14">
        <f>IF(OR($D93="",$E93=""),"",$E93-$D93)</f>
        <v/>
      </c>
      <c r="G93" s="19" t="n"/>
      <c r="H93" s="19" t="n"/>
      <c r="I93" s="19" t="n"/>
      <c r="J93" s="18" t="n"/>
      <c r="K93" s="18" t="n"/>
      <c r="L93" s="19" t="n"/>
      <c r="M93" s="14">
        <f>IFERROR(INDEX(Pessoas!$A$5:$A$64,MATCH($B93,Pessoas!$B$5:$B$64,0)),"")</f>
        <v/>
      </c>
      <c r="N93" s="14">
        <f>IF(OR($B93="",$B93&lt;&gt;'1a1'!$B$4,$A93&lt;&gt;Config!$B$4),"",COUNTIFS($B$5:$B93,'1a1'!$B$4,$A$5:$A93,Config!$B$4))</f>
        <v/>
      </c>
    </row>
    <row r="94">
      <c r="A94" s="19" t="n"/>
      <c r="B94" s="19" t="n"/>
      <c r="C94" s="19" t="n"/>
      <c r="D94" s="14">
        <f>IF($B94="","",IF(COUNTIFS('Avaliação'!$AA$5:$AA$404,$M94&amp;"|"&amp;VALUE(LEFT($A94,4))*4+VALUE(RIGHT($A94,1))&amp;"|"&amp;$C94,'Avaliação'!$P$5:$P$404,"&gt;0")=0,"",SUMIFS('Avaliação'!$P$5:$P$404,'Avaliação'!$AA$5:$AA$404,$M94&amp;"|"&amp;VALUE(LEFT($A94,4))*4+VALUE(RIGHT($A94,1))&amp;"|"&amp;$C94)))</f>
        <v/>
      </c>
      <c r="E94" s="19" t="n"/>
      <c r="F94" s="14">
        <f>IF(OR($D94="",$E94=""),"",$E94-$D94)</f>
        <v/>
      </c>
      <c r="G94" s="19" t="n"/>
      <c r="H94" s="19" t="n"/>
      <c r="I94" s="19" t="n"/>
      <c r="J94" s="18" t="n"/>
      <c r="K94" s="18" t="n"/>
      <c r="L94" s="19" t="n"/>
      <c r="M94" s="14">
        <f>IFERROR(INDEX(Pessoas!$A$5:$A$64,MATCH($B94,Pessoas!$B$5:$B$64,0)),"")</f>
        <v/>
      </c>
      <c r="N94" s="14">
        <f>IF(OR($B94="",$B94&lt;&gt;'1a1'!$B$4,$A94&lt;&gt;Config!$B$4),"",COUNTIFS($B$5:$B94,'1a1'!$B$4,$A$5:$A94,Config!$B$4))</f>
        <v/>
      </c>
    </row>
    <row r="95">
      <c r="A95" s="19" t="n"/>
      <c r="B95" s="19" t="n"/>
      <c r="C95" s="19" t="n"/>
      <c r="D95" s="14">
        <f>IF($B95="","",IF(COUNTIFS('Avaliação'!$AA$5:$AA$404,$M95&amp;"|"&amp;VALUE(LEFT($A95,4))*4+VALUE(RIGHT($A95,1))&amp;"|"&amp;$C95,'Avaliação'!$P$5:$P$404,"&gt;0")=0,"",SUMIFS('Avaliação'!$P$5:$P$404,'Avaliação'!$AA$5:$AA$404,$M95&amp;"|"&amp;VALUE(LEFT($A95,4))*4+VALUE(RIGHT($A95,1))&amp;"|"&amp;$C95)))</f>
        <v/>
      </c>
      <c r="E95" s="19" t="n"/>
      <c r="F95" s="14">
        <f>IF(OR($D95="",$E95=""),"",$E95-$D95)</f>
        <v/>
      </c>
      <c r="G95" s="19" t="n"/>
      <c r="H95" s="19" t="n"/>
      <c r="I95" s="19" t="n"/>
      <c r="J95" s="18" t="n"/>
      <c r="K95" s="18" t="n"/>
      <c r="L95" s="19" t="n"/>
      <c r="M95" s="14">
        <f>IFERROR(INDEX(Pessoas!$A$5:$A$64,MATCH($B95,Pessoas!$B$5:$B$64,0)),"")</f>
        <v/>
      </c>
      <c r="N95" s="14">
        <f>IF(OR($B95="",$B95&lt;&gt;'1a1'!$B$4,$A95&lt;&gt;Config!$B$4),"",COUNTIFS($B$5:$B95,'1a1'!$B$4,$A$5:$A95,Config!$B$4))</f>
        <v/>
      </c>
    </row>
    <row r="96">
      <c r="A96" s="19" t="n"/>
      <c r="B96" s="19" t="n"/>
      <c r="C96" s="19" t="n"/>
      <c r="D96" s="14">
        <f>IF($B96="","",IF(COUNTIFS('Avaliação'!$AA$5:$AA$404,$M96&amp;"|"&amp;VALUE(LEFT($A96,4))*4+VALUE(RIGHT($A96,1))&amp;"|"&amp;$C96,'Avaliação'!$P$5:$P$404,"&gt;0")=0,"",SUMIFS('Avaliação'!$P$5:$P$404,'Avaliação'!$AA$5:$AA$404,$M96&amp;"|"&amp;VALUE(LEFT($A96,4))*4+VALUE(RIGHT($A96,1))&amp;"|"&amp;$C96)))</f>
        <v/>
      </c>
      <c r="E96" s="19" t="n"/>
      <c r="F96" s="14">
        <f>IF(OR($D96="",$E96=""),"",$E96-$D96)</f>
        <v/>
      </c>
      <c r="G96" s="19" t="n"/>
      <c r="H96" s="19" t="n"/>
      <c r="I96" s="19" t="n"/>
      <c r="J96" s="18" t="n"/>
      <c r="K96" s="18" t="n"/>
      <c r="L96" s="19" t="n"/>
      <c r="M96" s="14">
        <f>IFERROR(INDEX(Pessoas!$A$5:$A$64,MATCH($B96,Pessoas!$B$5:$B$64,0)),"")</f>
        <v/>
      </c>
      <c r="N96" s="14">
        <f>IF(OR($B96="",$B96&lt;&gt;'1a1'!$B$4,$A96&lt;&gt;Config!$B$4),"",COUNTIFS($B$5:$B96,'1a1'!$B$4,$A$5:$A96,Config!$B$4))</f>
        <v/>
      </c>
    </row>
    <row r="97">
      <c r="A97" s="19" t="n"/>
      <c r="B97" s="19" t="n"/>
      <c r="C97" s="19" t="n"/>
      <c r="D97" s="14">
        <f>IF($B97="","",IF(COUNTIFS('Avaliação'!$AA$5:$AA$404,$M97&amp;"|"&amp;VALUE(LEFT($A97,4))*4+VALUE(RIGHT($A97,1))&amp;"|"&amp;$C97,'Avaliação'!$P$5:$P$404,"&gt;0")=0,"",SUMIFS('Avaliação'!$P$5:$P$404,'Avaliação'!$AA$5:$AA$404,$M97&amp;"|"&amp;VALUE(LEFT($A97,4))*4+VALUE(RIGHT($A97,1))&amp;"|"&amp;$C97)))</f>
        <v/>
      </c>
      <c r="E97" s="19" t="n"/>
      <c r="F97" s="14">
        <f>IF(OR($D97="",$E97=""),"",$E97-$D97)</f>
        <v/>
      </c>
      <c r="G97" s="19" t="n"/>
      <c r="H97" s="19" t="n"/>
      <c r="I97" s="19" t="n"/>
      <c r="J97" s="18" t="n"/>
      <c r="K97" s="18" t="n"/>
      <c r="L97" s="19" t="n"/>
      <c r="M97" s="14">
        <f>IFERROR(INDEX(Pessoas!$A$5:$A$64,MATCH($B97,Pessoas!$B$5:$B$64,0)),"")</f>
        <v/>
      </c>
      <c r="N97" s="14">
        <f>IF(OR($B97="",$B97&lt;&gt;'1a1'!$B$4,$A97&lt;&gt;Config!$B$4),"",COUNTIFS($B$5:$B97,'1a1'!$B$4,$A$5:$A97,Config!$B$4))</f>
        <v/>
      </c>
    </row>
    <row r="98">
      <c r="A98" s="19" t="n"/>
      <c r="B98" s="19" t="n"/>
      <c r="C98" s="19" t="n"/>
      <c r="D98" s="14">
        <f>IF($B98="","",IF(COUNTIFS('Avaliação'!$AA$5:$AA$404,$M98&amp;"|"&amp;VALUE(LEFT($A98,4))*4+VALUE(RIGHT($A98,1))&amp;"|"&amp;$C98,'Avaliação'!$P$5:$P$404,"&gt;0")=0,"",SUMIFS('Avaliação'!$P$5:$P$404,'Avaliação'!$AA$5:$AA$404,$M98&amp;"|"&amp;VALUE(LEFT($A98,4))*4+VALUE(RIGHT($A98,1))&amp;"|"&amp;$C98)))</f>
        <v/>
      </c>
      <c r="E98" s="19" t="n"/>
      <c r="F98" s="14">
        <f>IF(OR($D98="",$E98=""),"",$E98-$D98)</f>
        <v/>
      </c>
      <c r="G98" s="19" t="n"/>
      <c r="H98" s="19" t="n"/>
      <c r="I98" s="19" t="n"/>
      <c r="J98" s="18" t="n"/>
      <c r="K98" s="18" t="n"/>
      <c r="L98" s="19" t="n"/>
      <c r="M98" s="14">
        <f>IFERROR(INDEX(Pessoas!$A$5:$A$64,MATCH($B98,Pessoas!$B$5:$B$64,0)),"")</f>
        <v/>
      </c>
      <c r="N98" s="14">
        <f>IF(OR($B98="",$B98&lt;&gt;'1a1'!$B$4,$A98&lt;&gt;Config!$B$4),"",COUNTIFS($B$5:$B98,'1a1'!$B$4,$A$5:$A98,Config!$B$4))</f>
        <v/>
      </c>
    </row>
    <row r="99">
      <c r="A99" s="19" t="n"/>
      <c r="B99" s="19" t="n"/>
      <c r="C99" s="19" t="n"/>
      <c r="D99" s="14">
        <f>IF($B99="","",IF(COUNTIFS('Avaliação'!$AA$5:$AA$404,$M99&amp;"|"&amp;VALUE(LEFT($A99,4))*4+VALUE(RIGHT($A99,1))&amp;"|"&amp;$C99,'Avaliação'!$P$5:$P$404,"&gt;0")=0,"",SUMIFS('Avaliação'!$P$5:$P$404,'Avaliação'!$AA$5:$AA$404,$M99&amp;"|"&amp;VALUE(LEFT($A99,4))*4+VALUE(RIGHT($A99,1))&amp;"|"&amp;$C99)))</f>
        <v/>
      </c>
      <c r="E99" s="19" t="n"/>
      <c r="F99" s="14">
        <f>IF(OR($D99="",$E99=""),"",$E99-$D99)</f>
        <v/>
      </c>
      <c r="G99" s="19" t="n"/>
      <c r="H99" s="19" t="n"/>
      <c r="I99" s="19" t="n"/>
      <c r="J99" s="18" t="n"/>
      <c r="K99" s="18" t="n"/>
      <c r="L99" s="19" t="n"/>
      <c r="M99" s="14">
        <f>IFERROR(INDEX(Pessoas!$A$5:$A$64,MATCH($B99,Pessoas!$B$5:$B$64,0)),"")</f>
        <v/>
      </c>
      <c r="N99" s="14">
        <f>IF(OR($B99="",$B99&lt;&gt;'1a1'!$B$4,$A99&lt;&gt;Config!$B$4),"",COUNTIFS($B$5:$B99,'1a1'!$B$4,$A$5:$A99,Config!$B$4))</f>
        <v/>
      </c>
    </row>
    <row r="100">
      <c r="A100" s="19" t="n"/>
      <c r="B100" s="19" t="n"/>
      <c r="C100" s="19" t="n"/>
      <c r="D100" s="14">
        <f>IF($B100="","",IF(COUNTIFS('Avaliação'!$AA$5:$AA$404,$M100&amp;"|"&amp;VALUE(LEFT($A100,4))*4+VALUE(RIGHT($A100,1))&amp;"|"&amp;$C100,'Avaliação'!$P$5:$P$404,"&gt;0")=0,"",SUMIFS('Avaliação'!$P$5:$P$404,'Avaliação'!$AA$5:$AA$404,$M100&amp;"|"&amp;VALUE(LEFT($A100,4))*4+VALUE(RIGHT($A100,1))&amp;"|"&amp;$C100)))</f>
        <v/>
      </c>
      <c r="E100" s="19" t="n"/>
      <c r="F100" s="14">
        <f>IF(OR($D100="",$E100=""),"",$E100-$D100)</f>
        <v/>
      </c>
      <c r="G100" s="19" t="n"/>
      <c r="H100" s="19" t="n"/>
      <c r="I100" s="19" t="n"/>
      <c r="J100" s="18" t="n"/>
      <c r="K100" s="18" t="n"/>
      <c r="L100" s="19" t="n"/>
      <c r="M100" s="14">
        <f>IFERROR(INDEX(Pessoas!$A$5:$A$64,MATCH($B100,Pessoas!$B$5:$B$64,0)),"")</f>
        <v/>
      </c>
      <c r="N100" s="14">
        <f>IF(OR($B100="",$B100&lt;&gt;'1a1'!$B$4,$A100&lt;&gt;Config!$B$4),"",COUNTIFS($B$5:$B100,'1a1'!$B$4,$A$5:$A100,Config!$B$4))</f>
        <v/>
      </c>
    </row>
    <row r="101">
      <c r="A101" s="19" t="n"/>
      <c r="B101" s="19" t="n"/>
      <c r="C101" s="19" t="n"/>
      <c r="D101" s="14">
        <f>IF($B101="","",IF(COUNTIFS('Avaliação'!$AA$5:$AA$404,$M101&amp;"|"&amp;VALUE(LEFT($A101,4))*4+VALUE(RIGHT($A101,1))&amp;"|"&amp;$C101,'Avaliação'!$P$5:$P$404,"&gt;0")=0,"",SUMIFS('Avaliação'!$P$5:$P$404,'Avaliação'!$AA$5:$AA$404,$M101&amp;"|"&amp;VALUE(LEFT($A101,4))*4+VALUE(RIGHT($A101,1))&amp;"|"&amp;$C101)))</f>
        <v/>
      </c>
      <c r="E101" s="19" t="n"/>
      <c r="F101" s="14">
        <f>IF(OR($D101="",$E101=""),"",$E101-$D101)</f>
        <v/>
      </c>
      <c r="G101" s="19" t="n"/>
      <c r="H101" s="19" t="n"/>
      <c r="I101" s="19" t="n"/>
      <c r="J101" s="18" t="n"/>
      <c r="K101" s="18" t="n"/>
      <c r="L101" s="19" t="n"/>
      <c r="M101" s="14">
        <f>IFERROR(INDEX(Pessoas!$A$5:$A$64,MATCH($B101,Pessoas!$B$5:$B$64,0)),"")</f>
        <v/>
      </c>
      <c r="N101" s="14">
        <f>IF(OR($B101="",$B101&lt;&gt;'1a1'!$B$4,$A101&lt;&gt;Config!$B$4),"",COUNTIFS($B$5:$B101,'1a1'!$B$4,$A$5:$A101,Config!$B$4))</f>
        <v/>
      </c>
    </row>
    <row r="102">
      <c r="A102" s="19" t="n"/>
      <c r="B102" s="19" t="n"/>
      <c r="C102" s="19" t="n"/>
      <c r="D102" s="14">
        <f>IF($B102="","",IF(COUNTIFS('Avaliação'!$AA$5:$AA$404,$M102&amp;"|"&amp;VALUE(LEFT($A102,4))*4+VALUE(RIGHT($A102,1))&amp;"|"&amp;$C102,'Avaliação'!$P$5:$P$404,"&gt;0")=0,"",SUMIFS('Avaliação'!$P$5:$P$404,'Avaliação'!$AA$5:$AA$404,$M102&amp;"|"&amp;VALUE(LEFT($A102,4))*4+VALUE(RIGHT($A102,1))&amp;"|"&amp;$C102)))</f>
        <v/>
      </c>
      <c r="E102" s="19" t="n"/>
      <c r="F102" s="14">
        <f>IF(OR($D102="",$E102=""),"",$E102-$D102)</f>
        <v/>
      </c>
      <c r="G102" s="19" t="n"/>
      <c r="H102" s="19" t="n"/>
      <c r="I102" s="19" t="n"/>
      <c r="J102" s="18" t="n"/>
      <c r="K102" s="18" t="n"/>
      <c r="L102" s="19" t="n"/>
      <c r="M102" s="14">
        <f>IFERROR(INDEX(Pessoas!$A$5:$A$64,MATCH($B102,Pessoas!$B$5:$B$64,0)),"")</f>
        <v/>
      </c>
      <c r="N102" s="14">
        <f>IF(OR($B102="",$B102&lt;&gt;'1a1'!$B$4,$A102&lt;&gt;Config!$B$4),"",COUNTIFS($B$5:$B102,'1a1'!$B$4,$A$5:$A102,Config!$B$4))</f>
        <v/>
      </c>
    </row>
    <row r="103">
      <c r="A103" s="19" t="n"/>
      <c r="B103" s="19" t="n"/>
      <c r="C103" s="19" t="n"/>
      <c r="D103" s="14">
        <f>IF($B103="","",IF(COUNTIFS('Avaliação'!$AA$5:$AA$404,$M103&amp;"|"&amp;VALUE(LEFT($A103,4))*4+VALUE(RIGHT($A103,1))&amp;"|"&amp;$C103,'Avaliação'!$P$5:$P$404,"&gt;0")=0,"",SUMIFS('Avaliação'!$P$5:$P$404,'Avaliação'!$AA$5:$AA$404,$M103&amp;"|"&amp;VALUE(LEFT($A103,4))*4+VALUE(RIGHT($A103,1))&amp;"|"&amp;$C103)))</f>
        <v/>
      </c>
      <c r="E103" s="19" t="n"/>
      <c r="F103" s="14">
        <f>IF(OR($D103="",$E103=""),"",$E103-$D103)</f>
        <v/>
      </c>
      <c r="G103" s="19" t="n"/>
      <c r="H103" s="19" t="n"/>
      <c r="I103" s="19" t="n"/>
      <c r="J103" s="18" t="n"/>
      <c r="K103" s="18" t="n"/>
      <c r="L103" s="19" t="n"/>
      <c r="M103" s="14">
        <f>IFERROR(INDEX(Pessoas!$A$5:$A$64,MATCH($B103,Pessoas!$B$5:$B$64,0)),"")</f>
        <v/>
      </c>
      <c r="N103" s="14">
        <f>IF(OR($B103="",$B103&lt;&gt;'1a1'!$B$4,$A103&lt;&gt;Config!$B$4),"",COUNTIFS($B$5:$B103,'1a1'!$B$4,$A$5:$A103,Config!$B$4))</f>
        <v/>
      </c>
    </row>
    <row r="104">
      <c r="A104" s="19" t="n"/>
      <c r="B104" s="19" t="n"/>
      <c r="C104" s="19" t="n"/>
      <c r="D104" s="14">
        <f>IF($B104="","",IF(COUNTIFS('Avaliação'!$AA$5:$AA$404,$M104&amp;"|"&amp;VALUE(LEFT($A104,4))*4+VALUE(RIGHT($A104,1))&amp;"|"&amp;$C104,'Avaliação'!$P$5:$P$404,"&gt;0")=0,"",SUMIFS('Avaliação'!$P$5:$P$404,'Avaliação'!$AA$5:$AA$404,$M104&amp;"|"&amp;VALUE(LEFT($A104,4))*4+VALUE(RIGHT($A104,1))&amp;"|"&amp;$C104)))</f>
        <v/>
      </c>
      <c r="E104" s="19" t="n"/>
      <c r="F104" s="14">
        <f>IF(OR($D104="",$E104=""),"",$E104-$D104)</f>
        <v/>
      </c>
      <c r="G104" s="19" t="n"/>
      <c r="H104" s="19" t="n"/>
      <c r="I104" s="19" t="n"/>
      <c r="J104" s="18" t="n"/>
      <c r="K104" s="18" t="n"/>
      <c r="L104" s="19" t="n"/>
      <c r="M104" s="14">
        <f>IFERROR(INDEX(Pessoas!$A$5:$A$64,MATCH($B104,Pessoas!$B$5:$B$64,0)),"")</f>
        <v/>
      </c>
      <c r="N104" s="14">
        <f>IF(OR($B104="",$B104&lt;&gt;'1a1'!$B$4,$A104&lt;&gt;Config!$B$4),"",COUNTIFS($B$5:$B104,'1a1'!$B$4,$A$5:$A104,Config!$B$4))</f>
        <v/>
      </c>
    </row>
  </sheetData>
  <dataValidations count="5">
    <dataValidation sqref="A5:A104" showDropDown="0" showInputMessage="0" showErrorMessage="0" allowBlank="1" type="list">
      <formula1>=Config!$Z$13:$Z$18</formula1>
    </dataValidation>
    <dataValidation sqref="B5:B104" showDropDown="0" showInputMessage="0" showErrorMessage="0" allowBlank="1" type="list">
      <formula1>=Pessoas!$B$5:$B$64</formula1>
    </dataValidation>
    <dataValidation sqref="C5:C104" showDropDown="0" showInputMessage="0" showErrorMessage="0" allowBlank="1" type="list">
      <formula1>=Config!$Y$13:$Y$18</formula1>
    </dataValidation>
    <dataValidation sqref="E5:E104" showDropDown="0" showInputMessage="0" showErrorMessage="0" allowBlank="1" type="list">
      <formula1>=Config!$X$13:$X$18</formula1>
    </dataValidation>
    <dataValidation sqref="L5:L104" showDropDown="0" showInputMessage="0" showErrorMessage="0" allowBlank="1" type="list">
      <formula1>=Config!$W$13:$W$16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10" customWidth="1" min="4" max="4"/>
    <col width="86" customWidth="1" min="5" max="5"/>
  </cols>
  <sheetData>
    <row r="1" ht="22" customHeight="1">
      <c r="A1" s="1" t="inlineStr">
        <is>
          <t>Integridade do ciclo — o que precisa estar zerado antes de fechar</t>
        </is>
      </c>
    </row>
    <row r="2">
      <c r="A2" s="2" t="inlineStr">
        <is>
          <t>Oito alertas, não dezoito. Os que dependem de série histórica ficam suprimidos com '—' até haver ciclos suficientes.</t>
        </is>
      </c>
    </row>
    <row r="3"/>
    <row r="4" ht="32" customHeight="1">
      <c r="A4" s="12" t="inlineStr">
        <is>
          <t>#</t>
        </is>
      </c>
      <c r="B4" s="12" t="inlineStr">
        <is>
          <t>Verificação</t>
        </is>
      </c>
      <c r="C4" s="12" t="inlineStr">
        <is>
          <t>Ocorrências</t>
        </is>
      </c>
      <c r="D4" s="12" t="inlineStr">
        <is>
          <t>Ciclos</t>
        </is>
      </c>
      <c r="E4" s="12" t="inlineStr">
        <is>
          <t>Por que importa / o que fazer</t>
        </is>
      </c>
    </row>
    <row r="5" ht="40" customHeight="1">
      <c r="A5" s="29" t="n">
        <v>1</v>
      </c>
      <c r="B5" s="30" t="inlineStr">
        <is>
          <t>Pessoas ativas sem avaliação no ciclo</t>
        </is>
      </c>
      <c r="C5" s="31">
        <f>IF(Config!$B$9&lt;1,"—",COUNTIF('Painel'!$V$7:$V$64,"Sem avaliação no ciclo"))</f>
        <v/>
      </c>
      <c r="D5" s="32" t="n">
        <v>1</v>
      </c>
      <c r="E5" s="33" t="inlineStr">
        <is>
          <t>É a visão mais valiosa da planilha. Ciclo com metade da squad sem nota não vale para mérito nem para PDI.</t>
        </is>
      </c>
    </row>
    <row r="6" ht="40" customHeight="1">
      <c r="A6" s="29" t="n">
        <v>2</v>
      </c>
      <c r="B6" s="30" t="inlineStr">
        <is>
          <t>Notas 1, 2 ou 5 sem ocorrência vinculada</t>
        </is>
      </c>
      <c r="C6" s="31">
        <f>IF(Config!$B$9&lt;1,"—",SUM('Painel'!$T$7:$T$64))</f>
        <v/>
      </c>
      <c r="D6" s="32" t="n">
        <v>1</v>
      </c>
      <c r="E6" s="33" t="inlineStr">
        <is>
          <t>Nota sem lastro é impressão, não avaliação. Registre a ocorrência que sustenta a nota, ou mude a nota.</t>
        </is>
      </c>
    </row>
    <row r="7" ht="40" customHeight="1">
      <c r="A7" s="29" t="n">
        <v>3</v>
      </c>
      <c r="B7" s="30" t="inlineStr">
        <is>
          <t>Nota sustentada por omissão (regra 9)</t>
        </is>
      </c>
      <c r="C7" s="31">
        <f>IF(Config!$B$9&lt;1,"—",SUM('Painel'!$U$7:$U$64))</f>
        <v/>
      </c>
      <c r="D7" s="32" t="n">
        <v>1</v>
      </c>
      <c r="E7" s="33" t="inlineStr">
        <is>
          <t>Há ocorrência negativa não conversada E nota 3 ou mais. O GP que não deu o feedback foi obrigado a dar 3 — a omissão virou nota melhor para a pessoa. Endereçado ao gestor do GP, nunca à pessoa avaliada.</t>
        </is>
      </c>
    </row>
    <row r="8" ht="40" customHeight="1">
      <c r="A8" s="29" t="n">
        <v>4</v>
      </c>
      <c r="B8" s="30" t="inlineStr">
        <is>
          <t>Ocorrências negativas nunca conversadas</t>
        </is>
      </c>
      <c r="C8" s="31">
        <f>IF(Config!$B$9&lt;1,"—",SUM('Painel'!$Q$7:$Q$64))</f>
        <v/>
      </c>
      <c r="D8" s="32" t="n">
        <v>1</v>
      </c>
      <c r="E8" s="33" t="inlineStr">
        <is>
          <t>Não entram no cálculo do ciclo e não viajam no handover. Surpresa na devolutiva é falha de gestão.</t>
        </is>
      </c>
    </row>
    <row r="9" ht="40" customHeight="1">
      <c r="A9" s="29" t="n">
        <v>5</v>
      </c>
      <c r="B9" s="30" t="inlineStr">
        <is>
          <t>Divergências GP × LT de 2+ pontos sem justificativa</t>
        </is>
      </c>
      <c r="C9" s="31">
        <f>IF(Config!$B$9&lt;1,"—",COUNTIFS('Avaliação'!$N$5:$N$404,"&gt;=2",'Avaliação'!$S$5:$S$404,""))</f>
        <v/>
      </c>
      <c r="D9" s="32" t="n">
        <v>1</v>
      </c>
      <c r="E9" s="33" t="inlineStr">
        <is>
          <t>Divergência não é erro, é sinal. Cada lado traz uma ocorrência; se só um tem evidência, a nota dele prevalece. Nunca a média.</t>
        </is>
      </c>
    </row>
    <row r="10" ht="40" customHeight="1">
      <c r="A10" s="29" t="n">
        <v>6</v>
      </c>
      <c r="B10" s="30" t="inlineStr">
        <is>
          <t>Registros de ocorrência incompletos</t>
        </is>
      </c>
      <c r="C10" s="31">
        <f>IF(Config!$B$9&lt;1,"—",COUNTIF('Ocorrências'!$W$5:$W$604,"Faltam*"))</f>
        <v/>
      </c>
      <c r="D10" s="32" t="n">
        <v>1</v>
      </c>
      <c r="E10" s="33" t="inlineStr">
        <is>
          <t>A obrigatoriedade aqui é detectiva, não preventiva: ninguém é impedido de salvar. O que o modelo garante é que a linha incompleta não conta — não entra no lastro, não viaja no handover.</t>
        </is>
      </c>
    </row>
    <row r="11" ht="40" customHeight="1">
      <c r="A11" s="29" t="n">
        <v>7</v>
      </c>
      <c r="B11" s="30" t="inlineStr">
        <is>
          <t>1:1 atrasada há mais de 30 dias</t>
        </is>
      </c>
      <c r="C11" s="31">
        <f>IF(Config!$B$9&lt;1,"—",COUNTIF('Painel'!$V$7:$V$64,"1:1 atrasada"))</f>
        <v/>
      </c>
      <c r="D11" s="32" t="n">
        <v>1</v>
      </c>
      <c r="E11" s="33" t="inlineStr">
        <is>
          <t>Planilha que não vira conversa morre. Esta é a falha que mata a ferramenta — as outras são consertáveis.</t>
        </is>
      </c>
    </row>
    <row r="12" ht="40" customHeight="1">
      <c r="A12" s="29" t="n">
        <v>8</v>
      </c>
      <c r="B12" s="30" t="inlineStr">
        <is>
          <t>Carga de gestão acima de 15 liderados</t>
        </is>
      </c>
      <c r="C12" s="31">
        <f>IF(Config!$B$9&lt;1,"—",IF(COUNTIF(Pessoas!$I$5:$I$64,"Ativo")&gt;15,COUNTIF(Pessoas!$I$5:$I$64,"Ativo")-15,0))</f>
        <v/>
      </c>
      <c r="D12" s="32" t="n">
        <v>1</v>
      </c>
      <c r="E12" s="33" t="inlineStr">
        <is>
          <t>Acima de 15, a nota final vira média disfarçada e ninguém percebe. É um alerta sobre a estrutura, não sobre as pessoas.</t>
        </is>
      </c>
    </row>
    <row r="13"/>
    <row r="14"/>
    <row r="15">
      <c r="B15" s="25" t="inlineStr">
        <is>
          <t>Alertas deliberadamente FORA desta lista</t>
        </is>
      </c>
    </row>
    <row r="16" ht="40" customHeight="1">
      <c r="B16" s="34" t="inlineStr">
        <is>
          <t>Nota chapada · concentração de registros no último mês · sem ocorrência há 45 dias · aniversário de tempo no nível · PDI sem movimento há 60 dias · 3+ negativas sem nenhuma positiva · 3 ciclos com gap ≥ 0 sem caso de promoção montado. Todos legítimos, nenhum urgente — e juntos afogam os oito que importam.</t>
        </is>
      </c>
    </row>
    <row r="17" ht="40" customHeight="1">
      <c r="B17" s="34" t="inlineStr">
        <is>
          <t>Premissas desta versão: expectativas por senioridade e pesos por eixo vieram do modelo, não de medição. Os limiares (30 dias sem 1:1, divergência ≥ 2, gap −0,3, 15 liderados) são convenções editáveis. Ao mudar um limiar, mude também na fórmula do Painel que o usa.</t>
        </is>
      </c>
    </row>
  </sheetData>
  <mergeCells count="2">
    <mergeCell ref="B17:E17"/>
    <mergeCell ref="B16:E16"/>
  </mergeCells>
  <conditionalFormatting sqref="C5:C12">
    <cfRule type="cellIs" priority="1" operator="greaterThan" dxfId="6">
      <formula>0</formula>
    </cfRule>
    <cfRule type="cellIs" priority="2" operator="equal" dxfId="2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3" customWidth="1" min="4" max="4"/>
    <col width="12" customWidth="1" min="5" max="5"/>
    <col width="13" customWidth="1" min="6" max="6"/>
    <col width="17" customWidth="1" min="7" max="7"/>
    <col width="12" customWidth="1" min="8" max="8"/>
    <col width="10" customWidth="1" min="9" max="9"/>
    <col width="12" customWidth="1" min="10" max="10"/>
    <col width="11" customWidth="1" min="11" max="11"/>
    <col width="15" customWidth="1" min="12" max="12"/>
    <col width="13" customWidth="1" min="13" max="13"/>
    <col width="12" customWidth="1" min="14" max="14"/>
    <col width="12" customWidth="1" min="15" max="15"/>
    <col width="6" customWidth="1" min="16" max="16"/>
  </cols>
  <sheetData>
    <row r="1" ht="22" customHeight="1">
      <c r="A1" s="1" t="inlineStr">
        <is>
          <t>Cadastro de pessoas</t>
        </is>
      </c>
    </row>
    <row r="2">
      <c r="A2" s="2" t="inlineStr">
        <is>
          <t>ID_PESSOA é texto, estável e imutável. Avaliação, PDI e histórico pertencem à PESSOA; squad e contrato são contexto do fato.</t>
        </is>
      </c>
    </row>
    <row r="3"/>
    <row r="4" ht="32" customHeight="1">
      <c r="A4" s="12" t="inlineStr">
        <is>
          <t>ID_PESSOA</t>
        </is>
      </c>
      <c r="B4" s="12" t="inlineStr">
        <is>
          <t>Nome</t>
        </is>
      </c>
      <c r="C4" s="12" t="inlineStr">
        <is>
          <t>Matrícula</t>
        </is>
      </c>
      <c r="D4" s="12" t="inlineStr">
        <is>
          <t>Senioridade</t>
        </is>
      </c>
      <c r="E4" s="12" t="inlineStr">
        <is>
          <t>Admissão</t>
        </is>
      </c>
      <c r="F4" s="12" t="inlineStr">
        <is>
          <t>No nível desde</t>
        </is>
      </c>
      <c r="G4" s="12" t="inlineStr">
        <is>
          <t>Gestor de Pessoas</t>
        </is>
      </c>
      <c r="H4" s="12" t="inlineStr">
        <is>
          <t>Contratação</t>
        </is>
      </c>
      <c r="I4" s="12" t="inlineStr">
        <is>
          <t>Situação</t>
        </is>
      </c>
      <c r="J4" s="12" t="inlineStr">
        <is>
          <t>Última 1:1</t>
        </is>
      </c>
      <c r="K4" s="12" t="inlineStr">
        <is>
          <t>Alocações ativas</t>
        </is>
      </c>
      <c r="L4" s="12" t="inlineStr">
        <is>
          <t>Papel considerado</t>
        </is>
      </c>
      <c r="M4" s="12" t="inlineStr">
        <is>
          <t>Multi-alocação</t>
        </is>
      </c>
      <c r="N4" s="12" t="inlineStr">
        <is>
          <t>Meses no nível</t>
        </is>
      </c>
      <c r="O4" s="12" t="inlineStr">
        <is>
          <t>Sem registro no ciclo</t>
        </is>
      </c>
      <c r="P4" s="12" t="inlineStr">
        <is>
          <t>seq</t>
        </is>
      </c>
    </row>
    <row r="5">
      <c r="A5" s="19" t="inlineStr">
        <is>
          <t>P001</t>
        </is>
      </c>
      <c r="B5" s="19" t="inlineStr">
        <is>
          <t>Ana Ribeiro</t>
        </is>
      </c>
      <c r="C5" s="19" t="inlineStr">
        <is>
          <t>M-1042</t>
        </is>
      </c>
      <c r="D5" s="19" t="inlineStr">
        <is>
          <t>Pleno</t>
        </is>
      </c>
      <c r="E5" s="18" t="n">
        <v>45327</v>
      </c>
      <c r="F5" s="18" t="n">
        <v>45839</v>
      </c>
      <c r="G5" s="19" t="inlineStr">
        <is>
          <t>Marcos Lima</t>
        </is>
      </c>
      <c r="H5" s="19" t="inlineStr">
        <is>
          <t>CLT</t>
        </is>
      </c>
      <c r="I5" s="14">
        <f>IF($B5="","","Ativo")</f>
        <v/>
      </c>
      <c r="J5" s="20">
        <f>IF($B5="","",IF(COUNTIFS('1a1'!$B$52:$B$111,$A5,'1a1'!$G$52:$G$111,"Sim")=0,"",_xlfn.MAXIFS('1a1'!$A$52:$A$111,'1a1'!$B$52:$B$111,$A5,'1a1'!$G$52:$G$111,"Sim")))</f>
        <v/>
      </c>
      <c r="K5" s="14">
        <f>IF($B5="","",COUNTIFS('Alocações'!$B$5:$B$84,$A5,'Alocações'!$N$5:$N$84,"Sim"))</f>
        <v/>
      </c>
      <c r="L5" s="14">
        <f>IF($B5="","",IF($K5=0,"sem alocação",IF($K5=1,INDEX('Alocações'!$F$5:$F$84,MATCH($A5,'Alocações'!$O$5:$O$84,0)),"Multi")))</f>
        <v/>
      </c>
      <c r="M5" s="14">
        <f>IF($B5="","",IF($K5&gt;1,"Sim","Não"))</f>
        <v/>
      </c>
      <c r="N5" s="14">
        <f>IF(OR($B5="",$F5=""),"",ROUND((Config!$B$6-$F5)/30.4,0))</f>
        <v/>
      </c>
      <c r="O5" s="14">
        <f>IF($B5="","",IF(COUNTIFS('Ocorrências'!$C$5:$C$604,$A5,'Ocorrências'!$T$5:$T$604,Config!$B$7)=0,1,0))</f>
        <v/>
      </c>
      <c r="P5" s="14">
        <f>IF($O5=1,COUNTIF($O$5:$O5,1),"")</f>
        <v/>
      </c>
    </row>
    <row r="6">
      <c r="A6" s="19" t="inlineStr">
        <is>
          <t>P002</t>
        </is>
      </c>
      <c r="B6" s="19" t="inlineStr">
        <is>
          <t>Bruno Tavares</t>
        </is>
      </c>
      <c r="C6" s="19" t="inlineStr">
        <is>
          <t>M-1188</t>
        </is>
      </c>
      <c r="D6" s="19" t="inlineStr">
        <is>
          <t>Júnior</t>
        </is>
      </c>
      <c r="E6" s="18" t="n">
        <v>46188</v>
      </c>
      <c r="F6" s="18" t="n">
        <v>46188</v>
      </c>
      <c r="G6" s="19" t="inlineStr">
        <is>
          <t>Marcos Lima</t>
        </is>
      </c>
      <c r="H6" s="19" t="inlineStr">
        <is>
          <t>CLT</t>
        </is>
      </c>
      <c r="I6" s="14">
        <f>IF($B6="","","Ativo")</f>
        <v/>
      </c>
      <c r="J6" s="20">
        <f>IF($B6="","",IF(COUNTIFS('1a1'!$B$52:$B$111,$A6,'1a1'!$G$52:$G$111,"Sim")=0,"",_xlfn.MAXIFS('1a1'!$A$52:$A$111,'1a1'!$B$52:$B$111,$A6,'1a1'!$G$52:$G$111,"Sim")))</f>
        <v/>
      </c>
      <c r="K6" s="14">
        <f>IF($B6="","",COUNTIFS('Alocações'!$B$5:$B$84,$A6,'Alocações'!$N$5:$N$84,"Sim"))</f>
        <v/>
      </c>
      <c r="L6" s="14">
        <f>IF($B6="","",IF($K6=0,"sem alocação",IF($K6=1,INDEX('Alocações'!$F$5:$F$84,MATCH($A6,'Alocações'!$O$5:$O$84,0)),"Multi")))</f>
        <v/>
      </c>
      <c r="M6" s="14">
        <f>IF($B6="","",IF($K6&gt;1,"Sim","Não"))</f>
        <v/>
      </c>
      <c r="N6" s="14">
        <f>IF(OR($B6="",$F6=""),"",ROUND((Config!$B$6-$F6)/30.4,0))</f>
        <v/>
      </c>
      <c r="O6" s="14">
        <f>IF($B6="","",IF(COUNTIFS('Ocorrências'!$C$5:$C$604,$A6,'Ocorrências'!$T$5:$T$604,Config!$B$7)=0,1,0))</f>
        <v/>
      </c>
      <c r="P6" s="14">
        <f>IF($O6=1,COUNTIF($O$5:$O6,1),"")</f>
        <v/>
      </c>
    </row>
    <row r="7">
      <c r="A7" s="19" t="inlineStr">
        <is>
          <t>P003</t>
        </is>
      </c>
      <c r="B7" s="19" t="inlineStr">
        <is>
          <t>Carla Nunes</t>
        </is>
      </c>
      <c r="C7" s="19" t="inlineStr">
        <is>
          <t>M-0977</t>
        </is>
      </c>
      <c r="D7" s="19" t="inlineStr">
        <is>
          <t>Sênior</t>
        </is>
      </c>
      <c r="E7" s="18" t="n">
        <v>44816</v>
      </c>
      <c r="F7" s="18" t="n">
        <v>45352</v>
      </c>
      <c r="G7" s="19" t="inlineStr">
        <is>
          <t>Marcos Lima</t>
        </is>
      </c>
      <c r="H7" s="19" t="inlineStr">
        <is>
          <t>PJ</t>
        </is>
      </c>
      <c r="I7" s="14">
        <f>IF($B7="","","Ativo")</f>
        <v/>
      </c>
      <c r="J7" s="20">
        <f>IF($B7="","",IF(COUNTIFS('1a1'!$B$52:$B$111,$A7,'1a1'!$G$52:$G$111,"Sim")=0,"",_xlfn.MAXIFS('1a1'!$A$52:$A$111,'1a1'!$B$52:$B$111,$A7,'1a1'!$G$52:$G$111,"Sim")))</f>
        <v/>
      </c>
      <c r="K7" s="14">
        <f>IF($B7="","",COUNTIFS('Alocações'!$B$5:$B$84,$A7,'Alocações'!$N$5:$N$84,"Sim"))</f>
        <v/>
      </c>
      <c r="L7" s="14">
        <f>IF($B7="","",IF($K7=0,"sem alocação",IF($K7=1,INDEX('Alocações'!$F$5:$F$84,MATCH($A7,'Alocações'!$O$5:$O$84,0)),"Multi")))</f>
        <v/>
      </c>
      <c r="M7" s="14">
        <f>IF($B7="","",IF($K7&gt;1,"Sim","Não"))</f>
        <v/>
      </c>
      <c r="N7" s="14">
        <f>IF(OR($B7="",$F7=""),"",ROUND((Config!$B$6-$F7)/30.4,0))</f>
        <v/>
      </c>
      <c r="O7" s="14">
        <f>IF($B7="","",IF(COUNTIFS('Ocorrências'!$C$5:$C$604,$A7,'Ocorrências'!$T$5:$T$604,Config!$B$7)=0,1,0))</f>
        <v/>
      </c>
      <c r="P7" s="14">
        <f>IF($O7=1,COUNTIF($O$5:$O7,1),"")</f>
        <v/>
      </c>
    </row>
    <row r="8">
      <c r="A8" s="19" t="n"/>
      <c r="B8" s="19" t="n"/>
      <c r="C8" s="19" t="n"/>
      <c r="D8" s="19" t="n"/>
      <c r="E8" s="18" t="n"/>
      <c r="F8" s="18" t="n"/>
      <c r="G8" s="19" t="n"/>
      <c r="H8" s="19" t="n"/>
      <c r="I8" s="14">
        <f>IF($B8="","","Ativo")</f>
        <v/>
      </c>
      <c r="J8" s="20">
        <f>IF($B8="","",IF(COUNTIFS('1a1'!$B$52:$B$111,$A8,'1a1'!$G$52:$G$111,"Sim")=0,"",_xlfn.MAXIFS('1a1'!$A$52:$A$111,'1a1'!$B$52:$B$111,$A8,'1a1'!$G$52:$G$111,"Sim")))</f>
        <v/>
      </c>
      <c r="K8" s="14">
        <f>IF($B8="","",COUNTIFS('Alocações'!$B$5:$B$84,$A8,'Alocações'!$N$5:$N$84,"Sim"))</f>
        <v/>
      </c>
      <c r="L8" s="14">
        <f>IF($B8="","",IF($K8=0,"sem alocação",IF($K8=1,INDEX('Alocações'!$F$5:$F$84,MATCH($A8,'Alocações'!$O$5:$O$84,0)),"Multi")))</f>
        <v/>
      </c>
      <c r="M8" s="14">
        <f>IF($B8="","",IF($K8&gt;1,"Sim","Não"))</f>
        <v/>
      </c>
      <c r="N8" s="14">
        <f>IF(OR($B8="",$F8=""),"",ROUND((Config!$B$6-$F8)/30.4,0))</f>
        <v/>
      </c>
      <c r="O8" s="14">
        <f>IF($B8="","",IF(COUNTIFS('Ocorrências'!$C$5:$C$604,$A8,'Ocorrências'!$T$5:$T$604,Config!$B$7)=0,1,0))</f>
        <v/>
      </c>
      <c r="P8" s="14">
        <f>IF($O8=1,COUNTIF($O$5:$O8,1),"")</f>
        <v/>
      </c>
    </row>
    <row r="9">
      <c r="A9" s="19" t="n"/>
      <c r="B9" s="19" t="n"/>
      <c r="C9" s="19" t="n"/>
      <c r="D9" s="19" t="n"/>
      <c r="E9" s="18" t="n"/>
      <c r="F9" s="18" t="n"/>
      <c r="G9" s="19" t="n"/>
      <c r="H9" s="19" t="n"/>
      <c r="I9" s="14">
        <f>IF($B9="","","Ativo")</f>
        <v/>
      </c>
      <c r="J9" s="20">
        <f>IF($B9="","",IF(COUNTIFS('1a1'!$B$52:$B$111,$A9,'1a1'!$G$52:$G$111,"Sim")=0,"",_xlfn.MAXIFS('1a1'!$A$52:$A$111,'1a1'!$B$52:$B$111,$A9,'1a1'!$G$52:$G$111,"Sim")))</f>
        <v/>
      </c>
      <c r="K9" s="14">
        <f>IF($B9="","",COUNTIFS('Alocações'!$B$5:$B$84,$A9,'Alocações'!$N$5:$N$84,"Sim"))</f>
        <v/>
      </c>
      <c r="L9" s="14">
        <f>IF($B9="","",IF($K9=0,"sem alocação",IF($K9=1,INDEX('Alocações'!$F$5:$F$84,MATCH($A9,'Alocações'!$O$5:$O$84,0)),"Multi")))</f>
        <v/>
      </c>
      <c r="M9" s="14">
        <f>IF($B9="","",IF($K9&gt;1,"Sim","Não"))</f>
        <v/>
      </c>
      <c r="N9" s="14">
        <f>IF(OR($B9="",$F9=""),"",ROUND((Config!$B$6-$F9)/30.4,0))</f>
        <v/>
      </c>
      <c r="O9" s="14">
        <f>IF($B9="","",IF(COUNTIFS('Ocorrências'!$C$5:$C$604,$A9,'Ocorrências'!$T$5:$T$604,Config!$B$7)=0,1,0))</f>
        <v/>
      </c>
      <c r="P9" s="14">
        <f>IF($O9=1,COUNTIF($O$5:$O9,1),"")</f>
        <v/>
      </c>
    </row>
    <row r="10">
      <c r="A10" s="19" t="n"/>
      <c r="B10" s="19" t="n"/>
      <c r="C10" s="19" t="n"/>
      <c r="D10" s="19" t="n"/>
      <c r="E10" s="18" t="n"/>
      <c r="F10" s="18" t="n"/>
      <c r="G10" s="19" t="n"/>
      <c r="H10" s="19" t="n"/>
      <c r="I10" s="14">
        <f>IF($B10="","","Ativo")</f>
        <v/>
      </c>
      <c r="J10" s="20">
        <f>IF($B10="","",IF(COUNTIFS('1a1'!$B$52:$B$111,$A10,'1a1'!$G$52:$G$111,"Sim")=0,"",_xlfn.MAXIFS('1a1'!$A$52:$A$111,'1a1'!$B$52:$B$111,$A10,'1a1'!$G$52:$G$111,"Sim")))</f>
        <v/>
      </c>
      <c r="K10" s="14">
        <f>IF($B10="","",COUNTIFS('Alocações'!$B$5:$B$84,$A10,'Alocações'!$N$5:$N$84,"Sim"))</f>
        <v/>
      </c>
      <c r="L10" s="14">
        <f>IF($B10="","",IF($K10=0,"sem alocação",IF($K10=1,INDEX('Alocações'!$F$5:$F$84,MATCH($A10,'Alocações'!$O$5:$O$84,0)),"Multi")))</f>
        <v/>
      </c>
      <c r="M10" s="14">
        <f>IF($B10="","",IF($K10&gt;1,"Sim","Não"))</f>
        <v/>
      </c>
      <c r="N10" s="14">
        <f>IF(OR($B10="",$F10=""),"",ROUND((Config!$B$6-$F10)/30.4,0))</f>
        <v/>
      </c>
      <c r="O10" s="14">
        <f>IF($B10="","",IF(COUNTIFS('Ocorrências'!$C$5:$C$604,$A10,'Ocorrências'!$T$5:$T$604,Config!$B$7)=0,1,0))</f>
        <v/>
      </c>
      <c r="P10" s="14">
        <f>IF($O10=1,COUNTIF($O$5:$O10,1),"")</f>
        <v/>
      </c>
    </row>
    <row r="11">
      <c r="A11" s="19" t="n"/>
      <c r="B11" s="19" t="n"/>
      <c r="C11" s="19" t="n"/>
      <c r="D11" s="19" t="n"/>
      <c r="E11" s="18" t="n"/>
      <c r="F11" s="18" t="n"/>
      <c r="G11" s="19" t="n"/>
      <c r="H11" s="19" t="n"/>
      <c r="I11" s="14">
        <f>IF($B11="","","Ativo")</f>
        <v/>
      </c>
      <c r="J11" s="20">
        <f>IF($B11="","",IF(COUNTIFS('1a1'!$B$52:$B$111,$A11,'1a1'!$G$52:$G$111,"Sim")=0,"",_xlfn.MAXIFS('1a1'!$A$52:$A$111,'1a1'!$B$52:$B$111,$A11,'1a1'!$G$52:$G$111,"Sim")))</f>
        <v/>
      </c>
      <c r="K11" s="14">
        <f>IF($B11="","",COUNTIFS('Alocações'!$B$5:$B$84,$A11,'Alocações'!$N$5:$N$84,"Sim"))</f>
        <v/>
      </c>
      <c r="L11" s="14">
        <f>IF($B11="","",IF($K11=0,"sem alocação",IF($K11=1,INDEX('Alocações'!$F$5:$F$84,MATCH($A11,'Alocações'!$O$5:$O$84,0)),"Multi")))</f>
        <v/>
      </c>
      <c r="M11" s="14">
        <f>IF($B11="","",IF($K11&gt;1,"Sim","Não"))</f>
        <v/>
      </c>
      <c r="N11" s="14">
        <f>IF(OR($B11="",$F11=""),"",ROUND((Config!$B$6-$F11)/30.4,0))</f>
        <v/>
      </c>
      <c r="O11" s="14">
        <f>IF($B11="","",IF(COUNTIFS('Ocorrências'!$C$5:$C$604,$A11,'Ocorrências'!$T$5:$T$604,Config!$B$7)=0,1,0))</f>
        <v/>
      </c>
      <c r="P11" s="14">
        <f>IF($O11=1,COUNTIF($O$5:$O11,1),"")</f>
        <v/>
      </c>
    </row>
    <row r="12">
      <c r="A12" s="19" t="n"/>
      <c r="B12" s="19" t="n"/>
      <c r="C12" s="19" t="n"/>
      <c r="D12" s="19" t="n"/>
      <c r="E12" s="18" t="n"/>
      <c r="F12" s="18" t="n"/>
      <c r="G12" s="19" t="n"/>
      <c r="H12" s="19" t="n"/>
      <c r="I12" s="14">
        <f>IF($B12="","","Ativo")</f>
        <v/>
      </c>
      <c r="J12" s="20">
        <f>IF($B12="","",IF(COUNTIFS('1a1'!$B$52:$B$111,$A12,'1a1'!$G$52:$G$111,"Sim")=0,"",_xlfn.MAXIFS('1a1'!$A$52:$A$111,'1a1'!$B$52:$B$111,$A12,'1a1'!$G$52:$G$111,"Sim")))</f>
        <v/>
      </c>
      <c r="K12" s="14">
        <f>IF($B12="","",COUNTIFS('Alocações'!$B$5:$B$84,$A12,'Alocações'!$N$5:$N$84,"Sim"))</f>
        <v/>
      </c>
      <c r="L12" s="14">
        <f>IF($B12="","",IF($K12=0,"sem alocação",IF($K12=1,INDEX('Alocações'!$F$5:$F$84,MATCH($A12,'Alocações'!$O$5:$O$84,0)),"Multi")))</f>
        <v/>
      </c>
      <c r="M12" s="14">
        <f>IF($B12="","",IF($K12&gt;1,"Sim","Não"))</f>
        <v/>
      </c>
      <c r="N12" s="14">
        <f>IF(OR($B12="",$F12=""),"",ROUND((Config!$B$6-$F12)/30.4,0))</f>
        <v/>
      </c>
      <c r="O12" s="14">
        <f>IF($B12="","",IF(COUNTIFS('Ocorrências'!$C$5:$C$604,$A12,'Ocorrências'!$T$5:$T$604,Config!$B$7)=0,1,0))</f>
        <v/>
      </c>
      <c r="P12" s="14">
        <f>IF($O12=1,COUNTIF($O$5:$O12,1),"")</f>
        <v/>
      </c>
    </row>
    <row r="13">
      <c r="A13" s="19" t="n"/>
      <c r="B13" s="19" t="n"/>
      <c r="C13" s="19" t="n"/>
      <c r="D13" s="19" t="n"/>
      <c r="E13" s="18" t="n"/>
      <c r="F13" s="18" t="n"/>
      <c r="G13" s="19" t="n"/>
      <c r="H13" s="19" t="n"/>
      <c r="I13" s="14">
        <f>IF($B13="","","Ativo")</f>
        <v/>
      </c>
      <c r="J13" s="20">
        <f>IF($B13="","",IF(COUNTIFS('1a1'!$B$52:$B$111,$A13,'1a1'!$G$52:$G$111,"Sim")=0,"",_xlfn.MAXIFS('1a1'!$A$52:$A$111,'1a1'!$B$52:$B$111,$A13,'1a1'!$G$52:$G$111,"Sim")))</f>
        <v/>
      </c>
      <c r="K13" s="14">
        <f>IF($B13="","",COUNTIFS('Alocações'!$B$5:$B$84,$A13,'Alocações'!$N$5:$N$84,"Sim"))</f>
        <v/>
      </c>
      <c r="L13" s="14">
        <f>IF($B13="","",IF($K13=0,"sem alocação",IF($K13=1,INDEX('Alocações'!$F$5:$F$84,MATCH($A13,'Alocações'!$O$5:$O$84,0)),"Multi")))</f>
        <v/>
      </c>
      <c r="M13" s="14">
        <f>IF($B13="","",IF($K13&gt;1,"Sim","Não"))</f>
        <v/>
      </c>
      <c r="N13" s="14">
        <f>IF(OR($B13="",$F13=""),"",ROUND((Config!$B$6-$F13)/30.4,0))</f>
        <v/>
      </c>
      <c r="O13" s="14">
        <f>IF($B13="","",IF(COUNTIFS('Ocorrências'!$C$5:$C$604,$A13,'Ocorrências'!$T$5:$T$604,Config!$B$7)=0,1,0))</f>
        <v/>
      </c>
      <c r="P13" s="14">
        <f>IF($O13=1,COUNTIF($O$5:$O13,1),"")</f>
        <v/>
      </c>
    </row>
    <row r="14">
      <c r="A14" s="19" t="n"/>
      <c r="B14" s="19" t="n"/>
      <c r="C14" s="19" t="n"/>
      <c r="D14" s="19" t="n"/>
      <c r="E14" s="18" t="n"/>
      <c r="F14" s="18" t="n"/>
      <c r="G14" s="19" t="n"/>
      <c r="H14" s="19" t="n"/>
      <c r="I14" s="14">
        <f>IF($B14="","","Ativo")</f>
        <v/>
      </c>
      <c r="J14" s="20">
        <f>IF($B14="","",IF(COUNTIFS('1a1'!$B$52:$B$111,$A14,'1a1'!$G$52:$G$111,"Sim")=0,"",_xlfn.MAXIFS('1a1'!$A$52:$A$111,'1a1'!$B$52:$B$111,$A14,'1a1'!$G$52:$G$111,"Sim")))</f>
        <v/>
      </c>
      <c r="K14" s="14">
        <f>IF($B14="","",COUNTIFS('Alocações'!$B$5:$B$84,$A14,'Alocações'!$N$5:$N$84,"Sim"))</f>
        <v/>
      </c>
      <c r="L14" s="14">
        <f>IF($B14="","",IF($K14=0,"sem alocação",IF($K14=1,INDEX('Alocações'!$F$5:$F$84,MATCH($A14,'Alocações'!$O$5:$O$84,0)),"Multi")))</f>
        <v/>
      </c>
      <c r="M14" s="14">
        <f>IF($B14="","",IF($K14&gt;1,"Sim","Não"))</f>
        <v/>
      </c>
      <c r="N14" s="14">
        <f>IF(OR($B14="",$F14=""),"",ROUND((Config!$B$6-$F14)/30.4,0))</f>
        <v/>
      </c>
      <c r="O14" s="14">
        <f>IF($B14="","",IF(COUNTIFS('Ocorrências'!$C$5:$C$604,$A14,'Ocorrências'!$T$5:$T$604,Config!$B$7)=0,1,0))</f>
        <v/>
      </c>
      <c r="P14" s="14">
        <f>IF($O14=1,COUNTIF($O$5:$O14,1),"")</f>
        <v/>
      </c>
    </row>
    <row r="15">
      <c r="A15" s="19" t="n"/>
      <c r="B15" s="19" t="n"/>
      <c r="C15" s="19" t="n"/>
      <c r="D15" s="19" t="n"/>
      <c r="E15" s="18" t="n"/>
      <c r="F15" s="18" t="n"/>
      <c r="G15" s="19" t="n"/>
      <c r="H15" s="19" t="n"/>
      <c r="I15" s="14">
        <f>IF($B15="","","Ativo")</f>
        <v/>
      </c>
      <c r="J15" s="20">
        <f>IF($B15="","",IF(COUNTIFS('1a1'!$B$52:$B$111,$A15,'1a1'!$G$52:$G$111,"Sim")=0,"",_xlfn.MAXIFS('1a1'!$A$52:$A$111,'1a1'!$B$52:$B$111,$A15,'1a1'!$G$52:$G$111,"Sim")))</f>
        <v/>
      </c>
      <c r="K15" s="14">
        <f>IF($B15="","",COUNTIFS('Alocações'!$B$5:$B$84,$A15,'Alocações'!$N$5:$N$84,"Sim"))</f>
        <v/>
      </c>
      <c r="L15" s="14">
        <f>IF($B15="","",IF($K15=0,"sem alocação",IF($K15=1,INDEX('Alocações'!$F$5:$F$84,MATCH($A15,'Alocações'!$O$5:$O$84,0)),"Multi")))</f>
        <v/>
      </c>
      <c r="M15" s="14">
        <f>IF($B15="","",IF($K15&gt;1,"Sim","Não"))</f>
        <v/>
      </c>
      <c r="N15" s="14">
        <f>IF(OR($B15="",$F15=""),"",ROUND((Config!$B$6-$F15)/30.4,0))</f>
        <v/>
      </c>
      <c r="O15" s="14">
        <f>IF($B15="","",IF(COUNTIFS('Ocorrências'!$C$5:$C$604,$A15,'Ocorrências'!$T$5:$T$604,Config!$B$7)=0,1,0))</f>
        <v/>
      </c>
      <c r="P15" s="14">
        <f>IF($O15=1,COUNTIF($O$5:$O15,1),"")</f>
        <v/>
      </c>
    </row>
    <row r="16">
      <c r="A16" s="19" t="n"/>
      <c r="B16" s="19" t="n"/>
      <c r="C16" s="19" t="n"/>
      <c r="D16" s="19" t="n"/>
      <c r="E16" s="18" t="n"/>
      <c r="F16" s="18" t="n"/>
      <c r="G16" s="19" t="n"/>
      <c r="H16" s="19" t="n"/>
      <c r="I16" s="14">
        <f>IF($B16="","","Ativo")</f>
        <v/>
      </c>
      <c r="J16" s="20">
        <f>IF($B16="","",IF(COUNTIFS('1a1'!$B$52:$B$111,$A16,'1a1'!$G$52:$G$111,"Sim")=0,"",_xlfn.MAXIFS('1a1'!$A$52:$A$111,'1a1'!$B$52:$B$111,$A16,'1a1'!$G$52:$G$111,"Sim")))</f>
        <v/>
      </c>
      <c r="K16" s="14">
        <f>IF($B16="","",COUNTIFS('Alocações'!$B$5:$B$84,$A16,'Alocações'!$N$5:$N$84,"Sim"))</f>
        <v/>
      </c>
      <c r="L16" s="14">
        <f>IF($B16="","",IF($K16=0,"sem alocação",IF($K16=1,INDEX('Alocações'!$F$5:$F$84,MATCH($A16,'Alocações'!$O$5:$O$84,0)),"Multi")))</f>
        <v/>
      </c>
      <c r="M16" s="14">
        <f>IF($B16="","",IF($K16&gt;1,"Sim","Não"))</f>
        <v/>
      </c>
      <c r="N16" s="14">
        <f>IF(OR($B16="",$F16=""),"",ROUND((Config!$B$6-$F16)/30.4,0))</f>
        <v/>
      </c>
      <c r="O16" s="14">
        <f>IF($B16="","",IF(COUNTIFS('Ocorrências'!$C$5:$C$604,$A16,'Ocorrências'!$T$5:$T$604,Config!$B$7)=0,1,0))</f>
        <v/>
      </c>
      <c r="P16" s="14">
        <f>IF($O16=1,COUNTIF($O$5:$O16,1),"")</f>
        <v/>
      </c>
    </row>
    <row r="17">
      <c r="A17" s="19" t="n"/>
      <c r="B17" s="19" t="n"/>
      <c r="C17" s="19" t="n"/>
      <c r="D17" s="19" t="n"/>
      <c r="E17" s="18" t="n"/>
      <c r="F17" s="18" t="n"/>
      <c r="G17" s="19" t="n"/>
      <c r="H17" s="19" t="n"/>
      <c r="I17" s="14">
        <f>IF($B17="","","Ativo")</f>
        <v/>
      </c>
      <c r="J17" s="20">
        <f>IF($B17="","",IF(COUNTIFS('1a1'!$B$52:$B$111,$A17,'1a1'!$G$52:$G$111,"Sim")=0,"",_xlfn.MAXIFS('1a1'!$A$52:$A$111,'1a1'!$B$52:$B$111,$A17,'1a1'!$G$52:$G$111,"Sim")))</f>
        <v/>
      </c>
      <c r="K17" s="14">
        <f>IF($B17="","",COUNTIFS('Alocações'!$B$5:$B$84,$A17,'Alocações'!$N$5:$N$84,"Sim"))</f>
        <v/>
      </c>
      <c r="L17" s="14">
        <f>IF($B17="","",IF($K17=0,"sem alocação",IF($K17=1,INDEX('Alocações'!$F$5:$F$84,MATCH($A17,'Alocações'!$O$5:$O$84,0)),"Multi")))</f>
        <v/>
      </c>
      <c r="M17" s="14">
        <f>IF($B17="","",IF($K17&gt;1,"Sim","Não"))</f>
        <v/>
      </c>
      <c r="N17" s="14">
        <f>IF(OR($B17="",$F17=""),"",ROUND((Config!$B$6-$F17)/30.4,0))</f>
        <v/>
      </c>
      <c r="O17" s="14">
        <f>IF($B17="","",IF(COUNTIFS('Ocorrências'!$C$5:$C$604,$A17,'Ocorrências'!$T$5:$T$604,Config!$B$7)=0,1,0))</f>
        <v/>
      </c>
      <c r="P17" s="14">
        <f>IF($O17=1,COUNTIF($O$5:$O17,1),"")</f>
        <v/>
      </c>
    </row>
    <row r="18">
      <c r="A18" s="19" t="n"/>
      <c r="B18" s="19" t="n"/>
      <c r="C18" s="19" t="n"/>
      <c r="D18" s="19" t="n"/>
      <c r="E18" s="18" t="n"/>
      <c r="F18" s="18" t="n"/>
      <c r="G18" s="19" t="n"/>
      <c r="H18" s="19" t="n"/>
      <c r="I18" s="14">
        <f>IF($B18="","","Ativo")</f>
        <v/>
      </c>
      <c r="J18" s="20">
        <f>IF($B18="","",IF(COUNTIFS('1a1'!$B$52:$B$111,$A18,'1a1'!$G$52:$G$111,"Sim")=0,"",_xlfn.MAXIFS('1a1'!$A$52:$A$111,'1a1'!$B$52:$B$111,$A18,'1a1'!$G$52:$G$111,"Sim")))</f>
        <v/>
      </c>
      <c r="K18" s="14">
        <f>IF($B18="","",COUNTIFS('Alocações'!$B$5:$B$84,$A18,'Alocações'!$N$5:$N$84,"Sim"))</f>
        <v/>
      </c>
      <c r="L18" s="14">
        <f>IF($B18="","",IF($K18=0,"sem alocação",IF($K18=1,INDEX('Alocações'!$F$5:$F$84,MATCH($A18,'Alocações'!$O$5:$O$84,0)),"Multi")))</f>
        <v/>
      </c>
      <c r="M18" s="14">
        <f>IF($B18="","",IF($K18&gt;1,"Sim","Não"))</f>
        <v/>
      </c>
      <c r="N18" s="14">
        <f>IF(OR($B18="",$F18=""),"",ROUND((Config!$B$6-$F18)/30.4,0))</f>
        <v/>
      </c>
      <c r="O18" s="14">
        <f>IF($B18="","",IF(COUNTIFS('Ocorrências'!$C$5:$C$604,$A18,'Ocorrências'!$T$5:$T$604,Config!$B$7)=0,1,0))</f>
        <v/>
      </c>
      <c r="P18" s="14">
        <f>IF($O18=1,COUNTIF($O$5:$O18,1),"")</f>
        <v/>
      </c>
    </row>
    <row r="19">
      <c r="A19" s="19" t="n"/>
      <c r="B19" s="19" t="n"/>
      <c r="C19" s="19" t="n"/>
      <c r="D19" s="19" t="n"/>
      <c r="E19" s="18" t="n"/>
      <c r="F19" s="18" t="n"/>
      <c r="G19" s="19" t="n"/>
      <c r="H19" s="19" t="n"/>
      <c r="I19" s="14">
        <f>IF($B19="","","Ativo")</f>
        <v/>
      </c>
      <c r="J19" s="20">
        <f>IF($B19="","",IF(COUNTIFS('1a1'!$B$52:$B$111,$A19,'1a1'!$G$52:$G$111,"Sim")=0,"",_xlfn.MAXIFS('1a1'!$A$52:$A$111,'1a1'!$B$52:$B$111,$A19,'1a1'!$G$52:$G$111,"Sim")))</f>
        <v/>
      </c>
      <c r="K19" s="14">
        <f>IF($B19="","",COUNTIFS('Alocações'!$B$5:$B$84,$A19,'Alocações'!$N$5:$N$84,"Sim"))</f>
        <v/>
      </c>
      <c r="L19" s="14">
        <f>IF($B19="","",IF($K19=0,"sem alocação",IF($K19=1,INDEX('Alocações'!$F$5:$F$84,MATCH($A19,'Alocações'!$O$5:$O$84,0)),"Multi")))</f>
        <v/>
      </c>
      <c r="M19" s="14">
        <f>IF($B19="","",IF($K19&gt;1,"Sim","Não"))</f>
        <v/>
      </c>
      <c r="N19" s="14">
        <f>IF(OR($B19="",$F19=""),"",ROUND((Config!$B$6-$F19)/30.4,0))</f>
        <v/>
      </c>
      <c r="O19" s="14">
        <f>IF($B19="","",IF(COUNTIFS('Ocorrências'!$C$5:$C$604,$A19,'Ocorrências'!$T$5:$T$604,Config!$B$7)=0,1,0))</f>
        <v/>
      </c>
      <c r="P19" s="14">
        <f>IF($O19=1,COUNTIF($O$5:$O19,1),"")</f>
        <v/>
      </c>
    </row>
    <row r="20">
      <c r="A20" s="19" t="n"/>
      <c r="B20" s="19" t="n"/>
      <c r="C20" s="19" t="n"/>
      <c r="D20" s="19" t="n"/>
      <c r="E20" s="18" t="n"/>
      <c r="F20" s="18" t="n"/>
      <c r="G20" s="19" t="n"/>
      <c r="H20" s="19" t="n"/>
      <c r="I20" s="14">
        <f>IF($B20="","","Ativo")</f>
        <v/>
      </c>
      <c r="J20" s="20">
        <f>IF($B20="","",IF(COUNTIFS('1a1'!$B$52:$B$111,$A20,'1a1'!$G$52:$G$111,"Sim")=0,"",_xlfn.MAXIFS('1a1'!$A$52:$A$111,'1a1'!$B$52:$B$111,$A20,'1a1'!$G$52:$G$111,"Sim")))</f>
        <v/>
      </c>
      <c r="K20" s="14">
        <f>IF($B20="","",COUNTIFS('Alocações'!$B$5:$B$84,$A20,'Alocações'!$N$5:$N$84,"Sim"))</f>
        <v/>
      </c>
      <c r="L20" s="14">
        <f>IF($B20="","",IF($K20=0,"sem alocação",IF($K20=1,INDEX('Alocações'!$F$5:$F$84,MATCH($A20,'Alocações'!$O$5:$O$84,0)),"Multi")))</f>
        <v/>
      </c>
      <c r="M20" s="14">
        <f>IF($B20="","",IF($K20&gt;1,"Sim","Não"))</f>
        <v/>
      </c>
      <c r="N20" s="14">
        <f>IF(OR($B20="",$F20=""),"",ROUND((Config!$B$6-$F20)/30.4,0))</f>
        <v/>
      </c>
      <c r="O20" s="14">
        <f>IF($B20="","",IF(COUNTIFS('Ocorrências'!$C$5:$C$604,$A20,'Ocorrências'!$T$5:$T$604,Config!$B$7)=0,1,0))</f>
        <v/>
      </c>
      <c r="P20" s="14">
        <f>IF($O20=1,COUNTIF($O$5:$O20,1),"")</f>
        <v/>
      </c>
    </row>
    <row r="21">
      <c r="A21" s="19" t="n"/>
      <c r="B21" s="19" t="n"/>
      <c r="C21" s="19" t="n"/>
      <c r="D21" s="19" t="n"/>
      <c r="E21" s="18" t="n"/>
      <c r="F21" s="18" t="n"/>
      <c r="G21" s="19" t="n"/>
      <c r="H21" s="19" t="n"/>
      <c r="I21" s="14">
        <f>IF($B21="","","Ativo")</f>
        <v/>
      </c>
      <c r="J21" s="20">
        <f>IF($B21="","",IF(COUNTIFS('1a1'!$B$52:$B$111,$A21,'1a1'!$G$52:$G$111,"Sim")=0,"",_xlfn.MAXIFS('1a1'!$A$52:$A$111,'1a1'!$B$52:$B$111,$A21,'1a1'!$G$52:$G$111,"Sim")))</f>
        <v/>
      </c>
      <c r="K21" s="14">
        <f>IF($B21="","",COUNTIFS('Alocações'!$B$5:$B$84,$A21,'Alocações'!$N$5:$N$84,"Sim"))</f>
        <v/>
      </c>
      <c r="L21" s="14">
        <f>IF($B21="","",IF($K21=0,"sem alocação",IF($K21=1,INDEX('Alocações'!$F$5:$F$84,MATCH($A21,'Alocações'!$O$5:$O$84,0)),"Multi")))</f>
        <v/>
      </c>
      <c r="M21" s="14">
        <f>IF($B21="","",IF($K21&gt;1,"Sim","Não"))</f>
        <v/>
      </c>
      <c r="N21" s="14">
        <f>IF(OR($B21="",$F21=""),"",ROUND((Config!$B$6-$F21)/30.4,0))</f>
        <v/>
      </c>
      <c r="O21" s="14">
        <f>IF($B21="","",IF(COUNTIFS('Ocorrências'!$C$5:$C$604,$A21,'Ocorrências'!$T$5:$T$604,Config!$B$7)=0,1,0))</f>
        <v/>
      </c>
      <c r="P21" s="14">
        <f>IF($O21=1,COUNTIF($O$5:$O21,1),"")</f>
        <v/>
      </c>
    </row>
    <row r="22">
      <c r="A22" s="19" t="n"/>
      <c r="B22" s="19" t="n"/>
      <c r="C22" s="19" t="n"/>
      <c r="D22" s="19" t="n"/>
      <c r="E22" s="18" t="n"/>
      <c r="F22" s="18" t="n"/>
      <c r="G22" s="19" t="n"/>
      <c r="H22" s="19" t="n"/>
      <c r="I22" s="14">
        <f>IF($B22="","","Ativo")</f>
        <v/>
      </c>
      <c r="J22" s="20">
        <f>IF($B22="","",IF(COUNTIFS('1a1'!$B$52:$B$111,$A22,'1a1'!$G$52:$G$111,"Sim")=0,"",_xlfn.MAXIFS('1a1'!$A$52:$A$111,'1a1'!$B$52:$B$111,$A22,'1a1'!$G$52:$G$111,"Sim")))</f>
        <v/>
      </c>
      <c r="K22" s="14">
        <f>IF($B22="","",COUNTIFS('Alocações'!$B$5:$B$84,$A22,'Alocações'!$N$5:$N$84,"Sim"))</f>
        <v/>
      </c>
      <c r="L22" s="14">
        <f>IF($B22="","",IF($K22=0,"sem alocação",IF($K22=1,INDEX('Alocações'!$F$5:$F$84,MATCH($A22,'Alocações'!$O$5:$O$84,0)),"Multi")))</f>
        <v/>
      </c>
      <c r="M22" s="14">
        <f>IF($B22="","",IF($K22&gt;1,"Sim","Não"))</f>
        <v/>
      </c>
      <c r="N22" s="14">
        <f>IF(OR($B22="",$F22=""),"",ROUND((Config!$B$6-$F22)/30.4,0))</f>
        <v/>
      </c>
      <c r="O22" s="14">
        <f>IF($B22="","",IF(COUNTIFS('Ocorrências'!$C$5:$C$604,$A22,'Ocorrências'!$T$5:$T$604,Config!$B$7)=0,1,0))</f>
        <v/>
      </c>
      <c r="P22" s="14">
        <f>IF($O22=1,COUNTIF($O$5:$O22,1),"")</f>
        <v/>
      </c>
    </row>
    <row r="23">
      <c r="A23" s="19" t="n"/>
      <c r="B23" s="19" t="n"/>
      <c r="C23" s="19" t="n"/>
      <c r="D23" s="19" t="n"/>
      <c r="E23" s="18" t="n"/>
      <c r="F23" s="18" t="n"/>
      <c r="G23" s="19" t="n"/>
      <c r="H23" s="19" t="n"/>
      <c r="I23" s="14">
        <f>IF($B23="","","Ativo")</f>
        <v/>
      </c>
      <c r="J23" s="20">
        <f>IF($B23="","",IF(COUNTIFS('1a1'!$B$52:$B$111,$A23,'1a1'!$G$52:$G$111,"Sim")=0,"",_xlfn.MAXIFS('1a1'!$A$52:$A$111,'1a1'!$B$52:$B$111,$A23,'1a1'!$G$52:$G$111,"Sim")))</f>
        <v/>
      </c>
      <c r="K23" s="14">
        <f>IF($B23="","",COUNTIFS('Alocações'!$B$5:$B$84,$A23,'Alocações'!$N$5:$N$84,"Sim"))</f>
        <v/>
      </c>
      <c r="L23" s="14">
        <f>IF($B23="","",IF($K23=0,"sem alocação",IF($K23=1,INDEX('Alocações'!$F$5:$F$84,MATCH($A23,'Alocações'!$O$5:$O$84,0)),"Multi")))</f>
        <v/>
      </c>
      <c r="M23" s="14">
        <f>IF($B23="","",IF($K23&gt;1,"Sim","Não"))</f>
        <v/>
      </c>
      <c r="N23" s="14">
        <f>IF(OR($B23="",$F23=""),"",ROUND((Config!$B$6-$F23)/30.4,0))</f>
        <v/>
      </c>
      <c r="O23" s="14">
        <f>IF($B23="","",IF(COUNTIFS('Ocorrências'!$C$5:$C$604,$A23,'Ocorrências'!$T$5:$T$604,Config!$B$7)=0,1,0))</f>
        <v/>
      </c>
      <c r="P23" s="14">
        <f>IF($O23=1,COUNTIF($O$5:$O23,1),"")</f>
        <v/>
      </c>
    </row>
    <row r="24">
      <c r="A24" s="19" t="n"/>
      <c r="B24" s="19" t="n"/>
      <c r="C24" s="19" t="n"/>
      <c r="D24" s="19" t="n"/>
      <c r="E24" s="18" t="n"/>
      <c r="F24" s="18" t="n"/>
      <c r="G24" s="19" t="n"/>
      <c r="H24" s="19" t="n"/>
      <c r="I24" s="14">
        <f>IF($B24="","","Ativo")</f>
        <v/>
      </c>
      <c r="J24" s="20">
        <f>IF($B24="","",IF(COUNTIFS('1a1'!$B$52:$B$111,$A24,'1a1'!$G$52:$G$111,"Sim")=0,"",_xlfn.MAXIFS('1a1'!$A$52:$A$111,'1a1'!$B$52:$B$111,$A24,'1a1'!$G$52:$G$111,"Sim")))</f>
        <v/>
      </c>
      <c r="K24" s="14">
        <f>IF($B24="","",COUNTIFS('Alocações'!$B$5:$B$84,$A24,'Alocações'!$N$5:$N$84,"Sim"))</f>
        <v/>
      </c>
      <c r="L24" s="14">
        <f>IF($B24="","",IF($K24=0,"sem alocação",IF($K24=1,INDEX('Alocações'!$F$5:$F$84,MATCH($A24,'Alocações'!$O$5:$O$84,0)),"Multi")))</f>
        <v/>
      </c>
      <c r="M24" s="14">
        <f>IF($B24="","",IF($K24&gt;1,"Sim","Não"))</f>
        <v/>
      </c>
      <c r="N24" s="14">
        <f>IF(OR($B24="",$F24=""),"",ROUND((Config!$B$6-$F24)/30.4,0))</f>
        <v/>
      </c>
      <c r="O24" s="14">
        <f>IF($B24="","",IF(COUNTIFS('Ocorrências'!$C$5:$C$604,$A24,'Ocorrências'!$T$5:$T$604,Config!$B$7)=0,1,0))</f>
        <v/>
      </c>
      <c r="P24" s="14">
        <f>IF($O24=1,COUNTIF($O$5:$O24,1),"")</f>
        <v/>
      </c>
    </row>
    <row r="25">
      <c r="A25" s="19" t="n"/>
      <c r="B25" s="19" t="n"/>
      <c r="C25" s="19" t="n"/>
      <c r="D25" s="19" t="n"/>
      <c r="E25" s="18" t="n"/>
      <c r="F25" s="18" t="n"/>
      <c r="G25" s="19" t="n"/>
      <c r="H25" s="19" t="n"/>
      <c r="I25" s="14">
        <f>IF($B25="","","Ativo")</f>
        <v/>
      </c>
      <c r="J25" s="20">
        <f>IF($B25="","",IF(COUNTIFS('1a1'!$B$52:$B$111,$A25,'1a1'!$G$52:$G$111,"Sim")=0,"",_xlfn.MAXIFS('1a1'!$A$52:$A$111,'1a1'!$B$52:$B$111,$A25,'1a1'!$G$52:$G$111,"Sim")))</f>
        <v/>
      </c>
      <c r="K25" s="14">
        <f>IF($B25="","",COUNTIFS('Alocações'!$B$5:$B$84,$A25,'Alocações'!$N$5:$N$84,"Sim"))</f>
        <v/>
      </c>
      <c r="L25" s="14">
        <f>IF($B25="","",IF($K25=0,"sem alocação",IF($K25=1,INDEX('Alocações'!$F$5:$F$84,MATCH($A25,'Alocações'!$O$5:$O$84,0)),"Multi")))</f>
        <v/>
      </c>
      <c r="M25" s="14">
        <f>IF($B25="","",IF($K25&gt;1,"Sim","Não"))</f>
        <v/>
      </c>
      <c r="N25" s="14">
        <f>IF(OR($B25="",$F25=""),"",ROUND((Config!$B$6-$F25)/30.4,0))</f>
        <v/>
      </c>
      <c r="O25" s="14">
        <f>IF($B25="","",IF(COUNTIFS('Ocorrências'!$C$5:$C$604,$A25,'Ocorrências'!$T$5:$T$604,Config!$B$7)=0,1,0))</f>
        <v/>
      </c>
      <c r="P25" s="14">
        <f>IF($O25=1,COUNTIF($O$5:$O25,1),"")</f>
        <v/>
      </c>
    </row>
    <row r="26">
      <c r="A26" s="19" t="n"/>
      <c r="B26" s="19" t="n"/>
      <c r="C26" s="19" t="n"/>
      <c r="D26" s="19" t="n"/>
      <c r="E26" s="18" t="n"/>
      <c r="F26" s="18" t="n"/>
      <c r="G26" s="19" t="n"/>
      <c r="H26" s="19" t="n"/>
      <c r="I26" s="14">
        <f>IF($B26="","","Ativo")</f>
        <v/>
      </c>
      <c r="J26" s="20">
        <f>IF($B26="","",IF(COUNTIFS('1a1'!$B$52:$B$111,$A26,'1a1'!$G$52:$G$111,"Sim")=0,"",_xlfn.MAXIFS('1a1'!$A$52:$A$111,'1a1'!$B$52:$B$111,$A26,'1a1'!$G$52:$G$111,"Sim")))</f>
        <v/>
      </c>
      <c r="K26" s="14">
        <f>IF($B26="","",COUNTIFS('Alocações'!$B$5:$B$84,$A26,'Alocações'!$N$5:$N$84,"Sim"))</f>
        <v/>
      </c>
      <c r="L26" s="14">
        <f>IF($B26="","",IF($K26=0,"sem alocação",IF($K26=1,INDEX('Alocações'!$F$5:$F$84,MATCH($A26,'Alocações'!$O$5:$O$84,0)),"Multi")))</f>
        <v/>
      </c>
      <c r="M26" s="14">
        <f>IF($B26="","",IF($K26&gt;1,"Sim","Não"))</f>
        <v/>
      </c>
      <c r="N26" s="14">
        <f>IF(OR($B26="",$F26=""),"",ROUND((Config!$B$6-$F26)/30.4,0))</f>
        <v/>
      </c>
      <c r="O26" s="14">
        <f>IF($B26="","",IF(COUNTIFS('Ocorrências'!$C$5:$C$604,$A26,'Ocorrências'!$T$5:$T$604,Config!$B$7)=0,1,0))</f>
        <v/>
      </c>
      <c r="P26" s="14">
        <f>IF($O26=1,COUNTIF($O$5:$O26,1),"")</f>
        <v/>
      </c>
    </row>
    <row r="27">
      <c r="A27" s="19" t="n"/>
      <c r="B27" s="19" t="n"/>
      <c r="C27" s="19" t="n"/>
      <c r="D27" s="19" t="n"/>
      <c r="E27" s="18" t="n"/>
      <c r="F27" s="18" t="n"/>
      <c r="G27" s="19" t="n"/>
      <c r="H27" s="19" t="n"/>
      <c r="I27" s="14">
        <f>IF($B27="","","Ativo")</f>
        <v/>
      </c>
      <c r="J27" s="20">
        <f>IF($B27="","",IF(COUNTIFS('1a1'!$B$52:$B$111,$A27,'1a1'!$G$52:$G$111,"Sim")=0,"",_xlfn.MAXIFS('1a1'!$A$52:$A$111,'1a1'!$B$52:$B$111,$A27,'1a1'!$G$52:$G$111,"Sim")))</f>
        <v/>
      </c>
      <c r="K27" s="14">
        <f>IF($B27="","",COUNTIFS('Alocações'!$B$5:$B$84,$A27,'Alocações'!$N$5:$N$84,"Sim"))</f>
        <v/>
      </c>
      <c r="L27" s="14">
        <f>IF($B27="","",IF($K27=0,"sem alocação",IF($K27=1,INDEX('Alocações'!$F$5:$F$84,MATCH($A27,'Alocações'!$O$5:$O$84,0)),"Multi")))</f>
        <v/>
      </c>
      <c r="M27" s="14">
        <f>IF($B27="","",IF($K27&gt;1,"Sim","Não"))</f>
        <v/>
      </c>
      <c r="N27" s="14">
        <f>IF(OR($B27="",$F27=""),"",ROUND((Config!$B$6-$F27)/30.4,0))</f>
        <v/>
      </c>
      <c r="O27" s="14">
        <f>IF($B27="","",IF(COUNTIFS('Ocorrências'!$C$5:$C$604,$A27,'Ocorrências'!$T$5:$T$604,Config!$B$7)=0,1,0))</f>
        <v/>
      </c>
      <c r="P27" s="14">
        <f>IF($O27=1,COUNTIF($O$5:$O27,1),"")</f>
        <v/>
      </c>
    </row>
    <row r="28">
      <c r="A28" s="19" t="n"/>
      <c r="B28" s="19" t="n"/>
      <c r="C28" s="19" t="n"/>
      <c r="D28" s="19" t="n"/>
      <c r="E28" s="18" t="n"/>
      <c r="F28" s="18" t="n"/>
      <c r="G28" s="19" t="n"/>
      <c r="H28" s="19" t="n"/>
      <c r="I28" s="14">
        <f>IF($B28="","","Ativo")</f>
        <v/>
      </c>
      <c r="J28" s="20">
        <f>IF($B28="","",IF(COUNTIFS('1a1'!$B$52:$B$111,$A28,'1a1'!$G$52:$G$111,"Sim")=0,"",_xlfn.MAXIFS('1a1'!$A$52:$A$111,'1a1'!$B$52:$B$111,$A28,'1a1'!$G$52:$G$111,"Sim")))</f>
        <v/>
      </c>
      <c r="K28" s="14">
        <f>IF($B28="","",COUNTIFS('Alocações'!$B$5:$B$84,$A28,'Alocações'!$N$5:$N$84,"Sim"))</f>
        <v/>
      </c>
      <c r="L28" s="14">
        <f>IF($B28="","",IF($K28=0,"sem alocação",IF($K28=1,INDEX('Alocações'!$F$5:$F$84,MATCH($A28,'Alocações'!$O$5:$O$84,0)),"Multi")))</f>
        <v/>
      </c>
      <c r="M28" s="14">
        <f>IF($B28="","",IF($K28&gt;1,"Sim","Não"))</f>
        <v/>
      </c>
      <c r="N28" s="14">
        <f>IF(OR($B28="",$F28=""),"",ROUND((Config!$B$6-$F28)/30.4,0))</f>
        <v/>
      </c>
      <c r="O28" s="14">
        <f>IF($B28="","",IF(COUNTIFS('Ocorrências'!$C$5:$C$604,$A28,'Ocorrências'!$T$5:$T$604,Config!$B$7)=0,1,0))</f>
        <v/>
      </c>
      <c r="P28" s="14">
        <f>IF($O28=1,COUNTIF($O$5:$O28,1),"")</f>
        <v/>
      </c>
    </row>
    <row r="29">
      <c r="A29" s="19" t="n"/>
      <c r="B29" s="19" t="n"/>
      <c r="C29" s="19" t="n"/>
      <c r="D29" s="19" t="n"/>
      <c r="E29" s="18" t="n"/>
      <c r="F29" s="18" t="n"/>
      <c r="G29" s="19" t="n"/>
      <c r="H29" s="19" t="n"/>
      <c r="I29" s="14">
        <f>IF($B29="","","Ativo")</f>
        <v/>
      </c>
      <c r="J29" s="20">
        <f>IF($B29="","",IF(COUNTIFS('1a1'!$B$52:$B$111,$A29,'1a1'!$G$52:$G$111,"Sim")=0,"",_xlfn.MAXIFS('1a1'!$A$52:$A$111,'1a1'!$B$52:$B$111,$A29,'1a1'!$G$52:$G$111,"Sim")))</f>
        <v/>
      </c>
      <c r="K29" s="14">
        <f>IF($B29="","",COUNTIFS('Alocações'!$B$5:$B$84,$A29,'Alocações'!$N$5:$N$84,"Sim"))</f>
        <v/>
      </c>
      <c r="L29" s="14">
        <f>IF($B29="","",IF($K29=0,"sem alocação",IF($K29=1,INDEX('Alocações'!$F$5:$F$84,MATCH($A29,'Alocações'!$O$5:$O$84,0)),"Multi")))</f>
        <v/>
      </c>
      <c r="M29" s="14">
        <f>IF($B29="","",IF($K29&gt;1,"Sim","Não"))</f>
        <v/>
      </c>
      <c r="N29" s="14">
        <f>IF(OR($B29="",$F29=""),"",ROUND((Config!$B$6-$F29)/30.4,0))</f>
        <v/>
      </c>
      <c r="O29" s="14">
        <f>IF($B29="","",IF(COUNTIFS('Ocorrências'!$C$5:$C$604,$A29,'Ocorrências'!$T$5:$T$604,Config!$B$7)=0,1,0))</f>
        <v/>
      </c>
      <c r="P29" s="14">
        <f>IF($O29=1,COUNTIF($O$5:$O29,1),"")</f>
        <v/>
      </c>
    </row>
    <row r="30">
      <c r="A30" s="19" t="n"/>
      <c r="B30" s="19" t="n"/>
      <c r="C30" s="19" t="n"/>
      <c r="D30" s="19" t="n"/>
      <c r="E30" s="18" t="n"/>
      <c r="F30" s="18" t="n"/>
      <c r="G30" s="19" t="n"/>
      <c r="H30" s="19" t="n"/>
      <c r="I30" s="14">
        <f>IF($B30="","","Ativo")</f>
        <v/>
      </c>
      <c r="J30" s="20">
        <f>IF($B30="","",IF(COUNTIFS('1a1'!$B$52:$B$111,$A30,'1a1'!$G$52:$G$111,"Sim")=0,"",_xlfn.MAXIFS('1a1'!$A$52:$A$111,'1a1'!$B$52:$B$111,$A30,'1a1'!$G$52:$G$111,"Sim")))</f>
        <v/>
      </c>
      <c r="K30" s="14">
        <f>IF($B30="","",COUNTIFS('Alocações'!$B$5:$B$84,$A30,'Alocações'!$N$5:$N$84,"Sim"))</f>
        <v/>
      </c>
      <c r="L30" s="14">
        <f>IF($B30="","",IF($K30=0,"sem alocação",IF($K30=1,INDEX('Alocações'!$F$5:$F$84,MATCH($A30,'Alocações'!$O$5:$O$84,0)),"Multi")))</f>
        <v/>
      </c>
      <c r="M30" s="14">
        <f>IF($B30="","",IF($K30&gt;1,"Sim","Não"))</f>
        <v/>
      </c>
      <c r="N30" s="14">
        <f>IF(OR($B30="",$F30=""),"",ROUND((Config!$B$6-$F30)/30.4,0))</f>
        <v/>
      </c>
      <c r="O30" s="14">
        <f>IF($B30="","",IF(COUNTIFS('Ocorrências'!$C$5:$C$604,$A30,'Ocorrências'!$T$5:$T$604,Config!$B$7)=0,1,0))</f>
        <v/>
      </c>
      <c r="P30" s="14">
        <f>IF($O30=1,COUNTIF($O$5:$O30,1),"")</f>
        <v/>
      </c>
    </row>
    <row r="31">
      <c r="A31" s="19" t="n"/>
      <c r="B31" s="19" t="n"/>
      <c r="C31" s="19" t="n"/>
      <c r="D31" s="19" t="n"/>
      <c r="E31" s="18" t="n"/>
      <c r="F31" s="18" t="n"/>
      <c r="G31" s="19" t="n"/>
      <c r="H31" s="19" t="n"/>
      <c r="I31" s="14">
        <f>IF($B31="","","Ativo")</f>
        <v/>
      </c>
      <c r="J31" s="20">
        <f>IF($B31="","",IF(COUNTIFS('1a1'!$B$52:$B$111,$A31,'1a1'!$G$52:$G$111,"Sim")=0,"",_xlfn.MAXIFS('1a1'!$A$52:$A$111,'1a1'!$B$52:$B$111,$A31,'1a1'!$G$52:$G$111,"Sim")))</f>
        <v/>
      </c>
      <c r="K31" s="14">
        <f>IF($B31="","",COUNTIFS('Alocações'!$B$5:$B$84,$A31,'Alocações'!$N$5:$N$84,"Sim"))</f>
        <v/>
      </c>
      <c r="L31" s="14">
        <f>IF($B31="","",IF($K31=0,"sem alocação",IF($K31=1,INDEX('Alocações'!$F$5:$F$84,MATCH($A31,'Alocações'!$O$5:$O$84,0)),"Multi")))</f>
        <v/>
      </c>
      <c r="M31" s="14">
        <f>IF($B31="","",IF($K31&gt;1,"Sim","Não"))</f>
        <v/>
      </c>
      <c r="N31" s="14">
        <f>IF(OR($B31="",$F31=""),"",ROUND((Config!$B$6-$F31)/30.4,0))</f>
        <v/>
      </c>
      <c r="O31" s="14">
        <f>IF($B31="","",IF(COUNTIFS('Ocorrências'!$C$5:$C$604,$A31,'Ocorrências'!$T$5:$T$604,Config!$B$7)=0,1,0))</f>
        <v/>
      </c>
      <c r="P31" s="14">
        <f>IF($O31=1,COUNTIF($O$5:$O31,1),"")</f>
        <v/>
      </c>
    </row>
    <row r="32">
      <c r="A32" s="19" t="n"/>
      <c r="B32" s="19" t="n"/>
      <c r="C32" s="19" t="n"/>
      <c r="D32" s="19" t="n"/>
      <c r="E32" s="18" t="n"/>
      <c r="F32" s="18" t="n"/>
      <c r="G32" s="19" t="n"/>
      <c r="H32" s="19" t="n"/>
      <c r="I32" s="14">
        <f>IF($B32="","","Ativo")</f>
        <v/>
      </c>
      <c r="J32" s="20">
        <f>IF($B32="","",IF(COUNTIFS('1a1'!$B$52:$B$111,$A32,'1a1'!$G$52:$G$111,"Sim")=0,"",_xlfn.MAXIFS('1a1'!$A$52:$A$111,'1a1'!$B$52:$B$111,$A32,'1a1'!$G$52:$G$111,"Sim")))</f>
        <v/>
      </c>
      <c r="K32" s="14">
        <f>IF($B32="","",COUNTIFS('Alocações'!$B$5:$B$84,$A32,'Alocações'!$N$5:$N$84,"Sim"))</f>
        <v/>
      </c>
      <c r="L32" s="14">
        <f>IF($B32="","",IF($K32=0,"sem alocação",IF($K32=1,INDEX('Alocações'!$F$5:$F$84,MATCH($A32,'Alocações'!$O$5:$O$84,0)),"Multi")))</f>
        <v/>
      </c>
      <c r="M32" s="14">
        <f>IF($B32="","",IF($K32&gt;1,"Sim","Não"))</f>
        <v/>
      </c>
      <c r="N32" s="14">
        <f>IF(OR($B32="",$F32=""),"",ROUND((Config!$B$6-$F32)/30.4,0))</f>
        <v/>
      </c>
      <c r="O32" s="14">
        <f>IF($B32="","",IF(COUNTIFS('Ocorrências'!$C$5:$C$604,$A32,'Ocorrências'!$T$5:$T$604,Config!$B$7)=0,1,0))</f>
        <v/>
      </c>
      <c r="P32" s="14">
        <f>IF($O32=1,COUNTIF($O$5:$O32,1),"")</f>
        <v/>
      </c>
    </row>
    <row r="33">
      <c r="A33" s="19" t="n"/>
      <c r="B33" s="19" t="n"/>
      <c r="C33" s="19" t="n"/>
      <c r="D33" s="19" t="n"/>
      <c r="E33" s="18" t="n"/>
      <c r="F33" s="18" t="n"/>
      <c r="G33" s="19" t="n"/>
      <c r="H33" s="19" t="n"/>
      <c r="I33" s="14">
        <f>IF($B33="","","Ativo")</f>
        <v/>
      </c>
      <c r="J33" s="20">
        <f>IF($B33="","",IF(COUNTIFS('1a1'!$B$52:$B$111,$A33,'1a1'!$G$52:$G$111,"Sim")=0,"",_xlfn.MAXIFS('1a1'!$A$52:$A$111,'1a1'!$B$52:$B$111,$A33,'1a1'!$G$52:$G$111,"Sim")))</f>
        <v/>
      </c>
      <c r="K33" s="14">
        <f>IF($B33="","",COUNTIFS('Alocações'!$B$5:$B$84,$A33,'Alocações'!$N$5:$N$84,"Sim"))</f>
        <v/>
      </c>
      <c r="L33" s="14">
        <f>IF($B33="","",IF($K33=0,"sem alocação",IF($K33=1,INDEX('Alocações'!$F$5:$F$84,MATCH($A33,'Alocações'!$O$5:$O$84,0)),"Multi")))</f>
        <v/>
      </c>
      <c r="M33" s="14">
        <f>IF($B33="","",IF($K33&gt;1,"Sim","Não"))</f>
        <v/>
      </c>
      <c r="N33" s="14">
        <f>IF(OR($B33="",$F33=""),"",ROUND((Config!$B$6-$F33)/30.4,0))</f>
        <v/>
      </c>
      <c r="O33" s="14">
        <f>IF($B33="","",IF(COUNTIFS('Ocorrências'!$C$5:$C$604,$A33,'Ocorrências'!$T$5:$T$604,Config!$B$7)=0,1,0))</f>
        <v/>
      </c>
      <c r="P33" s="14">
        <f>IF($O33=1,COUNTIF($O$5:$O33,1),"")</f>
        <v/>
      </c>
    </row>
    <row r="34">
      <c r="A34" s="19" t="n"/>
      <c r="B34" s="19" t="n"/>
      <c r="C34" s="19" t="n"/>
      <c r="D34" s="19" t="n"/>
      <c r="E34" s="18" t="n"/>
      <c r="F34" s="18" t="n"/>
      <c r="G34" s="19" t="n"/>
      <c r="H34" s="19" t="n"/>
      <c r="I34" s="14">
        <f>IF($B34="","","Ativo")</f>
        <v/>
      </c>
      <c r="J34" s="20">
        <f>IF($B34="","",IF(COUNTIFS('1a1'!$B$52:$B$111,$A34,'1a1'!$G$52:$G$111,"Sim")=0,"",_xlfn.MAXIFS('1a1'!$A$52:$A$111,'1a1'!$B$52:$B$111,$A34,'1a1'!$G$52:$G$111,"Sim")))</f>
        <v/>
      </c>
      <c r="K34" s="14">
        <f>IF($B34="","",COUNTIFS('Alocações'!$B$5:$B$84,$A34,'Alocações'!$N$5:$N$84,"Sim"))</f>
        <v/>
      </c>
      <c r="L34" s="14">
        <f>IF($B34="","",IF($K34=0,"sem alocação",IF($K34=1,INDEX('Alocações'!$F$5:$F$84,MATCH($A34,'Alocações'!$O$5:$O$84,0)),"Multi")))</f>
        <v/>
      </c>
      <c r="M34" s="14">
        <f>IF($B34="","",IF($K34&gt;1,"Sim","Não"))</f>
        <v/>
      </c>
      <c r="N34" s="14">
        <f>IF(OR($B34="",$F34=""),"",ROUND((Config!$B$6-$F34)/30.4,0))</f>
        <v/>
      </c>
      <c r="O34" s="14">
        <f>IF($B34="","",IF(COUNTIFS('Ocorrências'!$C$5:$C$604,$A34,'Ocorrências'!$T$5:$T$604,Config!$B$7)=0,1,0))</f>
        <v/>
      </c>
      <c r="P34" s="14">
        <f>IF($O34=1,COUNTIF($O$5:$O34,1),"")</f>
        <v/>
      </c>
    </row>
    <row r="35">
      <c r="A35" s="19" t="n"/>
      <c r="B35" s="19" t="n"/>
      <c r="C35" s="19" t="n"/>
      <c r="D35" s="19" t="n"/>
      <c r="E35" s="18" t="n"/>
      <c r="F35" s="18" t="n"/>
      <c r="G35" s="19" t="n"/>
      <c r="H35" s="19" t="n"/>
      <c r="I35" s="14">
        <f>IF($B35="","","Ativo")</f>
        <v/>
      </c>
      <c r="J35" s="20">
        <f>IF($B35="","",IF(COUNTIFS('1a1'!$B$52:$B$111,$A35,'1a1'!$G$52:$G$111,"Sim")=0,"",_xlfn.MAXIFS('1a1'!$A$52:$A$111,'1a1'!$B$52:$B$111,$A35,'1a1'!$G$52:$G$111,"Sim")))</f>
        <v/>
      </c>
      <c r="K35" s="14">
        <f>IF($B35="","",COUNTIFS('Alocações'!$B$5:$B$84,$A35,'Alocações'!$N$5:$N$84,"Sim"))</f>
        <v/>
      </c>
      <c r="L35" s="14">
        <f>IF($B35="","",IF($K35=0,"sem alocação",IF($K35=1,INDEX('Alocações'!$F$5:$F$84,MATCH($A35,'Alocações'!$O$5:$O$84,0)),"Multi")))</f>
        <v/>
      </c>
      <c r="M35" s="14">
        <f>IF($B35="","",IF($K35&gt;1,"Sim","Não"))</f>
        <v/>
      </c>
      <c r="N35" s="14">
        <f>IF(OR($B35="",$F35=""),"",ROUND((Config!$B$6-$F35)/30.4,0))</f>
        <v/>
      </c>
      <c r="O35" s="14">
        <f>IF($B35="","",IF(COUNTIFS('Ocorrências'!$C$5:$C$604,$A35,'Ocorrências'!$T$5:$T$604,Config!$B$7)=0,1,0))</f>
        <v/>
      </c>
      <c r="P35" s="14">
        <f>IF($O35=1,COUNTIF($O$5:$O35,1),"")</f>
        <v/>
      </c>
    </row>
    <row r="36">
      <c r="A36" s="19" t="n"/>
      <c r="B36" s="19" t="n"/>
      <c r="C36" s="19" t="n"/>
      <c r="D36" s="19" t="n"/>
      <c r="E36" s="18" t="n"/>
      <c r="F36" s="18" t="n"/>
      <c r="G36" s="19" t="n"/>
      <c r="H36" s="19" t="n"/>
      <c r="I36" s="14">
        <f>IF($B36="","","Ativo")</f>
        <v/>
      </c>
      <c r="J36" s="20">
        <f>IF($B36="","",IF(COUNTIFS('1a1'!$B$52:$B$111,$A36,'1a1'!$G$52:$G$111,"Sim")=0,"",_xlfn.MAXIFS('1a1'!$A$52:$A$111,'1a1'!$B$52:$B$111,$A36,'1a1'!$G$52:$G$111,"Sim")))</f>
        <v/>
      </c>
      <c r="K36" s="14">
        <f>IF($B36="","",COUNTIFS('Alocações'!$B$5:$B$84,$A36,'Alocações'!$N$5:$N$84,"Sim"))</f>
        <v/>
      </c>
      <c r="L36" s="14">
        <f>IF($B36="","",IF($K36=0,"sem alocação",IF($K36=1,INDEX('Alocações'!$F$5:$F$84,MATCH($A36,'Alocações'!$O$5:$O$84,0)),"Multi")))</f>
        <v/>
      </c>
      <c r="M36" s="14">
        <f>IF($B36="","",IF($K36&gt;1,"Sim","Não"))</f>
        <v/>
      </c>
      <c r="N36" s="14">
        <f>IF(OR($B36="",$F36=""),"",ROUND((Config!$B$6-$F36)/30.4,0))</f>
        <v/>
      </c>
      <c r="O36" s="14">
        <f>IF($B36="","",IF(COUNTIFS('Ocorrências'!$C$5:$C$604,$A36,'Ocorrências'!$T$5:$T$604,Config!$B$7)=0,1,0))</f>
        <v/>
      </c>
      <c r="P36" s="14">
        <f>IF($O36=1,COUNTIF($O$5:$O36,1),"")</f>
        <v/>
      </c>
    </row>
    <row r="37">
      <c r="A37" s="19" t="n"/>
      <c r="B37" s="19" t="n"/>
      <c r="C37" s="19" t="n"/>
      <c r="D37" s="19" t="n"/>
      <c r="E37" s="18" t="n"/>
      <c r="F37" s="18" t="n"/>
      <c r="G37" s="19" t="n"/>
      <c r="H37" s="19" t="n"/>
      <c r="I37" s="14">
        <f>IF($B37="","","Ativo")</f>
        <v/>
      </c>
      <c r="J37" s="20">
        <f>IF($B37="","",IF(COUNTIFS('1a1'!$B$52:$B$111,$A37,'1a1'!$G$52:$G$111,"Sim")=0,"",_xlfn.MAXIFS('1a1'!$A$52:$A$111,'1a1'!$B$52:$B$111,$A37,'1a1'!$G$52:$G$111,"Sim")))</f>
        <v/>
      </c>
      <c r="K37" s="14">
        <f>IF($B37="","",COUNTIFS('Alocações'!$B$5:$B$84,$A37,'Alocações'!$N$5:$N$84,"Sim"))</f>
        <v/>
      </c>
      <c r="L37" s="14">
        <f>IF($B37="","",IF($K37=0,"sem alocação",IF($K37=1,INDEX('Alocações'!$F$5:$F$84,MATCH($A37,'Alocações'!$O$5:$O$84,0)),"Multi")))</f>
        <v/>
      </c>
      <c r="M37" s="14">
        <f>IF($B37="","",IF($K37&gt;1,"Sim","Não"))</f>
        <v/>
      </c>
      <c r="N37" s="14">
        <f>IF(OR($B37="",$F37=""),"",ROUND((Config!$B$6-$F37)/30.4,0))</f>
        <v/>
      </c>
      <c r="O37" s="14">
        <f>IF($B37="","",IF(COUNTIFS('Ocorrências'!$C$5:$C$604,$A37,'Ocorrências'!$T$5:$T$604,Config!$B$7)=0,1,0))</f>
        <v/>
      </c>
      <c r="P37" s="14">
        <f>IF($O37=1,COUNTIF($O$5:$O37,1),"")</f>
        <v/>
      </c>
    </row>
    <row r="38">
      <c r="A38" s="19" t="n"/>
      <c r="B38" s="19" t="n"/>
      <c r="C38" s="19" t="n"/>
      <c r="D38" s="19" t="n"/>
      <c r="E38" s="18" t="n"/>
      <c r="F38" s="18" t="n"/>
      <c r="G38" s="19" t="n"/>
      <c r="H38" s="19" t="n"/>
      <c r="I38" s="14">
        <f>IF($B38="","","Ativo")</f>
        <v/>
      </c>
      <c r="J38" s="20">
        <f>IF($B38="","",IF(COUNTIFS('1a1'!$B$52:$B$111,$A38,'1a1'!$G$52:$G$111,"Sim")=0,"",_xlfn.MAXIFS('1a1'!$A$52:$A$111,'1a1'!$B$52:$B$111,$A38,'1a1'!$G$52:$G$111,"Sim")))</f>
        <v/>
      </c>
      <c r="K38" s="14">
        <f>IF($B38="","",COUNTIFS('Alocações'!$B$5:$B$84,$A38,'Alocações'!$N$5:$N$84,"Sim"))</f>
        <v/>
      </c>
      <c r="L38" s="14">
        <f>IF($B38="","",IF($K38=0,"sem alocação",IF($K38=1,INDEX('Alocações'!$F$5:$F$84,MATCH($A38,'Alocações'!$O$5:$O$84,0)),"Multi")))</f>
        <v/>
      </c>
      <c r="M38" s="14">
        <f>IF($B38="","",IF($K38&gt;1,"Sim","Não"))</f>
        <v/>
      </c>
      <c r="N38" s="14">
        <f>IF(OR($B38="",$F38=""),"",ROUND((Config!$B$6-$F38)/30.4,0))</f>
        <v/>
      </c>
      <c r="O38" s="14">
        <f>IF($B38="","",IF(COUNTIFS('Ocorrências'!$C$5:$C$604,$A38,'Ocorrências'!$T$5:$T$604,Config!$B$7)=0,1,0))</f>
        <v/>
      </c>
      <c r="P38" s="14">
        <f>IF($O38=1,COUNTIF($O$5:$O38,1),"")</f>
        <v/>
      </c>
    </row>
    <row r="39">
      <c r="A39" s="19" t="n"/>
      <c r="B39" s="19" t="n"/>
      <c r="C39" s="19" t="n"/>
      <c r="D39" s="19" t="n"/>
      <c r="E39" s="18" t="n"/>
      <c r="F39" s="18" t="n"/>
      <c r="G39" s="19" t="n"/>
      <c r="H39" s="19" t="n"/>
      <c r="I39" s="14">
        <f>IF($B39="","","Ativo")</f>
        <v/>
      </c>
      <c r="J39" s="20">
        <f>IF($B39="","",IF(COUNTIFS('1a1'!$B$52:$B$111,$A39,'1a1'!$G$52:$G$111,"Sim")=0,"",_xlfn.MAXIFS('1a1'!$A$52:$A$111,'1a1'!$B$52:$B$111,$A39,'1a1'!$G$52:$G$111,"Sim")))</f>
        <v/>
      </c>
      <c r="K39" s="14">
        <f>IF($B39="","",COUNTIFS('Alocações'!$B$5:$B$84,$A39,'Alocações'!$N$5:$N$84,"Sim"))</f>
        <v/>
      </c>
      <c r="L39" s="14">
        <f>IF($B39="","",IF($K39=0,"sem alocação",IF($K39=1,INDEX('Alocações'!$F$5:$F$84,MATCH($A39,'Alocações'!$O$5:$O$84,0)),"Multi")))</f>
        <v/>
      </c>
      <c r="M39" s="14">
        <f>IF($B39="","",IF($K39&gt;1,"Sim","Não"))</f>
        <v/>
      </c>
      <c r="N39" s="14">
        <f>IF(OR($B39="",$F39=""),"",ROUND((Config!$B$6-$F39)/30.4,0))</f>
        <v/>
      </c>
      <c r="O39" s="14">
        <f>IF($B39="","",IF(COUNTIFS('Ocorrências'!$C$5:$C$604,$A39,'Ocorrências'!$T$5:$T$604,Config!$B$7)=0,1,0))</f>
        <v/>
      </c>
      <c r="P39" s="14">
        <f>IF($O39=1,COUNTIF($O$5:$O39,1),"")</f>
        <v/>
      </c>
    </row>
    <row r="40">
      <c r="A40" s="19" t="n"/>
      <c r="B40" s="19" t="n"/>
      <c r="C40" s="19" t="n"/>
      <c r="D40" s="19" t="n"/>
      <c r="E40" s="18" t="n"/>
      <c r="F40" s="18" t="n"/>
      <c r="G40" s="19" t="n"/>
      <c r="H40" s="19" t="n"/>
      <c r="I40" s="14">
        <f>IF($B40="","","Ativo")</f>
        <v/>
      </c>
      <c r="J40" s="20">
        <f>IF($B40="","",IF(COUNTIFS('1a1'!$B$52:$B$111,$A40,'1a1'!$G$52:$G$111,"Sim")=0,"",_xlfn.MAXIFS('1a1'!$A$52:$A$111,'1a1'!$B$52:$B$111,$A40,'1a1'!$G$52:$G$111,"Sim")))</f>
        <v/>
      </c>
      <c r="K40" s="14">
        <f>IF($B40="","",COUNTIFS('Alocações'!$B$5:$B$84,$A40,'Alocações'!$N$5:$N$84,"Sim"))</f>
        <v/>
      </c>
      <c r="L40" s="14">
        <f>IF($B40="","",IF($K40=0,"sem alocação",IF($K40=1,INDEX('Alocações'!$F$5:$F$84,MATCH($A40,'Alocações'!$O$5:$O$84,0)),"Multi")))</f>
        <v/>
      </c>
      <c r="M40" s="14">
        <f>IF($B40="","",IF($K40&gt;1,"Sim","Não"))</f>
        <v/>
      </c>
      <c r="N40" s="14">
        <f>IF(OR($B40="",$F40=""),"",ROUND((Config!$B$6-$F40)/30.4,0))</f>
        <v/>
      </c>
      <c r="O40" s="14">
        <f>IF($B40="","",IF(COUNTIFS('Ocorrências'!$C$5:$C$604,$A40,'Ocorrências'!$T$5:$T$604,Config!$B$7)=0,1,0))</f>
        <v/>
      </c>
      <c r="P40" s="14">
        <f>IF($O40=1,COUNTIF($O$5:$O40,1),"")</f>
        <v/>
      </c>
    </row>
    <row r="41">
      <c r="A41" s="19" t="n"/>
      <c r="B41" s="19" t="n"/>
      <c r="C41" s="19" t="n"/>
      <c r="D41" s="19" t="n"/>
      <c r="E41" s="18" t="n"/>
      <c r="F41" s="18" t="n"/>
      <c r="G41" s="19" t="n"/>
      <c r="H41" s="19" t="n"/>
      <c r="I41" s="14">
        <f>IF($B41="","","Ativo")</f>
        <v/>
      </c>
      <c r="J41" s="20">
        <f>IF($B41="","",IF(COUNTIFS('1a1'!$B$52:$B$111,$A41,'1a1'!$G$52:$G$111,"Sim")=0,"",_xlfn.MAXIFS('1a1'!$A$52:$A$111,'1a1'!$B$52:$B$111,$A41,'1a1'!$G$52:$G$111,"Sim")))</f>
        <v/>
      </c>
      <c r="K41" s="14">
        <f>IF($B41="","",COUNTIFS('Alocações'!$B$5:$B$84,$A41,'Alocações'!$N$5:$N$84,"Sim"))</f>
        <v/>
      </c>
      <c r="L41" s="14">
        <f>IF($B41="","",IF($K41=0,"sem alocação",IF($K41=1,INDEX('Alocações'!$F$5:$F$84,MATCH($A41,'Alocações'!$O$5:$O$84,0)),"Multi")))</f>
        <v/>
      </c>
      <c r="M41" s="14">
        <f>IF($B41="","",IF($K41&gt;1,"Sim","Não"))</f>
        <v/>
      </c>
      <c r="N41" s="14">
        <f>IF(OR($B41="",$F41=""),"",ROUND((Config!$B$6-$F41)/30.4,0))</f>
        <v/>
      </c>
      <c r="O41" s="14">
        <f>IF($B41="","",IF(COUNTIFS('Ocorrências'!$C$5:$C$604,$A41,'Ocorrências'!$T$5:$T$604,Config!$B$7)=0,1,0))</f>
        <v/>
      </c>
      <c r="P41" s="14">
        <f>IF($O41=1,COUNTIF($O$5:$O41,1),"")</f>
        <v/>
      </c>
    </row>
    <row r="42">
      <c r="A42" s="19" t="n"/>
      <c r="B42" s="19" t="n"/>
      <c r="C42" s="19" t="n"/>
      <c r="D42" s="19" t="n"/>
      <c r="E42" s="18" t="n"/>
      <c r="F42" s="18" t="n"/>
      <c r="G42" s="19" t="n"/>
      <c r="H42" s="19" t="n"/>
      <c r="I42" s="14">
        <f>IF($B42="","","Ativo")</f>
        <v/>
      </c>
      <c r="J42" s="20">
        <f>IF($B42="","",IF(COUNTIFS('1a1'!$B$52:$B$111,$A42,'1a1'!$G$52:$G$111,"Sim")=0,"",_xlfn.MAXIFS('1a1'!$A$52:$A$111,'1a1'!$B$52:$B$111,$A42,'1a1'!$G$52:$G$111,"Sim")))</f>
        <v/>
      </c>
      <c r="K42" s="14">
        <f>IF($B42="","",COUNTIFS('Alocações'!$B$5:$B$84,$A42,'Alocações'!$N$5:$N$84,"Sim"))</f>
        <v/>
      </c>
      <c r="L42" s="14">
        <f>IF($B42="","",IF($K42=0,"sem alocação",IF($K42=1,INDEX('Alocações'!$F$5:$F$84,MATCH($A42,'Alocações'!$O$5:$O$84,0)),"Multi")))</f>
        <v/>
      </c>
      <c r="M42" s="14">
        <f>IF($B42="","",IF($K42&gt;1,"Sim","Não"))</f>
        <v/>
      </c>
      <c r="N42" s="14">
        <f>IF(OR($B42="",$F42=""),"",ROUND((Config!$B$6-$F42)/30.4,0))</f>
        <v/>
      </c>
      <c r="O42" s="14">
        <f>IF($B42="","",IF(COUNTIFS('Ocorrências'!$C$5:$C$604,$A42,'Ocorrências'!$T$5:$T$604,Config!$B$7)=0,1,0))</f>
        <v/>
      </c>
      <c r="P42" s="14">
        <f>IF($O42=1,COUNTIF($O$5:$O42,1),"")</f>
        <v/>
      </c>
    </row>
    <row r="43">
      <c r="A43" s="19" t="n"/>
      <c r="B43" s="19" t="n"/>
      <c r="C43" s="19" t="n"/>
      <c r="D43" s="19" t="n"/>
      <c r="E43" s="18" t="n"/>
      <c r="F43" s="18" t="n"/>
      <c r="G43" s="19" t="n"/>
      <c r="H43" s="19" t="n"/>
      <c r="I43" s="14">
        <f>IF($B43="","","Ativo")</f>
        <v/>
      </c>
      <c r="J43" s="20">
        <f>IF($B43="","",IF(COUNTIFS('1a1'!$B$52:$B$111,$A43,'1a1'!$G$52:$G$111,"Sim")=0,"",_xlfn.MAXIFS('1a1'!$A$52:$A$111,'1a1'!$B$52:$B$111,$A43,'1a1'!$G$52:$G$111,"Sim")))</f>
        <v/>
      </c>
      <c r="K43" s="14">
        <f>IF($B43="","",COUNTIFS('Alocações'!$B$5:$B$84,$A43,'Alocações'!$N$5:$N$84,"Sim"))</f>
        <v/>
      </c>
      <c r="L43" s="14">
        <f>IF($B43="","",IF($K43=0,"sem alocação",IF($K43=1,INDEX('Alocações'!$F$5:$F$84,MATCH($A43,'Alocações'!$O$5:$O$84,0)),"Multi")))</f>
        <v/>
      </c>
      <c r="M43" s="14">
        <f>IF($B43="","",IF($K43&gt;1,"Sim","Não"))</f>
        <v/>
      </c>
      <c r="N43" s="14">
        <f>IF(OR($B43="",$F43=""),"",ROUND((Config!$B$6-$F43)/30.4,0))</f>
        <v/>
      </c>
      <c r="O43" s="14">
        <f>IF($B43="","",IF(COUNTIFS('Ocorrências'!$C$5:$C$604,$A43,'Ocorrências'!$T$5:$T$604,Config!$B$7)=0,1,0))</f>
        <v/>
      </c>
      <c r="P43" s="14">
        <f>IF($O43=1,COUNTIF($O$5:$O43,1),"")</f>
        <v/>
      </c>
    </row>
    <row r="44">
      <c r="A44" s="19" t="n"/>
      <c r="B44" s="19" t="n"/>
      <c r="C44" s="19" t="n"/>
      <c r="D44" s="19" t="n"/>
      <c r="E44" s="18" t="n"/>
      <c r="F44" s="18" t="n"/>
      <c r="G44" s="19" t="n"/>
      <c r="H44" s="19" t="n"/>
      <c r="I44" s="14">
        <f>IF($B44="","","Ativo")</f>
        <v/>
      </c>
      <c r="J44" s="20">
        <f>IF($B44="","",IF(COUNTIFS('1a1'!$B$52:$B$111,$A44,'1a1'!$G$52:$G$111,"Sim")=0,"",_xlfn.MAXIFS('1a1'!$A$52:$A$111,'1a1'!$B$52:$B$111,$A44,'1a1'!$G$52:$G$111,"Sim")))</f>
        <v/>
      </c>
      <c r="K44" s="14">
        <f>IF($B44="","",COUNTIFS('Alocações'!$B$5:$B$84,$A44,'Alocações'!$N$5:$N$84,"Sim"))</f>
        <v/>
      </c>
      <c r="L44" s="14">
        <f>IF($B44="","",IF($K44=0,"sem alocação",IF($K44=1,INDEX('Alocações'!$F$5:$F$84,MATCH($A44,'Alocações'!$O$5:$O$84,0)),"Multi")))</f>
        <v/>
      </c>
      <c r="M44" s="14">
        <f>IF($B44="","",IF($K44&gt;1,"Sim","Não"))</f>
        <v/>
      </c>
      <c r="N44" s="14">
        <f>IF(OR($B44="",$F44=""),"",ROUND((Config!$B$6-$F44)/30.4,0))</f>
        <v/>
      </c>
      <c r="O44" s="14">
        <f>IF($B44="","",IF(COUNTIFS('Ocorrências'!$C$5:$C$604,$A44,'Ocorrências'!$T$5:$T$604,Config!$B$7)=0,1,0))</f>
        <v/>
      </c>
      <c r="P44" s="14">
        <f>IF($O44=1,COUNTIF($O$5:$O44,1),"")</f>
        <v/>
      </c>
    </row>
    <row r="45">
      <c r="A45" s="19" t="n"/>
      <c r="B45" s="19" t="n"/>
      <c r="C45" s="19" t="n"/>
      <c r="D45" s="19" t="n"/>
      <c r="E45" s="18" t="n"/>
      <c r="F45" s="18" t="n"/>
      <c r="G45" s="19" t="n"/>
      <c r="H45" s="19" t="n"/>
      <c r="I45" s="14">
        <f>IF($B45="","","Ativo")</f>
        <v/>
      </c>
      <c r="J45" s="20">
        <f>IF($B45="","",IF(COUNTIFS('1a1'!$B$52:$B$111,$A45,'1a1'!$G$52:$G$111,"Sim")=0,"",_xlfn.MAXIFS('1a1'!$A$52:$A$111,'1a1'!$B$52:$B$111,$A45,'1a1'!$G$52:$G$111,"Sim")))</f>
        <v/>
      </c>
      <c r="K45" s="14">
        <f>IF($B45="","",COUNTIFS('Alocações'!$B$5:$B$84,$A45,'Alocações'!$N$5:$N$84,"Sim"))</f>
        <v/>
      </c>
      <c r="L45" s="14">
        <f>IF($B45="","",IF($K45=0,"sem alocação",IF($K45=1,INDEX('Alocações'!$F$5:$F$84,MATCH($A45,'Alocações'!$O$5:$O$84,0)),"Multi")))</f>
        <v/>
      </c>
      <c r="M45" s="14">
        <f>IF($B45="","",IF($K45&gt;1,"Sim","Não"))</f>
        <v/>
      </c>
      <c r="N45" s="14">
        <f>IF(OR($B45="",$F45=""),"",ROUND((Config!$B$6-$F45)/30.4,0))</f>
        <v/>
      </c>
      <c r="O45" s="14">
        <f>IF($B45="","",IF(COUNTIFS('Ocorrências'!$C$5:$C$604,$A45,'Ocorrências'!$T$5:$T$604,Config!$B$7)=0,1,0))</f>
        <v/>
      </c>
      <c r="P45" s="14">
        <f>IF($O45=1,COUNTIF($O$5:$O45,1),"")</f>
        <v/>
      </c>
    </row>
    <row r="46">
      <c r="A46" s="19" t="n"/>
      <c r="B46" s="19" t="n"/>
      <c r="C46" s="19" t="n"/>
      <c r="D46" s="19" t="n"/>
      <c r="E46" s="18" t="n"/>
      <c r="F46" s="18" t="n"/>
      <c r="G46" s="19" t="n"/>
      <c r="H46" s="19" t="n"/>
      <c r="I46" s="14">
        <f>IF($B46="","","Ativo")</f>
        <v/>
      </c>
      <c r="J46" s="20">
        <f>IF($B46="","",IF(COUNTIFS('1a1'!$B$52:$B$111,$A46,'1a1'!$G$52:$G$111,"Sim")=0,"",_xlfn.MAXIFS('1a1'!$A$52:$A$111,'1a1'!$B$52:$B$111,$A46,'1a1'!$G$52:$G$111,"Sim")))</f>
        <v/>
      </c>
      <c r="K46" s="14">
        <f>IF($B46="","",COUNTIFS('Alocações'!$B$5:$B$84,$A46,'Alocações'!$N$5:$N$84,"Sim"))</f>
        <v/>
      </c>
      <c r="L46" s="14">
        <f>IF($B46="","",IF($K46=0,"sem alocação",IF($K46=1,INDEX('Alocações'!$F$5:$F$84,MATCH($A46,'Alocações'!$O$5:$O$84,0)),"Multi")))</f>
        <v/>
      </c>
      <c r="M46" s="14">
        <f>IF($B46="","",IF($K46&gt;1,"Sim","Não"))</f>
        <v/>
      </c>
      <c r="N46" s="14">
        <f>IF(OR($B46="",$F46=""),"",ROUND((Config!$B$6-$F46)/30.4,0))</f>
        <v/>
      </c>
      <c r="O46" s="14">
        <f>IF($B46="","",IF(COUNTIFS('Ocorrências'!$C$5:$C$604,$A46,'Ocorrências'!$T$5:$T$604,Config!$B$7)=0,1,0))</f>
        <v/>
      </c>
      <c r="P46" s="14">
        <f>IF($O46=1,COUNTIF($O$5:$O46,1),"")</f>
        <v/>
      </c>
    </row>
    <row r="47">
      <c r="A47" s="19" t="n"/>
      <c r="B47" s="19" t="n"/>
      <c r="C47" s="19" t="n"/>
      <c r="D47" s="19" t="n"/>
      <c r="E47" s="18" t="n"/>
      <c r="F47" s="18" t="n"/>
      <c r="G47" s="19" t="n"/>
      <c r="H47" s="19" t="n"/>
      <c r="I47" s="14">
        <f>IF($B47="","","Ativo")</f>
        <v/>
      </c>
      <c r="J47" s="20">
        <f>IF($B47="","",IF(COUNTIFS('1a1'!$B$52:$B$111,$A47,'1a1'!$G$52:$G$111,"Sim")=0,"",_xlfn.MAXIFS('1a1'!$A$52:$A$111,'1a1'!$B$52:$B$111,$A47,'1a1'!$G$52:$G$111,"Sim")))</f>
        <v/>
      </c>
      <c r="K47" s="14">
        <f>IF($B47="","",COUNTIFS('Alocações'!$B$5:$B$84,$A47,'Alocações'!$N$5:$N$84,"Sim"))</f>
        <v/>
      </c>
      <c r="L47" s="14">
        <f>IF($B47="","",IF($K47=0,"sem alocação",IF($K47=1,INDEX('Alocações'!$F$5:$F$84,MATCH($A47,'Alocações'!$O$5:$O$84,0)),"Multi")))</f>
        <v/>
      </c>
      <c r="M47" s="14">
        <f>IF($B47="","",IF($K47&gt;1,"Sim","Não"))</f>
        <v/>
      </c>
      <c r="N47" s="14">
        <f>IF(OR($B47="",$F47=""),"",ROUND((Config!$B$6-$F47)/30.4,0))</f>
        <v/>
      </c>
      <c r="O47" s="14">
        <f>IF($B47="","",IF(COUNTIFS('Ocorrências'!$C$5:$C$604,$A47,'Ocorrências'!$T$5:$T$604,Config!$B$7)=0,1,0))</f>
        <v/>
      </c>
      <c r="P47" s="14">
        <f>IF($O47=1,COUNTIF($O$5:$O47,1),"")</f>
        <v/>
      </c>
    </row>
    <row r="48">
      <c r="A48" s="19" t="n"/>
      <c r="B48" s="19" t="n"/>
      <c r="C48" s="19" t="n"/>
      <c r="D48" s="19" t="n"/>
      <c r="E48" s="18" t="n"/>
      <c r="F48" s="18" t="n"/>
      <c r="G48" s="19" t="n"/>
      <c r="H48" s="19" t="n"/>
      <c r="I48" s="14">
        <f>IF($B48="","","Ativo")</f>
        <v/>
      </c>
      <c r="J48" s="20">
        <f>IF($B48="","",IF(COUNTIFS('1a1'!$B$52:$B$111,$A48,'1a1'!$G$52:$G$111,"Sim")=0,"",_xlfn.MAXIFS('1a1'!$A$52:$A$111,'1a1'!$B$52:$B$111,$A48,'1a1'!$G$52:$G$111,"Sim")))</f>
        <v/>
      </c>
      <c r="K48" s="14">
        <f>IF($B48="","",COUNTIFS('Alocações'!$B$5:$B$84,$A48,'Alocações'!$N$5:$N$84,"Sim"))</f>
        <v/>
      </c>
      <c r="L48" s="14">
        <f>IF($B48="","",IF($K48=0,"sem alocação",IF($K48=1,INDEX('Alocações'!$F$5:$F$84,MATCH($A48,'Alocações'!$O$5:$O$84,0)),"Multi")))</f>
        <v/>
      </c>
      <c r="M48" s="14">
        <f>IF($B48="","",IF($K48&gt;1,"Sim","Não"))</f>
        <v/>
      </c>
      <c r="N48" s="14">
        <f>IF(OR($B48="",$F48=""),"",ROUND((Config!$B$6-$F48)/30.4,0))</f>
        <v/>
      </c>
      <c r="O48" s="14">
        <f>IF($B48="","",IF(COUNTIFS('Ocorrências'!$C$5:$C$604,$A48,'Ocorrências'!$T$5:$T$604,Config!$B$7)=0,1,0))</f>
        <v/>
      </c>
      <c r="P48" s="14">
        <f>IF($O48=1,COUNTIF($O$5:$O48,1),"")</f>
        <v/>
      </c>
    </row>
    <row r="49">
      <c r="A49" s="19" t="n"/>
      <c r="B49" s="19" t="n"/>
      <c r="C49" s="19" t="n"/>
      <c r="D49" s="19" t="n"/>
      <c r="E49" s="18" t="n"/>
      <c r="F49" s="18" t="n"/>
      <c r="G49" s="19" t="n"/>
      <c r="H49" s="19" t="n"/>
      <c r="I49" s="14">
        <f>IF($B49="","","Ativo")</f>
        <v/>
      </c>
      <c r="J49" s="20">
        <f>IF($B49="","",IF(COUNTIFS('1a1'!$B$52:$B$111,$A49,'1a1'!$G$52:$G$111,"Sim")=0,"",_xlfn.MAXIFS('1a1'!$A$52:$A$111,'1a1'!$B$52:$B$111,$A49,'1a1'!$G$52:$G$111,"Sim")))</f>
        <v/>
      </c>
      <c r="K49" s="14">
        <f>IF($B49="","",COUNTIFS('Alocações'!$B$5:$B$84,$A49,'Alocações'!$N$5:$N$84,"Sim"))</f>
        <v/>
      </c>
      <c r="L49" s="14">
        <f>IF($B49="","",IF($K49=0,"sem alocação",IF($K49=1,INDEX('Alocações'!$F$5:$F$84,MATCH($A49,'Alocações'!$O$5:$O$84,0)),"Multi")))</f>
        <v/>
      </c>
      <c r="M49" s="14">
        <f>IF($B49="","",IF($K49&gt;1,"Sim","Não"))</f>
        <v/>
      </c>
      <c r="N49" s="14">
        <f>IF(OR($B49="",$F49=""),"",ROUND((Config!$B$6-$F49)/30.4,0))</f>
        <v/>
      </c>
      <c r="O49" s="14">
        <f>IF($B49="","",IF(COUNTIFS('Ocorrências'!$C$5:$C$604,$A49,'Ocorrências'!$T$5:$T$604,Config!$B$7)=0,1,0))</f>
        <v/>
      </c>
      <c r="P49" s="14">
        <f>IF($O49=1,COUNTIF($O$5:$O49,1),"")</f>
        <v/>
      </c>
    </row>
    <row r="50">
      <c r="A50" s="19" t="n"/>
      <c r="B50" s="19" t="n"/>
      <c r="C50" s="19" t="n"/>
      <c r="D50" s="19" t="n"/>
      <c r="E50" s="18" t="n"/>
      <c r="F50" s="18" t="n"/>
      <c r="G50" s="19" t="n"/>
      <c r="H50" s="19" t="n"/>
      <c r="I50" s="14">
        <f>IF($B50="","","Ativo")</f>
        <v/>
      </c>
      <c r="J50" s="20">
        <f>IF($B50="","",IF(COUNTIFS('1a1'!$B$52:$B$111,$A50,'1a1'!$G$52:$G$111,"Sim")=0,"",_xlfn.MAXIFS('1a1'!$A$52:$A$111,'1a1'!$B$52:$B$111,$A50,'1a1'!$G$52:$G$111,"Sim")))</f>
        <v/>
      </c>
      <c r="K50" s="14">
        <f>IF($B50="","",COUNTIFS('Alocações'!$B$5:$B$84,$A50,'Alocações'!$N$5:$N$84,"Sim"))</f>
        <v/>
      </c>
      <c r="L50" s="14">
        <f>IF($B50="","",IF($K50=0,"sem alocação",IF($K50=1,INDEX('Alocações'!$F$5:$F$84,MATCH($A50,'Alocações'!$O$5:$O$84,0)),"Multi")))</f>
        <v/>
      </c>
      <c r="M50" s="14">
        <f>IF($B50="","",IF($K50&gt;1,"Sim","Não"))</f>
        <v/>
      </c>
      <c r="N50" s="14">
        <f>IF(OR($B50="",$F50=""),"",ROUND((Config!$B$6-$F50)/30.4,0))</f>
        <v/>
      </c>
      <c r="O50" s="14">
        <f>IF($B50="","",IF(COUNTIFS('Ocorrências'!$C$5:$C$604,$A50,'Ocorrências'!$T$5:$T$604,Config!$B$7)=0,1,0))</f>
        <v/>
      </c>
      <c r="P50" s="14">
        <f>IF($O50=1,COUNTIF($O$5:$O50,1),"")</f>
        <v/>
      </c>
    </row>
    <row r="51">
      <c r="A51" s="19" t="n"/>
      <c r="B51" s="19" t="n"/>
      <c r="C51" s="19" t="n"/>
      <c r="D51" s="19" t="n"/>
      <c r="E51" s="18" t="n"/>
      <c r="F51" s="18" t="n"/>
      <c r="G51" s="19" t="n"/>
      <c r="H51" s="19" t="n"/>
      <c r="I51" s="14">
        <f>IF($B51="","","Ativo")</f>
        <v/>
      </c>
      <c r="J51" s="20">
        <f>IF($B51="","",IF(COUNTIFS('1a1'!$B$52:$B$111,$A51,'1a1'!$G$52:$G$111,"Sim")=0,"",_xlfn.MAXIFS('1a1'!$A$52:$A$111,'1a1'!$B$52:$B$111,$A51,'1a1'!$G$52:$G$111,"Sim")))</f>
        <v/>
      </c>
      <c r="K51" s="14">
        <f>IF($B51="","",COUNTIFS('Alocações'!$B$5:$B$84,$A51,'Alocações'!$N$5:$N$84,"Sim"))</f>
        <v/>
      </c>
      <c r="L51" s="14">
        <f>IF($B51="","",IF($K51=0,"sem alocação",IF($K51=1,INDEX('Alocações'!$F$5:$F$84,MATCH($A51,'Alocações'!$O$5:$O$84,0)),"Multi")))</f>
        <v/>
      </c>
      <c r="M51" s="14">
        <f>IF($B51="","",IF($K51&gt;1,"Sim","Não"))</f>
        <v/>
      </c>
      <c r="N51" s="14">
        <f>IF(OR($B51="",$F51=""),"",ROUND((Config!$B$6-$F51)/30.4,0))</f>
        <v/>
      </c>
      <c r="O51" s="14">
        <f>IF($B51="","",IF(COUNTIFS('Ocorrências'!$C$5:$C$604,$A51,'Ocorrências'!$T$5:$T$604,Config!$B$7)=0,1,0))</f>
        <v/>
      </c>
      <c r="P51" s="14">
        <f>IF($O51=1,COUNTIF($O$5:$O51,1),"")</f>
        <v/>
      </c>
    </row>
    <row r="52">
      <c r="A52" s="19" t="n"/>
      <c r="B52" s="19" t="n"/>
      <c r="C52" s="19" t="n"/>
      <c r="D52" s="19" t="n"/>
      <c r="E52" s="18" t="n"/>
      <c r="F52" s="18" t="n"/>
      <c r="G52" s="19" t="n"/>
      <c r="H52" s="19" t="n"/>
      <c r="I52" s="14">
        <f>IF($B52="","","Ativo")</f>
        <v/>
      </c>
      <c r="J52" s="20">
        <f>IF($B52="","",IF(COUNTIFS('1a1'!$B$52:$B$111,$A52,'1a1'!$G$52:$G$111,"Sim")=0,"",_xlfn.MAXIFS('1a1'!$A$52:$A$111,'1a1'!$B$52:$B$111,$A52,'1a1'!$G$52:$G$111,"Sim")))</f>
        <v/>
      </c>
      <c r="K52" s="14">
        <f>IF($B52="","",COUNTIFS('Alocações'!$B$5:$B$84,$A52,'Alocações'!$N$5:$N$84,"Sim"))</f>
        <v/>
      </c>
      <c r="L52" s="14">
        <f>IF($B52="","",IF($K52=0,"sem alocação",IF($K52=1,INDEX('Alocações'!$F$5:$F$84,MATCH($A52,'Alocações'!$O$5:$O$84,0)),"Multi")))</f>
        <v/>
      </c>
      <c r="M52" s="14">
        <f>IF($B52="","",IF($K52&gt;1,"Sim","Não"))</f>
        <v/>
      </c>
      <c r="N52" s="14">
        <f>IF(OR($B52="",$F52=""),"",ROUND((Config!$B$6-$F52)/30.4,0))</f>
        <v/>
      </c>
      <c r="O52" s="14">
        <f>IF($B52="","",IF(COUNTIFS('Ocorrências'!$C$5:$C$604,$A52,'Ocorrências'!$T$5:$T$604,Config!$B$7)=0,1,0))</f>
        <v/>
      </c>
      <c r="P52" s="14">
        <f>IF($O52=1,COUNTIF($O$5:$O52,1),"")</f>
        <v/>
      </c>
    </row>
    <row r="53">
      <c r="A53" s="19" t="n"/>
      <c r="B53" s="19" t="n"/>
      <c r="C53" s="19" t="n"/>
      <c r="D53" s="19" t="n"/>
      <c r="E53" s="18" t="n"/>
      <c r="F53" s="18" t="n"/>
      <c r="G53" s="19" t="n"/>
      <c r="H53" s="19" t="n"/>
      <c r="I53" s="14">
        <f>IF($B53="","","Ativo")</f>
        <v/>
      </c>
      <c r="J53" s="20">
        <f>IF($B53="","",IF(COUNTIFS('1a1'!$B$52:$B$111,$A53,'1a1'!$G$52:$G$111,"Sim")=0,"",_xlfn.MAXIFS('1a1'!$A$52:$A$111,'1a1'!$B$52:$B$111,$A53,'1a1'!$G$52:$G$111,"Sim")))</f>
        <v/>
      </c>
      <c r="K53" s="14">
        <f>IF($B53="","",COUNTIFS('Alocações'!$B$5:$B$84,$A53,'Alocações'!$N$5:$N$84,"Sim"))</f>
        <v/>
      </c>
      <c r="L53" s="14">
        <f>IF($B53="","",IF($K53=0,"sem alocação",IF($K53=1,INDEX('Alocações'!$F$5:$F$84,MATCH($A53,'Alocações'!$O$5:$O$84,0)),"Multi")))</f>
        <v/>
      </c>
      <c r="M53" s="14">
        <f>IF($B53="","",IF($K53&gt;1,"Sim","Não"))</f>
        <v/>
      </c>
      <c r="N53" s="14">
        <f>IF(OR($B53="",$F53=""),"",ROUND((Config!$B$6-$F53)/30.4,0))</f>
        <v/>
      </c>
      <c r="O53" s="14">
        <f>IF($B53="","",IF(COUNTIFS('Ocorrências'!$C$5:$C$604,$A53,'Ocorrências'!$T$5:$T$604,Config!$B$7)=0,1,0))</f>
        <v/>
      </c>
      <c r="P53" s="14">
        <f>IF($O53=1,COUNTIF($O$5:$O53,1),"")</f>
        <v/>
      </c>
    </row>
    <row r="54">
      <c r="A54" s="19" t="n"/>
      <c r="B54" s="19" t="n"/>
      <c r="C54" s="19" t="n"/>
      <c r="D54" s="19" t="n"/>
      <c r="E54" s="18" t="n"/>
      <c r="F54" s="18" t="n"/>
      <c r="G54" s="19" t="n"/>
      <c r="H54" s="19" t="n"/>
      <c r="I54" s="14">
        <f>IF($B54="","","Ativo")</f>
        <v/>
      </c>
      <c r="J54" s="20">
        <f>IF($B54="","",IF(COUNTIFS('1a1'!$B$52:$B$111,$A54,'1a1'!$G$52:$G$111,"Sim")=0,"",_xlfn.MAXIFS('1a1'!$A$52:$A$111,'1a1'!$B$52:$B$111,$A54,'1a1'!$G$52:$G$111,"Sim")))</f>
        <v/>
      </c>
      <c r="K54" s="14">
        <f>IF($B54="","",COUNTIFS('Alocações'!$B$5:$B$84,$A54,'Alocações'!$N$5:$N$84,"Sim"))</f>
        <v/>
      </c>
      <c r="L54" s="14">
        <f>IF($B54="","",IF($K54=0,"sem alocação",IF($K54=1,INDEX('Alocações'!$F$5:$F$84,MATCH($A54,'Alocações'!$O$5:$O$84,0)),"Multi")))</f>
        <v/>
      </c>
      <c r="M54" s="14">
        <f>IF($B54="","",IF($K54&gt;1,"Sim","Não"))</f>
        <v/>
      </c>
      <c r="N54" s="14">
        <f>IF(OR($B54="",$F54=""),"",ROUND((Config!$B$6-$F54)/30.4,0))</f>
        <v/>
      </c>
      <c r="O54" s="14">
        <f>IF($B54="","",IF(COUNTIFS('Ocorrências'!$C$5:$C$604,$A54,'Ocorrências'!$T$5:$T$604,Config!$B$7)=0,1,0))</f>
        <v/>
      </c>
      <c r="P54" s="14">
        <f>IF($O54=1,COUNTIF($O$5:$O54,1),"")</f>
        <v/>
      </c>
    </row>
    <row r="55">
      <c r="A55" s="19" t="n"/>
      <c r="B55" s="19" t="n"/>
      <c r="C55" s="19" t="n"/>
      <c r="D55" s="19" t="n"/>
      <c r="E55" s="18" t="n"/>
      <c r="F55" s="18" t="n"/>
      <c r="G55" s="19" t="n"/>
      <c r="H55" s="19" t="n"/>
      <c r="I55" s="14">
        <f>IF($B55="","","Ativo")</f>
        <v/>
      </c>
      <c r="J55" s="20">
        <f>IF($B55="","",IF(COUNTIFS('1a1'!$B$52:$B$111,$A55,'1a1'!$G$52:$G$111,"Sim")=0,"",_xlfn.MAXIFS('1a1'!$A$52:$A$111,'1a1'!$B$52:$B$111,$A55,'1a1'!$G$52:$G$111,"Sim")))</f>
        <v/>
      </c>
      <c r="K55" s="14">
        <f>IF($B55="","",COUNTIFS('Alocações'!$B$5:$B$84,$A55,'Alocações'!$N$5:$N$84,"Sim"))</f>
        <v/>
      </c>
      <c r="L55" s="14">
        <f>IF($B55="","",IF($K55=0,"sem alocação",IF($K55=1,INDEX('Alocações'!$F$5:$F$84,MATCH($A55,'Alocações'!$O$5:$O$84,0)),"Multi")))</f>
        <v/>
      </c>
      <c r="M55" s="14">
        <f>IF($B55="","",IF($K55&gt;1,"Sim","Não"))</f>
        <v/>
      </c>
      <c r="N55" s="14">
        <f>IF(OR($B55="",$F55=""),"",ROUND((Config!$B$6-$F55)/30.4,0))</f>
        <v/>
      </c>
      <c r="O55" s="14">
        <f>IF($B55="","",IF(COUNTIFS('Ocorrências'!$C$5:$C$604,$A55,'Ocorrências'!$T$5:$T$604,Config!$B$7)=0,1,0))</f>
        <v/>
      </c>
      <c r="P55" s="14">
        <f>IF($O55=1,COUNTIF($O$5:$O55,1),"")</f>
        <v/>
      </c>
    </row>
    <row r="56">
      <c r="A56" s="19" t="n"/>
      <c r="B56" s="19" t="n"/>
      <c r="C56" s="19" t="n"/>
      <c r="D56" s="19" t="n"/>
      <c r="E56" s="18" t="n"/>
      <c r="F56" s="18" t="n"/>
      <c r="G56" s="19" t="n"/>
      <c r="H56" s="19" t="n"/>
      <c r="I56" s="14">
        <f>IF($B56="","","Ativo")</f>
        <v/>
      </c>
      <c r="J56" s="20">
        <f>IF($B56="","",IF(COUNTIFS('1a1'!$B$52:$B$111,$A56,'1a1'!$G$52:$G$111,"Sim")=0,"",_xlfn.MAXIFS('1a1'!$A$52:$A$111,'1a1'!$B$52:$B$111,$A56,'1a1'!$G$52:$G$111,"Sim")))</f>
        <v/>
      </c>
      <c r="K56" s="14">
        <f>IF($B56="","",COUNTIFS('Alocações'!$B$5:$B$84,$A56,'Alocações'!$N$5:$N$84,"Sim"))</f>
        <v/>
      </c>
      <c r="L56" s="14">
        <f>IF($B56="","",IF($K56=0,"sem alocação",IF($K56=1,INDEX('Alocações'!$F$5:$F$84,MATCH($A56,'Alocações'!$O$5:$O$84,0)),"Multi")))</f>
        <v/>
      </c>
      <c r="M56" s="14">
        <f>IF($B56="","",IF($K56&gt;1,"Sim","Não"))</f>
        <v/>
      </c>
      <c r="N56" s="14">
        <f>IF(OR($B56="",$F56=""),"",ROUND((Config!$B$6-$F56)/30.4,0))</f>
        <v/>
      </c>
      <c r="O56" s="14">
        <f>IF($B56="","",IF(COUNTIFS('Ocorrências'!$C$5:$C$604,$A56,'Ocorrências'!$T$5:$T$604,Config!$B$7)=0,1,0))</f>
        <v/>
      </c>
      <c r="P56" s="14">
        <f>IF($O56=1,COUNTIF($O$5:$O56,1),"")</f>
        <v/>
      </c>
    </row>
    <row r="57">
      <c r="A57" s="19" t="n"/>
      <c r="B57" s="19" t="n"/>
      <c r="C57" s="19" t="n"/>
      <c r="D57" s="19" t="n"/>
      <c r="E57" s="18" t="n"/>
      <c r="F57" s="18" t="n"/>
      <c r="G57" s="19" t="n"/>
      <c r="H57" s="19" t="n"/>
      <c r="I57" s="14">
        <f>IF($B57="","","Ativo")</f>
        <v/>
      </c>
      <c r="J57" s="20">
        <f>IF($B57="","",IF(COUNTIFS('1a1'!$B$52:$B$111,$A57,'1a1'!$G$52:$G$111,"Sim")=0,"",_xlfn.MAXIFS('1a1'!$A$52:$A$111,'1a1'!$B$52:$B$111,$A57,'1a1'!$G$52:$G$111,"Sim")))</f>
        <v/>
      </c>
      <c r="K57" s="14">
        <f>IF($B57="","",COUNTIFS('Alocações'!$B$5:$B$84,$A57,'Alocações'!$N$5:$N$84,"Sim"))</f>
        <v/>
      </c>
      <c r="L57" s="14">
        <f>IF($B57="","",IF($K57=0,"sem alocação",IF($K57=1,INDEX('Alocações'!$F$5:$F$84,MATCH($A57,'Alocações'!$O$5:$O$84,0)),"Multi")))</f>
        <v/>
      </c>
      <c r="M57" s="14">
        <f>IF($B57="","",IF($K57&gt;1,"Sim","Não"))</f>
        <v/>
      </c>
      <c r="N57" s="14">
        <f>IF(OR($B57="",$F57=""),"",ROUND((Config!$B$6-$F57)/30.4,0))</f>
        <v/>
      </c>
      <c r="O57" s="14">
        <f>IF($B57="","",IF(COUNTIFS('Ocorrências'!$C$5:$C$604,$A57,'Ocorrências'!$T$5:$T$604,Config!$B$7)=0,1,0))</f>
        <v/>
      </c>
      <c r="P57" s="14">
        <f>IF($O57=1,COUNTIF($O$5:$O57,1),"")</f>
        <v/>
      </c>
    </row>
    <row r="58">
      <c r="A58" s="19" t="n"/>
      <c r="B58" s="19" t="n"/>
      <c r="C58" s="19" t="n"/>
      <c r="D58" s="19" t="n"/>
      <c r="E58" s="18" t="n"/>
      <c r="F58" s="18" t="n"/>
      <c r="G58" s="19" t="n"/>
      <c r="H58" s="19" t="n"/>
      <c r="I58" s="14">
        <f>IF($B58="","","Ativo")</f>
        <v/>
      </c>
      <c r="J58" s="20">
        <f>IF($B58="","",IF(COUNTIFS('1a1'!$B$52:$B$111,$A58,'1a1'!$G$52:$G$111,"Sim")=0,"",_xlfn.MAXIFS('1a1'!$A$52:$A$111,'1a1'!$B$52:$B$111,$A58,'1a1'!$G$52:$G$111,"Sim")))</f>
        <v/>
      </c>
      <c r="K58" s="14">
        <f>IF($B58="","",COUNTIFS('Alocações'!$B$5:$B$84,$A58,'Alocações'!$N$5:$N$84,"Sim"))</f>
        <v/>
      </c>
      <c r="L58" s="14">
        <f>IF($B58="","",IF($K58=0,"sem alocação",IF($K58=1,INDEX('Alocações'!$F$5:$F$84,MATCH($A58,'Alocações'!$O$5:$O$84,0)),"Multi")))</f>
        <v/>
      </c>
      <c r="M58" s="14">
        <f>IF($B58="","",IF($K58&gt;1,"Sim","Não"))</f>
        <v/>
      </c>
      <c r="N58" s="14">
        <f>IF(OR($B58="",$F58=""),"",ROUND((Config!$B$6-$F58)/30.4,0))</f>
        <v/>
      </c>
      <c r="O58" s="14">
        <f>IF($B58="","",IF(COUNTIFS('Ocorrências'!$C$5:$C$604,$A58,'Ocorrências'!$T$5:$T$604,Config!$B$7)=0,1,0))</f>
        <v/>
      </c>
      <c r="P58" s="14">
        <f>IF($O58=1,COUNTIF($O$5:$O58,1),"")</f>
        <v/>
      </c>
    </row>
    <row r="59">
      <c r="A59" s="19" t="n"/>
      <c r="B59" s="19" t="n"/>
      <c r="C59" s="19" t="n"/>
      <c r="D59" s="19" t="n"/>
      <c r="E59" s="18" t="n"/>
      <c r="F59" s="18" t="n"/>
      <c r="G59" s="19" t="n"/>
      <c r="H59" s="19" t="n"/>
      <c r="I59" s="14">
        <f>IF($B59="","","Ativo")</f>
        <v/>
      </c>
      <c r="J59" s="20">
        <f>IF($B59="","",IF(COUNTIFS('1a1'!$B$52:$B$111,$A59,'1a1'!$G$52:$G$111,"Sim")=0,"",_xlfn.MAXIFS('1a1'!$A$52:$A$111,'1a1'!$B$52:$B$111,$A59,'1a1'!$G$52:$G$111,"Sim")))</f>
        <v/>
      </c>
      <c r="K59" s="14">
        <f>IF($B59="","",COUNTIFS('Alocações'!$B$5:$B$84,$A59,'Alocações'!$N$5:$N$84,"Sim"))</f>
        <v/>
      </c>
      <c r="L59" s="14">
        <f>IF($B59="","",IF($K59=0,"sem alocação",IF($K59=1,INDEX('Alocações'!$F$5:$F$84,MATCH($A59,'Alocações'!$O$5:$O$84,0)),"Multi")))</f>
        <v/>
      </c>
      <c r="M59" s="14">
        <f>IF($B59="","",IF($K59&gt;1,"Sim","Não"))</f>
        <v/>
      </c>
      <c r="N59" s="14">
        <f>IF(OR($B59="",$F59=""),"",ROUND((Config!$B$6-$F59)/30.4,0))</f>
        <v/>
      </c>
      <c r="O59" s="14">
        <f>IF($B59="","",IF(COUNTIFS('Ocorrências'!$C$5:$C$604,$A59,'Ocorrências'!$T$5:$T$604,Config!$B$7)=0,1,0))</f>
        <v/>
      </c>
      <c r="P59" s="14">
        <f>IF($O59=1,COUNTIF($O$5:$O59,1),"")</f>
        <v/>
      </c>
    </row>
    <row r="60">
      <c r="A60" s="19" t="n"/>
      <c r="B60" s="19" t="n"/>
      <c r="C60" s="19" t="n"/>
      <c r="D60" s="19" t="n"/>
      <c r="E60" s="18" t="n"/>
      <c r="F60" s="18" t="n"/>
      <c r="G60" s="19" t="n"/>
      <c r="H60" s="19" t="n"/>
      <c r="I60" s="14">
        <f>IF($B60="","","Ativo")</f>
        <v/>
      </c>
      <c r="J60" s="20">
        <f>IF($B60="","",IF(COUNTIFS('1a1'!$B$52:$B$111,$A60,'1a1'!$G$52:$G$111,"Sim")=0,"",_xlfn.MAXIFS('1a1'!$A$52:$A$111,'1a1'!$B$52:$B$111,$A60,'1a1'!$G$52:$G$111,"Sim")))</f>
        <v/>
      </c>
      <c r="K60" s="14">
        <f>IF($B60="","",COUNTIFS('Alocações'!$B$5:$B$84,$A60,'Alocações'!$N$5:$N$84,"Sim"))</f>
        <v/>
      </c>
      <c r="L60" s="14">
        <f>IF($B60="","",IF($K60=0,"sem alocação",IF($K60=1,INDEX('Alocações'!$F$5:$F$84,MATCH($A60,'Alocações'!$O$5:$O$84,0)),"Multi")))</f>
        <v/>
      </c>
      <c r="M60" s="14">
        <f>IF($B60="","",IF($K60&gt;1,"Sim","Não"))</f>
        <v/>
      </c>
      <c r="N60" s="14">
        <f>IF(OR($B60="",$F60=""),"",ROUND((Config!$B$6-$F60)/30.4,0))</f>
        <v/>
      </c>
      <c r="O60" s="14">
        <f>IF($B60="","",IF(COUNTIFS('Ocorrências'!$C$5:$C$604,$A60,'Ocorrências'!$T$5:$T$604,Config!$B$7)=0,1,0))</f>
        <v/>
      </c>
      <c r="P60" s="14">
        <f>IF($O60=1,COUNTIF($O$5:$O60,1),"")</f>
        <v/>
      </c>
    </row>
    <row r="61">
      <c r="A61" s="19" t="n"/>
      <c r="B61" s="19" t="n"/>
      <c r="C61" s="19" t="n"/>
      <c r="D61" s="19" t="n"/>
      <c r="E61" s="18" t="n"/>
      <c r="F61" s="18" t="n"/>
      <c r="G61" s="19" t="n"/>
      <c r="H61" s="19" t="n"/>
      <c r="I61" s="14">
        <f>IF($B61="","","Ativo")</f>
        <v/>
      </c>
      <c r="J61" s="20">
        <f>IF($B61="","",IF(COUNTIFS('1a1'!$B$52:$B$111,$A61,'1a1'!$G$52:$G$111,"Sim")=0,"",_xlfn.MAXIFS('1a1'!$A$52:$A$111,'1a1'!$B$52:$B$111,$A61,'1a1'!$G$52:$G$111,"Sim")))</f>
        <v/>
      </c>
      <c r="K61" s="14">
        <f>IF($B61="","",COUNTIFS('Alocações'!$B$5:$B$84,$A61,'Alocações'!$N$5:$N$84,"Sim"))</f>
        <v/>
      </c>
      <c r="L61" s="14">
        <f>IF($B61="","",IF($K61=0,"sem alocação",IF($K61=1,INDEX('Alocações'!$F$5:$F$84,MATCH($A61,'Alocações'!$O$5:$O$84,0)),"Multi")))</f>
        <v/>
      </c>
      <c r="M61" s="14">
        <f>IF($B61="","",IF($K61&gt;1,"Sim","Não"))</f>
        <v/>
      </c>
      <c r="N61" s="14">
        <f>IF(OR($B61="",$F61=""),"",ROUND((Config!$B$6-$F61)/30.4,0))</f>
        <v/>
      </c>
      <c r="O61" s="14">
        <f>IF($B61="","",IF(COUNTIFS('Ocorrências'!$C$5:$C$604,$A61,'Ocorrências'!$T$5:$T$604,Config!$B$7)=0,1,0))</f>
        <v/>
      </c>
      <c r="P61" s="14">
        <f>IF($O61=1,COUNTIF($O$5:$O61,1),"")</f>
        <v/>
      </c>
    </row>
    <row r="62">
      <c r="A62" s="19" t="n"/>
      <c r="B62" s="19" t="n"/>
      <c r="C62" s="19" t="n"/>
      <c r="D62" s="19" t="n"/>
      <c r="E62" s="18" t="n"/>
      <c r="F62" s="18" t="n"/>
      <c r="G62" s="19" t="n"/>
      <c r="H62" s="19" t="n"/>
      <c r="I62" s="14">
        <f>IF($B62="","","Ativo")</f>
        <v/>
      </c>
      <c r="J62" s="20">
        <f>IF($B62="","",IF(COUNTIFS('1a1'!$B$52:$B$111,$A62,'1a1'!$G$52:$G$111,"Sim")=0,"",_xlfn.MAXIFS('1a1'!$A$52:$A$111,'1a1'!$B$52:$B$111,$A62,'1a1'!$G$52:$G$111,"Sim")))</f>
        <v/>
      </c>
      <c r="K62" s="14">
        <f>IF($B62="","",COUNTIFS('Alocações'!$B$5:$B$84,$A62,'Alocações'!$N$5:$N$84,"Sim"))</f>
        <v/>
      </c>
      <c r="L62" s="14">
        <f>IF($B62="","",IF($K62=0,"sem alocação",IF($K62=1,INDEX('Alocações'!$F$5:$F$84,MATCH($A62,'Alocações'!$O$5:$O$84,0)),"Multi")))</f>
        <v/>
      </c>
      <c r="M62" s="14">
        <f>IF($B62="","",IF($K62&gt;1,"Sim","Não"))</f>
        <v/>
      </c>
      <c r="N62" s="14">
        <f>IF(OR($B62="",$F62=""),"",ROUND((Config!$B$6-$F62)/30.4,0))</f>
        <v/>
      </c>
      <c r="O62" s="14">
        <f>IF($B62="","",IF(COUNTIFS('Ocorrências'!$C$5:$C$604,$A62,'Ocorrências'!$T$5:$T$604,Config!$B$7)=0,1,0))</f>
        <v/>
      </c>
      <c r="P62" s="14">
        <f>IF($O62=1,COUNTIF($O$5:$O62,1),"")</f>
        <v/>
      </c>
    </row>
    <row r="63">
      <c r="A63" s="19" t="n"/>
      <c r="B63" s="19" t="n"/>
      <c r="C63" s="19" t="n"/>
      <c r="D63" s="19" t="n"/>
      <c r="E63" s="18" t="n"/>
      <c r="F63" s="18" t="n"/>
      <c r="G63" s="19" t="n"/>
      <c r="H63" s="19" t="n"/>
      <c r="I63" s="14">
        <f>IF($B63="","","Ativo")</f>
        <v/>
      </c>
      <c r="J63" s="20">
        <f>IF($B63="","",IF(COUNTIFS('1a1'!$B$52:$B$111,$A63,'1a1'!$G$52:$G$111,"Sim")=0,"",_xlfn.MAXIFS('1a1'!$A$52:$A$111,'1a1'!$B$52:$B$111,$A63,'1a1'!$G$52:$G$111,"Sim")))</f>
        <v/>
      </c>
      <c r="K63" s="14">
        <f>IF($B63="","",COUNTIFS('Alocações'!$B$5:$B$84,$A63,'Alocações'!$N$5:$N$84,"Sim"))</f>
        <v/>
      </c>
      <c r="L63" s="14">
        <f>IF($B63="","",IF($K63=0,"sem alocação",IF($K63=1,INDEX('Alocações'!$F$5:$F$84,MATCH($A63,'Alocações'!$O$5:$O$84,0)),"Multi")))</f>
        <v/>
      </c>
      <c r="M63" s="14">
        <f>IF($B63="","",IF($K63&gt;1,"Sim","Não"))</f>
        <v/>
      </c>
      <c r="N63" s="14">
        <f>IF(OR($B63="",$F63=""),"",ROUND((Config!$B$6-$F63)/30.4,0))</f>
        <v/>
      </c>
      <c r="O63" s="14">
        <f>IF($B63="","",IF(COUNTIFS('Ocorrências'!$C$5:$C$604,$A63,'Ocorrências'!$T$5:$T$604,Config!$B$7)=0,1,0))</f>
        <v/>
      </c>
      <c r="P63" s="14">
        <f>IF($O63=1,COUNTIF($O$5:$O63,1),"")</f>
        <v/>
      </c>
    </row>
    <row r="64">
      <c r="A64" s="19" t="n"/>
      <c r="B64" s="19" t="n"/>
      <c r="C64" s="19" t="n"/>
      <c r="D64" s="19" t="n"/>
      <c r="E64" s="18" t="n"/>
      <c r="F64" s="18" t="n"/>
      <c r="G64" s="19" t="n"/>
      <c r="H64" s="19" t="n"/>
      <c r="I64" s="14">
        <f>IF($B64="","","Ativo")</f>
        <v/>
      </c>
      <c r="J64" s="20">
        <f>IF($B64="","",IF(COUNTIFS('1a1'!$B$52:$B$111,$A64,'1a1'!$G$52:$G$111,"Sim")=0,"",_xlfn.MAXIFS('1a1'!$A$52:$A$111,'1a1'!$B$52:$B$111,$A64,'1a1'!$G$52:$G$111,"Sim")))</f>
        <v/>
      </c>
      <c r="K64" s="14">
        <f>IF($B64="","",COUNTIFS('Alocações'!$B$5:$B$84,$A64,'Alocações'!$N$5:$N$84,"Sim"))</f>
        <v/>
      </c>
      <c r="L64" s="14">
        <f>IF($B64="","",IF($K64=0,"sem alocação",IF($K64=1,INDEX('Alocações'!$F$5:$F$84,MATCH($A64,'Alocações'!$O$5:$O$84,0)),"Multi")))</f>
        <v/>
      </c>
      <c r="M64" s="14">
        <f>IF($B64="","",IF($K64&gt;1,"Sim","Não"))</f>
        <v/>
      </c>
      <c r="N64" s="14">
        <f>IF(OR($B64="",$F64=""),"",ROUND((Config!$B$6-$F64)/30.4,0))</f>
        <v/>
      </c>
      <c r="O64" s="14">
        <f>IF($B64="","",IF(COUNTIFS('Ocorrências'!$C$5:$C$604,$A64,'Ocorrências'!$T$5:$T$604,Config!$B$7)=0,1,0))</f>
        <v/>
      </c>
      <c r="P64" s="14">
        <f>IF($O64=1,COUNTIF($O$5:$O64,1),"")</f>
        <v/>
      </c>
    </row>
  </sheetData>
  <dataValidations count="1">
    <dataValidation sqref="D5:D64" showDropDown="0" showInputMessage="0" showErrorMessage="0" allowBlank="1" type="list">
      <formula1>=Config!$K$13:$K$16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5" customWidth="1" min="4" max="4"/>
    <col width="19" customWidth="1" min="5" max="5"/>
    <col width="14" customWidth="1" min="6" max="6"/>
    <col width="10" customWidth="1" min="7" max="7"/>
    <col width="11" customWidth="1" min="8" max="8"/>
    <col width="11" customWidth="1" min="9" max="9"/>
    <col width="15" customWidth="1" min="10" max="10"/>
    <col width="15" customWidth="1" min="11" max="11"/>
    <col width="14" customWidth="1" min="12" max="12"/>
    <col width="40" customWidth="1" min="13" max="13"/>
    <col width="8" customWidth="1" min="14" max="14"/>
    <col width="11" customWidth="1" min="15" max="15"/>
    <col width="19" customWidth="1" min="16" max="16"/>
    <col width="12" customWidth="1" min="17" max="17"/>
  </cols>
  <sheetData>
    <row r="1" ht="22" customHeight="1">
      <c r="A1" s="1" t="inlineStr">
        <is>
          <t>Alocações — uma linha por alocação</t>
        </is>
      </c>
    </row>
    <row r="2">
      <c r="A2" s="2" t="inlineStr">
        <is>
          <t>Quem está 50% em dois contratos ocupa duas linhas. É aqui que mora a visão por contrato: filtre por cliente e olhe a coluna Gap.</t>
        </is>
      </c>
    </row>
    <row r="3"/>
    <row r="4" ht="32" customHeight="1">
      <c r="A4" s="12" t="inlineStr">
        <is>
          <t>ID_ALOC</t>
        </is>
      </c>
      <c r="B4" s="12" t="inlineStr">
        <is>
          <t>ID_PESSOA</t>
        </is>
      </c>
      <c r="C4" s="12" t="inlineStr">
        <is>
          <t>Squad</t>
        </is>
      </c>
      <c r="D4" s="12" t="inlineStr">
        <is>
          <t>Cliente / Contrato</t>
        </is>
      </c>
      <c r="E4" s="12" t="inlineStr">
        <is>
          <t>Projeto</t>
        </is>
      </c>
      <c r="F4" s="12" t="inlineStr">
        <is>
          <t>Papel</t>
        </is>
      </c>
      <c r="G4" s="12" t="inlineStr">
        <is>
          <t>Alocação %</t>
        </is>
      </c>
      <c r="H4" s="12" t="inlineStr">
        <is>
          <t>Entrada</t>
        </is>
      </c>
      <c r="I4" s="12" t="inlineStr">
        <is>
          <t>Saída</t>
        </is>
      </c>
      <c r="J4" s="12" t="inlineStr">
        <is>
          <t>GP</t>
        </is>
      </c>
      <c r="K4" s="12" t="inlineStr">
        <is>
          <t>Líder Técnico</t>
        </is>
      </c>
      <c r="L4" s="12" t="inlineStr">
        <is>
          <t>Handover feito em</t>
        </is>
      </c>
      <c r="M4" s="12" t="inlineStr">
        <is>
          <t>Pontos transferidos</t>
        </is>
      </c>
      <c r="N4" s="12" t="inlineStr">
        <is>
          <t>Ativa</t>
        </is>
      </c>
      <c r="O4" s="12" t="inlineStr">
        <is>
          <t>chave ativa</t>
        </is>
      </c>
      <c r="P4" s="12" t="inlineStr">
        <is>
          <t>Pessoa</t>
        </is>
      </c>
      <c r="Q4" s="12" t="inlineStr">
        <is>
          <t>Gap no ciclo</t>
        </is>
      </c>
    </row>
    <row r="5">
      <c r="A5" s="19" t="inlineStr">
        <is>
          <t>A001</t>
        </is>
      </c>
      <c r="B5" s="19" t="inlineStr">
        <is>
          <t>P001</t>
        </is>
      </c>
      <c r="C5" s="19" t="inlineStr">
        <is>
          <t>Alfa</t>
        </is>
      </c>
      <c r="D5" s="19" t="inlineStr">
        <is>
          <t>Contrato A</t>
        </is>
      </c>
      <c r="E5" s="19" t="inlineStr">
        <is>
          <t>Portal do Cliente</t>
        </is>
      </c>
      <c r="F5" s="19" t="inlineStr">
        <is>
          <t>Dev/QA</t>
        </is>
      </c>
      <c r="G5" s="35" t="n">
        <v>1</v>
      </c>
      <c r="H5" s="18" t="n">
        <v>45726</v>
      </c>
      <c r="I5" s="18" t="n"/>
      <c r="J5" s="19" t="inlineStr">
        <is>
          <t>Marcos Lima</t>
        </is>
      </c>
      <c r="K5" s="19" t="inlineStr">
        <is>
          <t>Rafael Souza</t>
        </is>
      </c>
      <c r="L5" s="18" t="n"/>
      <c r="M5" s="19" t="n"/>
      <c r="N5" s="14">
        <f>IF($A5="","",IF($I5="","Sim","Não"))</f>
        <v/>
      </c>
      <c r="O5" s="14">
        <f>IF($N5="Sim",$B5,"")</f>
        <v/>
      </c>
      <c r="P5" s="14">
        <f>IFERROR(INDEX(Pessoas!$B$5:$B$64,MATCH($B5,Pessoas!$A$5:$A$64,0)),"")</f>
        <v/>
      </c>
      <c r="Q5" s="15">
        <f>IF($A5="","",IFERROR(INDEX('Painel'!$M$5:$M$64,MATCH($B5,'Painel'!$A$5:$A$64,0)),""))</f>
        <v/>
      </c>
    </row>
    <row r="6">
      <c r="A6" s="19" t="inlineStr">
        <is>
          <t>A002</t>
        </is>
      </c>
      <c r="B6" s="19" t="inlineStr">
        <is>
          <t>P002</t>
        </is>
      </c>
      <c r="C6" s="19" t="inlineStr">
        <is>
          <t>Alfa</t>
        </is>
      </c>
      <c r="D6" s="19" t="inlineStr">
        <is>
          <t>Contrato A</t>
        </is>
      </c>
      <c r="E6" s="19" t="inlineStr">
        <is>
          <t>Portal do Cliente</t>
        </is>
      </c>
      <c r="F6" s="19" t="inlineStr">
        <is>
          <t>Dev/QA</t>
        </is>
      </c>
      <c r="G6" s="35" t="n">
        <v>1</v>
      </c>
      <c r="H6" s="18" t="n">
        <v>46188</v>
      </c>
      <c r="I6" s="18" t="n"/>
      <c r="J6" s="19" t="inlineStr">
        <is>
          <t>Marcos Lima</t>
        </is>
      </c>
      <c r="K6" s="19" t="inlineStr">
        <is>
          <t>Rafael Souza</t>
        </is>
      </c>
      <c r="L6" s="18" t="n"/>
      <c r="M6" s="19" t="n"/>
      <c r="N6" s="14">
        <f>IF($A6="","",IF($I6="","Sim","Não"))</f>
        <v/>
      </c>
      <c r="O6" s="14">
        <f>IF($N6="Sim",$B6,"")</f>
        <v/>
      </c>
      <c r="P6" s="14">
        <f>IFERROR(INDEX(Pessoas!$B$5:$B$64,MATCH($B6,Pessoas!$A$5:$A$64,0)),"")</f>
        <v/>
      </c>
      <c r="Q6" s="15">
        <f>IF($A6="","",IFERROR(INDEX('Painel'!$M$5:$M$64,MATCH($B6,'Painel'!$A$5:$A$64,0)),""))</f>
        <v/>
      </c>
    </row>
    <row r="7">
      <c r="A7" s="19" t="inlineStr">
        <is>
          <t>A003</t>
        </is>
      </c>
      <c r="B7" s="19" t="inlineStr">
        <is>
          <t>P003</t>
        </is>
      </c>
      <c r="C7" s="19" t="inlineStr">
        <is>
          <t>Beta</t>
        </is>
      </c>
      <c r="D7" s="19" t="inlineStr">
        <is>
          <t>Contrato B</t>
        </is>
      </c>
      <c r="E7" s="19" t="inlineStr">
        <is>
          <t>Motor de Cobrança</t>
        </is>
      </c>
      <c r="F7" s="19" t="inlineStr">
        <is>
          <t>Líder Técnico</t>
        </is>
      </c>
      <c r="G7" s="35" t="n">
        <v>0.5</v>
      </c>
      <c r="H7" s="18" t="n">
        <v>45505</v>
      </c>
      <c r="I7" s="18" t="n"/>
      <c r="J7" s="19" t="inlineStr">
        <is>
          <t>Marcos Lima</t>
        </is>
      </c>
      <c r="K7" s="19" t="inlineStr">
        <is>
          <t>Carla Nunes</t>
        </is>
      </c>
      <c r="L7" s="18" t="n"/>
      <c r="M7" s="19" t="n"/>
      <c r="N7" s="14">
        <f>IF($A7="","",IF($I7="","Sim","Não"))</f>
        <v/>
      </c>
      <c r="O7" s="14">
        <f>IF($N7="Sim",$B7,"")</f>
        <v/>
      </c>
      <c r="P7" s="14">
        <f>IFERROR(INDEX(Pessoas!$B$5:$B$64,MATCH($B7,Pessoas!$A$5:$A$64,0)),"")</f>
        <v/>
      </c>
      <c r="Q7" s="15">
        <f>IF($A7="","",IFERROR(INDEX('Painel'!$M$5:$M$64,MATCH($B7,'Painel'!$A$5:$A$64,0)),""))</f>
        <v/>
      </c>
    </row>
    <row r="8">
      <c r="A8" s="19" t="inlineStr">
        <is>
          <t>A004</t>
        </is>
      </c>
      <c r="B8" s="19" t="inlineStr">
        <is>
          <t>P003</t>
        </is>
      </c>
      <c r="C8" s="19" t="inlineStr">
        <is>
          <t>Delta</t>
        </is>
      </c>
      <c r="D8" s="19" t="inlineStr">
        <is>
          <t>Contrato C</t>
        </is>
      </c>
      <c r="E8" s="19" t="inlineStr">
        <is>
          <t>Faturamento</t>
        </is>
      </c>
      <c r="F8" s="19" t="inlineStr">
        <is>
          <t>Dev/QA</t>
        </is>
      </c>
      <c r="G8" s="35" t="n">
        <v>0.5</v>
      </c>
      <c r="H8" s="18" t="n">
        <v>46113</v>
      </c>
      <c r="I8" s="18" t="n"/>
      <c r="J8" s="19" t="inlineStr">
        <is>
          <t>Paula Reis</t>
        </is>
      </c>
      <c r="K8" s="19" t="inlineStr">
        <is>
          <t>Rafael Souza</t>
        </is>
      </c>
      <c r="L8" s="18" t="n"/>
      <c r="M8" s="19" t="n"/>
      <c r="N8" s="14">
        <f>IF($A8="","",IF($I8="","Sim","Não"))</f>
        <v/>
      </c>
      <c r="O8" s="14">
        <f>IF($N8="Sim",$B8,"")</f>
        <v/>
      </c>
      <c r="P8" s="14">
        <f>IFERROR(INDEX(Pessoas!$B$5:$B$64,MATCH($B8,Pessoas!$A$5:$A$64,0)),"")</f>
        <v/>
      </c>
      <c r="Q8" s="15">
        <f>IF($A8="","",IFERROR(INDEX('Painel'!$M$5:$M$64,MATCH($B8,'Painel'!$A$5:$A$64,0)),""))</f>
        <v/>
      </c>
    </row>
    <row r="9">
      <c r="A9" s="19" t="n"/>
      <c r="B9" s="19" t="n"/>
      <c r="C9" s="19" t="n"/>
      <c r="D9" s="19" t="n"/>
      <c r="E9" s="19" t="n"/>
      <c r="F9" s="19" t="n"/>
      <c r="G9" s="35" t="n"/>
      <c r="H9" s="18" t="n"/>
      <c r="I9" s="18" t="n"/>
      <c r="J9" s="19" t="n"/>
      <c r="K9" s="19" t="n"/>
      <c r="L9" s="18" t="n"/>
      <c r="M9" s="19" t="n"/>
      <c r="N9" s="14">
        <f>IF($A9="","",IF($I9="","Sim","Não"))</f>
        <v/>
      </c>
      <c r="O9" s="14">
        <f>IF($N9="Sim",$B9,"")</f>
        <v/>
      </c>
      <c r="P9" s="14">
        <f>IFERROR(INDEX(Pessoas!$B$5:$B$64,MATCH($B9,Pessoas!$A$5:$A$64,0)),"")</f>
        <v/>
      </c>
      <c r="Q9" s="15">
        <f>IF($A9="","",IFERROR(INDEX('Painel'!$M$5:$M$64,MATCH($B9,'Painel'!$A$5:$A$64,0)),""))</f>
        <v/>
      </c>
    </row>
    <row r="10">
      <c r="A10" s="19" t="n"/>
      <c r="B10" s="19" t="n"/>
      <c r="C10" s="19" t="n"/>
      <c r="D10" s="19" t="n"/>
      <c r="E10" s="19" t="n"/>
      <c r="F10" s="19" t="n"/>
      <c r="G10" s="35" t="n"/>
      <c r="H10" s="18" t="n"/>
      <c r="I10" s="18" t="n"/>
      <c r="J10" s="19" t="n"/>
      <c r="K10" s="19" t="n"/>
      <c r="L10" s="18" t="n"/>
      <c r="M10" s="19" t="n"/>
      <c r="N10" s="14">
        <f>IF($A10="","",IF($I10="","Sim","Não"))</f>
        <v/>
      </c>
      <c r="O10" s="14">
        <f>IF($N10="Sim",$B10,"")</f>
        <v/>
      </c>
      <c r="P10" s="14">
        <f>IFERROR(INDEX(Pessoas!$B$5:$B$64,MATCH($B10,Pessoas!$A$5:$A$64,0)),"")</f>
        <v/>
      </c>
      <c r="Q10" s="15">
        <f>IF($A10="","",IFERROR(INDEX('Painel'!$M$5:$M$64,MATCH($B10,'Painel'!$A$5:$A$64,0)),""))</f>
        <v/>
      </c>
    </row>
    <row r="11">
      <c r="A11" s="19" t="n"/>
      <c r="B11" s="19" t="n"/>
      <c r="C11" s="19" t="n"/>
      <c r="D11" s="19" t="n"/>
      <c r="E11" s="19" t="n"/>
      <c r="F11" s="19" t="n"/>
      <c r="G11" s="35" t="n"/>
      <c r="H11" s="18" t="n"/>
      <c r="I11" s="18" t="n"/>
      <c r="J11" s="19" t="n"/>
      <c r="K11" s="19" t="n"/>
      <c r="L11" s="18" t="n"/>
      <c r="M11" s="19" t="n"/>
      <c r="N11" s="14">
        <f>IF($A11="","",IF($I11="","Sim","Não"))</f>
        <v/>
      </c>
      <c r="O11" s="14">
        <f>IF($N11="Sim",$B11,"")</f>
        <v/>
      </c>
      <c r="P11" s="14">
        <f>IFERROR(INDEX(Pessoas!$B$5:$B$64,MATCH($B11,Pessoas!$A$5:$A$64,0)),"")</f>
        <v/>
      </c>
      <c r="Q11" s="15">
        <f>IF($A11="","",IFERROR(INDEX('Painel'!$M$5:$M$64,MATCH($B11,'Painel'!$A$5:$A$64,0)),""))</f>
        <v/>
      </c>
    </row>
    <row r="12">
      <c r="A12" s="19" t="n"/>
      <c r="B12" s="19" t="n"/>
      <c r="C12" s="19" t="n"/>
      <c r="D12" s="19" t="n"/>
      <c r="E12" s="19" t="n"/>
      <c r="F12" s="19" t="n"/>
      <c r="G12" s="35" t="n"/>
      <c r="H12" s="18" t="n"/>
      <c r="I12" s="18" t="n"/>
      <c r="J12" s="19" t="n"/>
      <c r="K12" s="19" t="n"/>
      <c r="L12" s="18" t="n"/>
      <c r="M12" s="19" t="n"/>
      <c r="N12" s="14">
        <f>IF($A12="","",IF($I12="","Sim","Não"))</f>
        <v/>
      </c>
      <c r="O12" s="14">
        <f>IF($N12="Sim",$B12,"")</f>
        <v/>
      </c>
      <c r="P12" s="14">
        <f>IFERROR(INDEX(Pessoas!$B$5:$B$64,MATCH($B12,Pessoas!$A$5:$A$64,0)),"")</f>
        <v/>
      </c>
      <c r="Q12" s="15">
        <f>IF($A12="","",IFERROR(INDEX('Painel'!$M$5:$M$64,MATCH($B12,'Painel'!$A$5:$A$64,0)),""))</f>
        <v/>
      </c>
    </row>
    <row r="13">
      <c r="A13" s="19" t="n"/>
      <c r="B13" s="19" t="n"/>
      <c r="C13" s="19" t="n"/>
      <c r="D13" s="19" t="n"/>
      <c r="E13" s="19" t="n"/>
      <c r="F13" s="19" t="n"/>
      <c r="G13" s="35" t="n"/>
      <c r="H13" s="18" t="n"/>
      <c r="I13" s="18" t="n"/>
      <c r="J13" s="19" t="n"/>
      <c r="K13" s="19" t="n"/>
      <c r="L13" s="18" t="n"/>
      <c r="M13" s="19" t="n"/>
      <c r="N13" s="14">
        <f>IF($A13="","",IF($I13="","Sim","Não"))</f>
        <v/>
      </c>
      <c r="O13" s="14">
        <f>IF($N13="Sim",$B13,"")</f>
        <v/>
      </c>
      <c r="P13" s="14">
        <f>IFERROR(INDEX(Pessoas!$B$5:$B$64,MATCH($B13,Pessoas!$A$5:$A$64,0)),"")</f>
        <v/>
      </c>
      <c r="Q13" s="15">
        <f>IF($A13="","",IFERROR(INDEX('Painel'!$M$5:$M$64,MATCH($B13,'Painel'!$A$5:$A$64,0)),""))</f>
        <v/>
      </c>
    </row>
    <row r="14">
      <c r="A14" s="19" t="n"/>
      <c r="B14" s="19" t="n"/>
      <c r="C14" s="19" t="n"/>
      <c r="D14" s="19" t="n"/>
      <c r="E14" s="19" t="n"/>
      <c r="F14" s="19" t="n"/>
      <c r="G14" s="35" t="n"/>
      <c r="H14" s="18" t="n"/>
      <c r="I14" s="18" t="n"/>
      <c r="J14" s="19" t="n"/>
      <c r="K14" s="19" t="n"/>
      <c r="L14" s="18" t="n"/>
      <c r="M14" s="19" t="n"/>
      <c r="N14" s="14">
        <f>IF($A14="","",IF($I14="","Sim","Não"))</f>
        <v/>
      </c>
      <c r="O14" s="14">
        <f>IF($N14="Sim",$B14,"")</f>
        <v/>
      </c>
      <c r="P14" s="14">
        <f>IFERROR(INDEX(Pessoas!$B$5:$B$64,MATCH($B14,Pessoas!$A$5:$A$64,0)),"")</f>
        <v/>
      </c>
      <c r="Q14" s="15">
        <f>IF($A14="","",IFERROR(INDEX('Painel'!$M$5:$M$64,MATCH($B14,'Painel'!$A$5:$A$64,0)),""))</f>
        <v/>
      </c>
    </row>
    <row r="15">
      <c r="A15" s="19" t="n"/>
      <c r="B15" s="19" t="n"/>
      <c r="C15" s="19" t="n"/>
      <c r="D15" s="19" t="n"/>
      <c r="E15" s="19" t="n"/>
      <c r="F15" s="19" t="n"/>
      <c r="G15" s="35" t="n"/>
      <c r="H15" s="18" t="n"/>
      <c r="I15" s="18" t="n"/>
      <c r="J15" s="19" t="n"/>
      <c r="K15" s="19" t="n"/>
      <c r="L15" s="18" t="n"/>
      <c r="M15" s="19" t="n"/>
      <c r="N15" s="14">
        <f>IF($A15="","",IF($I15="","Sim","Não"))</f>
        <v/>
      </c>
      <c r="O15" s="14">
        <f>IF($N15="Sim",$B15,"")</f>
        <v/>
      </c>
      <c r="P15" s="14">
        <f>IFERROR(INDEX(Pessoas!$B$5:$B$64,MATCH($B15,Pessoas!$A$5:$A$64,0)),"")</f>
        <v/>
      </c>
      <c r="Q15" s="15">
        <f>IF($A15="","",IFERROR(INDEX('Painel'!$M$5:$M$64,MATCH($B15,'Painel'!$A$5:$A$64,0)),""))</f>
        <v/>
      </c>
    </row>
    <row r="16">
      <c r="A16" s="19" t="n"/>
      <c r="B16" s="19" t="n"/>
      <c r="C16" s="19" t="n"/>
      <c r="D16" s="19" t="n"/>
      <c r="E16" s="19" t="n"/>
      <c r="F16" s="19" t="n"/>
      <c r="G16" s="35" t="n"/>
      <c r="H16" s="18" t="n"/>
      <c r="I16" s="18" t="n"/>
      <c r="J16" s="19" t="n"/>
      <c r="K16" s="19" t="n"/>
      <c r="L16" s="18" t="n"/>
      <c r="M16" s="19" t="n"/>
      <c r="N16" s="14">
        <f>IF($A16="","",IF($I16="","Sim","Não"))</f>
        <v/>
      </c>
      <c r="O16" s="14">
        <f>IF($N16="Sim",$B16,"")</f>
        <v/>
      </c>
      <c r="P16" s="14">
        <f>IFERROR(INDEX(Pessoas!$B$5:$B$64,MATCH($B16,Pessoas!$A$5:$A$64,0)),"")</f>
        <v/>
      </c>
      <c r="Q16" s="15">
        <f>IF($A16="","",IFERROR(INDEX('Painel'!$M$5:$M$64,MATCH($B16,'Painel'!$A$5:$A$64,0)),""))</f>
        <v/>
      </c>
    </row>
    <row r="17">
      <c r="A17" s="19" t="n"/>
      <c r="B17" s="19" t="n"/>
      <c r="C17" s="19" t="n"/>
      <c r="D17" s="19" t="n"/>
      <c r="E17" s="19" t="n"/>
      <c r="F17" s="19" t="n"/>
      <c r="G17" s="35" t="n"/>
      <c r="H17" s="18" t="n"/>
      <c r="I17" s="18" t="n"/>
      <c r="J17" s="19" t="n"/>
      <c r="K17" s="19" t="n"/>
      <c r="L17" s="18" t="n"/>
      <c r="M17" s="19" t="n"/>
      <c r="N17" s="14">
        <f>IF($A17="","",IF($I17="","Sim","Não"))</f>
        <v/>
      </c>
      <c r="O17" s="14">
        <f>IF($N17="Sim",$B17,"")</f>
        <v/>
      </c>
      <c r="P17" s="14">
        <f>IFERROR(INDEX(Pessoas!$B$5:$B$64,MATCH($B17,Pessoas!$A$5:$A$64,0)),"")</f>
        <v/>
      </c>
      <c r="Q17" s="15">
        <f>IF($A17="","",IFERROR(INDEX('Painel'!$M$5:$M$64,MATCH($B17,'Painel'!$A$5:$A$64,0)),""))</f>
        <v/>
      </c>
    </row>
    <row r="18">
      <c r="A18" s="19" t="n"/>
      <c r="B18" s="19" t="n"/>
      <c r="C18" s="19" t="n"/>
      <c r="D18" s="19" t="n"/>
      <c r="E18" s="19" t="n"/>
      <c r="F18" s="19" t="n"/>
      <c r="G18" s="35" t="n"/>
      <c r="H18" s="18" t="n"/>
      <c r="I18" s="18" t="n"/>
      <c r="J18" s="19" t="n"/>
      <c r="K18" s="19" t="n"/>
      <c r="L18" s="18" t="n"/>
      <c r="M18" s="19" t="n"/>
      <c r="N18" s="14">
        <f>IF($A18="","",IF($I18="","Sim","Não"))</f>
        <v/>
      </c>
      <c r="O18" s="14">
        <f>IF($N18="Sim",$B18,"")</f>
        <v/>
      </c>
      <c r="P18" s="14">
        <f>IFERROR(INDEX(Pessoas!$B$5:$B$64,MATCH($B18,Pessoas!$A$5:$A$64,0)),"")</f>
        <v/>
      </c>
      <c r="Q18" s="15">
        <f>IF($A18="","",IFERROR(INDEX('Painel'!$M$5:$M$64,MATCH($B18,'Painel'!$A$5:$A$64,0)),""))</f>
        <v/>
      </c>
    </row>
    <row r="19">
      <c r="A19" s="19" t="n"/>
      <c r="B19" s="19" t="n"/>
      <c r="C19" s="19" t="n"/>
      <c r="D19" s="19" t="n"/>
      <c r="E19" s="19" t="n"/>
      <c r="F19" s="19" t="n"/>
      <c r="G19" s="35" t="n"/>
      <c r="H19" s="18" t="n"/>
      <c r="I19" s="18" t="n"/>
      <c r="J19" s="19" t="n"/>
      <c r="K19" s="19" t="n"/>
      <c r="L19" s="18" t="n"/>
      <c r="M19" s="19" t="n"/>
      <c r="N19" s="14">
        <f>IF($A19="","",IF($I19="","Sim","Não"))</f>
        <v/>
      </c>
      <c r="O19" s="14">
        <f>IF($N19="Sim",$B19,"")</f>
        <v/>
      </c>
      <c r="P19" s="14">
        <f>IFERROR(INDEX(Pessoas!$B$5:$B$64,MATCH($B19,Pessoas!$A$5:$A$64,0)),"")</f>
        <v/>
      </c>
      <c r="Q19" s="15">
        <f>IF($A19="","",IFERROR(INDEX('Painel'!$M$5:$M$64,MATCH($B19,'Painel'!$A$5:$A$64,0)),""))</f>
        <v/>
      </c>
    </row>
    <row r="20">
      <c r="A20" s="19" t="n"/>
      <c r="B20" s="19" t="n"/>
      <c r="C20" s="19" t="n"/>
      <c r="D20" s="19" t="n"/>
      <c r="E20" s="19" t="n"/>
      <c r="F20" s="19" t="n"/>
      <c r="G20" s="35" t="n"/>
      <c r="H20" s="18" t="n"/>
      <c r="I20" s="18" t="n"/>
      <c r="J20" s="19" t="n"/>
      <c r="K20" s="19" t="n"/>
      <c r="L20" s="18" t="n"/>
      <c r="M20" s="19" t="n"/>
      <c r="N20" s="14">
        <f>IF($A20="","",IF($I20="","Sim","Não"))</f>
        <v/>
      </c>
      <c r="O20" s="14">
        <f>IF($N20="Sim",$B20,"")</f>
        <v/>
      </c>
      <c r="P20" s="14">
        <f>IFERROR(INDEX(Pessoas!$B$5:$B$64,MATCH($B20,Pessoas!$A$5:$A$64,0)),"")</f>
        <v/>
      </c>
      <c r="Q20" s="15">
        <f>IF($A20="","",IFERROR(INDEX('Painel'!$M$5:$M$64,MATCH($B20,'Painel'!$A$5:$A$64,0)),""))</f>
        <v/>
      </c>
    </row>
    <row r="21">
      <c r="A21" s="19" t="n"/>
      <c r="B21" s="19" t="n"/>
      <c r="C21" s="19" t="n"/>
      <c r="D21" s="19" t="n"/>
      <c r="E21" s="19" t="n"/>
      <c r="F21" s="19" t="n"/>
      <c r="G21" s="35" t="n"/>
      <c r="H21" s="18" t="n"/>
      <c r="I21" s="18" t="n"/>
      <c r="J21" s="19" t="n"/>
      <c r="K21" s="19" t="n"/>
      <c r="L21" s="18" t="n"/>
      <c r="M21" s="19" t="n"/>
      <c r="N21" s="14">
        <f>IF($A21="","",IF($I21="","Sim","Não"))</f>
        <v/>
      </c>
      <c r="O21" s="14">
        <f>IF($N21="Sim",$B21,"")</f>
        <v/>
      </c>
      <c r="P21" s="14">
        <f>IFERROR(INDEX(Pessoas!$B$5:$B$64,MATCH($B21,Pessoas!$A$5:$A$64,0)),"")</f>
        <v/>
      </c>
      <c r="Q21" s="15">
        <f>IF($A21="","",IFERROR(INDEX('Painel'!$M$5:$M$64,MATCH($B21,'Painel'!$A$5:$A$64,0)),""))</f>
        <v/>
      </c>
    </row>
    <row r="22">
      <c r="A22" s="19" t="n"/>
      <c r="B22" s="19" t="n"/>
      <c r="C22" s="19" t="n"/>
      <c r="D22" s="19" t="n"/>
      <c r="E22" s="19" t="n"/>
      <c r="F22" s="19" t="n"/>
      <c r="G22" s="35" t="n"/>
      <c r="H22" s="18" t="n"/>
      <c r="I22" s="18" t="n"/>
      <c r="J22" s="19" t="n"/>
      <c r="K22" s="19" t="n"/>
      <c r="L22" s="18" t="n"/>
      <c r="M22" s="19" t="n"/>
      <c r="N22" s="14">
        <f>IF($A22="","",IF($I22="","Sim","Não"))</f>
        <v/>
      </c>
      <c r="O22" s="14">
        <f>IF($N22="Sim",$B22,"")</f>
        <v/>
      </c>
      <c r="P22" s="14">
        <f>IFERROR(INDEX(Pessoas!$B$5:$B$64,MATCH($B22,Pessoas!$A$5:$A$64,0)),"")</f>
        <v/>
      </c>
      <c r="Q22" s="15">
        <f>IF($A22="","",IFERROR(INDEX('Painel'!$M$5:$M$64,MATCH($B22,'Painel'!$A$5:$A$64,0)),""))</f>
        <v/>
      </c>
    </row>
    <row r="23">
      <c r="A23" s="19" t="n"/>
      <c r="B23" s="19" t="n"/>
      <c r="C23" s="19" t="n"/>
      <c r="D23" s="19" t="n"/>
      <c r="E23" s="19" t="n"/>
      <c r="F23" s="19" t="n"/>
      <c r="G23" s="35" t="n"/>
      <c r="H23" s="18" t="n"/>
      <c r="I23" s="18" t="n"/>
      <c r="J23" s="19" t="n"/>
      <c r="K23" s="19" t="n"/>
      <c r="L23" s="18" t="n"/>
      <c r="M23" s="19" t="n"/>
      <c r="N23" s="14">
        <f>IF($A23="","",IF($I23="","Sim","Não"))</f>
        <v/>
      </c>
      <c r="O23" s="14">
        <f>IF($N23="Sim",$B23,"")</f>
        <v/>
      </c>
      <c r="P23" s="14">
        <f>IFERROR(INDEX(Pessoas!$B$5:$B$64,MATCH($B23,Pessoas!$A$5:$A$64,0)),"")</f>
        <v/>
      </c>
      <c r="Q23" s="15">
        <f>IF($A23="","",IFERROR(INDEX('Painel'!$M$5:$M$64,MATCH($B23,'Painel'!$A$5:$A$64,0)),""))</f>
        <v/>
      </c>
    </row>
    <row r="24">
      <c r="A24" s="19" t="n"/>
      <c r="B24" s="19" t="n"/>
      <c r="C24" s="19" t="n"/>
      <c r="D24" s="19" t="n"/>
      <c r="E24" s="19" t="n"/>
      <c r="F24" s="19" t="n"/>
      <c r="G24" s="35" t="n"/>
      <c r="H24" s="18" t="n"/>
      <c r="I24" s="18" t="n"/>
      <c r="J24" s="19" t="n"/>
      <c r="K24" s="19" t="n"/>
      <c r="L24" s="18" t="n"/>
      <c r="M24" s="19" t="n"/>
      <c r="N24" s="14">
        <f>IF($A24="","",IF($I24="","Sim","Não"))</f>
        <v/>
      </c>
      <c r="O24" s="14">
        <f>IF($N24="Sim",$B24,"")</f>
        <v/>
      </c>
      <c r="P24" s="14">
        <f>IFERROR(INDEX(Pessoas!$B$5:$B$64,MATCH($B24,Pessoas!$A$5:$A$64,0)),"")</f>
        <v/>
      </c>
      <c r="Q24" s="15">
        <f>IF($A24="","",IFERROR(INDEX('Painel'!$M$5:$M$64,MATCH($B24,'Painel'!$A$5:$A$64,0)),""))</f>
        <v/>
      </c>
    </row>
    <row r="25">
      <c r="A25" s="19" t="n"/>
      <c r="B25" s="19" t="n"/>
      <c r="C25" s="19" t="n"/>
      <c r="D25" s="19" t="n"/>
      <c r="E25" s="19" t="n"/>
      <c r="F25" s="19" t="n"/>
      <c r="G25" s="35" t="n"/>
      <c r="H25" s="18" t="n"/>
      <c r="I25" s="18" t="n"/>
      <c r="J25" s="19" t="n"/>
      <c r="K25" s="19" t="n"/>
      <c r="L25" s="18" t="n"/>
      <c r="M25" s="19" t="n"/>
      <c r="N25" s="14">
        <f>IF($A25="","",IF($I25="","Sim","Não"))</f>
        <v/>
      </c>
      <c r="O25" s="14">
        <f>IF($N25="Sim",$B25,"")</f>
        <v/>
      </c>
      <c r="P25" s="14">
        <f>IFERROR(INDEX(Pessoas!$B$5:$B$64,MATCH($B25,Pessoas!$A$5:$A$64,0)),"")</f>
        <v/>
      </c>
      <c r="Q25" s="15">
        <f>IF($A25="","",IFERROR(INDEX('Painel'!$M$5:$M$64,MATCH($B25,'Painel'!$A$5:$A$64,0)),""))</f>
        <v/>
      </c>
    </row>
    <row r="26">
      <c r="A26" s="19" t="n"/>
      <c r="B26" s="19" t="n"/>
      <c r="C26" s="19" t="n"/>
      <c r="D26" s="19" t="n"/>
      <c r="E26" s="19" t="n"/>
      <c r="F26" s="19" t="n"/>
      <c r="G26" s="35" t="n"/>
      <c r="H26" s="18" t="n"/>
      <c r="I26" s="18" t="n"/>
      <c r="J26" s="19" t="n"/>
      <c r="K26" s="19" t="n"/>
      <c r="L26" s="18" t="n"/>
      <c r="M26" s="19" t="n"/>
      <c r="N26" s="14">
        <f>IF($A26="","",IF($I26="","Sim","Não"))</f>
        <v/>
      </c>
      <c r="O26" s="14">
        <f>IF($N26="Sim",$B26,"")</f>
        <v/>
      </c>
      <c r="P26" s="14">
        <f>IFERROR(INDEX(Pessoas!$B$5:$B$64,MATCH($B26,Pessoas!$A$5:$A$64,0)),"")</f>
        <v/>
      </c>
      <c r="Q26" s="15">
        <f>IF($A26="","",IFERROR(INDEX('Painel'!$M$5:$M$64,MATCH($B26,'Painel'!$A$5:$A$64,0)),""))</f>
        <v/>
      </c>
    </row>
    <row r="27">
      <c r="A27" s="19" t="n"/>
      <c r="B27" s="19" t="n"/>
      <c r="C27" s="19" t="n"/>
      <c r="D27" s="19" t="n"/>
      <c r="E27" s="19" t="n"/>
      <c r="F27" s="19" t="n"/>
      <c r="G27" s="35" t="n"/>
      <c r="H27" s="18" t="n"/>
      <c r="I27" s="18" t="n"/>
      <c r="J27" s="19" t="n"/>
      <c r="K27" s="19" t="n"/>
      <c r="L27" s="18" t="n"/>
      <c r="M27" s="19" t="n"/>
      <c r="N27" s="14">
        <f>IF($A27="","",IF($I27="","Sim","Não"))</f>
        <v/>
      </c>
      <c r="O27" s="14">
        <f>IF($N27="Sim",$B27,"")</f>
        <v/>
      </c>
      <c r="P27" s="14">
        <f>IFERROR(INDEX(Pessoas!$B$5:$B$64,MATCH($B27,Pessoas!$A$5:$A$64,0)),"")</f>
        <v/>
      </c>
      <c r="Q27" s="15">
        <f>IF($A27="","",IFERROR(INDEX('Painel'!$M$5:$M$64,MATCH($B27,'Painel'!$A$5:$A$64,0)),""))</f>
        <v/>
      </c>
    </row>
    <row r="28">
      <c r="A28" s="19" t="n"/>
      <c r="B28" s="19" t="n"/>
      <c r="C28" s="19" t="n"/>
      <c r="D28" s="19" t="n"/>
      <c r="E28" s="19" t="n"/>
      <c r="F28" s="19" t="n"/>
      <c r="G28" s="35" t="n"/>
      <c r="H28" s="18" t="n"/>
      <c r="I28" s="18" t="n"/>
      <c r="J28" s="19" t="n"/>
      <c r="K28" s="19" t="n"/>
      <c r="L28" s="18" t="n"/>
      <c r="M28" s="19" t="n"/>
      <c r="N28" s="14">
        <f>IF($A28="","",IF($I28="","Sim","Não"))</f>
        <v/>
      </c>
      <c r="O28" s="14">
        <f>IF($N28="Sim",$B28,"")</f>
        <v/>
      </c>
      <c r="P28" s="14">
        <f>IFERROR(INDEX(Pessoas!$B$5:$B$64,MATCH($B28,Pessoas!$A$5:$A$64,0)),"")</f>
        <v/>
      </c>
      <c r="Q28" s="15">
        <f>IF($A28="","",IFERROR(INDEX('Painel'!$M$5:$M$64,MATCH($B28,'Painel'!$A$5:$A$64,0)),""))</f>
        <v/>
      </c>
    </row>
    <row r="29">
      <c r="A29" s="19" t="n"/>
      <c r="B29" s="19" t="n"/>
      <c r="C29" s="19" t="n"/>
      <c r="D29" s="19" t="n"/>
      <c r="E29" s="19" t="n"/>
      <c r="F29" s="19" t="n"/>
      <c r="G29" s="35" t="n"/>
      <c r="H29" s="18" t="n"/>
      <c r="I29" s="18" t="n"/>
      <c r="J29" s="19" t="n"/>
      <c r="K29" s="19" t="n"/>
      <c r="L29" s="18" t="n"/>
      <c r="M29" s="19" t="n"/>
      <c r="N29" s="14">
        <f>IF($A29="","",IF($I29="","Sim","Não"))</f>
        <v/>
      </c>
      <c r="O29" s="14">
        <f>IF($N29="Sim",$B29,"")</f>
        <v/>
      </c>
      <c r="P29" s="14">
        <f>IFERROR(INDEX(Pessoas!$B$5:$B$64,MATCH($B29,Pessoas!$A$5:$A$64,0)),"")</f>
        <v/>
      </c>
      <c r="Q29" s="15">
        <f>IF($A29="","",IFERROR(INDEX('Painel'!$M$5:$M$64,MATCH($B29,'Painel'!$A$5:$A$64,0)),""))</f>
        <v/>
      </c>
    </row>
    <row r="30">
      <c r="A30" s="19" t="n"/>
      <c r="B30" s="19" t="n"/>
      <c r="C30" s="19" t="n"/>
      <c r="D30" s="19" t="n"/>
      <c r="E30" s="19" t="n"/>
      <c r="F30" s="19" t="n"/>
      <c r="G30" s="35" t="n"/>
      <c r="H30" s="18" t="n"/>
      <c r="I30" s="18" t="n"/>
      <c r="J30" s="19" t="n"/>
      <c r="K30" s="19" t="n"/>
      <c r="L30" s="18" t="n"/>
      <c r="M30" s="19" t="n"/>
      <c r="N30" s="14">
        <f>IF($A30="","",IF($I30="","Sim","Não"))</f>
        <v/>
      </c>
      <c r="O30" s="14">
        <f>IF($N30="Sim",$B30,"")</f>
        <v/>
      </c>
      <c r="P30" s="14">
        <f>IFERROR(INDEX(Pessoas!$B$5:$B$64,MATCH($B30,Pessoas!$A$5:$A$64,0)),"")</f>
        <v/>
      </c>
      <c r="Q30" s="15">
        <f>IF($A30="","",IFERROR(INDEX('Painel'!$M$5:$M$64,MATCH($B30,'Painel'!$A$5:$A$64,0)),""))</f>
        <v/>
      </c>
    </row>
    <row r="31">
      <c r="A31" s="19" t="n"/>
      <c r="B31" s="19" t="n"/>
      <c r="C31" s="19" t="n"/>
      <c r="D31" s="19" t="n"/>
      <c r="E31" s="19" t="n"/>
      <c r="F31" s="19" t="n"/>
      <c r="G31" s="35" t="n"/>
      <c r="H31" s="18" t="n"/>
      <c r="I31" s="18" t="n"/>
      <c r="J31" s="19" t="n"/>
      <c r="K31" s="19" t="n"/>
      <c r="L31" s="18" t="n"/>
      <c r="M31" s="19" t="n"/>
      <c r="N31" s="14">
        <f>IF($A31="","",IF($I31="","Sim","Não"))</f>
        <v/>
      </c>
      <c r="O31" s="14">
        <f>IF($N31="Sim",$B31,"")</f>
        <v/>
      </c>
      <c r="P31" s="14">
        <f>IFERROR(INDEX(Pessoas!$B$5:$B$64,MATCH($B31,Pessoas!$A$5:$A$64,0)),"")</f>
        <v/>
      </c>
      <c r="Q31" s="15">
        <f>IF($A31="","",IFERROR(INDEX('Painel'!$M$5:$M$64,MATCH($B31,'Painel'!$A$5:$A$64,0)),""))</f>
        <v/>
      </c>
    </row>
    <row r="32">
      <c r="A32" s="19" t="n"/>
      <c r="B32" s="19" t="n"/>
      <c r="C32" s="19" t="n"/>
      <c r="D32" s="19" t="n"/>
      <c r="E32" s="19" t="n"/>
      <c r="F32" s="19" t="n"/>
      <c r="G32" s="35" t="n"/>
      <c r="H32" s="18" t="n"/>
      <c r="I32" s="18" t="n"/>
      <c r="J32" s="19" t="n"/>
      <c r="K32" s="19" t="n"/>
      <c r="L32" s="18" t="n"/>
      <c r="M32" s="19" t="n"/>
      <c r="N32" s="14">
        <f>IF($A32="","",IF($I32="","Sim","Não"))</f>
        <v/>
      </c>
      <c r="O32" s="14">
        <f>IF($N32="Sim",$B32,"")</f>
        <v/>
      </c>
      <c r="P32" s="14">
        <f>IFERROR(INDEX(Pessoas!$B$5:$B$64,MATCH($B32,Pessoas!$A$5:$A$64,0)),"")</f>
        <v/>
      </c>
      <c r="Q32" s="15">
        <f>IF($A32="","",IFERROR(INDEX('Painel'!$M$5:$M$64,MATCH($B32,'Painel'!$A$5:$A$64,0)),""))</f>
        <v/>
      </c>
    </row>
    <row r="33">
      <c r="A33" s="19" t="n"/>
      <c r="B33" s="19" t="n"/>
      <c r="C33" s="19" t="n"/>
      <c r="D33" s="19" t="n"/>
      <c r="E33" s="19" t="n"/>
      <c r="F33" s="19" t="n"/>
      <c r="G33" s="35" t="n"/>
      <c r="H33" s="18" t="n"/>
      <c r="I33" s="18" t="n"/>
      <c r="J33" s="19" t="n"/>
      <c r="K33" s="19" t="n"/>
      <c r="L33" s="18" t="n"/>
      <c r="M33" s="19" t="n"/>
      <c r="N33" s="14">
        <f>IF($A33="","",IF($I33="","Sim","Não"))</f>
        <v/>
      </c>
      <c r="O33" s="14">
        <f>IF($N33="Sim",$B33,"")</f>
        <v/>
      </c>
      <c r="P33" s="14">
        <f>IFERROR(INDEX(Pessoas!$B$5:$B$64,MATCH($B33,Pessoas!$A$5:$A$64,0)),"")</f>
        <v/>
      </c>
      <c r="Q33" s="15">
        <f>IF($A33="","",IFERROR(INDEX('Painel'!$M$5:$M$64,MATCH($B33,'Painel'!$A$5:$A$64,0)),""))</f>
        <v/>
      </c>
    </row>
    <row r="34">
      <c r="A34" s="19" t="n"/>
      <c r="B34" s="19" t="n"/>
      <c r="C34" s="19" t="n"/>
      <c r="D34" s="19" t="n"/>
      <c r="E34" s="19" t="n"/>
      <c r="F34" s="19" t="n"/>
      <c r="G34" s="35" t="n"/>
      <c r="H34" s="18" t="n"/>
      <c r="I34" s="18" t="n"/>
      <c r="J34" s="19" t="n"/>
      <c r="K34" s="19" t="n"/>
      <c r="L34" s="18" t="n"/>
      <c r="M34" s="19" t="n"/>
      <c r="N34" s="14">
        <f>IF($A34="","",IF($I34="","Sim","Não"))</f>
        <v/>
      </c>
      <c r="O34" s="14">
        <f>IF($N34="Sim",$B34,"")</f>
        <v/>
      </c>
      <c r="P34" s="14">
        <f>IFERROR(INDEX(Pessoas!$B$5:$B$64,MATCH($B34,Pessoas!$A$5:$A$64,0)),"")</f>
        <v/>
      </c>
      <c r="Q34" s="15">
        <f>IF($A34="","",IFERROR(INDEX('Painel'!$M$5:$M$64,MATCH($B34,'Painel'!$A$5:$A$64,0)),""))</f>
        <v/>
      </c>
    </row>
    <row r="35">
      <c r="A35" s="19" t="n"/>
      <c r="B35" s="19" t="n"/>
      <c r="C35" s="19" t="n"/>
      <c r="D35" s="19" t="n"/>
      <c r="E35" s="19" t="n"/>
      <c r="F35" s="19" t="n"/>
      <c r="G35" s="35" t="n"/>
      <c r="H35" s="18" t="n"/>
      <c r="I35" s="18" t="n"/>
      <c r="J35" s="19" t="n"/>
      <c r="K35" s="19" t="n"/>
      <c r="L35" s="18" t="n"/>
      <c r="M35" s="19" t="n"/>
      <c r="N35" s="14">
        <f>IF($A35="","",IF($I35="","Sim","Não"))</f>
        <v/>
      </c>
      <c r="O35" s="14">
        <f>IF($N35="Sim",$B35,"")</f>
        <v/>
      </c>
      <c r="P35" s="14">
        <f>IFERROR(INDEX(Pessoas!$B$5:$B$64,MATCH($B35,Pessoas!$A$5:$A$64,0)),"")</f>
        <v/>
      </c>
      <c r="Q35" s="15">
        <f>IF($A35="","",IFERROR(INDEX('Painel'!$M$5:$M$64,MATCH($B35,'Painel'!$A$5:$A$64,0)),""))</f>
        <v/>
      </c>
    </row>
    <row r="36">
      <c r="A36" s="19" t="n"/>
      <c r="B36" s="19" t="n"/>
      <c r="C36" s="19" t="n"/>
      <c r="D36" s="19" t="n"/>
      <c r="E36" s="19" t="n"/>
      <c r="F36" s="19" t="n"/>
      <c r="G36" s="35" t="n"/>
      <c r="H36" s="18" t="n"/>
      <c r="I36" s="18" t="n"/>
      <c r="J36" s="19" t="n"/>
      <c r="K36" s="19" t="n"/>
      <c r="L36" s="18" t="n"/>
      <c r="M36" s="19" t="n"/>
      <c r="N36" s="14">
        <f>IF($A36="","",IF($I36="","Sim","Não"))</f>
        <v/>
      </c>
      <c r="O36" s="14">
        <f>IF($N36="Sim",$B36,"")</f>
        <v/>
      </c>
      <c r="P36" s="14">
        <f>IFERROR(INDEX(Pessoas!$B$5:$B$64,MATCH($B36,Pessoas!$A$5:$A$64,0)),"")</f>
        <v/>
      </c>
      <c r="Q36" s="15">
        <f>IF($A36="","",IFERROR(INDEX('Painel'!$M$5:$M$64,MATCH($B36,'Painel'!$A$5:$A$64,0)),""))</f>
        <v/>
      </c>
    </row>
    <row r="37">
      <c r="A37" s="19" t="n"/>
      <c r="B37" s="19" t="n"/>
      <c r="C37" s="19" t="n"/>
      <c r="D37" s="19" t="n"/>
      <c r="E37" s="19" t="n"/>
      <c r="F37" s="19" t="n"/>
      <c r="G37" s="35" t="n"/>
      <c r="H37" s="18" t="n"/>
      <c r="I37" s="18" t="n"/>
      <c r="J37" s="19" t="n"/>
      <c r="K37" s="19" t="n"/>
      <c r="L37" s="18" t="n"/>
      <c r="M37" s="19" t="n"/>
      <c r="N37" s="14">
        <f>IF($A37="","",IF($I37="","Sim","Não"))</f>
        <v/>
      </c>
      <c r="O37" s="14">
        <f>IF($N37="Sim",$B37,"")</f>
        <v/>
      </c>
      <c r="P37" s="14">
        <f>IFERROR(INDEX(Pessoas!$B$5:$B$64,MATCH($B37,Pessoas!$A$5:$A$64,0)),"")</f>
        <v/>
      </c>
      <c r="Q37" s="15">
        <f>IF($A37="","",IFERROR(INDEX('Painel'!$M$5:$M$64,MATCH($B37,'Painel'!$A$5:$A$64,0)),""))</f>
        <v/>
      </c>
    </row>
    <row r="38">
      <c r="A38" s="19" t="n"/>
      <c r="B38" s="19" t="n"/>
      <c r="C38" s="19" t="n"/>
      <c r="D38" s="19" t="n"/>
      <c r="E38" s="19" t="n"/>
      <c r="F38" s="19" t="n"/>
      <c r="G38" s="35" t="n"/>
      <c r="H38" s="18" t="n"/>
      <c r="I38" s="18" t="n"/>
      <c r="J38" s="19" t="n"/>
      <c r="K38" s="19" t="n"/>
      <c r="L38" s="18" t="n"/>
      <c r="M38" s="19" t="n"/>
      <c r="N38" s="14">
        <f>IF($A38="","",IF($I38="","Sim","Não"))</f>
        <v/>
      </c>
      <c r="O38" s="14">
        <f>IF($N38="Sim",$B38,"")</f>
        <v/>
      </c>
      <c r="P38" s="14">
        <f>IFERROR(INDEX(Pessoas!$B$5:$B$64,MATCH($B38,Pessoas!$A$5:$A$64,0)),"")</f>
        <v/>
      </c>
      <c r="Q38" s="15">
        <f>IF($A38="","",IFERROR(INDEX('Painel'!$M$5:$M$64,MATCH($B38,'Painel'!$A$5:$A$64,0)),""))</f>
        <v/>
      </c>
    </row>
    <row r="39">
      <c r="A39" s="19" t="n"/>
      <c r="B39" s="19" t="n"/>
      <c r="C39" s="19" t="n"/>
      <c r="D39" s="19" t="n"/>
      <c r="E39" s="19" t="n"/>
      <c r="F39" s="19" t="n"/>
      <c r="G39" s="35" t="n"/>
      <c r="H39" s="18" t="n"/>
      <c r="I39" s="18" t="n"/>
      <c r="J39" s="19" t="n"/>
      <c r="K39" s="19" t="n"/>
      <c r="L39" s="18" t="n"/>
      <c r="M39" s="19" t="n"/>
      <c r="N39" s="14">
        <f>IF($A39="","",IF($I39="","Sim","Não"))</f>
        <v/>
      </c>
      <c r="O39" s="14">
        <f>IF($N39="Sim",$B39,"")</f>
        <v/>
      </c>
      <c r="P39" s="14">
        <f>IFERROR(INDEX(Pessoas!$B$5:$B$64,MATCH($B39,Pessoas!$A$5:$A$64,0)),"")</f>
        <v/>
      </c>
      <c r="Q39" s="15">
        <f>IF($A39="","",IFERROR(INDEX('Painel'!$M$5:$M$64,MATCH($B39,'Painel'!$A$5:$A$64,0)),""))</f>
        <v/>
      </c>
    </row>
    <row r="40">
      <c r="A40" s="19" t="n"/>
      <c r="B40" s="19" t="n"/>
      <c r="C40" s="19" t="n"/>
      <c r="D40" s="19" t="n"/>
      <c r="E40" s="19" t="n"/>
      <c r="F40" s="19" t="n"/>
      <c r="G40" s="35" t="n"/>
      <c r="H40" s="18" t="n"/>
      <c r="I40" s="18" t="n"/>
      <c r="J40" s="19" t="n"/>
      <c r="K40" s="19" t="n"/>
      <c r="L40" s="18" t="n"/>
      <c r="M40" s="19" t="n"/>
      <c r="N40" s="14">
        <f>IF($A40="","",IF($I40="","Sim","Não"))</f>
        <v/>
      </c>
      <c r="O40" s="14">
        <f>IF($N40="Sim",$B40,"")</f>
        <v/>
      </c>
      <c r="P40" s="14">
        <f>IFERROR(INDEX(Pessoas!$B$5:$B$64,MATCH($B40,Pessoas!$A$5:$A$64,0)),"")</f>
        <v/>
      </c>
      <c r="Q40" s="15">
        <f>IF($A40="","",IFERROR(INDEX('Painel'!$M$5:$M$64,MATCH($B40,'Painel'!$A$5:$A$64,0)),""))</f>
        <v/>
      </c>
    </row>
    <row r="41">
      <c r="A41" s="19" t="n"/>
      <c r="B41" s="19" t="n"/>
      <c r="C41" s="19" t="n"/>
      <c r="D41" s="19" t="n"/>
      <c r="E41" s="19" t="n"/>
      <c r="F41" s="19" t="n"/>
      <c r="G41" s="35" t="n"/>
      <c r="H41" s="18" t="n"/>
      <c r="I41" s="18" t="n"/>
      <c r="J41" s="19" t="n"/>
      <c r="K41" s="19" t="n"/>
      <c r="L41" s="18" t="n"/>
      <c r="M41" s="19" t="n"/>
      <c r="N41" s="14">
        <f>IF($A41="","",IF($I41="","Sim","Não"))</f>
        <v/>
      </c>
      <c r="O41" s="14">
        <f>IF($N41="Sim",$B41,"")</f>
        <v/>
      </c>
      <c r="P41" s="14">
        <f>IFERROR(INDEX(Pessoas!$B$5:$B$64,MATCH($B41,Pessoas!$A$5:$A$64,0)),"")</f>
        <v/>
      </c>
      <c r="Q41" s="15">
        <f>IF($A41="","",IFERROR(INDEX('Painel'!$M$5:$M$64,MATCH($B41,'Painel'!$A$5:$A$64,0)),""))</f>
        <v/>
      </c>
    </row>
    <row r="42">
      <c r="A42" s="19" t="n"/>
      <c r="B42" s="19" t="n"/>
      <c r="C42" s="19" t="n"/>
      <c r="D42" s="19" t="n"/>
      <c r="E42" s="19" t="n"/>
      <c r="F42" s="19" t="n"/>
      <c r="G42" s="35" t="n"/>
      <c r="H42" s="18" t="n"/>
      <c r="I42" s="18" t="n"/>
      <c r="J42" s="19" t="n"/>
      <c r="K42" s="19" t="n"/>
      <c r="L42" s="18" t="n"/>
      <c r="M42" s="19" t="n"/>
      <c r="N42" s="14">
        <f>IF($A42="","",IF($I42="","Sim","Não"))</f>
        <v/>
      </c>
      <c r="O42" s="14">
        <f>IF($N42="Sim",$B42,"")</f>
        <v/>
      </c>
      <c r="P42" s="14">
        <f>IFERROR(INDEX(Pessoas!$B$5:$B$64,MATCH($B42,Pessoas!$A$5:$A$64,0)),"")</f>
        <v/>
      </c>
      <c r="Q42" s="15">
        <f>IF($A42="","",IFERROR(INDEX('Painel'!$M$5:$M$64,MATCH($B42,'Painel'!$A$5:$A$64,0)),""))</f>
        <v/>
      </c>
    </row>
    <row r="43">
      <c r="A43" s="19" t="n"/>
      <c r="B43" s="19" t="n"/>
      <c r="C43" s="19" t="n"/>
      <c r="D43" s="19" t="n"/>
      <c r="E43" s="19" t="n"/>
      <c r="F43" s="19" t="n"/>
      <c r="G43" s="35" t="n"/>
      <c r="H43" s="18" t="n"/>
      <c r="I43" s="18" t="n"/>
      <c r="J43" s="19" t="n"/>
      <c r="K43" s="19" t="n"/>
      <c r="L43" s="18" t="n"/>
      <c r="M43" s="19" t="n"/>
      <c r="N43" s="14">
        <f>IF($A43="","",IF($I43="","Sim","Não"))</f>
        <v/>
      </c>
      <c r="O43" s="14">
        <f>IF($N43="Sim",$B43,"")</f>
        <v/>
      </c>
      <c r="P43" s="14">
        <f>IFERROR(INDEX(Pessoas!$B$5:$B$64,MATCH($B43,Pessoas!$A$5:$A$64,0)),"")</f>
        <v/>
      </c>
      <c r="Q43" s="15">
        <f>IF($A43="","",IFERROR(INDEX('Painel'!$M$5:$M$64,MATCH($B43,'Painel'!$A$5:$A$64,0)),""))</f>
        <v/>
      </c>
    </row>
    <row r="44">
      <c r="A44" s="19" t="n"/>
      <c r="B44" s="19" t="n"/>
      <c r="C44" s="19" t="n"/>
      <c r="D44" s="19" t="n"/>
      <c r="E44" s="19" t="n"/>
      <c r="F44" s="19" t="n"/>
      <c r="G44" s="35" t="n"/>
      <c r="H44" s="18" t="n"/>
      <c r="I44" s="18" t="n"/>
      <c r="J44" s="19" t="n"/>
      <c r="K44" s="19" t="n"/>
      <c r="L44" s="18" t="n"/>
      <c r="M44" s="19" t="n"/>
      <c r="N44" s="14">
        <f>IF($A44="","",IF($I44="","Sim","Não"))</f>
        <v/>
      </c>
      <c r="O44" s="14">
        <f>IF($N44="Sim",$B44,"")</f>
        <v/>
      </c>
      <c r="P44" s="14">
        <f>IFERROR(INDEX(Pessoas!$B$5:$B$64,MATCH($B44,Pessoas!$A$5:$A$64,0)),"")</f>
        <v/>
      </c>
      <c r="Q44" s="15">
        <f>IF($A44="","",IFERROR(INDEX('Painel'!$M$5:$M$64,MATCH($B44,'Painel'!$A$5:$A$64,0)),""))</f>
        <v/>
      </c>
    </row>
    <row r="45">
      <c r="A45" s="19" t="n"/>
      <c r="B45" s="19" t="n"/>
      <c r="C45" s="19" t="n"/>
      <c r="D45" s="19" t="n"/>
      <c r="E45" s="19" t="n"/>
      <c r="F45" s="19" t="n"/>
      <c r="G45" s="35" t="n"/>
      <c r="H45" s="18" t="n"/>
      <c r="I45" s="18" t="n"/>
      <c r="J45" s="19" t="n"/>
      <c r="K45" s="19" t="n"/>
      <c r="L45" s="18" t="n"/>
      <c r="M45" s="19" t="n"/>
      <c r="N45" s="14">
        <f>IF($A45="","",IF($I45="","Sim","Não"))</f>
        <v/>
      </c>
      <c r="O45" s="14">
        <f>IF($N45="Sim",$B45,"")</f>
        <v/>
      </c>
      <c r="P45" s="14">
        <f>IFERROR(INDEX(Pessoas!$B$5:$B$64,MATCH($B45,Pessoas!$A$5:$A$64,0)),"")</f>
        <v/>
      </c>
      <c r="Q45" s="15">
        <f>IF($A45="","",IFERROR(INDEX('Painel'!$M$5:$M$64,MATCH($B45,'Painel'!$A$5:$A$64,0)),""))</f>
        <v/>
      </c>
    </row>
    <row r="46">
      <c r="A46" s="19" t="n"/>
      <c r="B46" s="19" t="n"/>
      <c r="C46" s="19" t="n"/>
      <c r="D46" s="19" t="n"/>
      <c r="E46" s="19" t="n"/>
      <c r="F46" s="19" t="n"/>
      <c r="G46" s="35" t="n"/>
      <c r="H46" s="18" t="n"/>
      <c r="I46" s="18" t="n"/>
      <c r="J46" s="19" t="n"/>
      <c r="K46" s="19" t="n"/>
      <c r="L46" s="18" t="n"/>
      <c r="M46" s="19" t="n"/>
      <c r="N46" s="14">
        <f>IF($A46="","",IF($I46="","Sim","Não"))</f>
        <v/>
      </c>
      <c r="O46" s="14">
        <f>IF($N46="Sim",$B46,"")</f>
        <v/>
      </c>
      <c r="P46" s="14">
        <f>IFERROR(INDEX(Pessoas!$B$5:$B$64,MATCH($B46,Pessoas!$A$5:$A$64,0)),"")</f>
        <v/>
      </c>
      <c r="Q46" s="15">
        <f>IF($A46="","",IFERROR(INDEX('Painel'!$M$5:$M$64,MATCH($B46,'Painel'!$A$5:$A$64,0)),""))</f>
        <v/>
      </c>
    </row>
    <row r="47">
      <c r="A47" s="19" t="n"/>
      <c r="B47" s="19" t="n"/>
      <c r="C47" s="19" t="n"/>
      <c r="D47" s="19" t="n"/>
      <c r="E47" s="19" t="n"/>
      <c r="F47" s="19" t="n"/>
      <c r="G47" s="35" t="n"/>
      <c r="H47" s="18" t="n"/>
      <c r="I47" s="18" t="n"/>
      <c r="J47" s="19" t="n"/>
      <c r="K47" s="19" t="n"/>
      <c r="L47" s="18" t="n"/>
      <c r="M47" s="19" t="n"/>
      <c r="N47" s="14">
        <f>IF($A47="","",IF($I47="","Sim","Não"))</f>
        <v/>
      </c>
      <c r="O47" s="14">
        <f>IF($N47="Sim",$B47,"")</f>
        <v/>
      </c>
      <c r="P47" s="14">
        <f>IFERROR(INDEX(Pessoas!$B$5:$B$64,MATCH($B47,Pessoas!$A$5:$A$64,0)),"")</f>
        <v/>
      </c>
      <c r="Q47" s="15">
        <f>IF($A47="","",IFERROR(INDEX('Painel'!$M$5:$M$64,MATCH($B47,'Painel'!$A$5:$A$64,0)),""))</f>
        <v/>
      </c>
    </row>
    <row r="48">
      <c r="A48" s="19" t="n"/>
      <c r="B48" s="19" t="n"/>
      <c r="C48" s="19" t="n"/>
      <c r="D48" s="19" t="n"/>
      <c r="E48" s="19" t="n"/>
      <c r="F48" s="19" t="n"/>
      <c r="G48" s="35" t="n"/>
      <c r="H48" s="18" t="n"/>
      <c r="I48" s="18" t="n"/>
      <c r="J48" s="19" t="n"/>
      <c r="K48" s="19" t="n"/>
      <c r="L48" s="18" t="n"/>
      <c r="M48" s="19" t="n"/>
      <c r="N48" s="14">
        <f>IF($A48="","",IF($I48="","Sim","Não"))</f>
        <v/>
      </c>
      <c r="O48" s="14">
        <f>IF($N48="Sim",$B48,"")</f>
        <v/>
      </c>
      <c r="P48" s="14">
        <f>IFERROR(INDEX(Pessoas!$B$5:$B$64,MATCH($B48,Pessoas!$A$5:$A$64,0)),"")</f>
        <v/>
      </c>
      <c r="Q48" s="15">
        <f>IF($A48="","",IFERROR(INDEX('Painel'!$M$5:$M$64,MATCH($B48,'Painel'!$A$5:$A$64,0)),""))</f>
        <v/>
      </c>
    </row>
    <row r="49">
      <c r="A49" s="19" t="n"/>
      <c r="B49" s="19" t="n"/>
      <c r="C49" s="19" t="n"/>
      <c r="D49" s="19" t="n"/>
      <c r="E49" s="19" t="n"/>
      <c r="F49" s="19" t="n"/>
      <c r="G49" s="35" t="n"/>
      <c r="H49" s="18" t="n"/>
      <c r="I49" s="18" t="n"/>
      <c r="J49" s="19" t="n"/>
      <c r="K49" s="19" t="n"/>
      <c r="L49" s="18" t="n"/>
      <c r="M49" s="19" t="n"/>
      <c r="N49" s="14">
        <f>IF($A49="","",IF($I49="","Sim","Não"))</f>
        <v/>
      </c>
      <c r="O49" s="14">
        <f>IF($N49="Sim",$B49,"")</f>
        <v/>
      </c>
      <c r="P49" s="14">
        <f>IFERROR(INDEX(Pessoas!$B$5:$B$64,MATCH($B49,Pessoas!$A$5:$A$64,0)),"")</f>
        <v/>
      </c>
      <c r="Q49" s="15">
        <f>IF($A49="","",IFERROR(INDEX('Painel'!$M$5:$M$64,MATCH($B49,'Painel'!$A$5:$A$64,0)),""))</f>
        <v/>
      </c>
    </row>
    <row r="50">
      <c r="A50" s="19" t="n"/>
      <c r="B50" s="19" t="n"/>
      <c r="C50" s="19" t="n"/>
      <c r="D50" s="19" t="n"/>
      <c r="E50" s="19" t="n"/>
      <c r="F50" s="19" t="n"/>
      <c r="G50" s="35" t="n"/>
      <c r="H50" s="18" t="n"/>
      <c r="I50" s="18" t="n"/>
      <c r="J50" s="19" t="n"/>
      <c r="K50" s="19" t="n"/>
      <c r="L50" s="18" t="n"/>
      <c r="M50" s="19" t="n"/>
      <c r="N50" s="14">
        <f>IF($A50="","",IF($I50="","Sim","Não"))</f>
        <v/>
      </c>
      <c r="O50" s="14">
        <f>IF($N50="Sim",$B50,"")</f>
        <v/>
      </c>
      <c r="P50" s="14">
        <f>IFERROR(INDEX(Pessoas!$B$5:$B$64,MATCH($B50,Pessoas!$A$5:$A$64,0)),"")</f>
        <v/>
      </c>
      <c r="Q50" s="15">
        <f>IF($A50="","",IFERROR(INDEX('Painel'!$M$5:$M$64,MATCH($B50,'Painel'!$A$5:$A$64,0)),""))</f>
        <v/>
      </c>
    </row>
    <row r="51">
      <c r="A51" s="19" t="n"/>
      <c r="B51" s="19" t="n"/>
      <c r="C51" s="19" t="n"/>
      <c r="D51" s="19" t="n"/>
      <c r="E51" s="19" t="n"/>
      <c r="F51" s="19" t="n"/>
      <c r="G51" s="35" t="n"/>
      <c r="H51" s="18" t="n"/>
      <c r="I51" s="18" t="n"/>
      <c r="J51" s="19" t="n"/>
      <c r="K51" s="19" t="n"/>
      <c r="L51" s="18" t="n"/>
      <c r="M51" s="19" t="n"/>
      <c r="N51" s="14">
        <f>IF($A51="","",IF($I51="","Sim","Não"))</f>
        <v/>
      </c>
      <c r="O51" s="14">
        <f>IF($N51="Sim",$B51,"")</f>
        <v/>
      </c>
      <c r="P51" s="14">
        <f>IFERROR(INDEX(Pessoas!$B$5:$B$64,MATCH($B51,Pessoas!$A$5:$A$64,0)),"")</f>
        <v/>
      </c>
      <c r="Q51" s="15">
        <f>IF($A51="","",IFERROR(INDEX('Painel'!$M$5:$M$64,MATCH($B51,'Painel'!$A$5:$A$64,0)),""))</f>
        <v/>
      </c>
    </row>
    <row r="52">
      <c r="A52" s="19" t="n"/>
      <c r="B52" s="19" t="n"/>
      <c r="C52" s="19" t="n"/>
      <c r="D52" s="19" t="n"/>
      <c r="E52" s="19" t="n"/>
      <c r="F52" s="19" t="n"/>
      <c r="G52" s="35" t="n"/>
      <c r="H52" s="18" t="n"/>
      <c r="I52" s="18" t="n"/>
      <c r="J52" s="19" t="n"/>
      <c r="K52" s="19" t="n"/>
      <c r="L52" s="18" t="n"/>
      <c r="M52" s="19" t="n"/>
      <c r="N52" s="14">
        <f>IF($A52="","",IF($I52="","Sim","Não"))</f>
        <v/>
      </c>
      <c r="O52" s="14">
        <f>IF($N52="Sim",$B52,"")</f>
        <v/>
      </c>
      <c r="P52" s="14">
        <f>IFERROR(INDEX(Pessoas!$B$5:$B$64,MATCH($B52,Pessoas!$A$5:$A$64,0)),"")</f>
        <v/>
      </c>
      <c r="Q52" s="15">
        <f>IF($A52="","",IFERROR(INDEX('Painel'!$M$5:$M$64,MATCH($B52,'Painel'!$A$5:$A$64,0)),""))</f>
        <v/>
      </c>
    </row>
    <row r="53">
      <c r="A53" s="19" t="n"/>
      <c r="B53" s="19" t="n"/>
      <c r="C53" s="19" t="n"/>
      <c r="D53" s="19" t="n"/>
      <c r="E53" s="19" t="n"/>
      <c r="F53" s="19" t="n"/>
      <c r="G53" s="35" t="n"/>
      <c r="H53" s="18" t="n"/>
      <c r="I53" s="18" t="n"/>
      <c r="J53" s="19" t="n"/>
      <c r="K53" s="19" t="n"/>
      <c r="L53" s="18" t="n"/>
      <c r="M53" s="19" t="n"/>
      <c r="N53" s="14">
        <f>IF($A53="","",IF($I53="","Sim","Não"))</f>
        <v/>
      </c>
      <c r="O53" s="14">
        <f>IF($N53="Sim",$B53,"")</f>
        <v/>
      </c>
      <c r="P53" s="14">
        <f>IFERROR(INDEX(Pessoas!$B$5:$B$64,MATCH($B53,Pessoas!$A$5:$A$64,0)),"")</f>
        <v/>
      </c>
      <c r="Q53" s="15">
        <f>IF($A53="","",IFERROR(INDEX('Painel'!$M$5:$M$64,MATCH($B53,'Painel'!$A$5:$A$64,0)),""))</f>
        <v/>
      </c>
    </row>
    <row r="54">
      <c r="A54" s="19" t="n"/>
      <c r="B54" s="19" t="n"/>
      <c r="C54" s="19" t="n"/>
      <c r="D54" s="19" t="n"/>
      <c r="E54" s="19" t="n"/>
      <c r="F54" s="19" t="n"/>
      <c r="G54" s="35" t="n"/>
      <c r="H54" s="18" t="n"/>
      <c r="I54" s="18" t="n"/>
      <c r="J54" s="19" t="n"/>
      <c r="K54" s="19" t="n"/>
      <c r="L54" s="18" t="n"/>
      <c r="M54" s="19" t="n"/>
      <c r="N54" s="14">
        <f>IF($A54="","",IF($I54="","Sim","Não"))</f>
        <v/>
      </c>
      <c r="O54" s="14">
        <f>IF($N54="Sim",$B54,"")</f>
        <v/>
      </c>
      <c r="P54" s="14">
        <f>IFERROR(INDEX(Pessoas!$B$5:$B$64,MATCH($B54,Pessoas!$A$5:$A$64,0)),"")</f>
        <v/>
      </c>
      <c r="Q54" s="15">
        <f>IF($A54="","",IFERROR(INDEX('Painel'!$M$5:$M$64,MATCH($B54,'Painel'!$A$5:$A$64,0)),""))</f>
        <v/>
      </c>
    </row>
    <row r="55">
      <c r="A55" s="19" t="n"/>
      <c r="B55" s="19" t="n"/>
      <c r="C55" s="19" t="n"/>
      <c r="D55" s="19" t="n"/>
      <c r="E55" s="19" t="n"/>
      <c r="F55" s="19" t="n"/>
      <c r="G55" s="35" t="n"/>
      <c r="H55" s="18" t="n"/>
      <c r="I55" s="18" t="n"/>
      <c r="J55" s="19" t="n"/>
      <c r="K55" s="19" t="n"/>
      <c r="L55" s="18" t="n"/>
      <c r="M55" s="19" t="n"/>
      <c r="N55" s="14">
        <f>IF($A55="","",IF($I55="","Sim","Não"))</f>
        <v/>
      </c>
      <c r="O55" s="14">
        <f>IF($N55="Sim",$B55,"")</f>
        <v/>
      </c>
      <c r="P55" s="14">
        <f>IFERROR(INDEX(Pessoas!$B$5:$B$64,MATCH($B55,Pessoas!$A$5:$A$64,0)),"")</f>
        <v/>
      </c>
      <c r="Q55" s="15">
        <f>IF($A55="","",IFERROR(INDEX('Painel'!$M$5:$M$64,MATCH($B55,'Painel'!$A$5:$A$64,0)),""))</f>
        <v/>
      </c>
    </row>
    <row r="56">
      <c r="A56" s="19" t="n"/>
      <c r="B56" s="19" t="n"/>
      <c r="C56" s="19" t="n"/>
      <c r="D56" s="19" t="n"/>
      <c r="E56" s="19" t="n"/>
      <c r="F56" s="19" t="n"/>
      <c r="G56" s="35" t="n"/>
      <c r="H56" s="18" t="n"/>
      <c r="I56" s="18" t="n"/>
      <c r="J56" s="19" t="n"/>
      <c r="K56" s="19" t="n"/>
      <c r="L56" s="18" t="n"/>
      <c r="M56" s="19" t="n"/>
      <c r="N56" s="14">
        <f>IF($A56="","",IF($I56="","Sim","Não"))</f>
        <v/>
      </c>
      <c r="O56" s="14">
        <f>IF($N56="Sim",$B56,"")</f>
        <v/>
      </c>
      <c r="P56" s="14">
        <f>IFERROR(INDEX(Pessoas!$B$5:$B$64,MATCH($B56,Pessoas!$A$5:$A$64,0)),"")</f>
        <v/>
      </c>
      <c r="Q56" s="15">
        <f>IF($A56="","",IFERROR(INDEX('Painel'!$M$5:$M$64,MATCH($B56,'Painel'!$A$5:$A$64,0)),""))</f>
        <v/>
      </c>
    </row>
    <row r="57">
      <c r="A57" s="19" t="n"/>
      <c r="B57" s="19" t="n"/>
      <c r="C57" s="19" t="n"/>
      <c r="D57" s="19" t="n"/>
      <c r="E57" s="19" t="n"/>
      <c r="F57" s="19" t="n"/>
      <c r="G57" s="35" t="n"/>
      <c r="H57" s="18" t="n"/>
      <c r="I57" s="18" t="n"/>
      <c r="J57" s="19" t="n"/>
      <c r="K57" s="19" t="n"/>
      <c r="L57" s="18" t="n"/>
      <c r="M57" s="19" t="n"/>
      <c r="N57" s="14">
        <f>IF($A57="","",IF($I57="","Sim","Não"))</f>
        <v/>
      </c>
      <c r="O57" s="14">
        <f>IF($N57="Sim",$B57,"")</f>
        <v/>
      </c>
      <c r="P57" s="14">
        <f>IFERROR(INDEX(Pessoas!$B$5:$B$64,MATCH($B57,Pessoas!$A$5:$A$64,0)),"")</f>
        <v/>
      </c>
      <c r="Q57" s="15">
        <f>IF($A57="","",IFERROR(INDEX('Painel'!$M$5:$M$64,MATCH($B57,'Painel'!$A$5:$A$64,0)),""))</f>
        <v/>
      </c>
    </row>
    <row r="58">
      <c r="A58" s="19" t="n"/>
      <c r="B58" s="19" t="n"/>
      <c r="C58" s="19" t="n"/>
      <c r="D58" s="19" t="n"/>
      <c r="E58" s="19" t="n"/>
      <c r="F58" s="19" t="n"/>
      <c r="G58" s="35" t="n"/>
      <c r="H58" s="18" t="n"/>
      <c r="I58" s="18" t="n"/>
      <c r="J58" s="19" t="n"/>
      <c r="K58" s="19" t="n"/>
      <c r="L58" s="18" t="n"/>
      <c r="M58" s="19" t="n"/>
      <c r="N58" s="14">
        <f>IF($A58="","",IF($I58="","Sim","Não"))</f>
        <v/>
      </c>
      <c r="O58" s="14">
        <f>IF($N58="Sim",$B58,"")</f>
        <v/>
      </c>
      <c r="P58" s="14">
        <f>IFERROR(INDEX(Pessoas!$B$5:$B$64,MATCH($B58,Pessoas!$A$5:$A$64,0)),"")</f>
        <v/>
      </c>
      <c r="Q58" s="15">
        <f>IF($A58="","",IFERROR(INDEX('Painel'!$M$5:$M$64,MATCH($B58,'Painel'!$A$5:$A$64,0)),""))</f>
        <v/>
      </c>
    </row>
    <row r="59">
      <c r="A59" s="19" t="n"/>
      <c r="B59" s="19" t="n"/>
      <c r="C59" s="19" t="n"/>
      <c r="D59" s="19" t="n"/>
      <c r="E59" s="19" t="n"/>
      <c r="F59" s="19" t="n"/>
      <c r="G59" s="35" t="n"/>
      <c r="H59" s="18" t="n"/>
      <c r="I59" s="18" t="n"/>
      <c r="J59" s="19" t="n"/>
      <c r="K59" s="19" t="n"/>
      <c r="L59" s="18" t="n"/>
      <c r="M59" s="19" t="n"/>
      <c r="N59" s="14">
        <f>IF($A59="","",IF($I59="","Sim","Não"))</f>
        <v/>
      </c>
      <c r="O59" s="14">
        <f>IF($N59="Sim",$B59,"")</f>
        <v/>
      </c>
      <c r="P59" s="14">
        <f>IFERROR(INDEX(Pessoas!$B$5:$B$64,MATCH($B59,Pessoas!$A$5:$A$64,0)),"")</f>
        <v/>
      </c>
      <c r="Q59" s="15">
        <f>IF($A59="","",IFERROR(INDEX('Painel'!$M$5:$M$64,MATCH($B59,'Painel'!$A$5:$A$64,0)),""))</f>
        <v/>
      </c>
    </row>
    <row r="60">
      <c r="A60" s="19" t="n"/>
      <c r="B60" s="19" t="n"/>
      <c r="C60" s="19" t="n"/>
      <c r="D60" s="19" t="n"/>
      <c r="E60" s="19" t="n"/>
      <c r="F60" s="19" t="n"/>
      <c r="G60" s="35" t="n"/>
      <c r="H60" s="18" t="n"/>
      <c r="I60" s="18" t="n"/>
      <c r="J60" s="19" t="n"/>
      <c r="K60" s="19" t="n"/>
      <c r="L60" s="18" t="n"/>
      <c r="M60" s="19" t="n"/>
      <c r="N60" s="14">
        <f>IF($A60="","",IF($I60="","Sim","Não"))</f>
        <v/>
      </c>
      <c r="O60" s="14">
        <f>IF($N60="Sim",$B60,"")</f>
        <v/>
      </c>
      <c r="P60" s="14">
        <f>IFERROR(INDEX(Pessoas!$B$5:$B$64,MATCH($B60,Pessoas!$A$5:$A$64,0)),"")</f>
        <v/>
      </c>
      <c r="Q60" s="15">
        <f>IF($A60="","",IFERROR(INDEX('Painel'!$M$5:$M$64,MATCH($B60,'Painel'!$A$5:$A$64,0)),""))</f>
        <v/>
      </c>
    </row>
    <row r="61">
      <c r="A61" s="19" t="n"/>
      <c r="B61" s="19" t="n"/>
      <c r="C61" s="19" t="n"/>
      <c r="D61" s="19" t="n"/>
      <c r="E61" s="19" t="n"/>
      <c r="F61" s="19" t="n"/>
      <c r="G61" s="35" t="n"/>
      <c r="H61" s="18" t="n"/>
      <c r="I61" s="18" t="n"/>
      <c r="J61" s="19" t="n"/>
      <c r="K61" s="19" t="n"/>
      <c r="L61" s="18" t="n"/>
      <c r="M61" s="19" t="n"/>
      <c r="N61" s="14">
        <f>IF($A61="","",IF($I61="","Sim","Não"))</f>
        <v/>
      </c>
      <c r="O61" s="14">
        <f>IF($N61="Sim",$B61,"")</f>
        <v/>
      </c>
      <c r="P61" s="14">
        <f>IFERROR(INDEX(Pessoas!$B$5:$B$64,MATCH($B61,Pessoas!$A$5:$A$64,0)),"")</f>
        <v/>
      </c>
      <c r="Q61" s="15">
        <f>IF($A61="","",IFERROR(INDEX('Painel'!$M$5:$M$64,MATCH($B61,'Painel'!$A$5:$A$64,0)),""))</f>
        <v/>
      </c>
    </row>
    <row r="62">
      <c r="A62" s="19" t="n"/>
      <c r="B62" s="19" t="n"/>
      <c r="C62" s="19" t="n"/>
      <c r="D62" s="19" t="n"/>
      <c r="E62" s="19" t="n"/>
      <c r="F62" s="19" t="n"/>
      <c r="G62" s="35" t="n"/>
      <c r="H62" s="18" t="n"/>
      <c r="I62" s="18" t="n"/>
      <c r="J62" s="19" t="n"/>
      <c r="K62" s="19" t="n"/>
      <c r="L62" s="18" t="n"/>
      <c r="M62" s="19" t="n"/>
      <c r="N62" s="14">
        <f>IF($A62="","",IF($I62="","Sim","Não"))</f>
        <v/>
      </c>
      <c r="O62" s="14">
        <f>IF($N62="Sim",$B62,"")</f>
        <v/>
      </c>
      <c r="P62" s="14">
        <f>IFERROR(INDEX(Pessoas!$B$5:$B$64,MATCH($B62,Pessoas!$A$5:$A$64,0)),"")</f>
        <v/>
      </c>
      <c r="Q62" s="15">
        <f>IF($A62="","",IFERROR(INDEX('Painel'!$M$5:$M$64,MATCH($B62,'Painel'!$A$5:$A$64,0)),""))</f>
        <v/>
      </c>
    </row>
    <row r="63">
      <c r="A63" s="19" t="n"/>
      <c r="B63" s="19" t="n"/>
      <c r="C63" s="19" t="n"/>
      <c r="D63" s="19" t="n"/>
      <c r="E63" s="19" t="n"/>
      <c r="F63" s="19" t="n"/>
      <c r="G63" s="35" t="n"/>
      <c r="H63" s="18" t="n"/>
      <c r="I63" s="18" t="n"/>
      <c r="J63" s="19" t="n"/>
      <c r="K63" s="19" t="n"/>
      <c r="L63" s="18" t="n"/>
      <c r="M63" s="19" t="n"/>
      <c r="N63" s="14">
        <f>IF($A63="","",IF($I63="","Sim","Não"))</f>
        <v/>
      </c>
      <c r="O63" s="14">
        <f>IF($N63="Sim",$B63,"")</f>
        <v/>
      </c>
      <c r="P63" s="14">
        <f>IFERROR(INDEX(Pessoas!$B$5:$B$64,MATCH($B63,Pessoas!$A$5:$A$64,0)),"")</f>
        <v/>
      </c>
      <c r="Q63" s="15">
        <f>IF($A63="","",IFERROR(INDEX('Painel'!$M$5:$M$64,MATCH($B63,'Painel'!$A$5:$A$64,0)),""))</f>
        <v/>
      </c>
    </row>
    <row r="64">
      <c r="A64" s="19" t="n"/>
      <c r="B64" s="19" t="n"/>
      <c r="C64" s="19" t="n"/>
      <c r="D64" s="19" t="n"/>
      <c r="E64" s="19" t="n"/>
      <c r="F64" s="19" t="n"/>
      <c r="G64" s="35" t="n"/>
      <c r="H64" s="18" t="n"/>
      <c r="I64" s="18" t="n"/>
      <c r="J64" s="19" t="n"/>
      <c r="K64" s="19" t="n"/>
      <c r="L64" s="18" t="n"/>
      <c r="M64" s="19" t="n"/>
      <c r="N64" s="14">
        <f>IF($A64="","",IF($I64="","Sim","Não"))</f>
        <v/>
      </c>
      <c r="O64" s="14">
        <f>IF($N64="Sim",$B64,"")</f>
        <v/>
      </c>
      <c r="P64" s="14">
        <f>IFERROR(INDEX(Pessoas!$B$5:$B$64,MATCH($B64,Pessoas!$A$5:$A$64,0)),"")</f>
        <v/>
      </c>
      <c r="Q64" s="15">
        <f>IF($A64="","",IFERROR(INDEX('Painel'!$M$5:$M$64,MATCH($B64,'Painel'!$A$5:$A$64,0)),""))</f>
        <v/>
      </c>
    </row>
    <row r="65">
      <c r="A65" s="19" t="n"/>
      <c r="B65" s="19" t="n"/>
      <c r="C65" s="19" t="n"/>
      <c r="D65" s="19" t="n"/>
      <c r="E65" s="19" t="n"/>
      <c r="F65" s="19" t="n"/>
      <c r="G65" s="35" t="n"/>
      <c r="H65" s="18" t="n"/>
      <c r="I65" s="18" t="n"/>
      <c r="J65" s="19" t="n"/>
      <c r="K65" s="19" t="n"/>
      <c r="L65" s="18" t="n"/>
      <c r="M65" s="19" t="n"/>
      <c r="N65" s="14">
        <f>IF($A65="","",IF($I65="","Sim","Não"))</f>
        <v/>
      </c>
      <c r="O65" s="14">
        <f>IF($N65="Sim",$B65,"")</f>
        <v/>
      </c>
      <c r="P65" s="14">
        <f>IFERROR(INDEX(Pessoas!$B$5:$B$64,MATCH($B65,Pessoas!$A$5:$A$64,0)),"")</f>
        <v/>
      </c>
      <c r="Q65" s="15">
        <f>IF($A65="","",IFERROR(INDEX('Painel'!$M$5:$M$64,MATCH($B65,'Painel'!$A$5:$A$64,0)),""))</f>
        <v/>
      </c>
    </row>
    <row r="66">
      <c r="A66" s="19" t="n"/>
      <c r="B66" s="19" t="n"/>
      <c r="C66" s="19" t="n"/>
      <c r="D66" s="19" t="n"/>
      <c r="E66" s="19" t="n"/>
      <c r="F66" s="19" t="n"/>
      <c r="G66" s="35" t="n"/>
      <c r="H66" s="18" t="n"/>
      <c r="I66" s="18" t="n"/>
      <c r="J66" s="19" t="n"/>
      <c r="K66" s="19" t="n"/>
      <c r="L66" s="18" t="n"/>
      <c r="M66" s="19" t="n"/>
      <c r="N66" s="14">
        <f>IF($A66="","",IF($I66="","Sim","Não"))</f>
        <v/>
      </c>
      <c r="O66" s="14">
        <f>IF($N66="Sim",$B66,"")</f>
        <v/>
      </c>
      <c r="P66" s="14">
        <f>IFERROR(INDEX(Pessoas!$B$5:$B$64,MATCH($B66,Pessoas!$A$5:$A$64,0)),"")</f>
        <v/>
      </c>
      <c r="Q66" s="15">
        <f>IF($A66="","",IFERROR(INDEX('Painel'!$M$5:$M$64,MATCH($B66,'Painel'!$A$5:$A$64,0)),""))</f>
        <v/>
      </c>
    </row>
    <row r="67">
      <c r="A67" s="19" t="n"/>
      <c r="B67" s="19" t="n"/>
      <c r="C67" s="19" t="n"/>
      <c r="D67" s="19" t="n"/>
      <c r="E67" s="19" t="n"/>
      <c r="F67" s="19" t="n"/>
      <c r="G67" s="35" t="n"/>
      <c r="H67" s="18" t="n"/>
      <c r="I67" s="18" t="n"/>
      <c r="J67" s="19" t="n"/>
      <c r="K67" s="19" t="n"/>
      <c r="L67" s="18" t="n"/>
      <c r="M67" s="19" t="n"/>
      <c r="N67" s="14">
        <f>IF($A67="","",IF($I67="","Sim","Não"))</f>
        <v/>
      </c>
      <c r="O67" s="14">
        <f>IF($N67="Sim",$B67,"")</f>
        <v/>
      </c>
      <c r="P67" s="14">
        <f>IFERROR(INDEX(Pessoas!$B$5:$B$64,MATCH($B67,Pessoas!$A$5:$A$64,0)),"")</f>
        <v/>
      </c>
      <c r="Q67" s="15">
        <f>IF($A67="","",IFERROR(INDEX('Painel'!$M$5:$M$64,MATCH($B67,'Painel'!$A$5:$A$64,0)),""))</f>
        <v/>
      </c>
    </row>
    <row r="68">
      <c r="A68" s="19" t="n"/>
      <c r="B68" s="19" t="n"/>
      <c r="C68" s="19" t="n"/>
      <c r="D68" s="19" t="n"/>
      <c r="E68" s="19" t="n"/>
      <c r="F68" s="19" t="n"/>
      <c r="G68" s="35" t="n"/>
      <c r="H68" s="18" t="n"/>
      <c r="I68" s="18" t="n"/>
      <c r="J68" s="19" t="n"/>
      <c r="K68" s="19" t="n"/>
      <c r="L68" s="18" t="n"/>
      <c r="M68" s="19" t="n"/>
      <c r="N68" s="14">
        <f>IF($A68="","",IF($I68="","Sim","Não"))</f>
        <v/>
      </c>
      <c r="O68" s="14">
        <f>IF($N68="Sim",$B68,"")</f>
        <v/>
      </c>
      <c r="P68" s="14">
        <f>IFERROR(INDEX(Pessoas!$B$5:$B$64,MATCH($B68,Pessoas!$A$5:$A$64,0)),"")</f>
        <v/>
      </c>
      <c r="Q68" s="15">
        <f>IF($A68="","",IFERROR(INDEX('Painel'!$M$5:$M$64,MATCH($B68,'Painel'!$A$5:$A$64,0)),""))</f>
        <v/>
      </c>
    </row>
    <row r="69">
      <c r="A69" s="19" t="n"/>
      <c r="B69" s="19" t="n"/>
      <c r="C69" s="19" t="n"/>
      <c r="D69" s="19" t="n"/>
      <c r="E69" s="19" t="n"/>
      <c r="F69" s="19" t="n"/>
      <c r="G69" s="35" t="n"/>
      <c r="H69" s="18" t="n"/>
      <c r="I69" s="18" t="n"/>
      <c r="J69" s="19" t="n"/>
      <c r="K69" s="19" t="n"/>
      <c r="L69" s="18" t="n"/>
      <c r="M69" s="19" t="n"/>
      <c r="N69" s="14">
        <f>IF($A69="","",IF($I69="","Sim","Não"))</f>
        <v/>
      </c>
      <c r="O69" s="14">
        <f>IF($N69="Sim",$B69,"")</f>
        <v/>
      </c>
      <c r="P69" s="14">
        <f>IFERROR(INDEX(Pessoas!$B$5:$B$64,MATCH($B69,Pessoas!$A$5:$A$64,0)),"")</f>
        <v/>
      </c>
      <c r="Q69" s="15">
        <f>IF($A69="","",IFERROR(INDEX('Painel'!$M$5:$M$64,MATCH($B69,'Painel'!$A$5:$A$64,0)),""))</f>
        <v/>
      </c>
    </row>
    <row r="70">
      <c r="A70" s="19" t="n"/>
      <c r="B70" s="19" t="n"/>
      <c r="C70" s="19" t="n"/>
      <c r="D70" s="19" t="n"/>
      <c r="E70" s="19" t="n"/>
      <c r="F70" s="19" t="n"/>
      <c r="G70" s="35" t="n"/>
      <c r="H70" s="18" t="n"/>
      <c r="I70" s="18" t="n"/>
      <c r="J70" s="19" t="n"/>
      <c r="K70" s="19" t="n"/>
      <c r="L70" s="18" t="n"/>
      <c r="M70" s="19" t="n"/>
      <c r="N70" s="14">
        <f>IF($A70="","",IF($I70="","Sim","Não"))</f>
        <v/>
      </c>
      <c r="O70" s="14">
        <f>IF($N70="Sim",$B70,"")</f>
        <v/>
      </c>
      <c r="P70" s="14">
        <f>IFERROR(INDEX(Pessoas!$B$5:$B$64,MATCH($B70,Pessoas!$A$5:$A$64,0)),"")</f>
        <v/>
      </c>
      <c r="Q70" s="15">
        <f>IF($A70="","",IFERROR(INDEX('Painel'!$M$5:$M$64,MATCH($B70,'Painel'!$A$5:$A$64,0)),""))</f>
        <v/>
      </c>
    </row>
    <row r="71">
      <c r="A71" s="19" t="n"/>
      <c r="B71" s="19" t="n"/>
      <c r="C71" s="19" t="n"/>
      <c r="D71" s="19" t="n"/>
      <c r="E71" s="19" t="n"/>
      <c r="F71" s="19" t="n"/>
      <c r="G71" s="35" t="n"/>
      <c r="H71" s="18" t="n"/>
      <c r="I71" s="18" t="n"/>
      <c r="J71" s="19" t="n"/>
      <c r="K71" s="19" t="n"/>
      <c r="L71" s="18" t="n"/>
      <c r="M71" s="19" t="n"/>
      <c r="N71" s="14">
        <f>IF($A71="","",IF($I71="","Sim","Não"))</f>
        <v/>
      </c>
      <c r="O71" s="14">
        <f>IF($N71="Sim",$B71,"")</f>
        <v/>
      </c>
      <c r="P71" s="14">
        <f>IFERROR(INDEX(Pessoas!$B$5:$B$64,MATCH($B71,Pessoas!$A$5:$A$64,0)),"")</f>
        <v/>
      </c>
      <c r="Q71" s="15">
        <f>IF($A71="","",IFERROR(INDEX('Painel'!$M$5:$M$64,MATCH($B71,'Painel'!$A$5:$A$64,0)),""))</f>
        <v/>
      </c>
    </row>
    <row r="72">
      <c r="A72" s="19" t="n"/>
      <c r="B72" s="19" t="n"/>
      <c r="C72" s="19" t="n"/>
      <c r="D72" s="19" t="n"/>
      <c r="E72" s="19" t="n"/>
      <c r="F72" s="19" t="n"/>
      <c r="G72" s="35" t="n"/>
      <c r="H72" s="18" t="n"/>
      <c r="I72" s="18" t="n"/>
      <c r="J72" s="19" t="n"/>
      <c r="K72" s="19" t="n"/>
      <c r="L72" s="18" t="n"/>
      <c r="M72" s="19" t="n"/>
      <c r="N72" s="14">
        <f>IF($A72="","",IF($I72="","Sim","Não"))</f>
        <v/>
      </c>
      <c r="O72" s="14">
        <f>IF($N72="Sim",$B72,"")</f>
        <v/>
      </c>
      <c r="P72" s="14">
        <f>IFERROR(INDEX(Pessoas!$B$5:$B$64,MATCH($B72,Pessoas!$A$5:$A$64,0)),"")</f>
        <v/>
      </c>
      <c r="Q72" s="15">
        <f>IF($A72="","",IFERROR(INDEX('Painel'!$M$5:$M$64,MATCH($B72,'Painel'!$A$5:$A$64,0)),""))</f>
        <v/>
      </c>
    </row>
    <row r="73">
      <c r="A73" s="19" t="n"/>
      <c r="B73" s="19" t="n"/>
      <c r="C73" s="19" t="n"/>
      <c r="D73" s="19" t="n"/>
      <c r="E73" s="19" t="n"/>
      <c r="F73" s="19" t="n"/>
      <c r="G73" s="35" t="n"/>
      <c r="H73" s="18" t="n"/>
      <c r="I73" s="18" t="n"/>
      <c r="J73" s="19" t="n"/>
      <c r="K73" s="19" t="n"/>
      <c r="L73" s="18" t="n"/>
      <c r="M73" s="19" t="n"/>
      <c r="N73" s="14">
        <f>IF($A73="","",IF($I73="","Sim","Não"))</f>
        <v/>
      </c>
      <c r="O73" s="14">
        <f>IF($N73="Sim",$B73,"")</f>
        <v/>
      </c>
      <c r="P73" s="14">
        <f>IFERROR(INDEX(Pessoas!$B$5:$B$64,MATCH($B73,Pessoas!$A$5:$A$64,0)),"")</f>
        <v/>
      </c>
      <c r="Q73" s="15">
        <f>IF($A73="","",IFERROR(INDEX('Painel'!$M$5:$M$64,MATCH($B73,'Painel'!$A$5:$A$64,0)),""))</f>
        <v/>
      </c>
    </row>
    <row r="74">
      <c r="A74" s="19" t="n"/>
      <c r="B74" s="19" t="n"/>
      <c r="C74" s="19" t="n"/>
      <c r="D74" s="19" t="n"/>
      <c r="E74" s="19" t="n"/>
      <c r="F74" s="19" t="n"/>
      <c r="G74" s="35" t="n"/>
      <c r="H74" s="18" t="n"/>
      <c r="I74" s="18" t="n"/>
      <c r="J74" s="19" t="n"/>
      <c r="K74" s="19" t="n"/>
      <c r="L74" s="18" t="n"/>
      <c r="M74" s="19" t="n"/>
      <c r="N74" s="14">
        <f>IF($A74="","",IF($I74="","Sim","Não"))</f>
        <v/>
      </c>
      <c r="O74" s="14">
        <f>IF($N74="Sim",$B74,"")</f>
        <v/>
      </c>
      <c r="P74" s="14">
        <f>IFERROR(INDEX(Pessoas!$B$5:$B$64,MATCH($B74,Pessoas!$A$5:$A$64,0)),"")</f>
        <v/>
      </c>
      <c r="Q74" s="15">
        <f>IF($A74="","",IFERROR(INDEX('Painel'!$M$5:$M$64,MATCH($B74,'Painel'!$A$5:$A$64,0)),""))</f>
        <v/>
      </c>
    </row>
    <row r="75">
      <c r="A75" s="19" t="n"/>
      <c r="B75" s="19" t="n"/>
      <c r="C75" s="19" t="n"/>
      <c r="D75" s="19" t="n"/>
      <c r="E75" s="19" t="n"/>
      <c r="F75" s="19" t="n"/>
      <c r="G75" s="35" t="n"/>
      <c r="H75" s="18" t="n"/>
      <c r="I75" s="18" t="n"/>
      <c r="J75" s="19" t="n"/>
      <c r="K75" s="19" t="n"/>
      <c r="L75" s="18" t="n"/>
      <c r="M75" s="19" t="n"/>
      <c r="N75" s="14">
        <f>IF($A75="","",IF($I75="","Sim","Não"))</f>
        <v/>
      </c>
      <c r="O75" s="14">
        <f>IF($N75="Sim",$B75,"")</f>
        <v/>
      </c>
      <c r="P75" s="14">
        <f>IFERROR(INDEX(Pessoas!$B$5:$B$64,MATCH($B75,Pessoas!$A$5:$A$64,0)),"")</f>
        <v/>
      </c>
      <c r="Q75" s="15">
        <f>IF($A75="","",IFERROR(INDEX('Painel'!$M$5:$M$64,MATCH($B75,'Painel'!$A$5:$A$64,0)),""))</f>
        <v/>
      </c>
    </row>
    <row r="76">
      <c r="A76" s="19" t="n"/>
      <c r="B76" s="19" t="n"/>
      <c r="C76" s="19" t="n"/>
      <c r="D76" s="19" t="n"/>
      <c r="E76" s="19" t="n"/>
      <c r="F76" s="19" t="n"/>
      <c r="G76" s="35" t="n"/>
      <c r="H76" s="18" t="n"/>
      <c r="I76" s="18" t="n"/>
      <c r="J76" s="19" t="n"/>
      <c r="K76" s="19" t="n"/>
      <c r="L76" s="18" t="n"/>
      <c r="M76" s="19" t="n"/>
      <c r="N76" s="14">
        <f>IF($A76="","",IF($I76="","Sim","Não"))</f>
        <v/>
      </c>
      <c r="O76" s="14">
        <f>IF($N76="Sim",$B76,"")</f>
        <v/>
      </c>
      <c r="P76" s="14">
        <f>IFERROR(INDEX(Pessoas!$B$5:$B$64,MATCH($B76,Pessoas!$A$5:$A$64,0)),"")</f>
        <v/>
      </c>
      <c r="Q76" s="15">
        <f>IF($A76="","",IFERROR(INDEX('Painel'!$M$5:$M$64,MATCH($B76,'Painel'!$A$5:$A$64,0)),""))</f>
        <v/>
      </c>
    </row>
    <row r="77">
      <c r="A77" s="19" t="n"/>
      <c r="B77" s="19" t="n"/>
      <c r="C77" s="19" t="n"/>
      <c r="D77" s="19" t="n"/>
      <c r="E77" s="19" t="n"/>
      <c r="F77" s="19" t="n"/>
      <c r="G77" s="35" t="n"/>
      <c r="H77" s="18" t="n"/>
      <c r="I77" s="18" t="n"/>
      <c r="J77" s="19" t="n"/>
      <c r="K77" s="19" t="n"/>
      <c r="L77" s="18" t="n"/>
      <c r="M77" s="19" t="n"/>
      <c r="N77" s="14">
        <f>IF($A77="","",IF($I77="","Sim","Não"))</f>
        <v/>
      </c>
      <c r="O77" s="14">
        <f>IF($N77="Sim",$B77,"")</f>
        <v/>
      </c>
      <c r="P77" s="14">
        <f>IFERROR(INDEX(Pessoas!$B$5:$B$64,MATCH($B77,Pessoas!$A$5:$A$64,0)),"")</f>
        <v/>
      </c>
      <c r="Q77" s="15">
        <f>IF($A77="","",IFERROR(INDEX('Painel'!$M$5:$M$64,MATCH($B77,'Painel'!$A$5:$A$64,0)),""))</f>
        <v/>
      </c>
    </row>
    <row r="78">
      <c r="A78" s="19" t="n"/>
      <c r="B78" s="19" t="n"/>
      <c r="C78" s="19" t="n"/>
      <c r="D78" s="19" t="n"/>
      <c r="E78" s="19" t="n"/>
      <c r="F78" s="19" t="n"/>
      <c r="G78" s="35" t="n"/>
      <c r="H78" s="18" t="n"/>
      <c r="I78" s="18" t="n"/>
      <c r="J78" s="19" t="n"/>
      <c r="K78" s="19" t="n"/>
      <c r="L78" s="18" t="n"/>
      <c r="M78" s="19" t="n"/>
      <c r="N78" s="14">
        <f>IF($A78="","",IF($I78="","Sim","Não"))</f>
        <v/>
      </c>
      <c r="O78" s="14">
        <f>IF($N78="Sim",$B78,"")</f>
        <v/>
      </c>
      <c r="P78" s="14">
        <f>IFERROR(INDEX(Pessoas!$B$5:$B$64,MATCH($B78,Pessoas!$A$5:$A$64,0)),"")</f>
        <v/>
      </c>
      <c r="Q78" s="15">
        <f>IF($A78="","",IFERROR(INDEX('Painel'!$M$5:$M$64,MATCH($B78,'Painel'!$A$5:$A$64,0)),""))</f>
        <v/>
      </c>
    </row>
    <row r="79">
      <c r="A79" s="19" t="n"/>
      <c r="B79" s="19" t="n"/>
      <c r="C79" s="19" t="n"/>
      <c r="D79" s="19" t="n"/>
      <c r="E79" s="19" t="n"/>
      <c r="F79" s="19" t="n"/>
      <c r="G79" s="35" t="n"/>
      <c r="H79" s="18" t="n"/>
      <c r="I79" s="18" t="n"/>
      <c r="J79" s="19" t="n"/>
      <c r="K79" s="19" t="n"/>
      <c r="L79" s="18" t="n"/>
      <c r="M79" s="19" t="n"/>
      <c r="N79" s="14">
        <f>IF($A79="","",IF($I79="","Sim","Não"))</f>
        <v/>
      </c>
      <c r="O79" s="14">
        <f>IF($N79="Sim",$B79,"")</f>
        <v/>
      </c>
      <c r="P79" s="14">
        <f>IFERROR(INDEX(Pessoas!$B$5:$B$64,MATCH($B79,Pessoas!$A$5:$A$64,0)),"")</f>
        <v/>
      </c>
      <c r="Q79" s="15">
        <f>IF($A79="","",IFERROR(INDEX('Painel'!$M$5:$M$64,MATCH($B79,'Painel'!$A$5:$A$64,0)),""))</f>
        <v/>
      </c>
    </row>
    <row r="80">
      <c r="A80" s="19" t="n"/>
      <c r="B80" s="19" t="n"/>
      <c r="C80" s="19" t="n"/>
      <c r="D80" s="19" t="n"/>
      <c r="E80" s="19" t="n"/>
      <c r="F80" s="19" t="n"/>
      <c r="G80" s="35" t="n"/>
      <c r="H80" s="18" t="n"/>
      <c r="I80" s="18" t="n"/>
      <c r="J80" s="19" t="n"/>
      <c r="K80" s="19" t="n"/>
      <c r="L80" s="18" t="n"/>
      <c r="M80" s="19" t="n"/>
      <c r="N80" s="14">
        <f>IF($A80="","",IF($I80="","Sim","Não"))</f>
        <v/>
      </c>
      <c r="O80" s="14">
        <f>IF($N80="Sim",$B80,"")</f>
        <v/>
      </c>
      <c r="P80" s="14">
        <f>IFERROR(INDEX(Pessoas!$B$5:$B$64,MATCH($B80,Pessoas!$A$5:$A$64,0)),"")</f>
        <v/>
      </c>
      <c r="Q80" s="15">
        <f>IF($A80="","",IFERROR(INDEX('Painel'!$M$5:$M$64,MATCH($B80,'Painel'!$A$5:$A$64,0)),""))</f>
        <v/>
      </c>
    </row>
    <row r="81">
      <c r="A81" s="19" t="n"/>
      <c r="B81" s="19" t="n"/>
      <c r="C81" s="19" t="n"/>
      <c r="D81" s="19" t="n"/>
      <c r="E81" s="19" t="n"/>
      <c r="F81" s="19" t="n"/>
      <c r="G81" s="35" t="n"/>
      <c r="H81" s="18" t="n"/>
      <c r="I81" s="18" t="n"/>
      <c r="J81" s="19" t="n"/>
      <c r="K81" s="19" t="n"/>
      <c r="L81" s="18" t="n"/>
      <c r="M81" s="19" t="n"/>
      <c r="N81" s="14">
        <f>IF($A81="","",IF($I81="","Sim","Não"))</f>
        <v/>
      </c>
      <c r="O81" s="14">
        <f>IF($N81="Sim",$B81,"")</f>
        <v/>
      </c>
      <c r="P81" s="14">
        <f>IFERROR(INDEX(Pessoas!$B$5:$B$64,MATCH($B81,Pessoas!$A$5:$A$64,0)),"")</f>
        <v/>
      </c>
      <c r="Q81" s="15">
        <f>IF($A81="","",IFERROR(INDEX('Painel'!$M$5:$M$64,MATCH($B81,'Painel'!$A$5:$A$64,0)),""))</f>
        <v/>
      </c>
    </row>
    <row r="82">
      <c r="A82" s="19" t="n"/>
      <c r="B82" s="19" t="n"/>
      <c r="C82" s="19" t="n"/>
      <c r="D82" s="19" t="n"/>
      <c r="E82" s="19" t="n"/>
      <c r="F82" s="19" t="n"/>
      <c r="G82" s="35" t="n"/>
      <c r="H82" s="18" t="n"/>
      <c r="I82" s="18" t="n"/>
      <c r="J82" s="19" t="n"/>
      <c r="K82" s="19" t="n"/>
      <c r="L82" s="18" t="n"/>
      <c r="M82" s="19" t="n"/>
      <c r="N82" s="14">
        <f>IF($A82="","",IF($I82="","Sim","Não"))</f>
        <v/>
      </c>
      <c r="O82" s="14">
        <f>IF($N82="Sim",$B82,"")</f>
        <v/>
      </c>
      <c r="P82" s="14">
        <f>IFERROR(INDEX(Pessoas!$B$5:$B$64,MATCH($B82,Pessoas!$A$5:$A$64,0)),"")</f>
        <v/>
      </c>
      <c r="Q82" s="15">
        <f>IF($A82="","",IFERROR(INDEX('Painel'!$M$5:$M$64,MATCH($B82,'Painel'!$A$5:$A$64,0)),""))</f>
        <v/>
      </c>
    </row>
    <row r="83">
      <c r="A83" s="19" t="n"/>
      <c r="B83" s="19" t="n"/>
      <c r="C83" s="19" t="n"/>
      <c r="D83" s="19" t="n"/>
      <c r="E83" s="19" t="n"/>
      <c r="F83" s="19" t="n"/>
      <c r="G83" s="35" t="n"/>
      <c r="H83" s="18" t="n"/>
      <c r="I83" s="18" t="n"/>
      <c r="J83" s="19" t="n"/>
      <c r="K83" s="19" t="n"/>
      <c r="L83" s="18" t="n"/>
      <c r="M83" s="19" t="n"/>
      <c r="N83" s="14">
        <f>IF($A83="","",IF($I83="","Sim","Não"))</f>
        <v/>
      </c>
      <c r="O83" s="14">
        <f>IF($N83="Sim",$B83,"")</f>
        <v/>
      </c>
      <c r="P83" s="14">
        <f>IFERROR(INDEX(Pessoas!$B$5:$B$64,MATCH($B83,Pessoas!$A$5:$A$64,0)),"")</f>
        <v/>
      </c>
      <c r="Q83" s="15">
        <f>IF($A83="","",IFERROR(INDEX('Painel'!$M$5:$M$64,MATCH($B83,'Painel'!$A$5:$A$64,0)),""))</f>
        <v/>
      </c>
    </row>
    <row r="84">
      <c r="A84" s="19" t="n"/>
      <c r="B84" s="19" t="n"/>
      <c r="C84" s="19" t="n"/>
      <c r="D84" s="19" t="n"/>
      <c r="E84" s="19" t="n"/>
      <c r="F84" s="19" t="n"/>
      <c r="G84" s="35" t="n"/>
      <c r="H84" s="18" t="n"/>
      <c r="I84" s="18" t="n"/>
      <c r="J84" s="19" t="n"/>
      <c r="K84" s="19" t="n"/>
      <c r="L84" s="18" t="n"/>
      <c r="M84" s="19" t="n"/>
      <c r="N84" s="14">
        <f>IF($A84="","",IF($I84="","Sim","Não"))</f>
        <v/>
      </c>
      <c r="O84" s="14">
        <f>IF($N84="Sim",$B84,"")</f>
        <v/>
      </c>
      <c r="P84" s="14">
        <f>IFERROR(INDEX(Pessoas!$B$5:$B$64,MATCH($B84,Pessoas!$A$5:$A$64,0)),"")</f>
        <v/>
      </c>
      <c r="Q84" s="15">
        <f>IF($A84="","",IFERROR(INDEX('Painel'!$M$5:$M$64,MATCH($B84,'Painel'!$A$5:$A$64,0)),""))</f>
        <v/>
      </c>
    </row>
  </sheetData>
  <autoFilter ref="A4:Q84"/>
  <dataValidations count="3">
    <dataValidation sqref="C5:C84" showDropDown="0" showInputMessage="0" showErrorMessage="0" allowBlank="1" type="list">
      <formula1>=Config!$M$13:$M$20</formula1>
    </dataValidation>
    <dataValidation sqref="D5:D84" showDropDown="0" showInputMessage="0" showErrorMessage="0" allowBlank="1" type="list">
      <formula1>=Config!$N$13:$N$20</formula1>
    </dataValidation>
    <dataValidation sqref="F5:F84" showDropDown="0" showInputMessage="0" showErrorMessage="0" allowBlank="1" type="list">
      <formula1>=Config!$L$13:$L$16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2" customWidth="1" min="3" max="3"/>
    <col width="16" customWidth="1" min="4" max="4"/>
    <col width="40" customWidth="1" min="5" max="5"/>
    <col width="40" customWidth="1" min="6" max="6"/>
    <col width="42" customWidth="1" min="7" max="7"/>
    <col width="40" customWidth="1" min="8" max="8"/>
    <col width="40" customWidth="1" min="9" max="9"/>
    <col width="1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22" customHeight="1">
      <c r="A1" s="1" t="inlineStr">
        <is>
          <t>Configuração do modelo</t>
        </is>
      </c>
    </row>
    <row r="2">
      <c r="A2" s="2" t="inlineStr">
        <is>
          <t>Ajuste aqui uma vez. Toda a planilha lê desta aba.</t>
        </is>
      </c>
    </row>
    <row r="3"/>
    <row r="4">
      <c r="A4" s="21" t="inlineStr">
        <is>
          <t>Ciclo ativo</t>
        </is>
      </c>
      <c r="B4" s="36" t="inlineStr">
        <is>
          <t>2026-Q3</t>
        </is>
      </c>
      <c r="C4" s="2" t="inlineStr">
        <is>
          <t>Trimestre em avaliação. Formato AAAA-Qn.</t>
        </is>
      </c>
    </row>
    <row r="5">
      <c r="A5" s="21" t="inlineStr">
        <is>
          <t>Ciclo inicial do uso</t>
        </is>
      </c>
      <c r="B5" s="36" t="inlineStr">
        <is>
          <t>2026-Q3</t>
        </is>
      </c>
      <c r="C5" s="2" t="inlineStr">
        <is>
          <t>Alertas que dependem de histórico ficam suprimidos até haver ciclos suficientes.</t>
        </is>
      </c>
    </row>
    <row r="6">
      <c r="A6" s="21" t="inlineStr">
        <is>
          <t>Hoje</t>
        </is>
      </c>
      <c r="B6" s="37">
        <f>TODAY()</f>
        <v/>
      </c>
      <c r="C6" s="2" t="inlineStr">
        <is>
          <t>Único TODAY() do arquivo. Toda a planilha lê desta célula — volátil por linha suja a cadeia inteira a cada digitação.</t>
        </is>
      </c>
    </row>
    <row r="7">
      <c r="A7" s="21" t="inlineStr">
        <is>
          <t>Índice do ciclo ativo</t>
        </is>
      </c>
      <c r="B7" s="24">
        <f>VALUE(LEFT($B$4,4))*4+VALUE(RIGHT($B$4,1))</f>
        <v/>
      </c>
      <c r="C7" s="2" t="inlineStr">
        <is>
          <t>Inteiro. Nenhuma comparação temporal usa o texto do ciclo.</t>
        </is>
      </c>
    </row>
    <row r="8">
      <c r="A8" s="21" t="inlineStr">
        <is>
          <t>Índice do ciclo inicial</t>
        </is>
      </c>
      <c r="B8" s="24">
        <f>VALUE(LEFT($B$5,4))*4+VALUE(RIGHT($B$5,1))</f>
        <v/>
      </c>
    </row>
    <row r="9">
      <c r="A9" s="21" t="inlineStr">
        <is>
          <t>Ciclos decorridos</t>
        </is>
      </c>
      <c r="B9" s="24">
        <f>$B$7-$B$8+1</f>
        <v/>
      </c>
    </row>
    <row r="10"/>
    <row r="11">
      <c r="A11" s="3" t="inlineStr">
        <is>
          <t>ESCALA — 1 a 5, sem meio ponto, com N/O obrigatório</t>
        </is>
      </c>
      <c r="B11" s="4" t="n"/>
      <c r="C11" s="4" t="n"/>
      <c r="K11" s="25" t="inlineStr">
        <is>
          <t>LISTAS — alimentam os menus. Acrescente valores no fim de cada coluna.</t>
        </is>
      </c>
    </row>
    <row r="12" ht="32" customHeight="1">
      <c r="A12" s="12" t="inlineStr">
        <is>
          <t>Nota</t>
        </is>
      </c>
      <c r="B12" s="12" t="inlineStr">
        <is>
          <t>Rótulo</t>
        </is>
      </c>
      <c r="C12" s="12" t="inlineStr">
        <is>
          <t>O que significa</t>
        </is>
      </c>
      <c r="K12" s="12" t="inlineStr">
        <is>
          <t>Senioridade</t>
        </is>
      </c>
      <c r="L12" s="12" t="inlineStr">
        <is>
          <t>Papel</t>
        </is>
      </c>
      <c r="M12" s="12" t="inlineStr">
        <is>
          <t>Squad</t>
        </is>
      </c>
      <c r="N12" s="12" t="inlineStr">
        <is>
          <t>Contrato</t>
        </is>
      </c>
      <c r="O12" s="12" t="inlineStr">
        <is>
          <t>Tipo</t>
        </is>
      </c>
      <c r="P12" s="12" t="inlineStr">
        <is>
          <t>Impacto</t>
        </is>
      </c>
      <c r="Q12" s="12" t="inlineStr">
        <is>
          <t>Confidenc.</t>
        </is>
      </c>
      <c r="R12" s="12" t="inlineStr">
        <is>
          <t>Sim/Não</t>
        </is>
      </c>
      <c r="S12" s="12" t="inlineStr">
        <is>
          <t>Autor</t>
        </is>
      </c>
      <c r="T12" s="12" t="inlineStr">
        <is>
          <t>Base obs.</t>
        </is>
      </c>
      <c r="U12" s="12" t="inlineStr">
        <is>
          <t>Reação</t>
        </is>
      </c>
      <c r="V12" s="12" t="inlineStr">
        <is>
          <t>Prazo</t>
        </is>
      </c>
      <c r="W12" s="12" t="inlineStr">
        <is>
          <t>Status PDI</t>
        </is>
      </c>
      <c r="X12" s="12" t="inlineStr">
        <is>
          <t>Notas</t>
        </is>
      </c>
      <c r="Y12" s="12" t="inlineStr">
        <is>
          <t>Competências</t>
        </is>
      </c>
      <c r="Z12" s="12" t="inlineStr">
        <is>
          <t>Ciclos</t>
        </is>
      </c>
    </row>
    <row r="13" ht="22" customHeight="1">
      <c r="A13" s="38" t="n">
        <v>1</v>
      </c>
      <c r="B13" s="39" t="inlineStr">
        <is>
          <t>Abaixo crítico</t>
        </is>
      </c>
      <c r="C13" s="39" t="inlineStr">
        <is>
          <t>Gera dano ou retrabalho recorrente. Exige plano de ação formal.</t>
        </is>
      </c>
      <c r="K13" s="8" t="inlineStr">
        <is>
          <t>Júnior</t>
        </is>
      </c>
      <c r="L13" s="8" t="inlineStr">
        <is>
          <t>Dev/QA</t>
        </is>
      </c>
      <c r="M13" s="8" t="inlineStr">
        <is>
          <t>Alfa</t>
        </is>
      </c>
      <c r="N13" s="8" t="inlineStr">
        <is>
          <t>Contrato A</t>
        </is>
      </c>
      <c r="O13" s="8" t="inlineStr">
        <is>
          <t>Reconhecimento</t>
        </is>
      </c>
      <c r="P13" s="8" t="inlineStr">
        <is>
          <t>Cliente</t>
        </is>
      </c>
      <c r="Q13" s="8" t="inlineStr">
        <is>
          <t>Squad</t>
        </is>
      </c>
      <c r="R13" s="8" t="inlineStr">
        <is>
          <t>Sim</t>
        </is>
      </c>
      <c r="S13" s="8" t="inlineStr">
        <is>
          <t>GP</t>
        </is>
      </c>
      <c r="T13" s="8" t="inlineStr">
        <is>
          <t>Diária</t>
        </is>
      </c>
      <c r="U13" s="8" t="inlineStr">
        <is>
          <t>Reconheceu</t>
        </is>
      </c>
      <c r="V13" s="8" t="inlineStr">
        <is>
          <t>7 dias</t>
        </is>
      </c>
      <c r="W13" s="8" t="inlineStr">
        <is>
          <t>Não iniciado</t>
        </is>
      </c>
      <c r="X13" s="8" t="inlineStr">
        <is>
          <t>1</t>
        </is>
      </c>
      <c r="Y13" s="8" t="inlineStr">
        <is>
          <t>Previsibilidade</t>
        </is>
      </c>
      <c r="Z13" s="8" t="inlineStr">
        <is>
          <t>2026-Q1</t>
        </is>
      </c>
    </row>
    <row r="14" ht="22" customHeight="1">
      <c r="A14" s="38" t="n">
        <v>2</v>
      </c>
      <c r="B14" s="39" t="inlineStr">
        <is>
          <t>Abaixo do esperado</t>
        </is>
      </c>
      <c r="C14" s="39" t="inlineStr">
        <is>
          <t>Precisa de suporte acima do normal para o nível.</t>
        </is>
      </c>
      <c r="K14" s="8" t="inlineStr">
        <is>
          <t>Pleno</t>
        </is>
      </c>
      <c r="L14" s="8" t="inlineStr">
        <is>
          <t>Líder Técnico</t>
        </is>
      </c>
      <c r="M14" s="8" t="inlineStr">
        <is>
          <t>Beta</t>
        </is>
      </c>
      <c r="N14" s="8" t="inlineStr">
        <is>
          <t>Contrato B</t>
        </is>
      </c>
      <c r="O14" s="8" t="inlineStr">
        <is>
          <t>Positiva</t>
        </is>
      </c>
      <c r="P14" s="8" t="inlineStr">
        <is>
          <t>Equipe</t>
        </is>
      </c>
      <c r="Q14" s="8" t="inlineStr">
        <is>
          <t>Gestão</t>
        </is>
      </c>
      <c r="R14" s="8" t="inlineStr">
        <is>
          <t>Não</t>
        </is>
      </c>
      <c r="S14" s="8" t="inlineStr">
        <is>
          <t>Líder Técnico</t>
        </is>
      </c>
      <c r="T14" s="8" t="inlineStr">
        <is>
          <t>Cerimônias</t>
        </is>
      </c>
      <c r="U14" s="8" t="inlineStr">
        <is>
          <t>Discordou</t>
        </is>
      </c>
      <c r="V14" s="8" t="inlineStr">
        <is>
          <t>14 dias</t>
        </is>
      </c>
      <c r="W14" s="8" t="inlineStr">
        <is>
          <t>Em andamento</t>
        </is>
      </c>
      <c r="X14" s="8" t="inlineStr">
        <is>
          <t>2</t>
        </is>
      </c>
      <c r="Y14" s="8" t="inlineStr">
        <is>
          <t>Qualidade da entrega</t>
        </is>
      </c>
      <c r="Z14" s="8" t="inlineStr">
        <is>
          <t>2026-Q2</t>
        </is>
      </c>
    </row>
    <row r="15" ht="22" customHeight="1">
      <c r="A15" s="38" t="n">
        <v>3</v>
      </c>
      <c r="B15" s="39" t="inlineStr">
        <is>
          <t>Atende</t>
        </is>
      </c>
      <c r="C15" s="39" t="inlineStr">
        <is>
          <t>Faz o esperado da senioridade, de forma consistente. É a nota saudável, não é nota ruim.</t>
        </is>
      </c>
      <c r="K15" s="8" t="inlineStr">
        <is>
          <t>Sênior</t>
        </is>
      </c>
      <c r="L15" s="8" t="inlineStr">
        <is>
          <t>PO/BA</t>
        </is>
      </c>
      <c r="M15" s="8" t="inlineStr">
        <is>
          <t>Delta</t>
        </is>
      </c>
      <c r="N15" s="8" t="inlineStr">
        <is>
          <t>Contrato C</t>
        </is>
      </c>
      <c r="O15" s="8" t="inlineStr">
        <is>
          <t>Ponto de atenção</t>
        </is>
      </c>
      <c r="P15" s="8" t="inlineStr">
        <is>
          <t>Entrega</t>
        </is>
      </c>
      <c r="R15" s="8" t="inlineStr">
        <is>
          <t>Parcial</t>
        </is>
      </c>
      <c r="T15" s="8" t="inlineStr">
        <is>
          <t>Esporádica</t>
        </is>
      </c>
      <c r="U15" s="8" t="inlineStr">
        <is>
          <t>Trouxe contexto</t>
        </is>
      </c>
      <c r="V15" s="8" t="inlineStr">
        <is>
          <t>1 ciclo</t>
        </is>
      </c>
      <c r="W15" s="8" t="inlineStr">
        <is>
          <t>Concluído</t>
        </is>
      </c>
      <c r="X15" s="8" t="inlineStr">
        <is>
          <t>3</t>
        </is>
      </c>
      <c r="Y15" s="8" t="inlineStr">
        <is>
          <t>Domínio técnico</t>
        </is>
      </c>
      <c r="Z15" s="8" t="inlineStr">
        <is>
          <t>2026-Q3</t>
        </is>
      </c>
    </row>
    <row r="16" ht="22" customHeight="1">
      <c r="A16" s="38" t="n">
        <v>4</v>
      </c>
      <c r="B16" s="39" t="inlineStr">
        <is>
          <t>Supera</t>
        </is>
      </c>
      <c r="C16" s="39" t="inlineStr">
        <is>
          <t>Entrega acima do nível em situações reais e repetidas.</t>
        </is>
      </c>
      <c r="K16" s="8" t="inlineStr">
        <is>
          <t>Especialista</t>
        </is>
      </c>
      <c r="L16" s="8" t="inlineStr">
        <is>
          <t>UX</t>
        </is>
      </c>
      <c r="O16" s="8" t="inlineStr">
        <is>
          <t>Incidente</t>
        </is>
      </c>
      <c r="P16" s="8" t="inlineStr">
        <is>
          <t>Nenhum</t>
        </is>
      </c>
      <c r="T16" s="8" t="inlineStr">
        <is>
          <t>Insuficiente</t>
        </is>
      </c>
      <c r="W16" s="8" t="inlineStr">
        <is>
          <t>Cancelado</t>
        </is>
      </c>
      <c r="X16" s="8" t="inlineStr">
        <is>
          <t>4</t>
        </is>
      </c>
      <c r="Y16" s="8" t="inlineStr">
        <is>
          <t>Design de solução</t>
        </is>
      </c>
      <c r="Z16" s="8" t="inlineStr">
        <is>
          <t>2026-Q4</t>
        </is>
      </c>
    </row>
    <row r="17" ht="22" customHeight="1">
      <c r="A17" s="38" t="n">
        <v>5</v>
      </c>
      <c r="B17" s="39" t="inlineStr">
        <is>
          <t>Referência</t>
        </is>
      </c>
      <c r="C17" s="39" t="inlineStr">
        <is>
          <t>Vira padrão para o time; outros copiam a prática.</t>
        </is>
      </c>
      <c r="O17" s="8" t="inlineStr">
        <is>
          <t>Ausência / Disponibilidade</t>
        </is>
      </c>
      <c r="X17" s="8" t="inlineStr">
        <is>
          <t>5</t>
        </is>
      </c>
      <c r="Y17" s="8" t="inlineStr">
        <is>
          <t>Comunicação e colaboração</t>
        </is>
      </c>
      <c r="Z17" s="8" t="inlineStr">
        <is>
          <t>2027-Q1</t>
        </is>
      </c>
    </row>
    <row r="18" ht="22" customHeight="1">
      <c r="A18" s="38" t="inlineStr">
        <is>
          <t>N/O</t>
        </is>
      </c>
      <c r="B18" s="39" t="inlineStr">
        <is>
          <t>Não observado</t>
        </is>
      </c>
      <c r="C18" s="39" t="inlineStr">
        <is>
          <t>Sai do cálculo. Deixar em branco é resposta legítima e melhor que chutar.</t>
        </is>
      </c>
      <c r="O18" s="8" t="inlineStr">
        <is>
          <t>Contexto atenuante</t>
        </is>
      </c>
      <c r="X18" s="8" t="inlineStr">
        <is>
          <t>N/O</t>
        </is>
      </c>
      <c r="Y18" s="8" t="inlineStr">
        <is>
          <t>Autonomia e ownership</t>
        </is>
      </c>
      <c r="Z18" s="8" t="inlineStr">
        <is>
          <t>2027-Q2</t>
        </is>
      </c>
    </row>
    <row r="19"/>
    <row r="20">
      <c r="A20" s="3" t="inlineStr">
        <is>
          <t>PESOS POR EIXO — únicos. Papel é contexto exibido, nunca multiplicador.</t>
        </is>
      </c>
      <c r="B20" s="4" t="n"/>
      <c r="C20" s="4" t="n"/>
    </row>
    <row r="21" ht="32" customHeight="1">
      <c r="A21" s="12" t="inlineStr">
        <is>
          <t>Eixo</t>
        </is>
      </c>
      <c r="B21" s="12" t="inlineStr">
        <is>
          <t>Peso</t>
        </is>
      </c>
      <c r="C21" s="12" t="inlineStr">
        <is>
          <t>Por que o papel não entra</t>
        </is>
      </c>
    </row>
    <row r="22">
      <c r="A22" s="40" t="inlineStr">
        <is>
          <t>A — Entrega</t>
        </is>
      </c>
      <c r="B22" s="41" t="n">
        <v>0.35</v>
      </c>
      <c r="C22" s="42" t="inlineStr">
        <is>
          <t>Quem é Dev num contrato e Tech Lead em outro não tem UM papel. Peso por papel produziria número diferente conforme a alocação lida primeiro — sem avisar.</t>
        </is>
      </c>
    </row>
    <row r="23">
      <c r="A23" s="40" t="inlineStr">
        <is>
          <t>B — Técnico</t>
        </is>
      </c>
      <c r="B23" s="41" t="n">
        <v>0.3</v>
      </c>
    </row>
    <row r="24">
      <c r="A24" s="40" t="inlineStr">
        <is>
          <t>C — Colaboração</t>
        </is>
      </c>
      <c r="B24" s="41" t="n">
        <v>0.2</v>
      </c>
    </row>
    <row r="25">
      <c r="A25" s="40" t="inlineStr">
        <is>
          <t>D — Autonomia</t>
        </is>
      </c>
      <c r="B25" s="41" t="n">
        <v>0.15</v>
      </c>
    </row>
    <row r="26">
      <c r="A26" s="43" t="inlineStr">
        <is>
          <t>Soma (deve ser 100%)</t>
        </is>
      </c>
      <c r="B26" s="44">
        <f>SUM($B$22:$B$25)</f>
        <v/>
      </c>
    </row>
    <row r="27"/>
    <row r="28">
      <c r="A28" s="3" t="inlineStr">
        <is>
          <t>EXPECTATIVA POR SENIORIDADE — premissa v0, NÃO CALIBRADA. Confirme antes de decidir mérito.</t>
        </is>
      </c>
      <c r="B28" s="4" t="n"/>
      <c r="C28" s="4" t="n"/>
      <c r="D28" s="4" t="n"/>
    </row>
    <row r="29" ht="32" customHeight="1">
      <c r="A29" s="12" t="inlineStr">
        <is>
          <t>Senioridade</t>
        </is>
      </c>
      <c r="B29" s="12" t="inlineStr">
        <is>
          <t>Expectativa</t>
        </is>
      </c>
      <c r="C29" s="12" t="inlineStr">
        <is>
          <t>Confirmado por</t>
        </is>
      </c>
      <c r="D29" s="12" t="inlineStr">
        <is>
          <t>Confirmado em</t>
        </is>
      </c>
    </row>
    <row r="30">
      <c r="A30" s="40" t="inlineStr">
        <is>
          <t>Júnior</t>
        </is>
      </c>
      <c r="B30" s="45" t="n">
        <v>2.7</v>
      </c>
      <c r="C30" s="8" t="n"/>
      <c r="D30" s="46" t="n"/>
    </row>
    <row r="31">
      <c r="A31" s="40" t="inlineStr">
        <is>
          <t>Pleno</t>
        </is>
      </c>
      <c r="B31" s="45" t="n">
        <v>3</v>
      </c>
      <c r="C31" s="8" t="n"/>
      <c r="D31" s="46" t="n"/>
    </row>
    <row r="32">
      <c r="A32" s="40" t="inlineStr">
        <is>
          <t>Sênior</t>
        </is>
      </c>
      <c r="B32" s="45" t="n">
        <v>3.2</v>
      </c>
      <c r="C32" s="8" t="n"/>
      <c r="D32" s="46" t="n"/>
    </row>
    <row r="33">
      <c r="A33" s="40" t="inlineStr">
        <is>
          <t>Especialista</t>
        </is>
      </c>
      <c r="B33" s="45" t="n">
        <v>3.4</v>
      </c>
      <c r="C33" s="8" t="n"/>
      <c r="D33" s="46" t="n"/>
    </row>
    <row r="34"/>
    <row r="35">
      <c r="A35" s="42" t="inlineStr">
        <is>
          <t>Estes números são ponto de partida desta versão, não benchmark de mercado. Vieram do modelo, não de medição. Calibre ao fim do primeiro ciclo real e registre quem confirmou.</t>
        </is>
      </c>
    </row>
    <row r="36"/>
    <row r="37"/>
    <row r="38">
      <c r="A38" s="3" t="inlineStr">
        <is>
          <t>COMPETÊNCIAS E ÂNCORAS — a nota é sempre relativa à senioridade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32" customHeight="1">
      <c r="A39" s="12" t="inlineStr">
        <is>
          <t>ID</t>
        </is>
      </c>
      <c r="B39" s="12" t="inlineStr">
        <is>
          <t>Eixo</t>
        </is>
      </c>
      <c r="C39" s="12" t="inlineStr">
        <is>
          <t>Competência</t>
        </is>
      </c>
      <c r="D39" s="12" t="inlineStr">
        <is>
          <t>Avaliador dono</t>
        </is>
      </c>
      <c r="E39" s="12" t="inlineStr">
        <is>
          <t>1 — Abaixo crítico</t>
        </is>
      </c>
      <c r="F39" s="12" t="inlineStr">
        <is>
          <t>2 — Abaixo</t>
        </is>
      </c>
      <c r="G39" s="12" t="inlineStr">
        <is>
          <t>3 — Atende (esperado do nível)</t>
        </is>
      </c>
      <c r="H39" s="12" t="inlineStr">
        <is>
          <t>4 — Supera</t>
        </is>
      </c>
      <c r="I39" s="12" t="inlineStr">
        <is>
          <t>5 — Referência</t>
        </is>
      </c>
    </row>
    <row r="40" ht="54" customHeight="1">
      <c r="A40" s="39" t="inlineStr">
        <is>
          <t>C01</t>
        </is>
      </c>
      <c r="B40" s="39" t="inlineStr">
        <is>
          <t>A — Entrega</t>
        </is>
      </c>
      <c r="C40" s="38" t="inlineStr">
        <is>
          <t>Previsibilidade</t>
        </is>
      </c>
      <c r="D40" s="39" t="inlineStr">
        <is>
          <t>GP</t>
        </is>
      </c>
      <c r="E40" s="39" t="inlineStr">
        <is>
          <t>Prazos estouram sem aviso; o time descobre na review. Compromisso assumido não é cumprido nem renegociado.</t>
        </is>
      </c>
      <c r="F40" s="39" t="inlineStr">
        <is>
          <t>Entrega, mas quase sempre depois; o aviso de atraso vem tarde demais para o PO replanejar.</t>
        </is>
      </c>
      <c r="G40" s="39" t="inlineStr">
        <is>
          <t>Cumpre o combinado na maioria das sprints; quando vai atrasar, avisa a tempo de o time reagir, com nova data.</t>
        </is>
      </c>
      <c r="H40" s="39" t="inlineStr">
        <is>
          <t>Estimativa confiável inclusive em item ambíguo; identifica risco antes de começar e negocia escopo em vez de estourar.</t>
        </is>
      </c>
      <c r="I40" s="39" t="inlineStr">
        <is>
          <t>É a referência de previsibilidade da squad; o roadmap é planejado sobre a estimativa dela sem colchão.</t>
        </is>
      </c>
    </row>
    <row r="41" ht="54" customHeight="1">
      <c r="A41" s="39" t="inlineStr">
        <is>
          <t>C02</t>
        </is>
      </c>
      <c r="B41" s="39" t="inlineStr">
        <is>
          <t>A — Entrega</t>
        </is>
      </c>
      <c r="C41" s="38" t="inlineStr">
        <is>
          <t>Qualidade da entrega</t>
        </is>
      </c>
      <c r="D41" s="39" t="inlineStr">
        <is>
          <t>Líder Técnico</t>
        </is>
      </c>
      <c r="E41" s="39" t="inlineStr">
        <is>
          <t>Entrega volta de QA ou de produção com frequência; deixa retrabalho recorrente para o próximo.</t>
        </is>
      </c>
      <c r="F41" s="39" t="inlineStr">
        <is>
          <t>Cobre o caminho feliz; falha em erro, borda e dado real. PR volta 2+ rodadas com frequência.</t>
        </is>
      </c>
      <c r="G41" s="39" t="inlineStr">
        <is>
          <t>PR passa em 1–2 rodadas; teste junto com o código, cobrindo erro e borda. Reprovação em QA é exceção.</t>
        </is>
      </c>
      <c r="H41" s="39" t="inlineStr">
        <is>
          <t>Escolhe o nível certo de teste e testa o risco; seus testes já pegaram regressão de terceiros.</t>
        </is>
      </c>
      <c r="I41" s="39" t="inlineStr">
        <is>
          <t>Melhorou a testabilidade do sistema: reduziu flaky, criou fixture ou harness que o time inteiro usa.</t>
        </is>
      </c>
    </row>
    <row r="42" ht="54" customHeight="1">
      <c r="A42" s="39" t="inlineStr">
        <is>
          <t>C03</t>
        </is>
      </c>
      <c r="B42" s="39" t="inlineStr">
        <is>
          <t>B — Técnico</t>
        </is>
      </c>
      <c r="C42" s="38" t="inlineStr">
        <is>
          <t>Domínio técnico</t>
        </is>
      </c>
      <c r="D42" s="39" t="inlineStr">
        <is>
          <t>Líder Técnico</t>
        </is>
      </c>
      <c r="E42" s="39" t="inlineStr">
        <is>
          <t>Erros conceituais recorrentes na stack principal; a mesma explicação precisa ser repetida a cada sprint.</t>
        </is>
      </c>
      <c r="F42" s="39" t="inlineStr">
        <is>
          <t>Resolve o caminho feliz; trava em erro, concorrência, performance ou dado real e depende de terceiro.</t>
        </is>
      </c>
      <c r="G42" s="39" t="inlineStr">
        <is>
          <t>Resolve sozinho problemas típicos do produto no nível dele; sabe onde o sistema quebra e onde procurar o resto.</t>
        </is>
      </c>
      <c r="H42" s="39" t="inlineStr">
        <is>
          <t>Resolve problema fora da zona conhecida; explica trade-off de custo, risco e prazo, e sustenta a escolha com dado.</t>
        </is>
      </c>
      <c r="I42" s="39" t="inlineStr">
        <is>
          <t>Referência técnica consultada por outras squads; decisões dele viram padrão ou ADR na empresa.</t>
        </is>
      </c>
    </row>
    <row r="43" ht="54" customHeight="1">
      <c r="A43" s="39" t="inlineStr">
        <is>
          <t>C04</t>
        </is>
      </c>
      <c r="B43" s="39" t="inlineStr">
        <is>
          <t>B — Técnico</t>
        </is>
      </c>
      <c r="C43" s="38" t="inlineStr">
        <is>
          <t>Design de solução</t>
        </is>
      </c>
      <c r="D43" s="39" t="inlineStr">
        <is>
          <t>Líder Técnico</t>
        </is>
      </c>
      <c r="E43" s="39" t="inlineStr">
        <is>
          <t>Cria estrutura nova sem perguntar e ignora fronteiras existentes; gera retrabalho.</t>
        </is>
      </c>
      <c r="F43" s="39" t="inlineStr">
        <is>
          <t>Copia padrão sem entender; escolhe por familiaridade, não por trade-off.</t>
        </is>
      </c>
      <c r="G43" s="39" t="inlineStr">
        <is>
          <t>Escolhe entre alternativas conhecidas e sabe dizer o que ganha e o que perde.</t>
        </is>
      </c>
      <c r="H43" s="39" t="inlineStr">
        <is>
          <t>Antecipa acoplamento e custo de reverter; escreve a decisão antes de codar.</t>
        </is>
      </c>
      <c r="I43" s="39" t="inlineStr">
        <is>
          <t>Decisão dele mudou o rumo de mais de um time e envelheceu bem.</t>
        </is>
      </c>
    </row>
    <row r="44" ht="54" customHeight="1">
      <c r="A44" s="39" t="inlineStr">
        <is>
          <t>C05</t>
        </is>
      </c>
      <c r="B44" s="39" t="inlineStr">
        <is>
          <t>C — Colaboração</t>
        </is>
      </c>
      <c r="C44" s="38" t="inlineStr">
        <is>
          <t>Comunicação e colaboração</t>
        </is>
      </c>
      <c r="D44" s="39" t="inlineStr">
        <is>
          <t>Compartilhado</t>
        </is>
      </c>
      <c r="E44" s="39" t="inlineStr">
        <is>
          <t>Status enganoso ou ausente; aprova PR sem ler; discordância técnica vira questão de ego.</t>
        </is>
      </c>
      <c r="F44" s="39" t="inlineStr">
        <is>
          <t>Comunica, mas exige garimpo; mistura nit com bloqueante e trava PR por gosto pessoal.</t>
        </is>
      </c>
      <c r="G44" s="39" t="inlineStr">
        <is>
          <t>Card, PR e mensagem que quem não estava no contexto entende; revisa em até 1 dia útil e pega problema real.</t>
        </is>
      </c>
      <c r="H44" s="39" t="inlineStr">
        <is>
          <t>Adapta a mensagem ao público; o comentário de review ensina e propõe alternativa sem assumir o teclado.</t>
        </is>
      </c>
      <c r="I44" s="39" t="inlineStr">
        <is>
          <t>A comunicação dela destrava decisão de outros times; é referência de review e medeia discordância sem escalar.</t>
        </is>
      </c>
    </row>
    <row r="45" ht="54" customHeight="1">
      <c r="A45" s="39" t="inlineStr">
        <is>
          <t>C06</t>
        </is>
      </c>
      <c r="B45" s="39" t="inlineStr">
        <is>
          <t>D — Autonomia</t>
        </is>
      </c>
      <c r="C45" s="38" t="inlineStr">
        <is>
          <t>Autonomia e ownership</t>
        </is>
      </c>
      <c r="D45" s="39" t="inlineStr">
        <is>
          <t>Compartilhado</t>
        </is>
      </c>
      <c r="E45" s="39" t="inlineStr">
        <is>
          <t>Só avança com direcionamento passo a passo; entrega a tarefa e ignora que o problema continua de pé.</t>
        </is>
      </c>
      <c r="F45" s="39" t="inlineStr">
        <is>
          <t>Precisa de acompanhamento acima do normal para o nível; escala tarde ou escala tudo, sem tentativa própria.</t>
        </is>
      </c>
      <c r="G45" s="39" t="inlineStr">
        <is>
          <t>Toca as próprias demandas com direcionamento normal; escala no momento certo, com hipótese e opções.</t>
        </is>
      </c>
      <c r="H45" s="39" t="inlineStr">
        <is>
          <t>Assume problema mal definido e devolve solução; puxa as pessoas necessárias sem precisar do gestor no meio.</t>
        </is>
      </c>
      <c r="I45" s="39" t="inlineStr">
        <is>
          <t>Assume tema crítico de ponta a ponta, técnico e stakeholder, e o gestor deixa de precisar acompanhar.</t>
        </is>
      </c>
    </row>
  </sheetData>
  <mergeCells count="2">
    <mergeCell ref="C22:C25"/>
    <mergeCell ref="A35:D36"/>
  </mergeCells>
  <conditionalFormatting sqref="B26">
    <cfRule type="cellIs" priority="1" operator="notEqual" dxfId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2026-08-27T18:16:14Z</dcterms:created>
  <dcterms:modified xsi:type="dcterms:W3CDTF">2026-08-27T18:16:18Z</dcterms:modified>
</cp:coreProperties>
</file>