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Semanal" sheetId="2" state="visible" r:id="rId2"/>
    <sheet name="Ocorrências" sheetId="3" state="visible" r:id="rId3"/>
    <sheet name="Cadastro" sheetId="4" state="visible" r:id="rId4"/>
  </sheets>
  <definedNames>
    <definedName name="_xlnm._FilterDatabase" localSheetId="0" hidden="1">'Resumo'!$A$5:$R$53</definedName>
    <definedName name="_xlnm._FilterDatabase" localSheetId="1" hidden="1">'Avaliação Semanal'!$A$4:$L$504</definedName>
    <definedName name="_xlnm._FilterDatabase" localSheetId="2" hidden="1">'Ocorrências'!$A$4:$E$204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b val="1"/>
      <color rgb="001F3864"/>
      <sz val="11"/>
    </font>
    <font>
      <name val="Arial"/>
      <b val="1"/>
      <color rgb="00000000"/>
      <sz val="9"/>
    </font>
    <font>
      <name val="Arial"/>
      <b val="1"/>
      <color rgb="00006100"/>
      <sz val="9"/>
    </font>
    <font>
      <name val="Arial"/>
      <b val="1"/>
      <color rgb="000000FF"/>
      <sz val="10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000000"/>
      <sz val="11"/>
    </font>
    <font>
      <name val="Arial"/>
      <color rgb="00000000"/>
      <sz val="9"/>
    </font>
    <font>
      <name val="Arial"/>
      <i val="1"/>
      <color rgb="00C00000"/>
      <sz val="9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166" fontId="8" fillId="3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2" fontId="12" fillId="7" borderId="1" applyAlignment="1" pivotButton="0" quotePrefix="0" xfId="0">
      <alignment vertical="top" wrapText="1"/>
    </xf>
    <xf numFmtId="2" fontId="11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166" fontId="12" fillId="7" borderId="1" applyAlignment="1" pivotButton="0" quotePrefix="0" xfId="0">
      <alignment vertical="top" wrapText="1"/>
    </xf>
    <xf numFmtId="0" fontId="13" fillId="0" borderId="0" pivotButton="0" quotePrefix="0" xfId="0"/>
    <xf numFmtId="166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7" fillId="4" borderId="1" pivotButton="0" quotePrefix="0" xfId="0"/>
    <xf numFmtId="164" fontId="8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9" fillId="5" borderId="1" pivotButton="0" quotePrefix="0" xfId="0"/>
    <xf numFmtId="0" fontId="4" fillId="3" borderId="1" applyAlignment="1" pivotButton="0" quotePrefix="0" xfId="0">
      <alignment horizontal="center"/>
    </xf>
    <xf numFmtId="0" fontId="10" fillId="6" borderId="1" pivotButton="0" quotePrefix="0" xfId="0"/>
    <xf numFmtId="0" fontId="11" fillId="4" borderId="1" applyAlignment="1" pivotButton="0" quotePrefix="0" xfId="0">
      <alignment horizontal="center"/>
    </xf>
    <xf numFmtId="0" fontId="12" fillId="0" borderId="0" pivotButton="0" quotePrefix="0" xfId="0"/>
    <xf numFmtId="0" fontId="11" fillId="5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ont>
        <name val="Arial"/>
        <b val="1"/>
        <color rgb="00006100"/>
        <sz val="11"/>
      </font>
      <fill>
        <patternFill patternType="solid">
          <fgColor rgb="00C6EFCE"/>
        </patternFill>
      </fill>
    </dxf>
    <dxf>
      <font>
        <name val="Arial"/>
        <b val="1"/>
        <color rgb="009C6500"/>
        <sz val="11"/>
      </font>
      <fill>
        <patternFill patternType="solid">
          <fgColor rgb="00FFEB9C"/>
        </patternFill>
      </fill>
    </dxf>
    <dxf>
      <font>
        <name val="Arial"/>
        <b val="1"/>
        <color rgb="009C0006"/>
        <sz val="11"/>
      </font>
      <fill>
        <patternFill patternType="solid">
          <fgColor rgb="00FFC7CE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b val="1"/>
        <color rgb="009C6500"/>
        <sz val="9"/>
      </font>
      <fill>
        <patternFill patternType="solid">
          <fgColor rgb="00FFEB9C"/>
        </patternFill>
      </fill>
    </dxf>
    <dxf>
      <font>
        <name val="Arial"/>
        <b val="1"/>
        <color rgb="00006100"/>
        <sz val="9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leitura</author>
  </authors>
  <commentList>
    <comment ref="D5" authorId="0" shapeId="0">
      <text>
        <t>Média do GP e média do Líder Técnico lado a lado, de propósito.
Quando as duas divergem muito, isso é informação — não erro. Costuma significar que a pessoa vai bem em uma dimensão e mal em outra.</t>
      </text>
    </comment>
    <comment ref="K5" authorId="0" shapeId="0">
      <text>
        <t>Média dos cinco indicadores no período. É o balizador, não a sentença.</t>
      </text>
    </comment>
    <comment ref="M5" authorId="0" shapeId="0">
      <text>
        <t>Zero avaliações no período fica vermelho: o problema aí é a falta de registro, não a pessoa.</t>
      </text>
    </comment>
  </commentList>
</comments>
</file>

<file path=xl/comments/comment2.xml><?xml version="1.0" encoding="utf-8"?>
<comments xmlns="http://schemas.openxmlformats.org/spreadsheetml/2006/main">
  <authors>
    <author>legenda</author>
  </authors>
  <commentList>
    <comment ref="E4" authorId="0" shapeId="0">
      <text>
        <t>Entregou o que combinou, no prazo combinado. Avisou cedo quando não ia dar.</t>
      </text>
    </comment>
    <comment ref="F4" authorId="0" shapeId="0">
      <text>
        <t>O que entregou voltou pouco — de review, de QA ou de produção.</t>
      </text>
    </comment>
    <comment ref="G4" authorId="0" shapeId="0">
      <text>
        <t>Deu status claro e honesto. Quem não estava no contexto entendeu.</t>
      </text>
    </comment>
    <comment ref="H4" authorId="0" shapeId="0">
      <text>
        <t>Ajudou o time, revisou bem, recebeu crítica sem defensividade.</t>
      </text>
    </comment>
    <comment ref="I4" authorId="0" shapeId="0">
      <text>
        <t>Tocou o próprio trabalho sem precisar ser puxado. Escalou na hora certa.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2" customWidth="1" min="9" max="9"/>
    <col width="11" customWidth="1" min="10" max="10"/>
    <col width="13" customWidth="1" min="11" max="11"/>
    <col width="12" customWidth="1" min="12" max="12"/>
    <col width="11" customWidth="1" min="13" max="13"/>
    <col width="14" customWidth="1" min="14" max="14"/>
    <col width="12" customWidth="1" min="15" max="15"/>
    <col width="15" customWidth="1" min="16" max="16"/>
    <col width="62" customWidth="1" min="17" max="17"/>
    <col width="62" customWidth="1" min="18" max="18"/>
  </cols>
  <sheetData>
    <row r="1" ht="24" customHeight="1">
      <c r="A1" s="1" t="inlineStr">
        <is>
          <t>Resumo por pessoa</t>
        </is>
      </c>
    </row>
    <row r="2">
      <c r="A2" s="2" t="inlineStr">
        <is>
          <t>Tudo compilado. Escolha o período abaixo e a tabela inteira se ajusta.</t>
        </is>
      </c>
    </row>
    <row r="3">
      <c r="A3" s="3" t="inlineStr">
        <is>
          <t>Período de</t>
        </is>
      </c>
      <c r="B3" s="4" t="n">
        <v>46235</v>
      </c>
      <c r="C3" s="5" t="inlineStr">
        <is>
          <t>até</t>
        </is>
      </c>
      <c r="D3" s="4" t="n">
        <v>46265</v>
      </c>
      <c r="E3" s="2" t="inlineStr">
        <is>
          <t>Deixe um período largo para ver o acumulado, ou aperte para uma semana só.</t>
        </is>
      </c>
    </row>
    <row r="4"/>
    <row r="5" ht="42" customHeight="1">
      <c r="A5" s="6" t="inlineStr">
        <is>
          <t>Colaborador</t>
        </is>
      </c>
      <c r="B5" s="6" t="inlineStr">
        <is>
          <t>Squad</t>
        </is>
      </c>
      <c r="C5" s="6" t="inlineStr">
        <is>
          <t>Papel</t>
        </is>
      </c>
      <c r="D5" s="6" t="inlineStr">
        <is>
          <t>Média GP</t>
        </is>
      </c>
      <c r="E5" s="6" t="inlineStr">
        <is>
          <t>Média LT</t>
        </is>
      </c>
      <c r="F5" s="6" t="inlineStr">
        <is>
          <t>Entrega</t>
        </is>
      </c>
      <c r="G5" s="6" t="inlineStr">
        <is>
          <t>Qualidade</t>
        </is>
      </c>
      <c r="H5" s="6" t="inlineStr">
        <is>
          <t>Comunicação</t>
        </is>
      </c>
      <c r="I5" s="6" t="inlineStr">
        <is>
          <t>Colaboração</t>
        </is>
      </c>
      <c r="J5" s="6" t="inlineStr">
        <is>
          <t>Autonomia</t>
        </is>
      </c>
      <c r="K5" s="6" t="inlineStr">
        <is>
          <t>MÉDIA FINAL</t>
        </is>
      </c>
      <c r="L5" s="6" t="inlineStr">
        <is>
          <t>Farol</t>
        </is>
      </c>
      <c r="M5" s="6" t="inlineStr">
        <is>
          <t>Avaliações</t>
        </is>
      </c>
      <c r="N5" s="6" t="inlineStr">
        <is>
          <t>Última avaliação</t>
        </is>
      </c>
      <c r="O5" s="6" t="inlineStr">
        <is>
          <t>Ocorrências</t>
        </is>
      </c>
      <c r="P5" s="6" t="inlineStr">
        <is>
          <t>Atenção / Críticas</t>
        </is>
      </c>
      <c r="Q5" s="6" t="inlineStr">
        <is>
          <t>Último comentário do GP</t>
        </is>
      </c>
      <c r="R5" s="6" t="inlineStr">
        <is>
          <t>Último comentário do Líder Técnico</t>
        </is>
      </c>
    </row>
    <row r="6" ht="30" customHeight="1">
      <c r="A6" s="7">
        <f>IF(Cadastro!$A5="","",Cadastro!$A5)</f>
        <v/>
      </c>
      <c r="B6" s="7">
        <f>IF(Cadastro!$A5="","",Cadastro!$B5)</f>
        <v/>
      </c>
      <c r="C6" s="7">
        <f>IF(Cadastro!$A5="","",Cadastro!$C5)</f>
        <v/>
      </c>
      <c r="D6" s="8">
        <f>IF($A6="","",IF(COUNTIFS('Avaliação Semanal'!$B$5:$B$504,$A6,'Avaliação Semanal'!$C$5:$C$504,"GP",'Avaliação Semanal'!$A$5:$A$504,"&gt;="&amp;$B$3,'Avaliação Semanal'!$A$5:$A$504,"&lt;="&amp;$D$3,'Avaliação Semanal'!$J$5:$J$504,"&gt;0")=0,"",ROUND(AVERAGEIFS('Avaliação Semanal'!$J$5:$J$504,'Avaliação Semanal'!$B$5:$B$504,$A6,'Avaliação Semanal'!$C$5:$C$504,"GP",'Avaliação Semanal'!$A$5:$A$504,"&gt;="&amp;$B$3,'Avaliação Semanal'!$A$5:$A$504,"&lt;="&amp;$D$3),2)))</f>
        <v/>
      </c>
      <c r="E6" s="8">
        <f>IF($A6="","",IF(COUNTIFS('Avaliação Semanal'!$B$5:$B$504,$A6,'Avaliação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Semanal'!$B$5:$B$504,$A6,'Avaliação Semanal'!$C$5:$C$504,"Líder Técnico",'Avaliação Semanal'!$A$5:$A$504,"&gt;="&amp;$B$3,'Avaliação Semanal'!$A$5:$A$504,"&lt;="&amp;$D$3),2)))</f>
        <v/>
      </c>
      <c r="F6" s="8">
        <f>IF($A6="","",IF(COUNTIFS('Avaliação Semanal'!$B$5:$B$504,$A6,'Avaliação Semanal'!$A$5:$A$504,"&gt;="&amp;$B$3,'Avaliação Semanal'!$A$5:$A$504,"&lt;="&amp;$D$3,'Avaliação Semanal'!$E$5:$E$504,"&gt;0")=0,"",ROUND(AVERAGEIFS('Avaliação Semanal'!$E$5:$E$504,'Avaliação Semanal'!$B$5:$B$504,$A6,'Avaliação Semanal'!$A$5:$A$504,"&gt;="&amp;$B$3,'Avaliação Semanal'!$A$5:$A$504,"&lt;="&amp;$D$3),2)))</f>
        <v/>
      </c>
      <c r="G6" s="8">
        <f>IF($A6="","",IF(COUNTIFS('Avaliação Semanal'!$B$5:$B$504,$A6,'Avaliação Semanal'!$A$5:$A$504,"&gt;="&amp;$B$3,'Avaliação Semanal'!$A$5:$A$504,"&lt;="&amp;$D$3,'Avaliação Semanal'!$F$5:$F$504,"&gt;0")=0,"",ROUND(AVERAGEIFS('Avaliação Semanal'!$F$5:$F$504,'Avaliação Semanal'!$B$5:$B$504,$A6,'Avaliação Semanal'!$A$5:$A$504,"&gt;="&amp;$B$3,'Avaliação Semanal'!$A$5:$A$504,"&lt;="&amp;$D$3),2)))</f>
        <v/>
      </c>
      <c r="H6" s="8">
        <f>IF($A6="","",IF(COUNTIFS('Avaliação Semanal'!$B$5:$B$504,$A6,'Avaliação Semanal'!$A$5:$A$504,"&gt;="&amp;$B$3,'Avaliação Semanal'!$A$5:$A$504,"&lt;="&amp;$D$3,'Avaliação Semanal'!$G$5:$G$504,"&gt;0")=0,"",ROUND(AVERAGEIFS('Avaliação Semanal'!$G$5:$G$504,'Avaliação Semanal'!$B$5:$B$504,$A6,'Avaliação Semanal'!$A$5:$A$504,"&gt;="&amp;$B$3,'Avaliação Semanal'!$A$5:$A$504,"&lt;="&amp;$D$3),2)))</f>
        <v/>
      </c>
      <c r="I6" s="8">
        <f>IF($A6="","",IF(COUNTIFS('Avaliação Semanal'!$B$5:$B$504,$A6,'Avaliação Semanal'!$A$5:$A$504,"&gt;="&amp;$B$3,'Avaliação Semanal'!$A$5:$A$504,"&lt;="&amp;$D$3,'Avaliação Semanal'!$H$5:$H$504,"&gt;0")=0,"",ROUND(AVERAGEIFS('Avaliação Semanal'!$H$5:$H$504,'Avaliação Semanal'!$B$5:$B$504,$A6,'Avaliação Semanal'!$A$5:$A$504,"&gt;="&amp;$B$3,'Avaliação Semanal'!$A$5:$A$504,"&lt;="&amp;$D$3),2)))</f>
        <v/>
      </c>
      <c r="J6" s="8">
        <f>IF($A6="","",IF(COUNTIFS('Avaliação Semanal'!$B$5:$B$504,$A6,'Avaliação Semanal'!$A$5:$A$504,"&gt;="&amp;$B$3,'Avaliação Semanal'!$A$5:$A$504,"&lt;="&amp;$D$3,'Avaliação Semanal'!$I$5:$I$504,"&gt;0")=0,"",ROUND(AVERAGEIFS('Avaliação Semanal'!$I$5:$I$504,'Avaliação Semanal'!$B$5:$B$504,$A6,'Avaliação Semanal'!$A$5:$A$504,"&gt;="&amp;$B$3,'Avaliação Semanal'!$A$5:$A$504,"&lt;="&amp;$D$3),2)))</f>
        <v/>
      </c>
      <c r="K6" s="9">
        <f>IF(COUNT($F6:$J6)=0,"",ROUND(AVERAGE($F6:$J6),2))</f>
        <v/>
      </c>
      <c r="L6" s="10">
        <f>IF($K6="","",IF($K6&gt;=Cadastro!$H$5,"Verde",IF($K6&gt;=Cadastro!$H$6,"Atenção","Crítico")))</f>
        <v/>
      </c>
      <c r="M6" s="7">
        <f>IF($A6="","",COUNTIFS('Avaliação Semanal'!$B$5:$B$504,$A6,'Avaliação Semanal'!$A$5:$A$504,"&gt;="&amp;$B$3,'Avaliação Semanal'!$A$5:$A$504,"&lt;="&amp;$D$3,'Avaliação Semanal'!$J$5:$J$504,"&gt;0"))</f>
        <v/>
      </c>
      <c r="N6" s="11">
        <f>IF($M6=0,"",_xlfn.MAXIFS('Avaliação Semanal'!$A$5:$A$504,'Avaliação Semanal'!$B$5:$B$504,$A6,'Avaliação Semanal'!$A$5:$A$504,"&lt;="&amp;$D$3))</f>
        <v/>
      </c>
      <c r="O6" s="7">
        <f>IF($A6="","",COUNTIFS('Ocorrências'!$B$5:$B$204,$A6,'Ocorrências'!$A$5:$A$204,"&gt;="&amp;$B$3,'Ocorrências'!$A$5:$A$204,"&lt;="&amp;$D$3))</f>
        <v/>
      </c>
      <c r="P6" s="7">
        <f>IF($A6="","",COUNTIFS('Ocorrências'!$B$5:$B$204,$A6,'Ocorrências'!$C$5:$C$204,"Ponto de atenção",'Ocorrências'!$A$5:$A$204,"&gt;="&amp;$B$3,'Ocorrências'!$A$5:$A$204,"&lt;="&amp;$D$3)+COUNTIFS('Ocorrências'!$B$5:$B$204,$A6,'Ocorrências'!$C$5:$C$204,"Crítica",'Ocorrências'!$A$5:$A$204,"&gt;="&amp;$B$3,'Ocorrências'!$A$5:$A$204,"&lt;="&amp;$D$3))</f>
        <v/>
      </c>
      <c r="Q6" s="7">
        <f>IF($A6="","",IF(COUNTIFS('Avaliação Semanal'!$B$5:$B$504,$A6,'Avaliação Semanal'!$C$5:$C$504,"GP",'Avaliação Semanal'!$A$5:$A$504,"&gt;="&amp;$B$3,'Avaliação Semanal'!$A$5:$A$504,"&lt;="&amp;$D$3)=0,"",IFERROR(INDEX('Avaliação Semanal'!$L$5:$L$504,MATCH($A6&amp;"|GP|"&amp;TEXT(_xlfn.MAXIFS('Avaliação Semanal'!$A$5:$A$504,'Avaliação Semanal'!$B$5:$B$504,$A6,'Avaliação Semanal'!$C$5:$C$504,"GP",'Avaliação Semanal'!$A$5:$A$504,"&lt;="&amp;$D$3),"00000"),'Avaliação Semanal'!$M$5:$M$504,0)),"")))</f>
        <v/>
      </c>
      <c r="R6" s="7">
        <f>IF($A6="","",IF(COUNTIFS('Avaliação Semanal'!$B$5:$B$504,$A6,'Avaliação Semanal'!$C$5:$C$504,"Líder Técnico",'Avaliação Semanal'!$A$5:$A$504,"&gt;="&amp;$B$3,'Avaliação Semanal'!$A$5:$A$504,"&lt;="&amp;$D$3)=0,"",IFERROR(INDEX('Avaliação Semanal'!$L$5:$L$504,MATCH($A6&amp;"|Líder Técnico|"&amp;TEXT(_xlfn.MAXIFS('Avaliação Semanal'!$A$5:$A$504,'Avaliação Semanal'!$B$5:$B$504,$A6,'Avaliação Semanal'!$C$5:$C$504,"Líder Técnico",'Avaliação Semanal'!$A$5:$A$504,"&lt;="&amp;$D$3),"00000"),'Avaliação Semanal'!$M$5:$M$504,0)),"")))</f>
        <v/>
      </c>
    </row>
    <row r="7" ht="30" customHeight="1">
      <c r="A7" s="7">
        <f>IF(Cadastro!$A6="","",Cadastro!$A6)</f>
        <v/>
      </c>
      <c r="B7" s="7">
        <f>IF(Cadastro!$A6="","",Cadastro!$B6)</f>
        <v/>
      </c>
      <c r="C7" s="7">
        <f>IF(Cadastro!$A6="","",Cadastro!$C6)</f>
        <v/>
      </c>
      <c r="D7" s="8">
        <f>IF($A7="","",IF(COUNTIFS('Avaliação Semanal'!$B$5:$B$504,$A7,'Avaliação Semanal'!$C$5:$C$504,"GP",'Avaliação Semanal'!$A$5:$A$504,"&gt;="&amp;$B$3,'Avaliação Semanal'!$A$5:$A$504,"&lt;="&amp;$D$3,'Avaliação Semanal'!$J$5:$J$504,"&gt;0")=0,"",ROUND(AVERAGEIFS('Avaliação Semanal'!$J$5:$J$504,'Avaliação Semanal'!$B$5:$B$504,$A7,'Avaliação Semanal'!$C$5:$C$504,"GP",'Avaliação Semanal'!$A$5:$A$504,"&gt;="&amp;$B$3,'Avaliação Semanal'!$A$5:$A$504,"&lt;="&amp;$D$3),2)))</f>
        <v/>
      </c>
      <c r="E7" s="8">
        <f>IF($A7="","",IF(COUNTIFS('Avaliação Semanal'!$B$5:$B$504,$A7,'Avaliação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Semanal'!$B$5:$B$504,$A7,'Avaliação Semanal'!$C$5:$C$504,"Líder Técnico",'Avaliação Semanal'!$A$5:$A$504,"&gt;="&amp;$B$3,'Avaliação Semanal'!$A$5:$A$504,"&lt;="&amp;$D$3),2)))</f>
        <v/>
      </c>
      <c r="F7" s="8">
        <f>IF($A7="","",IF(COUNTIFS('Avaliação Semanal'!$B$5:$B$504,$A7,'Avaliação Semanal'!$A$5:$A$504,"&gt;="&amp;$B$3,'Avaliação Semanal'!$A$5:$A$504,"&lt;="&amp;$D$3,'Avaliação Semanal'!$E$5:$E$504,"&gt;0")=0,"",ROUND(AVERAGEIFS('Avaliação Semanal'!$E$5:$E$504,'Avaliação Semanal'!$B$5:$B$504,$A7,'Avaliação Semanal'!$A$5:$A$504,"&gt;="&amp;$B$3,'Avaliação Semanal'!$A$5:$A$504,"&lt;="&amp;$D$3),2)))</f>
        <v/>
      </c>
      <c r="G7" s="8">
        <f>IF($A7="","",IF(COUNTIFS('Avaliação Semanal'!$B$5:$B$504,$A7,'Avaliação Semanal'!$A$5:$A$504,"&gt;="&amp;$B$3,'Avaliação Semanal'!$A$5:$A$504,"&lt;="&amp;$D$3,'Avaliação Semanal'!$F$5:$F$504,"&gt;0")=0,"",ROUND(AVERAGEIFS('Avaliação Semanal'!$F$5:$F$504,'Avaliação Semanal'!$B$5:$B$504,$A7,'Avaliação Semanal'!$A$5:$A$504,"&gt;="&amp;$B$3,'Avaliação Semanal'!$A$5:$A$504,"&lt;="&amp;$D$3),2)))</f>
        <v/>
      </c>
      <c r="H7" s="8">
        <f>IF($A7="","",IF(COUNTIFS('Avaliação Semanal'!$B$5:$B$504,$A7,'Avaliação Semanal'!$A$5:$A$504,"&gt;="&amp;$B$3,'Avaliação Semanal'!$A$5:$A$504,"&lt;="&amp;$D$3,'Avaliação Semanal'!$G$5:$G$504,"&gt;0")=0,"",ROUND(AVERAGEIFS('Avaliação Semanal'!$G$5:$G$504,'Avaliação Semanal'!$B$5:$B$504,$A7,'Avaliação Semanal'!$A$5:$A$504,"&gt;="&amp;$B$3,'Avaliação Semanal'!$A$5:$A$504,"&lt;="&amp;$D$3),2)))</f>
        <v/>
      </c>
      <c r="I7" s="8">
        <f>IF($A7="","",IF(COUNTIFS('Avaliação Semanal'!$B$5:$B$504,$A7,'Avaliação Semanal'!$A$5:$A$504,"&gt;="&amp;$B$3,'Avaliação Semanal'!$A$5:$A$504,"&lt;="&amp;$D$3,'Avaliação Semanal'!$H$5:$H$504,"&gt;0")=0,"",ROUND(AVERAGEIFS('Avaliação Semanal'!$H$5:$H$504,'Avaliação Semanal'!$B$5:$B$504,$A7,'Avaliação Semanal'!$A$5:$A$504,"&gt;="&amp;$B$3,'Avaliação Semanal'!$A$5:$A$504,"&lt;="&amp;$D$3),2)))</f>
        <v/>
      </c>
      <c r="J7" s="8">
        <f>IF($A7="","",IF(COUNTIFS('Avaliação Semanal'!$B$5:$B$504,$A7,'Avaliação Semanal'!$A$5:$A$504,"&gt;="&amp;$B$3,'Avaliação Semanal'!$A$5:$A$504,"&lt;="&amp;$D$3,'Avaliação Semanal'!$I$5:$I$504,"&gt;0")=0,"",ROUND(AVERAGEIFS('Avaliação Semanal'!$I$5:$I$504,'Avaliação Semanal'!$B$5:$B$504,$A7,'Avaliação Semanal'!$A$5:$A$504,"&gt;="&amp;$B$3,'Avaliação Semanal'!$A$5:$A$504,"&lt;="&amp;$D$3),2)))</f>
        <v/>
      </c>
      <c r="K7" s="9">
        <f>IF(COUNT($F7:$J7)=0,"",ROUND(AVERAGE($F7:$J7),2))</f>
        <v/>
      </c>
      <c r="L7" s="10">
        <f>IF($K7="","",IF($K7&gt;=Cadastro!$H$5,"Verde",IF($K7&gt;=Cadastro!$H$6,"Atenção","Crítico")))</f>
        <v/>
      </c>
      <c r="M7" s="7">
        <f>IF($A7="","",COUNTIFS('Avaliação Semanal'!$B$5:$B$504,$A7,'Avaliação Semanal'!$A$5:$A$504,"&gt;="&amp;$B$3,'Avaliação Semanal'!$A$5:$A$504,"&lt;="&amp;$D$3,'Avaliação Semanal'!$J$5:$J$504,"&gt;0"))</f>
        <v/>
      </c>
      <c r="N7" s="11">
        <f>IF($M7=0,"",_xlfn.MAXIFS('Avaliação Semanal'!$A$5:$A$504,'Avaliação Semanal'!$B$5:$B$504,$A7,'Avaliação Semanal'!$A$5:$A$504,"&lt;="&amp;$D$3))</f>
        <v/>
      </c>
      <c r="O7" s="7">
        <f>IF($A7="","",COUNTIFS('Ocorrências'!$B$5:$B$204,$A7,'Ocorrências'!$A$5:$A$204,"&gt;="&amp;$B$3,'Ocorrências'!$A$5:$A$204,"&lt;="&amp;$D$3))</f>
        <v/>
      </c>
      <c r="P7" s="7">
        <f>IF($A7="","",COUNTIFS('Ocorrências'!$B$5:$B$204,$A7,'Ocorrências'!$C$5:$C$204,"Ponto de atenção",'Ocorrências'!$A$5:$A$204,"&gt;="&amp;$B$3,'Ocorrências'!$A$5:$A$204,"&lt;="&amp;$D$3)+COUNTIFS('Ocorrências'!$B$5:$B$204,$A7,'Ocorrências'!$C$5:$C$204,"Crítica",'Ocorrências'!$A$5:$A$204,"&gt;="&amp;$B$3,'Ocorrências'!$A$5:$A$204,"&lt;="&amp;$D$3))</f>
        <v/>
      </c>
      <c r="Q7" s="7">
        <f>IF($A7="","",IF(COUNTIFS('Avaliação Semanal'!$B$5:$B$504,$A7,'Avaliação Semanal'!$C$5:$C$504,"GP",'Avaliação Semanal'!$A$5:$A$504,"&gt;="&amp;$B$3,'Avaliação Semanal'!$A$5:$A$504,"&lt;="&amp;$D$3)=0,"",IFERROR(INDEX('Avaliação Semanal'!$L$5:$L$504,MATCH($A7&amp;"|GP|"&amp;TEXT(_xlfn.MAXIFS('Avaliação Semanal'!$A$5:$A$504,'Avaliação Semanal'!$B$5:$B$504,$A7,'Avaliação Semanal'!$C$5:$C$504,"GP",'Avaliação Semanal'!$A$5:$A$504,"&lt;="&amp;$D$3),"00000"),'Avaliação Semanal'!$M$5:$M$504,0)),"")))</f>
        <v/>
      </c>
      <c r="R7" s="7">
        <f>IF($A7="","",IF(COUNTIFS('Avaliação Semanal'!$B$5:$B$504,$A7,'Avaliação Semanal'!$C$5:$C$504,"Líder Técnico",'Avaliação Semanal'!$A$5:$A$504,"&gt;="&amp;$B$3,'Avaliação Semanal'!$A$5:$A$504,"&lt;="&amp;$D$3)=0,"",IFERROR(INDEX('Avaliação Semanal'!$L$5:$L$504,MATCH($A7&amp;"|Líder Técnico|"&amp;TEXT(_xlfn.MAXIFS('Avaliação Semanal'!$A$5:$A$504,'Avaliação Semanal'!$B$5:$B$504,$A7,'Avaliação Semanal'!$C$5:$C$504,"Líder Técnico",'Avaliação Semanal'!$A$5:$A$504,"&lt;="&amp;$D$3),"00000"),'Avaliação Semanal'!$M$5:$M$504,0)),"")))</f>
        <v/>
      </c>
    </row>
    <row r="8" ht="30" customHeight="1">
      <c r="A8" s="7">
        <f>IF(Cadastro!$A7="","",Cadastro!$A7)</f>
        <v/>
      </c>
      <c r="B8" s="7">
        <f>IF(Cadastro!$A7="","",Cadastro!$B7)</f>
        <v/>
      </c>
      <c r="C8" s="7">
        <f>IF(Cadastro!$A7="","",Cadastro!$C7)</f>
        <v/>
      </c>
      <c r="D8" s="8">
        <f>IF($A8="","",IF(COUNTIFS('Avaliação Semanal'!$B$5:$B$504,$A8,'Avaliação Semanal'!$C$5:$C$504,"GP",'Avaliação Semanal'!$A$5:$A$504,"&gt;="&amp;$B$3,'Avaliação Semanal'!$A$5:$A$504,"&lt;="&amp;$D$3,'Avaliação Semanal'!$J$5:$J$504,"&gt;0")=0,"",ROUND(AVERAGEIFS('Avaliação Semanal'!$J$5:$J$504,'Avaliação Semanal'!$B$5:$B$504,$A8,'Avaliação Semanal'!$C$5:$C$504,"GP",'Avaliação Semanal'!$A$5:$A$504,"&gt;="&amp;$B$3,'Avaliação Semanal'!$A$5:$A$504,"&lt;="&amp;$D$3),2)))</f>
        <v/>
      </c>
      <c r="E8" s="8">
        <f>IF($A8="","",IF(COUNTIFS('Avaliação Semanal'!$B$5:$B$504,$A8,'Avaliação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Semanal'!$B$5:$B$504,$A8,'Avaliação Semanal'!$C$5:$C$504,"Líder Técnico",'Avaliação Semanal'!$A$5:$A$504,"&gt;="&amp;$B$3,'Avaliação Semanal'!$A$5:$A$504,"&lt;="&amp;$D$3),2)))</f>
        <v/>
      </c>
      <c r="F8" s="8">
        <f>IF($A8="","",IF(COUNTIFS('Avaliação Semanal'!$B$5:$B$504,$A8,'Avaliação Semanal'!$A$5:$A$504,"&gt;="&amp;$B$3,'Avaliação Semanal'!$A$5:$A$504,"&lt;="&amp;$D$3,'Avaliação Semanal'!$E$5:$E$504,"&gt;0")=0,"",ROUND(AVERAGEIFS('Avaliação Semanal'!$E$5:$E$504,'Avaliação Semanal'!$B$5:$B$504,$A8,'Avaliação Semanal'!$A$5:$A$504,"&gt;="&amp;$B$3,'Avaliação Semanal'!$A$5:$A$504,"&lt;="&amp;$D$3),2)))</f>
        <v/>
      </c>
      <c r="G8" s="8">
        <f>IF($A8="","",IF(COUNTIFS('Avaliação Semanal'!$B$5:$B$504,$A8,'Avaliação Semanal'!$A$5:$A$504,"&gt;="&amp;$B$3,'Avaliação Semanal'!$A$5:$A$504,"&lt;="&amp;$D$3,'Avaliação Semanal'!$F$5:$F$504,"&gt;0")=0,"",ROUND(AVERAGEIFS('Avaliação Semanal'!$F$5:$F$504,'Avaliação Semanal'!$B$5:$B$504,$A8,'Avaliação Semanal'!$A$5:$A$504,"&gt;="&amp;$B$3,'Avaliação Semanal'!$A$5:$A$504,"&lt;="&amp;$D$3),2)))</f>
        <v/>
      </c>
      <c r="H8" s="8">
        <f>IF($A8="","",IF(COUNTIFS('Avaliação Semanal'!$B$5:$B$504,$A8,'Avaliação Semanal'!$A$5:$A$504,"&gt;="&amp;$B$3,'Avaliação Semanal'!$A$5:$A$504,"&lt;="&amp;$D$3,'Avaliação Semanal'!$G$5:$G$504,"&gt;0")=0,"",ROUND(AVERAGEIFS('Avaliação Semanal'!$G$5:$G$504,'Avaliação Semanal'!$B$5:$B$504,$A8,'Avaliação Semanal'!$A$5:$A$504,"&gt;="&amp;$B$3,'Avaliação Semanal'!$A$5:$A$504,"&lt;="&amp;$D$3),2)))</f>
        <v/>
      </c>
      <c r="I8" s="8">
        <f>IF($A8="","",IF(COUNTIFS('Avaliação Semanal'!$B$5:$B$504,$A8,'Avaliação Semanal'!$A$5:$A$504,"&gt;="&amp;$B$3,'Avaliação Semanal'!$A$5:$A$504,"&lt;="&amp;$D$3,'Avaliação Semanal'!$H$5:$H$504,"&gt;0")=0,"",ROUND(AVERAGEIFS('Avaliação Semanal'!$H$5:$H$504,'Avaliação Semanal'!$B$5:$B$504,$A8,'Avaliação Semanal'!$A$5:$A$504,"&gt;="&amp;$B$3,'Avaliação Semanal'!$A$5:$A$504,"&lt;="&amp;$D$3),2)))</f>
        <v/>
      </c>
      <c r="J8" s="8">
        <f>IF($A8="","",IF(COUNTIFS('Avaliação Semanal'!$B$5:$B$504,$A8,'Avaliação Semanal'!$A$5:$A$504,"&gt;="&amp;$B$3,'Avaliação Semanal'!$A$5:$A$504,"&lt;="&amp;$D$3,'Avaliação Semanal'!$I$5:$I$504,"&gt;0")=0,"",ROUND(AVERAGEIFS('Avaliação Semanal'!$I$5:$I$504,'Avaliação Semanal'!$B$5:$B$504,$A8,'Avaliação Semanal'!$A$5:$A$504,"&gt;="&amp;$B$3,'Avaliação Semanal'!$A$5:$A$504,"&lt;="&amp;$D$3),2)))</f>
        <v/>
      </c>
      <c r="K8" s="9">
        <f>IF(COUNT($F8:$J8)=0,"",ROUND(AVERAGE($F8:$J8),2))</f>
        <v/>
      </c>
      <c r="L8" s="10">
        <f>IF($K8="","",IF($K8&gt;=Cadastro!$H$5,"Verde",IF($K8&gt;=Cadastro!$H$6,"Atenção","Crítico")))</f>
        <v/>
      </c>
      <c r="M8" s="7">
        <f>IF($A8="","",COUNTIFS('Avaliação Semanal'!$B$5:$B$504,$A8,'Avaliação Semanal'!$A$5:$A$504,"&gt;="&amp;$B$3,'Avaliação Semanal'!$A$5:$A$504,"&lt;="&amp;$D$3,'Avaliação Semanal'!$J$5:$J$504,"&gt;0"))</f>
        <v/>
      </c>
      <c r="N8" s="11">
        <f>IF($M8=0,"",_xlfn.MAXIFS('Avaliação Semanal'!$A$5:$A$504,'Avaliação Semanal'!$B$5:$B$504,$A8,'Avaliação Semanal'!$A$5:$A$504,"&lt;="&amp;$D$3))</f>
        <v/>
      </c>
      <c r="O8" s="7">
        <f>IF($A8="","",COUNTIFS('Ocorrências'!$B$5:$B$204,$A8,'Ocorrências'!$A$5:$A$204,"&gt;="&amp;$B$3,'Ocorrências'!$A$5:$A$204,"&lt;="&amp;$D$3))</f>
        <v/>
      </c>
      <c r="P8" s="7">
        <f>IF($A8="","",COUNTIFS('Ocorrências'!$B$5:$B$204,$A8,'Ocorrências'!$C$5:$C$204,"Ponto de atenção",'Ocorrências'!$A$5:$A$204,"&gt;="&amp;$B$3,'Ocorrências'!$A$5:$A$204,"&lt;="&amp;$D$3)+COUNTIFS('Ocorrências'!$B$5:$B$204,$A8,'Ocorrências'!$C$5:$C$204,"Crítica",'Ocorrências'!$A$5:$A$204,"&gt;="&amp;$B$3,'Ocorrências'!$A$5:$A$204,"&lt;="&amp;$D$3))</f>
        <v/>
      </c>
      <c r="Q8" s="7">
        <f>IF($A8="","",IF(COUNTIFS('Avaliação Semanal'!$B$5:$B$504,$A8,'Avaliação Semanal'!$C$5:$C$504,"GP",'Avaliação Semanal'!$A$5:$A$504,"&gt;="&amp;$B$3,'Avaliação Semanal'!$A$5:$A$504,"&lt;="&amp;$D$3)=0,"",IFERROR(INDEX('Avaliação Semanal'!$L$5:$L$504,MATCH($A8&amp;"|GP|"&amp;TEXT(_xlfn.MAXIFS('Avaliação Semanal'!$A$5:$A$504,'Avaliação Semanal'!$B$5:$B$504,$A8,'Avaliação Semanal'!$C$5:$C$504,"GP",'Avaliação Semanal'!$A$5:$A$504,"&lt;="&amp;$D$3),"00000"),'Avaliação Semanal'!$M$5:$M$504,0)),"")))</f>
        <v/>
      </c>
      <c r="R8" s="7">
        <f>IF($A8="","",IF(COUNTIFS('Avaliação Semanal'!$B$5:$B$504,$A8,'Avaliação Semanal'!$C$5:$C$504,"Líder Técnico",'Avaliação Semanal'!$A$5:$A$504,"&gt;="&amp;$B$3,'Avaliação Semanal'!$A$5:$A$504,"&lt;="&amp;$D$3)=0,"",IFERROR(INDEX('Avaliação Semanal'!$L$5:$L$504,MATCH($A8&amp;"|Líder Técnico|"&amp;TEXT(_xlfn.MAXIFS('Avaliação Semanal'!$A$5:$A$504,'Avaliação Semanal'!$B$5:$B$504,$A8,'Avaliação Semanal'!$C$5:$C$504,"Líder Técnico",'Avaliação Semanal'!$A$5:$A$504,"&lt;="&amp;$D$3),"00000"),'Avaliação Semanal'!$M$5:$M$504,0)),"")))</f>
        <v/>
      </c>
    </row>
    <row r="9" ht="30" customHeight="1">
      <c r="A9" s="7">
        <f>IF(Cadastro!$A8="","",Cadastro!$A8)</f>
        <v/>
      </c>
      <c r="B9" s="7">
        <f>IF(Cadastro!$A8="","",Cadastro!$B8)</f>
        <v/>
      </c>
      <c r="C9" s="7">
        <f>IF(Cadastro!$A8="","",Cadastro!$C8)</f>
        <v/>
      </c>
      <c r="D9" s="8">
        <f>IF($A9="","",IF(COUNTIFS('Avaliação Semanal'!$B$5:$B$504,$A9,'Avaliação Semanal'!$C$5:$C$504,"GP",'Avaliação Semanal'!$A$5:$A$504,"&gt;="&amp;$B$3,'Avaliação Semanal'!$A$5:$A$504,"&lt;="&amp;$D$3,'Avaliação Semanal'!$J$5:$J$504,"&gt;0")=0,"",ROUND(AVERAGEIFS('Avaliação Semanal'!$J$5:$J$504,'Avaliação Semanal'!$B$5:$B$504,$A9,'Avaliação Semanal'!$C$5:$C$504,"GP",'Avaliação Semanal'!$A$5:$A$504,"&gt;="&amp;$B$3,'Avaliação Semanal'!$A$5:$A$504,"&lt;="&amp;$D$3),2)))</f>
        <v/>
      </c>
      <c r="E9" s="8">
        <f>IF($A9="","",IF(COUNTIFS('Avaliação Semanal'!$B$5:$B$504,$A9,'Avaliação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Semanal'!$B$5:$B$504,$A9,'Avaliação Semanal'!$C$5:$C$504,"Líder Técnico",'Avaliação Semanal'!$A$5:$A$504,"&gt;="&amp;$B$3,'Avaliação Semanal'!$A$5:$A$504,"&lt;="&amp;$D$3),2)))</f>
        <v/>
      </c>
      <c r="F9" s="8">
        <f>IF($A9="","",IF(COUNTIFS('Avaliação Semanal'!$B$5:$B$504,$A9,'Avaliação Semanal'!$A$5:$A$504,"&gt;="&amp;$B$3,'Avaliação Semanal'!$A$5:$A$504,"&lt;="&amp;$D$3,'Avaliação Semanal'!$E$5:$E$504,"&gt;0")=0,"",ROUND(AVERAGEIFS('Avaliação Semanal'!$E$5:$E$504,'Avaliação Semanal'!$B$5:$B$504,$A9,'Avaliação Semanal'!$A$5:$A$504,"&gt;="&amp;$B$3,'Avaliação Semanal'!$A$5:$A$504,"&lt;="&amp;$D$3),2)))</f>
        <v/>
      </c>
      <c r="G9" s="8">
        <f>IF($A9="","",IF(COUNTIFS('Avaliação Semanal'!$B$5:$B$504,$A9,'Avaliação Semanal'!$A$5:$A$504,"&gt;="&amp;$B$3,'Avaliação Semanal'!$A$5:$A$504,"&lt;="&amp;$D$3,'Avaliação Semanal'!$F$5:$F$504,"&gt;0")=0,"",ROUND(AVERAGEIFS('Avaliação Semanal'!$F$5:$F$504,'Avaliação Semanal'!$B$5:$B$504,$A9,'Avaliação Semanal'!$A$5:$A$504,"&gt;="&amp;$B$3,'Avaliação Semanal'!$A$5:$A$504,"&lt;="&amp;$D$3),2)))</f>
        <v/>
      </c>
      <c r="H9" s="8">
        <f>IF($A9="","",IF(COUNTIFS('Avaliação Semanal'!$B$5:$B$504,$A9,'Avaliação Semanal'!$A$5:$A$504,"&gt;="&amp;$B$3,'Avaliação Semanal'!$A$5:$A$504,"&lt;="&amp;$D$3,'Avaliação Semanal'!$G$5:$G$504,"&gt;0")=0,"",ROUND(AVERAGEIFS('Avaliação Semanal'!$G$5:$G$504,'Avaliação Semanal'!$B$5:$B$504,$A9,'Avaliação Semanal'!$A$5:$A$504,"&gt;="&amp;$B$3,'Avaliação Semanal'!$A$5:$A$504,"&lt;="&amp;$D$3),2)))</f>
        <v/>
      </c>
      <c r="I9" s="8">
        <f>IF($A9="","",IF(COUNTIFS('Avaliação Semanal'!$B$5:$B$504,$A9,'Avaliação Semanal'!$A$5:$A$504,"&gt;="&amp;$B$3,'Avaliação Semanal'!$A$5:$A$504,"&lt;="&amp;$D$3,'Avaliação Semanal'!$H$5:$H$504,"&gt;0")=0,"",ROUND(AVERAGEIFS('Avaliação Semanal'!$H$5:$H$504,'Avaliação Semanal'!$B$5:$B$504,$A9,'Avaliação Semanal'!$A$5:$A$504,"&gt;="&amp;$B$3,'Avaliação Semanal'!$A$5:$A$504,"&lt;="&amp;$D$3),2)))</f>
        <v/>
      </c>
      <c r="J9" s="8">
        <f>IF($A9="","",IF(COUNTIFS('Avaliação Semanal'!$B$5:$B$504,$A9,'Avaliação Semanal'!$A$5:$A$504,"&gt;="&amp;$B$3,'Avaliação Semanal'!$A$5:$A$504,"&lt;="&amp;$D$3,'Avaliação Semanal'!$I$5:$I$504,"&gt;0")=0,"",ROUND(AVERAGEIFS('Avaliação Semanal'!$I$5:$I$504,'Avaliação Semanal'!$B$5:$B$504,$A9,'Avaliação Semanal'!$A$5:$A$504,"&gt;="&amp;$B$3,'Avaliação Semanal'!$A$5:$A$504,"&lt;="&amp;$D$3),2)))</f>
        <v/>
      </c>
      <c r="K9" s="9">
        <f>IF(COUNT($F9:$J9)=0,"",ROUND(AVERAGE($F9:$J9),2))</f>
        <v/>
      </c>
      <c r="L9" s="10">
        <f>IF($K9="","",IF($K9&gt;=Cadastro!$H$5,"Verde",IF($K9&gt;=Cadastro!$H$6,"Atenção","Crítico")))</f>
        <v/>
      </c>
      <c r="M9" s="7">
        <f>IF($A9="","",COUNTIFS('Avaliação Semanal'!$B$5:$B$504,$A9,'Avaliação Semanal'!$A$5:$A$504,"&gt;="&amp;$B$3,'Avaliação Semanal'!$A$5:$A$504,"&lt;="&amp;$D$3,'Avaliação Semanal'!$J$5:$J$504,"&gt;0"))</f>
        <v/>
      </c>
      <c r="N9" s="11">
        <f>IF($M9=0,"",_xlfn.MAXIFS('Avaliação Semanal'!$A$5:$A$504,'Avaliação Semanal'!$B$5:$B$504,$A9,'Avaliação Semanal'!$A$5:$A$504,"&lt;="&amp;$D$3))</f>
        <v/>
      </c>
      <c r="O9" s="7">
        <f>IF($A9="","",COUNTIFS('Ocorrências'!$B$5:$B$204,$A9,'Ocorrências'!$A$5:$A$204,"&gt;="&amp;$B$3,'Ocorrências'!$A$5:$A$204,"&lt;="&amp;$D$3))</f>
        <v/>
      </c>
      <c r="P9" s="7">
        <f>IF($A9="","",COUNTIFS('Ocorrências'!$B$5:$B$204,$A9,'Ocorrências'!$C$5:$C$204,"Ponto de atenção",'Ocorrências'!$A$5:$A$204,"&gt;="&amp;$B$3,'Ocorrências'!$A$5:$A$204,"&lt;="&amp;$D$3)+COUNTIFS('Ocorrências'!$B$5:$B$204,$A9,'Ocorrências'!$C$5:$C$204,"Crítica",'Ocorrências'!$A$5:$A$204,"&gt;="&amp;$B$3,'Ocorrências'!$A$5:$A$204,"&lt;="&amp;$D$3))</f>
        <v/>
      </c>
      <c r="Q9" s="7">
        <f>IF($A9="","",IF(COUNTIFS('Avaliação Semanal'!$B$5:$B$504,$A9,'Avaliação Semanal'!$C$5:$C$504,"GP",'Avaliação Semanal'!$A$5:$A$504,"&gt;="&amp;$B$3,'Avaliação Semanal'!$A$5:$A$504,"&lt;="&amp;$D$3)=0,"",IFERROR(INDEX('Avaliação Semanal'!$L$5:$L$504,MATCH($A9&amp;"|GP|"&amp;TEXT(_xlfn.MAXIFS('Avaliação Semanal'!$A$5:$A$504,'Avaliação Semanal'!$B$5:$B$504,$A9,'Avaliação Semanal'!$C$5:$C$504,"GP",'Avaliação Semanal'!$A$5:$A$504,"&lt;="&amp;$D$3),"00000"),'Avaliação Semanal'!$M$5:$M$504,0)),"")))</f>
        <v/>
      </c>
      <c r="R9" s="7">
        <f>IF($A9="","",IF(COUNTIFS('Avaliação Semanal'!$B$5:$B$504,$A9,'Avaliação Semanal'!$C$5:$C$504,"Líder Técnico",'Avaliação Semanal'!$A$5:$A$504,"&gt;="&amp;$B$3,'Avaliação Semanal'!$A$5:$A$504,"&lt;="&amp;$D$3)=0,"",IFERROR(INDEX('Avaliação Semanal'!$L$5:$L$504,MATCH($A9&amp;"|Líder Técnico|"&amp;TEXT(_xlfn.MAXIFS('Avaliação Semanal'!$A$5:$A$504,'Avaliação Semanal'!$B$5:$B$504,$A9,'Avaliação Semanal'!$C$5:$C$504,"Líder Técnico",'Avaliação Semanal'!$A$5:$A$504,"&lt;="&amp;$D$3),"00000"),'Avaliação Semanal'!$M$5:$M$504,0)),"")))</f>
        <v/>
      </c>
    </row>
    <row r="10" ht="30" customHeight="1">
      <c r="A10" s="7">
        <f>IF(Cadastro!$A9="","",Cadastro!$A9)</f>
        <v/>
      </c>
      <c r="B10" s="7">
        <f>IF(Cadastro!$A9="","",Cadastro!$B9)</f>
        <v/>
      </c>
      <c r="C10" s="7">
        <f>IF(Cadastro!$A9="","",Cadastro!$C9)</f>
        <v/>
      </c>
      <c r="D10" s="8">
        <f>IF($A10="","",IF(COUNTIFS('Avaliação Semanal'!$B$5:$B$504,$A10,'Avaliação Semanal'!$C$5:$C$504,"GP",'Avaliação Semanal'!$A$5:$A$504,"&gt;="&amp;$B$3,'Avaliação Semanal'!$A$5:$A$504,"&lt;="&amp;$D$3,'Avaliação Semanal'!$J$5:$J$504,"&gt;0")=0,"",ROUND(AVERAGEIFS('Avaliação Semanal'!$J$5:$J$504,'Avaliação Semanal'!$B$5:$B$504,$A10,'Avaliação Semanal'!$C$5:$C$504,"GP",'Avaliação Semanal'!$A$5:$A$504,"&gt;="&amp;$B$3,'Avaliação Semanal'!$A$5:$A$504,"&lt;="&amp;$D$3),2)))</f>
        <v/>
      </c>
      <c r="E10" s="8">
        <f>IF($A10="","",IF(COUNTIFS('Avaliação Semanal'!$B$5:$B$504,$A10,'Avaliação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Semanal'!$B$5:$B$504,$A10,'Avaliação Semanal'!$C$5:$C$504,"Líder Técnico",'Avaliação Semanal'!$A$5:$A$504,"&gt;="&amp;$B$3,'Avaliação Semanal'!$A$5:$A$504,"&lt;="&amp;$D$3),2)))</f>
        <v/>
      </c>
      <c r="F10" s="8">
        <f>IF($A10="","",IF(COUNTIFS('Avaliação Semanal'!$B$5:$B$504,$A10,'Avaliação Semanal'!$A$5:$A$504,"&gt;="&amp;$B$3,'Avaliação Semanal'!$A$5:$A$504,"&lt;="&amp;$D$3,'Avaliação Semanal'!$E$5:$E$504,"&gt;0")=0,"",ROUND(AVERAGEIFS('Avaliação Semanal'!$E$5:$E$504,'Avaliação Semanal'!$B$5:$B$504,$A10,'Avaliação Semanal'!$A$5:$A$504,"&gt;="&amp;$B$3,'Avaliação Semanal'!$A$5:$A$504,"&lt;="&amp;$D$3),2)))</f>
        <v/>
      </c>
      <c r="G10" s="8">
        <f>IF($A10="","",IF(COUNTIFS('Avaliação Semanal'!$B$5:$B$504,$A10,'Avaliação Semanal'!$A$5:$A$504,"&gt;="&amp;$B$3,'Avaliação Semanal'!$A$5:$A$504,"&lt;="&amp;$D$3,'Avaliação Semanal'!$F$5:$F$504,"&gt;0")=0,"",ROUND(AVERAGEIFS('Avaliação Semanal'!$F$5:$F$504,'Avaliação Semanal'!$B$5:$B$504,$A10,'Avaliação Semanal'!$A$5:$A$504,"&gt;="&amp;$B$3,'Avaliação Semanal'!$A$5:$A$504,"&lt;="&amp;$D$3),2)))</f>
        <v/>
      </c>
      <c r="H10" s="8">
        <f>IF($A10="","",IF(COUNTIFS('Avaliação Semanal'!$B$5:$B$504,$A10,'Avaliação Semanal'!$A$5:$A$504,"&gt;="&amp;$B$3,'Avaliação Semanal'!$A$5:$A$504,"&lt;="&amp;$D$3,'Avaliação Semanal'!$G$5:$G$504,"&gt;0")=0,"",ROUND(AVERAGEIFS('Avaliação Semanal'!$G$5:$G$504,'Avaliação Semanal'!$B$5:$B$504,$A10,'Avaliação Semanal'!$A$5:$A$504,"&gt;="&amp;$B$3,'Avaliação Semanal'!$A$5:$A$504,"&lt;="&amp;$D$3),2)))</f>
        <v/>
      </c>
      <c r="I10" s="8">
        <f>IF($A10="","",IF(COUNTIFS('Avaliação Semanal'!$B$5:$B$504,$A10,'Avaliação Semanal'!$A$5:$A$504,"&gt;="&amp;$B$3,'Avaliação Semanal'!$A$5:$A$504,"&lt;="&amp;$D$3,'Avaliação Semanal'!$H$5:$H$504,"&gt;0")=0,"",ROUND(AVERAGEIFS('Avaliação Semanal'!$H$5:$H$504,'Avaliação Semanal'!$B$5:$B$504,$A10,'Avaliação Semanal'!$A$5:$A$504,"&gt;="&amp;$B$3,'Avaliação Semanal'!$A$5:$A$504,"&lt;="&amp;$D$3),2)))</f>
        <v/>
      </c>
      <c r="J10" s="8">
        <f>IF($A10="","",IF(COUNTIFS('Avaliação Semanal'!$B$5:$B$504,$A10,'Avaliação Semanal'!$A$5:$A$504,"&gt;="&amp;$B$3,'Avaliação Semanal'!$A$5:$A$504,"&lt;="&amp;$D$3,'Avaliação Semanal'!$I$5:$I$504,"&gt;0")=0,"",ROUND(AVERAGEIFS('Avaliação Semanal'!$I$5:$I$504,'Avaliação Semanal'!$B$5:$B$504,$A10,'Avaliação Semanal'!$A$5:$A$504,"&gt;="&amp;$B$3,'Avaliação Semanal'!$A$5:$A$504,"&lt;="&amp;$D$3),2)))</f>
        <v/>
      </c>
      <c r="K10" s="9">
        <f>IF(COUNT($F10:$J10)=0,"",ROUND(AVERAGE($F10:$J10),2))</f>
        <v/>
      </c>
      <c r="L10" s="10">
        <f>IF($K10="","",IF($K10&gt;=Cadastro!$H$5,"Verde",IF($K10&gt;=Cadastro!$H$6,"Atenção","Crítico")))</f>
        <v/>
      </c>
      <c r="M10" s="7">
        <f>IF($A10="","",COUNTIFS('Avaliação Semanal'!$B$5:$B$504,$A10,'Avaliação Semanal'!$A$5:$A$504,"&gt;="&amp;$B$3,'Avaliação Semanal'!$A$5:$A$504,"&lt;="&amp;$D$3,'Avaliação Semanal'!$J$5:$J$504,"&gt;0"))</f>
        <v/>
      </c>
      <c r="N10" s="11">
        <f>IF($M10=0,"",_xlfn.MAXIFS('Avaliação Semanal'!$A$5:$A$504,'Avaliação Semanal'!$B$5:$B$504,$A10,'Avaliação Semanal'!$A$5:$A$504,"&lt;="&amp;$D$3))</f>
        <v/>
      </c>
      <c r="O10" s="7">
        <f>IF($A10="","",COUNTIFS('Ocorrências'!$B$5:$B$204,$A10,'Ocorrências'!$A$5:$A$204,"&gt;="&amp;$B$3,'Ocorrências'!$A$5:$A$204,"&lt;="&amp;$D$3))</f>
        <v/>
      </c>
      <c r="P10" s="7">
        <f>IF($A10="","",COUNTIFS('Ocorrências'!$B$5:$B$204,$A10,'Ocorrências'!$C$5:$C$204,"Ponto de atenção",'Ocorrências'!$A$5:$A$204,"&gt;="&amp;$B$3,'Ocorrências'!$A$5:$A$204,"&lt;="&amp;$D$3)+COUNTIFS('Ocorrências'!$B$5:$B$204,$A10,'Ocorrências'!$C$5:$C$204,"Crítica",'Ocorrências'!$A$5:$A$204,"&gt;="&amp;$B$3,'Ocorrências'!$A$5:$A$204,"&lt;="&amp;$D$3))</f>
        <v/>
      </c>
      <c r="Q10" s="7">
        <f>IF($A10="","",IF(COUNTIFS('Avaliação Semanal'!$B$5:$B$504,$A10,'Avaliação Semanal'!$C$5:$C$504,"GP",'Avaliação Semanal'!$A$5:$A$504,"&gt;="&amp;$B$3,'Avaliação Semanal'!$A$5:$A$504,"&lt;="&amp;$D$3)=0,"",IFERROR(INDEX('Avaliação Semanal'!$L$5:$L$504,MATCH($A10&amp;"|GP|"&amp;TEXT(_xlfn.MAXIFS('Avaliação Semanal'!$A$5:$A$504,'Avaliação Semanal'!$B$5:$B$504,$A10,'Avaliação Semanal'!$C$5:$C$504,"GP",'Avaliação Semanal'!$A$5:$A$504,"&lt;="&amp;$D$3),"00000"),'Avaliação Semanal'!$M$5:$M$504,0)),"")))</f>
        <v/>
      </c>
      <c r="R10" s="7">
        <f>IF($A10="","",IF(COUNTIFS('Avaliação Semanal'!$B$5:$B$504,$A10,'Avaliação Semanal'!$C$5:$C$504,"Líder Técnico",'Avaliação Semanal'!$A$5:$A$504,"&gt;="&amp;$B$3,'Avaliação Semanal'!$A$5:$A$504,"&lt;="&amp;$D$3)=0,"",IFERROR(INDEX('Avaliação Semanal'!$L$5:$L$504,MATCH($A10&amp;"|Líder Técnico|"&amp;TEXT(_xlfn.MAXIFS('Avaliação Semanal'!$A$5:$A$504,'Avaliação Semanal'!$B$5:$B$504,$A10,'Avaliação Semanal'!$C$5:$C$504,"Líder Técnico",'Avaliação Semanal'!$A$5:$A$504,"&lt;="&amp;$D$3),"00000"),'Avaliação Semanal'!$M$5:$M$504,0)),"")))</f>
        <v/>
      </c>
    </row>
    <row r="11" ht="30" customHeight="1">
      <c r="A11" s="7">
        <f>IF(Cadastro!$A10="","",Cadastro!$A10)</f>
        <v/>
      </c>
      <c r="B11" s="7">
        <f>IF(Cadastro!$A10="","",Cadastro!$B10)</f>
        <v/>
      </c>
      <c r="C11" s="7">
        <f>IF(Cadastro!$A10="","",Cadastro!$C10)</f>
        <v/>
      </c>
      <c r="D11" s="8">
        <f>IF($A11="","",IF(COUNTIFS('Avaliação Semanal'!$B$5:$B$504,$A11,'Avaliação Semanal'!$C$5:$C$504,"GP",'Avaliação Semanal'!$A$5:$A$504,"&gt;="&amp;$B$3,'Avaliação Semanal'!$A$5:$A$504,"&lt;="&amp;$D$3,'Avaliação Semanal'!$J$5:$J$504,"&gt;0")=0,"",ROUND(AVERAGEIFS('Avaliação Semanal'!$J$5:$J$504,'Avaliação Semanal'!$B$5:$B$504,$A11,'Avaliação Semanal'!$C$5:$C$504,"GP",'Avaliação Semanal'!$A$5:$A$504,"&gt;="&amp;$B$3,'Avaliação Semanal'!$A$5:$A$504,"&lt;="&amp;$D$3),2)))</f>
        <v/>
      </c>
      <c r="E11" s="8">
        <f>IF($A11="","",IF(COUNTIFS('Avaliação Semanal'!$B$5:$B$504,$A11,'Avaliação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Semanal'!$B$5:$B$504,$A11,'Avaliação Semanal'!$C$5:$C$504,"Líder Técnico",'Avaliação Semanal'!$A$5:$A$504,"&gt;="&amp;$B$3,'Avaliação Semanal'!$A$5:$A$504,"&lt;="&amp;$D$3),2)))</f>
        <v/>
      </c>
      <c r="F11" s="8">
        <f>IF($A11="","",IF(COUNTIFS('Avaliação Semanal'!$B$5:$B$504,$A11,'Avaliação Semanal'!$A$5:$A$504,"&gt;="&amp;$B$3,'Avaliação Semanal'!$A$5:$A$504,"&lt;="&amp;$D$3,'Avaliação Semanal'!$E$5:$E$504,"&gt;0")=0,"",ROUND(AVERAGEIFS('Avaliação Semanal'!$E$5:$E$504,'Avaliação Semanal'!$B$5:$B$504,$A11,'Avaliação Semanal'!$A$5:$A$504,"&gt;="&amp;$B$3,'Avaliação Semanal'!$A$5:$A$504,"&lt;="&amp;$D$3),2)))</f>
        <v/>
      </c>
      <c r="G11" s="8">
        <f>IF($A11="","",IF(COUNTIFS('Avaliação Semanal'!$B$5:$B$504,$A11,'Avaliação Semanal'!$A$5:$A$504,"&gt;="&amp;$B$3,'Avaliação Semanal'!$A$5:$A$504,"&lt;="&amp;$D$3,'Avaliação Semanal'!$F$5:$F$504,"&gt;0")=0,"",ROUND(AVERAGEIFS('Avaliação Semanal'!$F$5:$F$504,'Avaliação Semanal'!$B$5:$B$504,$A11,'Avaliação Semanal'!$A$5:$A$504,"&gt;="&amp;$B$3,'Avaliação Semanal'!$A$5:$A$504,"&lt;="&amp;$D$3),2)))</f>
        <v/>
      </c>
      <c r="H11" s="8">
        <f>IF($A11="","",IF(COUNTIFS('Avaliação Semanal'!$B$5:$B$504,$A11,'Avaliação Semanal'!$A$5:$A$504,"&gt;="&amp;$B$3,'Avaliação Semanal'!$A$5:$A$504,"&lt;="&amp;$D$3,'Avaliação Semanal'!$G$5:$G$504,"&gt;0")=0,"",ROUND(AVERAGEIFS('Avaliação Semanal'!$G$5:$G$504,'Avaliação Semanal'!$B$5:$B$504,$A11,'Avaliação Semanal'!$A$5:$A$504,"&gt;="&amp;$B$3,'Avaliação Semanal'!$A$5:$A$504,"&lt;="&amp;$D$3),2)))</f>
        <v/>
      </c>
      <c r="I11" s="8">
        <f>IF($A11="","",IF(COUNTIFS('Avaliação Semanal'!$B$5:$B$504,$A11,'Avaliação Semanal'!$A$5:$A$504,"&gt;="&amp;$B$3,'Avaliação Semanal'!$A$5:$A$504,"&lt;="&amp;$D$3,'Avaliação Semanal'!$H$5:$H$504,"&gt;0")=0,"",ROUND(AVERAGEIFS('Avaliação Semanal'!$H$5:$H$504,'Avaliação Semanal'!$B$5:$B$504,$A11,'Avaliação Semanal'!$A$5:$A$504,"&gt;="&amp;$B$3,'Avaliação Semanal'!$A$5:$A$504,"&lt;="&amp;$D$3),2)))</f>
        <v/>
      </c>
      <c r="J11" s="8">
        <f>IF($A11="","",IF(COUNTIFS('Avaliação Semanal'!$B$5:$B$504,$A11,'Avaliação Semanal'!$A$5:$A$504,"&gt;="&amp;$B$3,'Avaliação Semanal'!$A$5:$A$504,"&lt;="&amp;$D$3,'Avaliação Semanal'!$I$5:$I$504,"&gt;0")=0,"",ROUND(AVERAGEIFS('Avaliação Semanal'!$I$5:$I$504,'Avaliação Semanal'!$B$5:$B$504,$A11,'Avaliação Semanal'!$A$5:$A$504,"&gt;="&amp;$B$3,'Avaliação Semanal'!$A$5:$A$504,"&lt;="&amp;$D$3),2)))</f>
        <v/>
      </c>
      <c r="K11" s="9">
        <f>IF(COUNT($F11:$J11)=0,"",ROUND(AVERAGE($F11:$J11),2))</f>
        <v/>
      </c>
      <c r="L11" s="10">
        <f>IF($K11="","",IF($K11&gt;=Cadastro!$H$5,"Verde",IF($K11&gt;=Cadastro!$H$6,"Atenção","Crítico")))</f>
        <v/>
      </c>
      <c r="M11" s="7">
        <f>IF($A11="","",COUNTIFS('Avaliação Semanal'!$B$5:$B$504,$A11,'Avaliação Semanal'!$A$5:$A$504,"&gt;="&amp;$B$3,'Avaliação Semanal'!$A$5:$A$504,"&lt;="&amp;$D$3,'Avaliação Semanal'!$J$5:$J$504,"&gt;0"))</f>
        <v/>
      </c>
      <c r="N11" s="11">
        <f>IF($M11=0,"",_xlfn.MAXIFS('Avaliação Semanal'!$A$5:$A$504,'Avaliação Semanal'!$B$5:$B$504,$A11,'Avaliação Semanal'!$A$5:$A$504,"&lt;="&amp;$D$3))</f>
        <v/>
      </c>
      <c r="O11" s="7">
        <f>IF($A11="","",COUNTIFS('Ocorrências'!$B$5:$B$204,$A11,'Ocorrências'!$A$5:$A$204,"&gt;="&amp;$B$3,'Ocorrências'!$A$5:$A$204,"&lt;="&amp;$D$3))</f>
        <v/>
      </c>
      <c r="P11" s="7">
        <f>IF($A11="","",COUNTIFS('Ocorrências'!$B$5:$B$204,$A11,'Ocorrências'!$C$5:$C$204,"Ponto de atenção",'Ocorrências'!$A$5:$A$204,"&gt;="&amp;$B$3,'Ocorrências'!$A$5:$A$204,"&lt;="&amp;$D$3)+COUNTIFS('Ocorrências'!$B$5:$B$204,$A11,'Ocorrências'!$C$5:$C$204,"Crítica",'Ocorrências'!$A$5:$A$204,"&gt;="&amp;$B$3,'Ocorrências'!$A$5:$A$204,"&lt;="&amp;$D$3))</f>
        <v/>
      </c>
      <c r="Q11" s="7">
        <f>IF($A11="","",IF(COUNTIFS('Avaliação Semanal'!$B$5:$B$504,$A11,'Avaliação Semanal'!$C$5:$C$504,"GP",'Avaliação Semanal'!$A$5:$A$504,"&gt;="&amp;$B$3,'Avaliação Semanal'!$A$5:$A$504,"&lt;="&amp;$D$3)=0,"",IFERROR(INDEX('Avaliação Semanal'!$L$5:$L$504,MATCH($A11&amp;"|GP|"&amp;TEXT(_xlfn.MAXIFS('Avaliação Semanal'!$A$5:$A$504,'Avaliação Semanal'!$B$5:$B$504,$A11,'Avaliação Semanal'!$C$5:$C$504,"GP",'Avaliação Semanal'!$A$5:$A$504,"&lt;="&amp;$D$3),"00000"),'Avaliação Semanal'!$M$5:$M$504,0)),"")))</f>
        <v/>
      </c>
      <c r="R11" s="7">
        <f>IF($A11="","",IF(COUNTIFS('Avaliação Semanal'!$B$5:$B$504,$A11,'Avaliação Semanal'!$C$5:$C$504,"Líder Técnico",'Avaliação Semanal'!$A$5:$A$504,"&gt;="&amp;$B$3,'Avaliação Semanal'!$A$5:$A$504,"&lt;="&amp;$D$3)=0,"",IFERROR(INDEX('Avaliação Semanal'!$L$5:$L$504,MATCH($A11&amp;"|Líder Técnico|"&amp;TEXT(_xlfn.MAXIFS('Avaliação Semanal'!$A$5:$A$504,'Avaliação Semanal'!$B$5:$B$504,$A11,'Avaliação Semanal'!$C$5:$C$504,"Líder Técnico",'Avaliação Semanal'!$A$5:$A$504,"&lt;="&amp;$D$3),"00000"),'Avaliação Semanal'!$M$5:$M$504,0)),"")))</f>
        <v/>
      </c>
    </row>
    <row r="12" ht="30" customHeight="1">
      <c r="A12" s="7">
        <f>IF(Cadastro!$A11="","",Cadastro!$A11)</f>
        <v/>
      </c>
      <c r="B12" s="7">
        <f>IF(Cadastro!$A11="","",Cadastro!$B11)</f>
        <v/>
      </c>
      <c r="C12" s="7">
        <f>IF(Cadastro!$A11="","",Cadastro!$C11)</f>
        <v/>
      </c>
      <c r="D12" s="8">
        <f>IF($A12="","",IF(COUNTIFS('Avaliação Semanal'!$B$5:$B$504,$A12,'Avaliação Semanal'!$C$5:$C$504,"GP",'Avaliação Semanal'!$A$5:$A$504,"&gt;="&amp;$B$3,'Avaliação Semanal'!$A$5:$A$504,"&lt;="&amp;$D$3,'Avaliação Semanal'!$J$5:$J$504,"&gt;0")=0,"",ROUND(AVERAGEIFS('Avaliação Semanal'!$J$5:$J$504,'Avaliação Semanal'!$B$5:$B$504,$A12,'Avaliação Semanal'!$C$5:$C$504,"GP",'Avaliação Semanal'!$A$5:$A$504,"&gt;="&amp;$B$3,'Avaliação Semanal'!$A$5:$A$504,"&lt;="&amp;$D$3),2)))</f>
        <v/>
      </c>
      <c r="E12" s="8">
        <f>IF($A12="","",IF(COUNTIFS('Avaliação Semanal'!$B$5:$B$504,$A12,'Avaliação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Semanal'!$B$5:$B$504,$A12,'Avaliação Semanal'!$C$5:$C$504,"Líder Técnico",'Avaliação Semanal'!$A$5:$A$504,"&gt;="&amp;$B$3,'Avaliação Semanal'!$A$5:$A$504,"&lt;="&amp;$D$3),2)))</f>
        <v/>
      </c>
      <c r="F12" s="8">
        <f>IF($A12="","",IF(COUNTIFS('Avaliação Semanal'!$B$5:$B$504,$A12,'Avaliação Semanal'!$A$5:$A$504,"&gt;="&amp;$B$3,'Avaliação Semanal'!$A$5:$A$504,"&lt;="&amp;$D$3,'Avaliação Semanal'!$E$5:$E$504,"&gt;0")=0,"",ROUND(AVERAGEIFS('Avaliação Semanal'!$E$5:$E$504,'Avaliação Semanal'!$B$5:$B$504,$A12,'Avaliação Semanal'!$A$5:$A$504,"&gt;="&amp;$B$3,'Avaliação Semanal'!$A$5:$A$504,"&lt;="&amp;$D$3),2)))</f>
        <v/>
      </c>
      <c r="G12" s="8">
        <f>IF($A12="","",IF(COUNTIFS('Avaliação Semanal'!$B$5:$B$504,$A12,'Avaliação Semanal'!$A$5:$A$504,"&gt;="&amp;$B$3,'Avaliação Semanal'!$A$5:$A$504,"&lt;="&amp;$D$3,'Avaliação Semanal'!$F$5:$F$504,"&gt;0")=0,"",ROUND(AVERAGEIFS('Avaliação Semanal'!$F$5:$F$504,'Avaliação Semanal'!$B$5:$B$504,$A12,'Avaliação Semanal'!$A$5:$A$504,"&gt;="&amp;$B$3,'Avaliação Semanal'!$A$5:$A$504,"&lt;="&amp;$D$3),2)))</f>
        <v/>
      </c>
      <c r="H12" s="8">
        <f>IF($A12="","",IF(COUNTIFS('Avaliação Semanal'!$B$5:$B$504,$A12,'Avaliação Semanal'!$A$5:$A$504,"&gt;="&amp;$B$3,'Avaliação Semanal'!$A$5:$A$504,"&lt;="&amp;$D$3,'Avaliação Semanal'!$G$5:$G$504,"&gt;0")=0,"",ROUND(AVERAGEIFS('Avaliação Semanal'!$G$5:$G$504,'Avaliação Semanal'!$B$5:$B$504,$A12,'Avaliação Semanal'!$A$5:$A$504,"&gt;="&amp;$B$3,'Avaliação Semanal'!$A$5:$A$504,"&lt;="&amp;$D$3),2)))</f>
        <v/>
      </c>
      <c r="I12" s="8">
        <f>IF($A12="","",IF(COUNTIFS('Avaliação Semanal'!$B$5:$B$504,$A12,'Avaliação Semanal'!$A$5:$A$504,"&gt;="&amp;$B$3,'Avaliação Semanal'!$A$5:$A$504,"&lt;="&amp;$D$3,'Avaliação Semanal'!$H$5:$H$504,"&gt;0")=0,"",ROUND(AVERAGEIFS('Avaliação Semanal'!$H$5:$H$504,'Avaliação Semanal'!$B$5:$B$504,$A12,'Avaliação Semanal'!$A$5:$A$504,"&gt;="&amp;$B$3,'Avaliação Semanal'!$A$5:$A$504,"&lt;="&amp;$D$3),2)))</f>
        <v/>
      </c>
      <c r="J12" s="8">
        <f>IF($A12="","",IF(COUNTIFS('Avaliação Semanal'!$B$5:$B$504,$A12,'Avaliação Semanal'!$A$5:$A$504,"&gt;="&amp;$B$3,'Avaliação Semanal'!$A$5:$A$504,"&lt;="&amp;$D$3,'Avaliação Semanal'!$I$5:$I$504,"&gt;0")=0,"",ROUND(AVERAGEIFS('Avaliação Semanal'!$I$5:$I$504,'Avaliação Semanal'!$B$5:$B$504,$A12,'Avaliação Semanal'!$A$5:$A$504,"&gt;="&amp;$B$3,'Avaliação Semanal'!$A$5:$A$504,"&lt;="&amp;$D$3),2)))</f>
        <v/>
      </c>
      <c r="K12" s="9">
        <f>IF(COUNT($F12:$J12)=0,"",ROUND(AVERAGE($F12:$J12),2))</f>
        <v/>
      </c>
      <c r="L12" s="10">
        <f>IF($K12="","",IF($K12&gt;=Cadastro!$H$5,"Verde",IF($K12&gt;=Cadastro!$H$6,"Atenção","Crítico")))</f>
        <v/>
      </c>
      <c r="M12" s="7">
        <f>IF($A12="","",COUNTIFS('Avaliação Semanal'!$B$5:$B$504,$A12,'Avaliação Semanal'!$A$5:$A$504,"&gt;="&amp;$B$3,'Avaliação Semanal'!$A$5:$A$504,"&lt;="&amp;$D$3,'Avaliação Semanal'!$J$5:$J$504,"&gt;0"))</f>
        <v/>
      </c>
      <c r="N12" s="11">
        <f>IF($M12=0,"",_xlfn.MAXIFS('Avaliação Semanal'!$A$5:$A$504,'Avaliação Semanal'!$B$5:$B$504,$A12,'Avaliação Semanal'!$A$5:$A$504,"&lt;="&amp;$D$3))</f>
        <v/>
      </c>
      <c r="O12" s="7">
        <f>IF($A12="","",COUNTIFS('Ocorrências'!$B$5:$B$204,$A12,'Ocorrências'!$A$5:$A$204,"&gt;="&amp;$B$3,'Ocorrências'!$A$5:$A$204,"&lt;="&amp;$D$3))</f>
        <v/>
      </c>
      <c r="P12" s="7">
        <f>IF($A12="","",COUNTIFS('Ocorrências'!$B$5:$B$204,$A12,'Ocorrências'!$C$5:$C$204,"Ponto de atenção",'Ocorrências'!$A$5:$A$204,"&gt;="&amp;$B$3,'Ocorrências'!$A$5:$A$204,"&lt;="&amp;$D$3)+COUNTIFS('Ocorrências'!$B$5:$B$204,$A12,'Ocorrências'!$C$5:$C$204,"Crítica",'Ocorrências'!$A$5:$A$204,"&gt;="&amp;$B$3,'Ocorrências'!$A$5:$A$204,"&lt;="&amp;$D$3))</f>
        <v/>
      </c>
      <c r="Q12" s="7">
        <f>IF($A12="","",IF(COUNTIFS('Avaliação Semanal'!$B$5:$B$504,$A12,'Avaliação Semanal'!$C$5:$C$504,"GP",'Avaliação Semanal'!$A$5:$A$504,"&gt;="&amp;$B$3,'Avaliação Semanal'!$A$5:$A$504,"&lt;="&amp;$D$3)=0,"",IFERROR(INDEX('Avaliação Semanal'!$L$5:$L$504,MATCH($A12&amp;"|GP|"&amp;TEXT(_xlfn.MAXIFS('Avaliação Semanal'!$A$5:$A$504,'Avaliação Semanal'!$B$5:$B$504,$A12,'Avaliação Semanal'!$C$5:$C$504,"GP",'Avaliação Semanal'!$A$5:$A$504,"&lt;="&amp;$D$3),"00000"),'Avaliação Semanal'!$M$5:$M$504,0)),"")))</f>
        <v/>
      </c>
      <c r="R12" s="7">
        <f>IF($A12="","",IF(COUNTIFS('Avaliação Semanal'!$B$5:$B$504,$A12,'Avaliação Semanal'!$C$5:$C$504,"Líder Técnico",'Avaliação Semanal'!$A$5:$A$504,"&gt;="&amp;$B$3,'Avaliação Semanal'!$A$5:$A$504,"&lt;="&amp;$D$3)=0,"",IFERROR(INDEX('Avaliação Semanal'!$L$5:$L$504,MATCH($A12&amp;"|Líder Técnico|"&amp;TEXT(_xlfn.MAXIFS('Avaliação Semanal'!$A$5:$A$504,'Avaliação Semanal'!$B$5:$B$504,$A12,'Avaliação Semanal'!$C$5:$C$504,"Líder Técnico",'Avaliação Semanal'!$A$5:$A$504,"&lt;="&amp;$D$3),"00000"),'Avaliação Semanal'!$M$5:$M$504,0)),"")))</f>
        <v/>
      </c>
    </row>
    <row r="13" ht="30" customHeight="1">
      <c r="A13" s="7">
        <f>IF(Cadastro!$A12="","",Cadastro!$A12)</f>
        <v/>
      </c>
      <c r="B13" s="7">
        <f>IF(Cadastro!$A12="","",Cadastro!$B12)</f>
        <v/>
      </c>
      <c r="C13" s="7">
        <f>IF(Cadastro!$A12="","",Cadastro!$C12)</f>
        <v/>
      </c>
      <c r="D13" s="8">
        <f>IF($A13="","",IF(COUNTIFS('Avaliação Semanal'!$B$5:$B$504,$A13,'Avaliação Semanal'!$C$5:$C$504,"GP",'Avaliação Semanal'!$A$5:$A$504,"&gt;="&amp;$B$3,'Avaliação Semanal'!$A$5:$A$504,"&lt;="&amp;$D$3,'Avaliação Semanal'!$J$5:$J$504,"&gt;0")=0,"",ROUND(AVERAGEIFS('Avaliação Semanal'!$J$5:$J$504,'Avaliação Semanal'!$B$5:$B$504,$A13,'Avaliação Semanal'!$C$5:$C$504,"GP",'Avaliação Semanal'!$A$5:$A$504,"&gt;="&amp;$B$3,'Avaliação Semanal'!$A$5:$A$504,"&lt;="&amp;$D$3),2)))</f>
        <v/>
      </c>
      <c r="E13" s="8">
        <f>IF($A13="","",IF(COUNTIFS('Avaliação Semanal'!$B$5:$B$504,$A13,'Avaliação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Semanal'!$B$5:$B$504,$A13,'Avaliação Semanal'!$C$5:$C$504,"Líder Técnico",'Avaliação Semanal'!$A$5:$A$504,"&gt;="&amp;$B$3,'Avaliação Semanal'!$A$5:$A$504,"&lt;="&amp;$D$3),2)))</f>
        <v/>
      </c>
      <c r="F13" s="8">
        <f>IF($A13="","",IF(COUNTIFS('Avaliação Semanal'!$B$5:$B$504,$A13,'Avaliação Semanal'!$A$5:$A$504,"&gt;="&amp;$B$3,'Avaliação Semanal'!$A$5:$A$504,"&lt;="&amp;$D$3,'Avaliação Semanal'!$E$5:$E$504,"&gt;0")=0,"",ROUND(AVERAGEIFS('Avaliação Semanal'!$E$5:$E$504,'Avaliação Semanal'!$B$5:$B$504,$A13,'Avaliação Semanal'!$A$5:$A$504,"&gt;="&amp;$B$3,'Avaliação Semanal'!$A$5:$A$504,"&lt;="&amp;$D$3),2)))</f>
        <v/>
      </c>
      <c r="G13" s="8">
        <f>IF($A13="","",IF(COUNTIFS('Avaliação Semanal'!$B$5:$B$504,$A13,'Avaliação Semanal'!$A$5:$A$504,"&gt;="&amp;$B$3,'Avaliação Semanal'!$A$5:$A$504,"&lt;="&amp;$D$3,'Avaliação Semanal'!$F$5:$F$504,"&gt;0")=0,"",ROUND(AVERAGEIFS('Avaliação Semanal'!$F$5:$F$504,'Avaliação Semanal'!$B$5:$B$504,$A13,'Avaliação Semanal'!$A$5:$A$504,"&gt;="&amp;$B$3,'Avaliação Semanal'!$A$5:$A$504,"&lt;="&amp;$D$3),2)))</f>
        <v/>
      </c>
      <c r="H13" s="8">
        <f>IF($A13="","",IF(COUNTIFS('Avaliação Semanal'!$B$5:$B$504,$A13,'Avaliação Semanal'!$A$5:$A$504,"&gt;="&amp;$B$3,'Avaliação Semanal'!$A$5:$A$504,"&lt;="&amp;$D$3,'Avaliação Semanal'!$G$5:$G$504,"&gt;0")=0,"",ROUND(AVERAGEIFS('Avaliação Semanal'!$G$5:$G$504,'Avaliação Semanal'!$B$5:$B$504,$A13,'Avaliação Semanal'!$A$5:$A$504,"&gt;="&amp;$B$3,'Avaliação Semanal'!$A$5:$A$504,"&lt;="&amp;$D$3),2)))</f>
        <v/>
      </c>
      <c r="I13" s="8">
        <f>IF($A13="","",IF(COUNTIFS('Avaliação Semanal'!$B$5:$B$504,$A13,'Avaliação Semanal'!$A$5:$A$504,"&gt;="&amp;$B$3,'Avaliação Semanal'!$A$5:$A$504,"&lt;="&amp;$D$3,'Avaliação Semanal'!$H$5:$H$504,"&gt;0")=0,"",ROUND(AVERAGEIFS('Avaliação Semanal'!$H$5:$H$504,'Avaliação Semanal'!$B$5:$B$504,$A13,'Avaliação Semanal'!$A$5:$A$504,"&gt;="&amp;$B$3,'Avaliação Semanal'!$A$5:$A$504,"&lt;="&amp;$D$3),2)))</f>
        <v/>
      </c>
      <c r="J13" s="8">
        <f>IF($A13="","",IF(COUNTIFS('Avaliação Semanal'!$B$5:$B$504,$A13,'Avaliação Semanal'!$A$5:$A$504,"&gt;="&amp;$B$3,'Avaliação Semanal'!$A$5:$A$504,"&lt;="&amp;$D$3,'Avaliação Semanal'!$I$5:$I$504,"&gt;0")=0,"",ROUND(AVERAGEIFS('Avaliação Semanal'!$I$5:$I$504,'Avaliação Semanal'!$B$5:$B$504,$A13,'Avaliação Semanal'!$A$5:$A$504,"&gt;="&amp;$B$3,'Avaliação Semanal'!$A$5:$A$504,"&lt;="&amp;$D$3),2)))</f>
        <v/>
      </c>
      <c r="K13" s="9">
        <f>IF(COUNT($F13:$J13)=0,"",ROUND(AVERAGE($F13:$J13),2))</f>
        <v/>
      </c>
      <c r="L13" s="10">
        <f>IF($K13="","",IF($K13&gt;=Cadastro!$H$5,"Verde",IF($K13&gt;=Cadastro!$H$6,"Atenção","Crítico")))</f>
        <v/>
      </c>
      <c r="M13" s="7">
        <f>IF($A13="","",COUNTIFS('Avaliação Semanal'!$B$5:$B$504,$A13,'Avaliação Semanal'!$A$5:$A$504,"&gt;="&amp;$B$3,'Avaliação Semanal'!$A$5:$A$504,"&lt;="&amp;$D$3,'Avaliação Semanal'!$J$5:$J$504,"&gt;0"))</f>
        <v/>
      </c>
      <c r="N13" s="11">
        <f>IF($M13=0,"",_xlfn.MAXIFS('Avaliação Semanal'!$A$5:$A$504,'Avaliação Semanal'!$B$5:$B$504,$A13,'Avaliação Semanal'!$A$5:$A$504,"&lt;="&amp;$D$3))</f>
        <v/>
      </c>
      <c r="O13" s="7">
        <f>IF($A13="","",COUNTIFS('Ocorrências'!$B$5:$B$204,$A13,'Ocorrências'!$A$5:$A$204,"&gt;="&amp;$B$3,'Ocorrências'!$A$5:$A$204,"&lt;="&amp;$D$3))</f>
        <v/>
      </c>
      <c r="P13" s="7">
        <f>IF($A13="","",COUNTIFS('Ocorrências'!$B$5:$B$204,$A13,'Ocorrências'!$C$5:$C$204,"Ponto de atenção",'Ocorrências'!$A$5:$A$204,"&gt;="&amp;$B$3,'Ocorrências'!$A$5:$A$204,"&lt;="&amp;$D$3)+COUNTIFS('Ocorrências'!$B$5:$B$204,$A13,'Ocorrências'!$C$5:$C$204,"Crítica",'Ocorrências'!$A$5:$A$204,"&gt;="&amp;$B$3,'Ocorrências'!$A$5:$A$204,"&lt;="&amp;$D$3))</f>
        <v/>
      </c>
      <c r="Q13" s="7">
        <f>IF($A13="","",IF(COUNTIFS('Avaliação Semanal'!$B$5:$B$504,$A13,'Avaliação Semanal'!$C$5:$C$504,"GP",'Avaliação Semanal'!$A$5:$A$504,"&gt;="&amp;$B$3,'Avaliação Semanal'!$A$5:$A$504,"&lt;="&amp;$D$3)=0,"",IFERROR(INDEX('Avaliação Semanal'!$L$5:$L$504,MATCH($A13&amp;"|GP|"&amp;TEXT(_xlfn.MAXIFS('Avaliação Semanal'!$A$5:$A$504,'Avaliação Semanal'!$B$5:$B$504,$A13,'Avaliação Semanal'!$C$5:$C$504,"GP",'Avaliação Semanal'!$A$5:$A$504,"&lt;="&amp;$D$3),"00000"),'Avaliação Semanal'!$M$5:$M$504,0)),"")))</f>
        <v/>
      </c>
      <c r="R13" s="7">
        <f>IF($A13="","",IF(COUNTIFS('Avaliação Semanal'!$B$5:$B$504,$A13,'Avaliação Semanal'!$C$5:$C$504,"Líder Técnico",'Avaliação Semanal'!$A$5:$A$504,"&gt;="&amp;$B$3,'Avaliação Semanal'!$A$5:$A$504,"&lt;="&amp;$D$3)=0,"",IFERROR(INDEX('Avaliação Semanal'!$L$5:$L$504,MATCH($A13&amp;"|Líder Técnico|"&amp;TEXT(_xlfn.MAXIFS('Avaliação Semanal'!$A$5:$A$504,'Avaliação Semanal'!$B$5:$B$504,$A13,'Avaliação Semanal'!$C$5:$C$504,"Líder Técnico",'Avaliação Semanal'!$A$5:$A$504,"&lt;="&amp;$D$3),"00000"),'Avaliação Semanal'!$M$5:$M$504,0)),"")))</f>
        <v/>
      </c>
    </row>
    <row r="14" ht="30" customHeight="1">
      <c r="A14" s="7">
        <f>IF(Cadastro!$A13="","",Cadastro!$A13)</f>
        <v/>
      </c>
      <c r="B14" s="7">
        <f>IF(Cadastro!$A13="","",Cadastro!$B13)</f>
        <v/>
      </c>
      <c r="C14" s="7">
        <f>IF(Cadastro!$A13="","",Cadastro!$C13)</f>
        <v/>
      </c>
      <c r="D14" s="8">
        <f>IF($A14="","",IF(COUNTIFS('Avaliação Semanal'!$B$5:$B$504,$A14,'Avaliação Semanal'!$C$5:$C$504,"GP",'Avaliação Semanal'!$A$5:$A$504,"&gt;="&amp;$B$3,'Avaliação Semanal'!$A$5:$A$504,"&lt;="&amp;$D$3,'Avaliação Semanal'!$J$5:$J$504,"&gt;0")=0,"",ROUND(AVERAGEIFS('Avaliação Semanal'!$J$5:$J$504,'Avaliação Semanal'!$B$5:$B$504,$A14,'Avaliação Semanal'!$C$5:$C$504,"GP",'Avaliação Semanal'!$A$5:$A$504,"&gt;="&amp;$B$3,'Avaliação Semanal'!$A$5:$A$504,"&lt;="&amp;$D$3),2)))</f>
        <v/>
      </c>
      <c r="E14" s="8">
        <f>IF($A14="","",IF(COUNTIFS('Avaliação Semanal'!$B$5:$B$504,$A14,'Avaliação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Semanal'!$B$5:$B$504,$A14,'Avaliação Semanal'!$C$5:$C$504,"Líder Técnico",'Avaliação Semanal'!$A$5:$A$504,"&gt;="&amp;$B$3,'Avaliação Semanal'!$A$5:$A$504,"&lt;="&amp;$D$3),2)))</f>
        <v/>
      </c>
      <c r="F14" s="8">
        <f>IF($A14="","",IF(COUNTIFS('Avaliação Semanal'!$B$5:$B$504,$A14,'Avaliação Semanal'!$A$5:$A$504,"&gt;="&amp;$B$3,'Avaliação Semanal'!$A$5:$A$504,"&lt;="&amp;$D$3,'Avaliação Semanal'!$E$5:$E$504,"&gt;0")=0,"",ROUND(AVERAGEIFS('Avaliação Semanal'!$E$5:$E$504,'Avaliação Semanal'!$B$5:$B$504,$A14,'Avaliação Semanal'!$A$5:$A$504,"&gt;="&amp;$B$3,'Avaliação Semanal'!$A$5:$A$504,"&lt;="&amp;$D$3),2)))</f>
        <v/>
      </c>
      <c r="G14" s="8">
        <f>IF($A14="","",IF(COUNTIFS('Avaliação Semanal'!$B$5:$B$504,$A14,'Avaliação Semanal'!$A$5:$A$504,"&gt;="&amp;$B$3,'Avaliação Semanal'!$A$5:$A$504,"&lt;="&amp;$D$3,'Avaliação Semanal'!$F$5:$F$504,"&gt;0")=0,"",ROUND(AVERAGEIFS('Avaliação Semanal'!$F$5:$F$504,'Avaliação Semanal'!$B$5:$B$504,$A14,'Avaliação Semanal'!$A$5:$A$504,"&gt;="&amp;$B$3,'Avaliação Semanal'!$A$5:$A$504,"&lt;="&amp;$D$3),2)))</f>
        <v/>
      </c>
      <c r="H14" s="8">
        <f>IF($A14="","",IF(COUNTIFS('Avaliação Semanal'!$B$5:$B$504,$A14,'Avaliação Semanal'!$A$5:$A$504,"&gt;="&amp;$B$3,'Avaliação Semanal'!$A$5:$A$504,"&lt;="&amp;$D$3,'Avaliação Semanal'!$G$5:$G$504,"&gt;0")=0,"",ROUND(AVERAGEIFS('Avaliação Semanal'!$G$5:$G$504,'Avaliação Semanal'!$B$5:$B$504,$A14,'Avaliação Semanal'!$A$5:$A$504,"&gt;="&amp;$B$3,'Avaliação Semanal'!$A$5:$A$504,"&lt;="&amp;$D$3),2)))</f>
        <v/>
      </c>
      <c r="I14" s="8">
        <f>IF($A14="","",IF(COUNTIFS('Avaliação Semanal'!$B$5:$B$504,$A14,'Avaliação Semanal'!$A$5:$A$504,"&gt;="&amp;$B$3,'Avaliação Semanal'!$A$5:$A$504,"&lt;="&amp;$D$3,'Avaliação Semanal'!$H$5:$H$504,"&gt;0")=0,"",ROUND(AVERAGEIFS('Avaliação Semanal'!$H$5:$H$504,'Avaliação Semanal'!$B$5:$B$504,$A14,'Avaliação Semanal'!$A$5:$A$504,"&gt;="&amp;$B$3,'Avaliação Semanal'!$A$5:$A$504,"&lt;="&amp;$D$3),2)))</f>
        <v/>
      </c>
      <c r="J14" s="8">
        <f>IF($A14="","",IF(COUNTIFS('Avaliação Semanal'!$B$5:$B$504,$A14,'Avaliação Semanal'!$A$5:$A$504,"&gt;="&amp;$B$3,'Avaliação Semanal'!$A$5:$A$504,"&lt;="&amp;$D$3,'Avaliação Semanal'!$I$5:$I$504,"&gt;0")=0,"",ROUND(AVERAGEIFS('Avaliação Semanal'!$I$5:$I$504,'Avaliação Semanal'!$B$5:$B$504,$A14,'Avaliação Semanal'!$A$5:$A$504,"&gt;="&amp;$B$3,'Avaliação Semanal'!$A$5:$A$504,"&lt;="&amp;$D$3),2)))</f>
        <v/>
      </c>
      <c r="K14" s="9">
        <f>IF(COUNT($F14:$J14)=0,"",ROUND(AVERAGE($F14:$J14),2))</f>
        <v/>
      </c>
      <c r="L14" s="10">
        <f>IF($K14="","",IF($K14&gt;=Cadastro!$H$5,"Verde",IF($K14&gt;=Cadastro!$H$6,"Atenção","Crítico")))</f>
        <v/>
      </c>
      <c r="M14" s="7">
        <f>IF($A14="","",COUNTIFS('Avaliação Semanal'!$B$5:$B$504,$A14,'Avaliação Semanal'!$A$5:$A$504,"&gt;="&amp;$B$3,'Avaliação Semanal'!$A$5:$A$504,"&lt;="&amp;$D$3,'Avaliação Semanal'!$J$5:$J$504,"&gt;0"))</f>
        <v/>
      </c>
      <c r="N14" s="11">
        <f>IF($M14=0,"",_xlfn.MAXIFS('Avaliação Semanal'!$A$5:$A$504,'Avaliação Semanal'!$B$5:$B$504,$A14,'Avaliação Semanal'!$A$5:$A$504,"&lt;="&amp;$D$3))</f>
        <v/>
      </c>
      <c r="O14" s="7">
        <f>IF($A14="","",COUNTIFS('Ocorrências'!$B$5:$B$204,$A14,'Ocorrências'!$A$5:$A$204,"&gt;="&amp;$B$3,'Ocorrências'!$A$5:$A$204,"&lt;="&amp;$D$3))</f>
        <v/>
      </c>
      <c r="P14" s="7">
        <f>IF($A14="","",COUNTIFS('Ocorrências'!$B$5:$B$204,$A14,'Ocorrências'!$C$5:$C$204,"Ponto de atenção",'Ocorrências'!$A$5:$A$204,"&gt;="&amp;$B$3,'Ocorrências'!$A$5:$A$204,"&lt;="&amp;$D$3)+COUNTIFS('Ocorrências'!$B$5:$B$204,$A14,'Ocorrências'!$C$5:$C$204,"Crítica",'Ocorrências'!$A$5:$A$204,"&gt;="&amp;$B$3,'Ocorrências'!$A$5:$A$204,"&lt;="&amp;$D$3))</f>
        <v/>
      </c>
      <c r="Q14" s="7">
        <f>IF($A14="","",IF(COUNTIFS('Avaliação Semanal'!$B$5:$B$504,$A14,'Avaliação Semanal'!$C$5:$C$504,"GP",'Avaliação Semanal'!$A$5:$A$504,"&gt;="&amp;$B$3,'Avaliação Semanal'!$A$5:$A$504,"&lt;="&amp;$D$3)=0,"",IFERROR(INDEX('Avaliação Semanal'!$L$5:$L$504,MATCH($A14&amp;"|GP|"&amp;TEXT(_xlfn.MAXIFS('Avaliação Semanal'!$A$5:$A$504,'Avaliação Semanal'!$B$5:$B$504,$A14,'Avaliação Semanal'!$C$5:$C$504,"GP",'Avaliação Semanal'!$A$5:$A$504,"&lt;="&amp;$D$3),"00000"),'Avaliação Semanal'!$M$5:$M$504,0)),"")))</f>
        <v/>
      </c>
      <c r="R14" s="7">
        <f>IF($A14="","",IF(COUNTIFS('Avaliação Semanal'!$B$5:$B$504,$A14,'Avaliação Semanal'!$C$5:$C$504,"Líder Técnico",'Avaliação Semanal'!$A$5:$A$504,"&gt;="&amp;$B$3,'Avaliação Semanal'!$A$5:$A$504,"&lt;="&amp;$D$3)=0,"",IFERROR(INDEX('Avaliação Semanal'!$L$5:$L$504,MATCH($A14&amp;"|Líder Técnico|"&amp;TEXT(_xlfn.MAXIFS('Avaliação Semanal'!$A$5:$A$504,'Avaliação Semanal'!$B$5:$B$504,$A14,'Avaliação Semanal'!$C$5:$C$504,"Líder Técnico",'Avaliação Semanal'!$A$5:$A$504,"&lt;="&amp;$D$3),"00000"),'Avaliação Semanal'!$M$5:$M$504,0)),"")))</f>
        <v/>
      </c>
    </row>
    <row r="15" ht="30" customHeight="1">
      <c r="A15" s="7">
        <f>IF(Cadastro!$A14="","",Cadastro!$A14)</f>
        <v/>
      </c>
      <c r="B15" s="7">
        <f>IF(Cadastro!$A14="","",Cadastro!$B14)</f>
        <v/>
      </c>
      <c r="C15" s="7">
        <f>IF(Cadastro!$A14="","",Cadastro!$C14)</f>
        <v/>
      </c>
      <c r="D15" s="8">
        <f>IF($A15="","",IF(COUNTIFS('Avaliação Semanal'!$B$5:$B$504,$A15,'Avaliação Semanal'!$C$5:$C$504,"GP",'Avaliação Semanal'!$A$5:$A$504,"&gt;="&amp;$B$3,'Avaliação Semanal'!$A$5:$A$504,"&lt;="&amp;$D$3,'Avaliação Semanal'!$J$5:$J$504,"&gt;0")=0,"",ROUND(AVERAGEIFS('Avaliação Semanal'!$J$5:$J$504,'Avaliação Semanal'!$B$5:$B$504,$A15,'Avaliação Semanal'!$C$5:$C$504,"GP",'Avaliação Semanal'!$A$5:$A$504,"&gt;="&amp;$B$3,'Avaliação Semanal'!$A$5:$A$504,"&lt;="&amp;$D$3),2)))</f>
        <v/>
      </c>
      <c r="E15" s="8">
        <f>IF($A15="","",IF(COUNTIFS('Avaliação Semanal'!$B$5:$B$504,$A15,'Avaliação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Semanal'!$B$5:$B$504,$A15,'Avaliação Semanal'!$C$5:$C$504,"Líder Técnico",'Avaliação Semanal'!$A$5:$A$504,"&gt;="&amp;$B$3,'Avaliação Semanal'!$A$5:$A$504,"&lt;="&amp;$D$3),2)))</f>
        <v/>
      </c>
      <c r="F15" s="8">
        <f>IF($A15="","",IF(COUNTIFS('Avaliação Semanal'!$B$5:$B$504,$A15,'Avaliação Semanal'!$A$5:$A$504,"&gt;="&amp;$B$3,'Avaliação Semanal'!$A$5:$A$504,"&lt;="&amp;$D$3,'Avaliação Semanal'!$E$5:$E$504,"&gt;0")=0,"",ROUND(AVERAGEIFS('Avaliação Semanal'!$E$5:$E$504,'Avaliação Semanal'!$B$5:$B$504,$A15,'Avaliação Semanal'!$A$5:$A$504,"&gt;="&amp;$B$3,'Avaliação Semanal'!$A$5:$A$504,"&lt;="&amp;$D$3),2)))</f>
        <v/>
      </c>
      <c r="G15" s="8">
        <f>IF($A15="","",IF(COUNTIFS('Avaliação Semanal'!$B$5:$B$504,$A15,'Avaliação Semanal'!$A$5:$A$504,"&gt;="&amp;$B$3,'Avaliação Semanal'!$A$5:$A$504,"&lt;="&amp;$D$3,'Avaliação Semanal'!$F$5:$F$504,"&gt;0")=0,"",ROUND(AVERAGEIFS('Avaliação Semanal'!$F$5:$F$504,'Avaliação Semanal'!$B$5:$B$504,$A15,'Avaliação Semanal'!$A$5:$A$504,"&gt;="&amp;$B$3,'Avaliação Semanal'!$A$5:$A$504,"&lt;="&amp;$D$3),2)))</f>
        <v/>
      </c>
      <c r="H15" s="8">
        <f>IF($A15="","",IF(COUNTIFS('Avaliação Semanal'!$B$5:$B$504,$A15,'Avaliação Semanal'!$A$5:$A$504,"&gt;="&amp;$B$3,'Avaliação Semanal'!$A$5:$A$504,"&lt;="&amp;$D$3,'Avaliação Semanal'!$G$5:$G$504,"&gt;0")=0,"",ROUND(AVERAGEIFS('Avaliação Semanal'!$G$5:$G$504,'Avaliação Semanal'!$B$5:$B$504,$A15,'Avaliação Semanal'!$A$5:$A$504,"&gt;="&amp;$B$3,'Avaliação Semanal'!$A$5:$A$504,"&lt;="&amp;$D$3),2)))</f>
        <v/>
      </c>
      <c r="I15" s="8">
        <f>IF($A15="","",IF(COUNTIFS('Avaliação Semanal'!$B$5:$B$504,$A15,'Avaliação Semanal'!$A$5:$A$504,"&gt;="&amp;$B$3,'Avaliação Semanal'!$A$5:$A$504,"&lt;="&amp;$D$3,'Avaliação Semanal'!$H$5:$H$504,"&gt;0")=0,"",ROUND(AVERAGEIFS('Avaliação Semanal'!$H$5:$H$504,'Avaliação Semanal'!$B$5:$B$504,$A15,'Avaliação Semanal'!$A$5:$A$504,"&gt;="&amp;$B$3,'Avaliação Semanal'!$A$5:$A$504,"&lt;="&amp;$D$3),2)))</f>
        <v/>
      </c>
      <c r="J15" s="8">
        <f>IF($A15="","",IF(COUNTIFS('Avaliação Semanal'!$B$5:$B$504,$A15,'Avaliação Semanal'!$A$5:$A$504,"&gt;="&amp;$B$3,'Avaliação Semanal'!$A$5:$A$504,"&lt;="&amp;$D$3,'Avaliação Semanal'!$I$5:$I$504,"&gt;0")=0,"",ROUND(AVERAGEIFS('Avaliação Semanal'!$I$5:$I$504,'Avaliação Semanal'!$B$5:$B$504,$A15,'Avaliação Semanal'!$A$5:$A$504,"&gt;="&amp;$B$3,'Avaliação Semanal'!$A$5:$A$504,"&lt;="&amp;$D$3),2)))</f>
        <v/>
      </c>
      <c r="K15" s="9">
        <f>IF(COUNT($F15:$J15)=0,"",ROUND(AVERAGE($F15:$J15),2))</f>
        <v/>
      </c>
      <c r="L15" s="10">
        <f>IF($K15="","",IF($K15&gt;=Cadastro!$H$5,"Verde",IF($K15&gt;=Cadastro!$H$6,"Atenção","Crítico")))</f>
        <v/>
      </c>
      <c r="M15" s="7">
        <f>IF($A15="","",COUNTIFS('Avaliação Semanal'!$B$5:$B$504,$A15,'Avaliação Semanal'!$A$5:$A$504,"&gt;="&amp;$B$3,'Avaliação Semanal'!$A$5:$A$504,"&lt;="&amp;$D$3,'Avaliação Semanal'!$J$5:$J$504,"&gt;0"))</f>
        <v/>
      </c>
      <c r="N15" s="11">
        <f>IF($M15=0,"",_xlfn.MAXIFS('Avaliação Semanal'!$A$5:$A$504,'Avaliação Semanal'!$B$5:$B$504,$A15,'Avaliação Semanal'!$A$5:$A$504,"&lt;="&amp;$D$3))</f>
        <v/>
      </c>
      <c r="O15" s="7">
        <f>IF($A15="","",COUNTIFS('Ocorrências'!$B$5:$B$204,$A15,'Ocorrências'!$A$5:$A$204,"&gt;="&amp;$B$3,'Ocorrências'!$A$5:$A$204,"&lt;="&amp;$D$3))</f>
        <v/>
      </c>
      <c r="P15" s="7">
        <f>IF($A15="","",COUNTIFS('Ocorrências'!$B$5:$B$204,$A15,'Ocorrências'!$C$5:$C$204,"Ponto de atenção",'Ocorrências'!$A$5:$A$204,"&gt;="&amp;$B$3,'Ocorrências'!$A$5:$A$204,"&lt;="&amp;$D$3)+COUNTIFS('Ocorrências'!$B$5:$B$204,$A15,'Ocorrências'!$C$5:$C$204,"Crítica",'Ocorrências'!$A$5:$A$204,"&gt;="&amp;$B$3,'Ocorrências'!$A$5:$A$204,"&lt;="&amp;$D$3))</f>
        <v/>
      </c>
      <c r="Q15" s="7">
        <f>IF($A15="","",IF(COUNTIFS('Avaliação Semanal'!$B$5:$B$504,$A15,'Avaliação Semanal'!$C$5:$C$504,"GP",'Avaliação Semanal'!$A$5:$A$504,"&gt;="&amp;$B$3,'Avaliação Semanal'!$A$5:$A$504,"&lt;="&amp;$D$3)=0,"",IFERROR(INDEX('Avaliação Semanal'!$L$5:$L$504,MATCH($A15&amp;"|GP|"&amp;TEXT(_xlfn.MAXIFS('Avaliação Semanal'!$A$5:$A$504,'Avaliação Semanal'!$B$5:$B$504,$A15,'Avaliação Semanal'!$C$5:$C$504,"GP",'Avaliação Semanal'!$A$5:$A$504,"&lt;="&amp;$D$3),"00000"),'Avaliação Semanal'!$M$5:$M$504,0)),"")))</f>
        <v/>
      </c>
      <c r="R15" s="7">
        <f>IF($A15="","",IF(COUNTIFS('Avaliação Semanal'!$B$5:$B$504,$A15,'Avaliação Semanal'!$C$5:$C$504,"Líder Técnico",'Avaliação Semanal'!$A$5:$A$504,"&gt;="&amp;$B$3,'Avaliação Semanal'!$A$5:$A$504,"&lt;="&amp;$D$3)=0,"",IFERROR(INDEX('Avaliação Semanal'!$L$5:$L$504,MATCH($A15&amp;"|Líder Técnico|"&amp;TEXT(_xlfn.MAXIFS('Avaliação Semanal'!$A$5:$A$504,'Avaliação Semanal'!$B$5:$B$504,$A15,'Avaliação Semanal'!$C$5:$C$504,"Líder Técnico",'Avaliação Semanal'!$A$5:$A$504,"&lt;="&amp;$D$3),"00000"),'Avaliação Semanal'!$M$5:$M$504,0)),"")))</f>
        <v/>
      </c>
    </row>
    <row r="16" ht="30" customHeight="1">
      <c r="A16" s="7">
        <f>IF(Cadastro!$A15="","",Cadastro!$A15)</f>
        <v/>
      </c>
      <c r="B16" s="7">
        <f>IF(Cadastro!$A15="","",Cadastro!$B15)</f>
        <v/>
      </c>
      <c r="C16" s="7">
        <f>IF(Cadastro!$A15="","",Cadastro!$C15)</f>
        <v/>
      </c>
      <c r="D16" s="8">
        <f>IF($A16="","",IF(COUNTIFS('Avaliação Semanal'!$B$5:$B$504,$A16,'Avaliação Semanal'!$C$5:$C$504,"GP",'Avaliação Semanal'!$A$5:$A$504,"&gt;="&amp;$B$3,'Avaliação Semanal'!$A$5:$A$504,"&lt;="&amp;$D$3,'Avaliação Semanal'!$J$5:$J$504,"&gt;0")=0,"",ROUND(AVERAGEIFS('Avaliação Semanal'!$J$5:$J$504,'Avaliação Semanal'!$B$5:$B$504,$A16,'Avaliação Semanal'!$C$5:$C$504,"GP",'Avaliação Semanal'!$A$5:$A$504,"&gt;="&amp;$B$3,'Avaliação Semanal'!$A$5:$A$504,"&lt;="&amp;$D$3),2)))</f>
        <v/>
      </c>
      <c r="E16" s="8">
        <f>IF($A16="","",IF(COUNTIFS('Avaliação Semanal'!$B$5:$B$504,$A16,'Avaliação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Semanal'!$B$5:$B$504,$A16,'Avaliação Semanal'!$C$5:$C$504,"Líder Técnico",'Avaliação Semanal'!$A$5:$A$504,"&gt;="&amp;$B$3,'Avaliação Semanal'!$A$5:$A$504,"&lt;="&amp;$D$3),2)))</f>
        <v/>
      </c>
      <c r="F16" s="8">
        <f>IF($A16="","",IF(COUNTIFS('Avaliação Semanal'!$B$5:$B$504,$A16,'Avaliação Semanal'!$A$5:$A$504,"&gt;="&amp;$B$3,'Avaliação Semanal'!$A$5:$A$504,"&lt;="&amp;$D$3,'Avaliação Semanal'!$E$5:$E$504,"&gt;0")=0,"",ROUND(AVERAGEIFS('Avaliação Semanal'!$E$5:$E$504,'Avaliação Semanal'!$B$5:$B$504,$A16,'Avaliação Semanal'!$A$5:$A$504,"&gt;="&amp;$B$3,'Avaliação Semanal'!$A$5:$A$504,"&lt;="&amp;$D$3),2)))</f>
        <v/>
      </c>
      <c r="G16" s="8">
        <f>IF($A16="","",IF(COUNTIFS('Avaliação Semanal'!$B$5:$B$504,$A16,'Avaliação Semanal'!$A$5:$A$504,"&gt;="&amp;$B$3,'Avaliação Semanal'!$A$5:$A$504,"&lt;="&amp;$D$3,'Avaliação Semanal'!$F$5:$F$504,"&gt;0")=0,"",ROUND(AVERAGEIFS('Avaliação Semanal'!$F$5:$F$504,'Avaliação Semanal'!$B$5:$B$504,$A16,'Avaliação Semanal'!$A$5:$A$504,"&gt;="&amp;$B$3,'Avaliação Semanal'!$A$5:$A$504,"&lt;="&amp;$D$3),2)))</f>
        <v/>
      </c>
      <c r="H16" s="8">
        <f>IF($A16="","",IF(COUNTIFS('Avaliação Semanal'!$B$5:$B$504,$A16,'Avaliação Semanal'!$A$5:$A$504,"&gt;="&amp;$B$3,'Avaliação Semanal'!$A$5:$A$504,"&lt;="&amp;$D$3,'Avaliação Semanal'!$G$5:$G$504,"&gt;0")=0,"",ROUND(AVERAGEIFS('Avaliação Semanal'!$G$5:$G$504,'Avaliação Semanal'!$B$5:$B$504,$A16,'Avaliação Semanal'!$A$5:$A$504,"&gt;="&amp;$B$3,'Avaliação Semanal'!$A$5:$A$504,"&lt;="&amp;$D$3),2)))</f>
        <v/>
      </c>
      <c r="I16" s="8">
        <f>IF($A16="","",IF(COUNTIFS('Avaliação Semanal'!$B$5:$B$504,$A16,'Avaliação Semanal'!$A$5:$A$504,"&gt;="&amp;$B$3,'Avaliação Semanal'!$A$5:$A$504,"&lt;="&amp;$D$3,'Avaliação Semanal'!$H$5:$H$504,"&gt;0")=0,"",ROUND(AVERAGEIFS('Avaliação Semanal'!$H$5:$H$504,'Avaliação Semanal'!$B$5:$B$504,$A16,'Avaliação Semanal'!$A$5:$A$504,"&gt;="&amp;$B$3,'Avaliação Semanal'!$A$5:$A$504,"&lt;="&amp;$D$3),2)))</f>
        <v/>
      </c>
      <c r="J16" s="8">
        <f>IF($A16="","",IF(COUNTIFS('Avaliação Semanal'!$B$5:$B$504,$A16,'Avaliação Semanal'!$A$5:$A$504,"&gt;="&amp;$B$3,'Avaliação Semanal'!$A$5:$A$504,"&lt;="&amp;$D$3,'Avaliação Semanal'!$I$5:$I$504,"&gt;0")=0,"",ROUND(AVERAGEIFS('Avaliação Semanal'!$I$5:$I$504,'Avaliação Semanal'!$B$5:$B$504,$A16,'Avaliação Semanal'!$A$5:$A$504,"&gt;="&amp;$B$3,'Avaliação Semanal'!$A$5:$A$504,"&lt;="&amp;$D$3),2)))</f>
        <v/>
      </c>
      <c r="K16" s="9">
        <f>IF(COUNT($F16:$J16)=0,"",ROUND(AVERAGE($F16:$J16),2))</f>
        <v/>
      </c>
      <c r="L16" s="10">
        <f>IF($K16="","",IF($K16&gt;=Cadastro!$H$5,"Verde",IF($K16&gt;=Cadastro!$H$6,"Atenção","Crítico")))</f>
        <v/>
      </c>
      <c r="M16" s="7">
        <f>IF($A16="","",COUNTIFS('Avaliação Semanal'!$B$5:$B$504,$A16,'Avaliação Semanal'!$A$5:$A$504,"&gt;="&amp;$B$3,'Avaliação Semanal'!$A$5:$A$504,"&lt;="&amp;$D$3,'Avaliação Semanal'!$J$5:$J$504,"&gt;0"))</f>
        <v/>
      </c>
      <c r="N16" s="11">
        <f>IF($M16=0,"",_xlfn.MAXIFS('Avaliação Semanal'!$A$5:$A$504,'Avaliação Semanal'!$B$5:$B$504,$A16,'Avaliação Semanal'!$A$5:$A$504,"&lt;="&amp;$D$3))</f>
        <v/>
      </c>
      <c r="O16" s="7">
        <f>IF($A16="","",COUNTIFS('Ocorrências'!$B$5:$B$204,$A16,'Ocorrências'!$A$5:$A$204,"&gt;="&amp;$B$3,'Ocorrências'!$A$5:$A$204,"&lt;="&amp;$D$3))</f>
        <v/>
      </c>
      <c r="P16" s="7">
        <f>IF($A16="","",COUNTIFS('Ocorrências'!$B$5:$B$204,$A16,'Ocorrências'!$C$5:$C$204,"Ponto de atenção",'Ocorrências'!$A$5:$A$204,"&gt;="&amp;$B$3,'Ocorrências'!$A$5:$A$204,"&lt;="&amp;$D$3)+COUNTIFS('Ocorrências'!$B$5:$B$204,$A16,'Ocorrências'!$C$5:$C$204,"Crítica",'Ocorrências'!$A$5:$A$204,"&gt;="&amp;$B$3,'Ocorrências'!$A$5:$A$204,"&lt;="&amp;$D$3))</f>
        <v/>
      </c>
      <c r="Q16" s="7">
        <f>IF($A16="","",IF(COUNTIFS('Avaliação Semanal'!$B$5:$B$504,$A16,'Avaliação Semanal'!$C$5:$C$504,"GP",'Avaliação Semanal'!$A$5:$A$504,"&gt;="&amp;$B$3,'Avaliação Semanal'!$A$5:$A$504,"&lt;="&amp;$D$3)=0,"",IFERROR(INDEX('Avaliação Semanal'!$L$5:$L$504,MATCH($A16&amp;"|GP|"&amp;TEXT(_xlfn.MAXIFS('Avaliação Semanal'!$A$5:$A$504,'Avaliação Semanal'!$B$5:$B$504,$A16,'Avaliação Semanal'!$C$5:$C$504,"GP",'Avaliação Semanal'!$A$5:$A$504,"&lt;="&amp;$D$3),"00000"),'Avaliação Semanal'!$M$5:$M$504,0)),"")))</f>
        <v/>
      </c>
      <c r="R16" s="7">
        <f>IF($A16="","",IF(COUNTIFS('Avaliação Semanal'!$B$5:$B$504,$A16,'Avaliação Semanal'!$C$5:$C$504,"Líder Técnico",'Avaliação Semanal'!$A$5:$A$504,"&gt;="&amp;$B$3,'Avaliação Semanal'!$A$5:$A$504,"&lt;="&amp;$D$3)=0,"",IFERROR(INDEX('Avaliação Semanal'!$L$5:$L$504,MATCH($A16&amp;"|Líder Técnico|"&amp;TEXT(_xlfn.MAXIFS('Avaliação Semanal'!$A$5:$A$504,'Avaliação Semanal'!$B$5:$B$504,$A16,'Avaliação Semanal'!$C$5:$C$504,"Líder Técnico",'Avaliação Semanal'!$A$5:$A$504,"&lt;="&amp;$D$3),"00000"),'Avaliação Semanal'!$M$5:$M$504,0)),"")))</f>
        <v/>
      </c>
    </row>
    <row r="17" ht="30" customHeight="1">
      <c r="A17" s="7">
        <f>IF(Cadastro!$A16="","",Cadastro!$A16)</f>
        <v/>
      </c>
      <c r="B17" s="7">
        <f>IF(Cadastro!$A16="","",Cadastro!$B16)</f>
        <v/>
      </c>
      <c r="C17" s="7">
        <f>IF(Cadastro!$A16="","",Cadastro!$C16)</f>
        <v/>
      </c>
      <c r="D17" s="8">
        <f>IF($A17="","",IF(COUNTIFS('Avaliação Semanal'!$B$5:$B$504,$A17,'Avaliação Semanal'!$C$5:$C$504,"GP",'Avaliação Semanal'!$A$5:$A$504,"&gt;="&amp;$B$3,'Avaliação Semanal'!$A$5:$A$504,"&lt;="&amp;$D$3,'Avaliação Semanal'!$J$5:$J$504,"&gt;0")=0,"",ROUND(AVERAGEIFS('Avaliação Semanal'!$J$5:$J$504,'Avaliação Semanal'!$B$5:$B$504,$A17,'Avaliação Semanal'!$C$5:$C$504,"GP",'Avaliação Semanal'!$A$5:$A$504,"&gt;="&amp;$B$3,'Avaliação Semanal'!$A$5:$A$504,"&lt;="&amp;$D$3),2)))</f>
        <v/>
      </c>
      <c r="E17" s="8">
        <f>IF($A17="","",IF(COUNTIFS('Avaliação Semanal'!$B$5:$B$504,$A17,'Avaliação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Semanal'!$B$5:$B$504,$A17,'Avaliação Semanal'!$C$5:$C$504,"Líder Técnico",'Avaliação Semanal'!$A$5:$A$504,"&gt;="&amp;$B$3,'Avaliação Semanal'!$A$5:$A$504,"&lt;="&amp;$D$3),2)))</f>
        <v/>
      </c>
      <c r="F17" s="8">
        <f>IF($A17="","",IF(COUNTIFS('Avaliação Semanal'!$B$5:$B$504,$A17,'Avaliação Semanal'!$A$5:$A$504,"&gt;="&amp;$B$3,'Avaliação Semanal'!$A$5:$A$504,"&lt;="&amp;$D$3,'Avaliação Semanal'!$E$5:$E$504,"&gt;0")=0,"",ROUND(AVERAGEIFS('Avaliação Semanal'!$E$5:$E$504,'Avaliação Semanal'!$B$5:$B$504,$A17,'Avaliação Semanal'!$A$5:$A$504,"&gt;="&amp;$B$3,'Avaliação Semanal'!$A$5:$A$504,"&lt;="&amp;$D$3),2)))</f>
        <v/>
      </c>
      <c r="G17" s="8">
        <f>IF($A17="","",IF(COUNTIFS('Avaliação Semanal'!$B$5:$B$504,$A17,'Avaliação Semanal'!$A$5:$A$504,"&gt;="&amp;$B$3,'Avaliação Semanal'!$A$5:$A$504,"&lt;="&amp;$D$3,'Avaliação Semanal'!$F$5:$F$504,"&gt;0")=0,"",ROUND(AVERAGEIFS('Avaliação Semanal'!$F$5:$F$504,'Avaliação Semanal'!$B$5:$B$504,$A17,'Avaliação Semanal'!$A$5:$A$504,"&gt;="&amp;$B$3,'Avaliação Semanal'!$A$5:$A$504,"&lt;="&amp;$D$3),2)))</f>
        <v/>
      </c>
      <c r="H17" s="8">
        <f>IF($A17="","",IF(COUNTIFS('Avaliação Semanal'!$B$5:$B$504,$A17,'Avaliação Semanal'!$A$5:$A$504,"&gt;="&amp;$B$3,'Avaliação Semanal'!$A$5:$A$504,"&lt;="&amp;$D$3,'Avaliação Semanal'!$G$5:$G$504,"&gt;0")=0,"",ROUND(AVERAGEIFS('Avaliação Semanal'!$G$5:$G$504,'Avaliação Semanal'!$B$5:$B$504,$A17,'Avaliação Semanal'!$A$5:$A$504,"&gt;="&amp;$B$3,'Avaliação Semanal'!$A$5:$A$504,"&lt;="&amp;$D$3),2)))</f>
        <v/>
      </c>
      <c r="I17" s="8">
        <f>IF($A17="","",IF(COUNTIFS('Avaliação Semanal'!$B$5:$B$504,$A17,'Avaliação Semanal'!$A$5:$A$504,"&gt;="&amp;$B$3,'Avaliação Semanal'!$A$5:$A$504,"&lt;="&amp;$D$3,'Avaliação Semanal'!$H$5:$H$504,"&gt;0")=0,"",ROUND(AVERAGEIFS('Avaliação Semanal'!$H$5:$H$504,'Avaliação Semanal'!$B$5:$B$504,$A17,'Avaliação Semanal'!$A$5:$A$504,"&gt;="&amp;$B$3,'Avaliação Semanal'!$A$5:$A$504,"&lt;="&amp;$D$3),2)))</f>
        <v/>
      </c>
      <c r="J17" s="8">
        <f>IF($A17="","",IF(COUNTIFS('Avaliação Semanal'!$B$5:$B$504,$A17,'Avaliação Semanal'!$A$5:$A$504,"&gt;="&amp;$B$3,'Avaliação Semanal'!$A$5:$A$504,"&lt;="&amp;$D$3,'Avaliação Semanal'!$I$5:$I$504,"&gt;0")=0,"",ROUND(AVERAGEIFS('Avaliação Semanal'!$I$5:$I$504,'Avaliação Semanal'!$B$5:$B$504,$A17,'Avaliação Semanal'!$A$5:$A$504,"&gt;="&amp;$B$3,'Avaliação Semanal'!$A$5:$A$504,"&lt;="&amp;$D$3),2)))</f>
        <v/>
      </c>
      <c r="K17" s="9">
        <f>IF(COUNT($F17:$J17)=0,"",ROUND(AVERAGE($F17:$J17),2))</f>
        <v/>
      </c>
      <c r="L17" s="10">
        <f>IF($K17="","",IF($K17&gt;=Cadastro!$H$5,"Verde",IF($K17&gt;=Cadastro!$H$6,"Atenção","Crítico")))</f>
        <v/>
      </c>
      <c r="M17" s="7">
        <f>IF($A17="","",COUNTIFS('Avaliação Semanal'!$B$5:$B$504,$A17,'Avaliação Semanal'!$A$5:$A$504,"&gt;="&amp;$B$3,'Avaliação Semanal'!$A$5:$A$504,"&lt;="&amp;$D$3,'Avaliação Semanal'!$J$5:$J$504,"&gt;0"))</f>
        <v/>
      </c>
      <c r="N17" s="11">
        <f>IF($M17=0,"",_xlfn.MAXIFS('Avaliação Semanal'!$A$5:$A$504,'Avaliação Semanal'!$B$5:$B$504,$A17,'Avaliação Semanal'!$A$5:$A$504,"&lt;="&amp;$D$3))</f>
        <v/>
      </c>
      <c r="O17" s="7">
        <f>IF($A17="","",COUNTIFS('Ocorrências'!$B$5:$B$204,$A17,'Ocorrências'!$A$5:$A$204,"&gt;="&amp;$B$3,'Ocorrências'!$A$5:$A$204,"&lt;="&amp;$D$3))</f>
        <v/>
      </c>
      <c r="P17" s="7">
        <f>IF($A17="","",COUNTIFS('Ocorrências'!$B$5:$B$204,$A17,'Ocorrências'!$C$5:$C$204,"Ponto de atenção",'Ocorrências'!$A$5:$A$204,"&gt;="&amp;$B$3,'Ocorrências'!$A$5:$A$204,"&lt;="&amp;$D$3)+COUNTIFS('Ocorrências'!$B$5:$B$204,$A17,'Ocorrências'!$C$5:$C$204,"Crítica",'Ocorrências'!$A$5:$A$204,"&gt;="&amp;$B$3,'Ocorrências'!$A$5:$A$204,"&lt;="&amp;$D$3))</f>
        <v/>
      </c>
      <c r="Q17" s="7">
        <f>IF($A17="","",IF(COUNTIFS('Avaliação Semanal'!$B$5:$B$504,$A17,'Avaliação Semanal'!$C$5:$C$504,"GP",'Avaliação Semanal'!$A$5:$A$504,"&gt;="&amp;$B$3,'Avaliação Semanal'!$A$5:$A$504,"&lt;="&amp;$D$3)=0,"",IFERROR(INDEX('Avaliação Semanal'!$L$5:$L$504,MATCH($A17&amp;"|GP|"&amp;TEXT(_xlfn.MAXIFS('Avaliação Semanal'!$A$5:$A$504,'Avaliação Semanal'!$B$5:$B$504,$A17,'Avaliação Semanal'!$C$5:$C$504,"GP",'Avaliação Semanal'!$A$5:$A$504,"&lt;="&amp;$D$3),"00000"),'Avaliação Semanal'!$M$5:$M$504,0)),"")))</f>
        <v/>
      </c>
      <c r="R17" s="7">
        <f>IF($A17="","",IF(COUNTIFS('Avaliação Semanal'!$B$5:$B$504,$A17,'Avaliação Semanal'!$C$5:$C$504,"Líder Técnico",'Avaliação Semanal'!$A$5:$A$504,"&gt;="&amp;$B$3,'Avaliação Semanal'!$A$5:$A$504,"&lt;="&amp;$D$3)=0,"",IFERROR(INDEX('Avaliação Semanal'!$L$5:$L$504,MATCH($A17&amp;"|Líder Técnico|"&amp;TEXT(_xlfn.MAXIFS('Avaliação Semanal'!$A$5:$A$504,'Avaliação Semanal'!$B$5:$B$504,$A17,'Avaliação Semanal'!$C$5:$C$504,"Líder Técnico",'Avaliação Semanal'!$A$5:$A$504,"&lt;="&amp;$D$3),"00000"),'Avaliação Semanal'!$M$5:$M$504,0)),"")))</f>
        <v/>
      </c>
    </row>
    <row r="18" ht="30" customHeight="1">
      <c r="A18" s="7">
        <f>IF(Cadastro!$A17="","",Cadastro!$A17)</f>
        <v/>
      </c>
      <c r="B18" s="7">
        <f>IF(Cadastro!$A17="","",Cadastro!$B17)</f>
        <v/>
      </c>
      <c r="C18" s="7">
        <f>IF(Cadastro!$A17="","",Cadastro!$C17)</f>
        <v/>
      </c>
      <c r="D18" s="8">
        <f>IF($A18="","",IF(COUNTIFS('Avaliação Semanal'!$B$5:$B$504,$A18,'Avaliação Semanal'!$C$5:$C$504,"GP",'Avaliação Semanal'!$A$5:$A$504,"&gt;="&amp;$B$3,'Avaliação Semanal'!$A$5:$A$504,"&lt;="&amp;$D$3,'Avaliação Semanal'!$J$5:$J$504,"&gt;0")=0,"",ROUND(AVERAGEIFS('Avaliação Semanal'!$J$5:$J$504,'Avaliação Semanal'!$B$5:$B$504,$A18,'Avaliação Semanal'!$C$5:$C$504,"GP",'Avaliação Semanal'!$A$5:$A$504,"&gt;="&amp;$B$3,'Avaliação Semanal'!$A$5:$A$504,"&lt;="&amp;$D$3),2)))</f>
        <v/>
      </c>
      <c r="E18" s="8">
        <f>IF($A18="","",IF(COUNTIFS('Avaliação Semanal'!$B$5:$B$504,$A18,'Avaliação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Semanal'!$B$5:$B$504,$A18,'Avaliação Semanal'!$C$5:$C$504,"Líder Técnico",'Avaliação Semanal'!$A$5:$A$504,"&gt;="&amp;$B$3,'Avaliação Semanal'!$A$5:$A$504,"&lt;="&amp;$D$3),2)))</f>
        <v/>
      </c>
      <c r="F18" s="8">
        <f>IF($A18="","",IF(COUNTIFS('Avaliação Semanal'!$B$5:$B$504,$A18,'Avaliação Semanal'!$A$5:$A$504,"&gt;="&amp;$B$3,'Avaliação Semanal'!$A$5:$A$504,"&lt;="&amp;$D$3,'Avaliação Semanal'!$E$5:$E$504,"&gt;0")=0,"",ROUND(AVERAGEIFS('Avaliação Semanal'!$E$5:$E$504,'Avaliação Semanal'!$B$5:$B$504,$A18,'Avaliação Semanal'!$A$5:$A$504,"&gt;="&amp;$B$3,'Avaliação Semanal'!$A$5:$A$504,"&lt;="&amp;$D$3),2)))</f>
        <v/>
      </c>
      <c r="G18" s="8">
        <f>IF($A18="","",IF(COUNTIFS('Avaliação Semanal'!$B$5:$B$504,$A18,'Avaliação Semanal'!$A$5:$A$504,"&gt;="&amp;$B$3,'Avaliação Semanal'!$A$5:$A$504,"&lt;="&amp;$D$3,'Avaliação Semanal'!$F$5:$F$504,"&gt;0")=0,"",ROUND(AVERAGEIFS('Avaliação Semanal'!$F$5:$F$504,'Avaliação Semanal'!$B$5:$B$504,$A18,'Avaliação Semanal'!$A$5:$A$504,"&gt;="&amp;$B$3,'Avaliação Semanal'!$A$5:$A$504,"&lt;="&amp;$D$3),2)))</f>
        <v/>
      </c>
      <c r="H18" s="8">
        <f>IF($A18="","",IF(COUNTIFS('Avaliação Semanal'!$B$5:$B$504,$A18,'Avaliação Semanal'!$A$5:$A$504,"&gt;="&amp;$B$3,'Avaliação Semanal'!$A$5:$A$504,"&lt;="&amp;$D$3,'Avaliação Semanal'!$G$5:$G$504,"&gt;0")=0,"",ROUND(AVERAGEIFS('Avaliação Semanal'!$G$5:$G$504,'Avaliação Semanal'!$B$5:$B$504,$A18,'Avaliação Semanal'!$A$5:$A$504,"&gt;="&amp;$B$3,'Avaliação Semanal'!$A$5:$A$504,"&lt;="&amp;$D$3),2)))</f>
        <v/>
      </c>
      <c r="I18" s="8">
        <f>IF($A18="","",IF(COUNTIFS('Avaliação Semanal'!$B$5:$B$504,$A18,'Avaliação Semanal'!$A$5:$A$504,"&gt;="&amp;$B$3,'Avaliação Semanal'!$A$5:$A$504,"&lt;="&amp;$D$3,'Avaliação Semanal'!$H$5:$H$504,"&gt;0")=0,"",ROUND(AVERAGEIFS('Avaliação Semanal'!$H$5:$H$504,'Avaliação Semanal'!$B$5:$B$504,$A18,'Avaliação Semanal'!$A$5:$A$504,"&gt;="&amp;$B$3,'Avaliação Semanal'!$A$5:$A$504,"&lt;="&amp;$D$3),2)))</f>
        <v/>
      </c>
      <c r="J18" s="8">
        <f>IF($A18="","",IF(COUNTIFS('Avaliação Semanal'!$B$5:$B$504,$A18,'Avaliação Semanal'!$A$5:$A$504,"&gt;="&amp;$B$3,'Avaliação Semanal'!$A$5:$A$504,"&lt;="&amp;$D$3,'Avaliação Semanal'!$I$5:$I$504,"&gt;0")=0,"",ROUND(AVERAGEIFS('Avaliação Semanal'!$I$5:$I$504,'Avaliação Semanal'!$B$5:$B$504,$A18,'Avaliação Semanal'!$A$5:$A$504,"&gt;="&amp;$B$3,'Avaliação Semanal'!$A$5:$A$504,"&lt;="&amp;$D$3),2)))</f>
        <v/>
      </c>
      <c r="K18" s="9">
        <f>IF(COUNT($F18:$J18)=0,"",ROUND(AVERAGE($F18:$J18),2))</f>
        <v/>
      </c>
      <c r="L18" s="10">
        <f>IF($K18="","",IF($K18&gt;=Cadastro!$H$5,"Verde",IF($K18&gt;=Cadastro!$H$6,"Atenção","Crítico")))</f>
        <v/>
      </c>
      <c r="M18" s="7">
        <f>IF($A18="","",COUNTIFS('Avaliação Semanal'!$B$5:$B$504,$A18,'Avaliação Semanal'!$A$5:$A$504,"&gt;="&amp;$B$3,'Avaliação Semanal'!$A$5:$A$504,"&lt;="&amp;$D$3,'Avaliação Semanal'!$J$5:$J$504,"&gt;0"))</f>
        <v/>
      </c>
      <c r="N18" s="11">
        <f>IF($M18=0,"",_xlfn.MAXIFS('Avaliação Semanal'!$A$5:$A$504,'Avaliação Semanal'!$B$5:$B$504,$A18,'Avaliação Semanal'!$A$5:$A$504,"&lt;="&amp;$D$3))</f>
        <v/>
      </c>
      <c r="O18" s="7">
        <f>IF($A18="","",COUNTIFS('Ocorrências'!$B$5:$B$204,$A18,'Ocorrências'!$A$5:$A$204,"&gt;="&amp;$B$3,'Ocorrências'!$A$5:$A$204,"&lt;="&amp;$D$3))</f>
        <v/>
      </c>
      <c r="P18" s="7">
        <f>IF($A18="","",COUNTIFS('Ocorrências'!$B$5:$B$204,$A18,'Ocorrências'!$C$5:$C$204,"Ponto de atenção",'Ocorrências'!$A$5:$A$204,"&gt;="&amp;$B$3,'Ocorrências'!$A$5:$A$204,"&lt;="&amp;$D$3)+COUNTIFS('Ocorrências'!$B$5:$B$204,$A18,'Ocorrências'!$C$5:$C$204,"Crítica",'Ocorrências'!$A$5:$A$204,"&gt;="&amp;$B$3,'Ocorrências'!$A$5:$A$204,"&lt;="&amp;$D$3))</f>
        <v/>
      </c>
      <c r="Q18" s="7">
        <f>IF($A18="","",IF(COUNTIFS('Avaliação Semanal'!$B$5:$B$504,$A18,'Avaliação Semanal'!$C$5:$C$504,"GP",'Avaliação Semanal'!$A$5:$A$504,"&gt;="&amp;$B$3,'Avaliação Semanal'!$A$5:$A$504,"&lt;="&amp;$D$3)=0,"",IFERROR(INDEX('Avaliação Semanal'!$L$5:$L$504,MATCH($A18&amp;"|GP|"&amp;TEXT(_xlfn.MAXIFS('Avaliação Semanal'!$A$5:$A$504,'Avaliação Semanal'!$B$5:$B$504,$A18,'Avaliação Semanal'!$C$5:$C$504,"GP",'Avaliação Semanal'!$A$5:$A$504,"&lt;="&amp;$D$3),"00000"),'Avaliação Semanal'!$M$5:$M$504,0)),"")))</f>
        <v/>
      </c>
      <c r="R18" s="7">
        <f>IF($A18="","",IF(COUNTIFS('Avaliação Semanal'!$B$5:$B$504,$A18,'Avaliação Semanal'!$C$5:$C$504,"Líder Técnico",'Avaliação Semanal'!$A$5:$A$504,"&gt;="&amp;$B$3,'Avaliação Semanal'!$A$5:$A$504,"&lt;="&amp;$D$3)=0,"",IFERROR(INDEX('Avaliação Semanal'!$L$5:$L$504,MATCH($A18&amp;"|Líder Técnico|"&amp;TEXT(_xlfn.MAXIFS('Avaliação Semanal'!$A$5:$A$504,'Avaliação Semanal'!$B$5:$B$504,$A18,'Avaliação Semanal'!$C$5:$C$504,"Líder Técnico",'Avaliação Semanal'!$A$5:$A$504,"&lt;="&amp;$D$3),"00000"),'Avaliação Semanal'!$M$5:$M$504,0)),"")))</f>
        <v/>
      </c>
    </row>
    <row r="19" ht="30" customHeight="1">
      <c r="A19" s="7">
        <f>IF(Cadastro!$A18="","",Cadastro!$A18)</f>
        <v/>
      </c>
      <c r="B19" s="7">
        <f>IF(Cadastro!$A18="","",Cadastro!$B18)</f>
        <v/>
      </c>
      <c r="C19" s="7">
        <f>IF(Cadastro!$A18="","",Cadastro!$C18)</f>
        <v/>
      </c>
      <c r="D19" s="8">
        <f>IF($A19="","",IF(COUNTIFS('Avaliação Semanal'!$B$5:$B$504,$A19,'Avaliação Semanal'!$C$5:$C$504,"GP",'Avaliação Semanal'!$A$5:$A$504,"&gt;="&amp;$B$3,'Avaliação Semanal'!$A$5:$A$504,"&lt;="&amp;$D$3,'Avaliação Semanal'!$J$5:$J$504,"&gt;0")=0,"",ROUND(AVERAGEIFS('Avaliação Semanal'!$J$5:$J$504,'Avaliação Semanal'!$B$5:$B$504,$A19,'Avaliação Semanal'!$C$5:$C$504,"GP",'Avaliação Semanal'!$A$5:$A$504,"&gt;="&amp;$B$3,'Avaliação Semanal'!$A$5:$A$504,"&lt;="&amp;$D$3),2)))</f>
        <v/>
      </c>
      <c r="E19" s="8">
        <f>IF($A19="","",IF(COUNTIFS('Avaliação Semanal'!$B$5:$B$504,$A19,'Avaliação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Semanal'!$B$5:$B$504,$A19,'Avaliação Semanal'!$C$5:$C$504,"Líder Técnico",'Avaliação Semanal'!$A$5:$A$504,"&gt;="&amp;$B$3,'Avaliação Semanal'!$A$5:$A$504,"&lt;="&amp;$D$3),2)))</f>
        <v/>
      </c>
      <c r="F19" s="8">
        <f>IF($A19="","",IF(COUNTIFS('Avaliação Semanal'!$B$5:$B$504,$A19,'Avaliação Semanal'!$A$5:$A$504,"&gt;="&amp;$B$3,'Avaliação Semanal'!$A$5:$A$504,"&lt;="&amp;$D$3,'Avaliação Semanal'!$E$5:$E$504,"&gt;0")=0,"",ROUND(AVERAGEIFS('Avaliação Semanal'!$E$5:$E$504,'Avaliação Semanal'!$B$5:$B$504,$A19,'Avaliação Semanal'!$A$5:$A$504,"&gt;="&amp;$B$3,'Avaliação Semanal'!$A$5:$A$504,"&lt;="&amp;$D$3),2)))</f>
        <v/>
      </c>
      <c r="G19" s="8">
        <f>IF($A19="","",IF(COUNTIFS('Avaliação Semanal'!$B$5:$B$504,$A19,'Avaliação Semanal'!$A$5:$A$504,"&gt;="&amp;$B$3,'Avaliação Semanal'!$A$5:$A$504,"&lt;="&amp;$D$3,'Avaliação Semanal'!$F$5:$F$504,"&gt;0")=0,"",ROUND(AVERAGEIFS('Avaliação Semanal'!$F$5:$F$504,'Avaliação Semanal'!$B$5:$B$504,$A19,'Avaliação Semanal'!$A$5:$A$504,"&gt;="&amp;$B$3,'Avaliação Semanal'!$A$5:$A$504,"&lt;="&amp;$D$3),2)))</f>
        <v/>
      </c>
      <c r="H19" s="8">
        <f>IF($A19="","",IF(COUNTIFS('Avaliação Semanal'!$B$5:$B$504,$A19,'Avaliação Semanal'!$A$5:$A$504,"&gt;="&amp;$B$3,'Avaliação Semanal'!$A$5:$A$504,"&lt;="&amp;$D$3,'Avaliação Semanal'!$G$5:$G$504,"&gt;0")=0,"",ROUND(AVERAGEIFS('Avaliação Semanal'!$G$5:$G$504,'Avaliação Semanal'!$B$5:$B$504,$A19,'Avaliação Semanal'!$A$5:$A$504,"&gt;="&amp;$B$3,'Avaliação Semanal'!$A$5:$A$504,"&lt;="&amp;$D$3),2)))</f>
        <v/>
      </c>
      <c r="I19" s="8">
        <f>IF($A19="","",IF(COUNTIFS('Avaliação Semanal'!$B$5:$B$504,$A19,'Avaliação Semanal'!$A$5:$A$504,"&gt;="&amp;$B$3,'Avaliação Semanal'!$A$5:$A$504,"&lt;="&amp;$D$3,'Avaliação Semanal'!$H$5:$H$504,"&gt;0")=0,"",ROUND(AVERAGEIFS('Avaliação Semanal'!$H$5:$H$504,'Avaliação Semanal'!$B$5:$B$504,$A19,'Avaliação Semanal'!$A$5:$A$504,"&gt;="&amp;$B$3,'Avaliação Semanal'!$A$5:$A$504,"&lt;="&amp;$D$3),2)))</f>
        <v/>
      </c>
      <c r="J19" s="8">
        <f>IF($A19="","",IF(COUNTIFS('Avaliação Semanal'!$B$5:$B$504,$A19,'Avaliação Semanal'!$A$5:$A$504,"&gt;="&amp;$B$3,'Avaliação Semanal'!$A$5:$A$504,"&lt;="&amp;$D$3,'Avaliação Semanal'!$I$5:$I$504,"&gt;0")=0,"",ROUND(AVERAGEIFS('Avaliação Semanal'!$I$5:$I$504,'Avaliação Semanal'!$B$5:$B$504,$A19,'Avaliação Semanal'!$A$5:$A$504,"&gt;="&amp;$B$3,'Avaliação Semanal'!$A$5:$A$504,"&lt;="&amp;$D$3),2)))</f>
        <v/>
      </c>
      <c r="K19" s="9">
        <f>IF(COUNT($F19:$J19)=0,"",ROUND(AVERAGE($F19:$J19),2))</f>
        <v/>
      </c>
      <c r="L19" s="10">
        <f>IF($K19="","",IF($K19&gt;=Cadastro!$H$5,"Verde",IF($K19&gt;=Cadastro!$H$6,"Atenção","Crítico")))</f>
        <v/>
      </c>
      <c r="M19" s="7">
        <f>IF($A19="","",COUNTIFS('Avaliação Semanal'!$B$5:$B$504,$A19,'Avaliação Semanal'!$A$5:$A$504,"&gt;="&amp;$B$3,'Avaliação Semanal'!$A$5:$A$504,"&lt;="&amp;$D$3,'Avaliação Semanal'!$J$5:$J$504,"&gt;0"))</f>
        <v/>
      </c>
      <c r="N19" s="11">
        <f>IF($M19=0,"",_xlfn.MAXIFS('Avaliação Semanal'!$A$5:$A$504,'Avaliação Semanal'!$B$5:$B$504,$A19,'Avaliação Semanal'!$A$5:$A$504,"&lt;="&amp;$D$3))</f>
        <v/>
      </c>
      <c r="O19" s="7">
        <f>IF($A19="","",COUNTIFS('Ocorrências'!$B$5:$B$204,$A19,'Ocorrências'!$A$5:$A$204,"&gt;="&amp;$B$3,'Ocorrências'!$A$5:$A$204,"&lt;="&amp;$D$3))</f>
        <v/>
      </c>
      <c r="P19" s="7">
        <f>IF($A19="","",COUNTIFS('Ocorrências'!$B$5:$B$204,$A19,'Ocorrências'!$C$5:$C$204,"Ponto de atenção",'Ocorrências'!$A$5:$A$204,"&gt;="&amp;$B$3,'Ocorrências'!$A$5:$A$204,"&lt;="&amp;$D$3)+COUNTIFS('Ocorrências'!$B$5:$B$204,$A19,'Ocorrências'!$C$5:$C$204,"Crítica",'Ocorrências'!$A$5:$A$204,"&gt;="&amp;$B$3,'Ocorrências'!$A$5:$A$204,"&lt;="&amp;$D$3))</f>
        <v/>
      </c>
      <c r="Q19" s="7">
        <f>IF($A19="","",IF(COUNTIFS('Avaliação Semanal'!$B$5:$B$504,$A19,'Avaliação Semanal'!$C$5:$C$504,"GP",'Avaliação Semanal'!$A$5:$A$504,"&gt;="&amp;$B$3,'Avaliação Semanal'!$A$5:$A$504,"&lt;="&amp;$D$3)=0,"",IFERROR(INDEX('Avaliação Semanal'!$L$5:$L$504,MATCH($A19&amp;"|GP|"&amp;TEXT(_xlfn.MAXIFS('Avaliação Semanal'!$A$5:$A$504,'Avaliação Semanal'!$B$5:$B$504,$A19,'Avaliação Semanal'!$C$5:$C$504,"GP",'Avaliação Semanal'!$A$5:$A$504,"&lt;="&amp;$D$3),"00000"),'Avaliação Semanal'!$M$5:$M$504,0)),"")))</f>
        <v/>
      </c>
      <c r="R19" s="7">
        <f>IF($A19="","",IF(COUNTIFS('Avaliação Semanal'!$B$5:$B$504,$A19,'Avaliação Semanal'!$C$5:$C$504,"Líder Técnico",'Avaliação Semanal'!$A$5:$A$504,"&gt;="&amp;$B$3,'Avaliação Semanal'!$A$5:$A$504,"&lt;="&amp;$D$3)=0,"",IFERROR(INDEX('Avaliação Semanal'!$L$5:$L$504,MATCH($A19&amp;"|Líder Técnico|"&amp;TEXT(_xlfn.MAXIFS('Avaliação Semanal'!$A$5:$A$504,'Avaliação Semanal'!$B$5:$B$504,$A19,'Avaliação Semanal'!$C$5:$C$504,"Líder Técnico",'Avaliação Semanal'!$A$5:$A$504,"&lt;="&amp;$D$3),"00000"),'Avaliação Semanal'!$M$5:$M$504,0)),"")))</f>
        <v/>
      </c>
    </row>
    <row r="20" ht="30" customHeight="1">
      <c r="A20" s="7">
        <f>IF(Cadastro!$A19="","",Cadastro!$A19)</f>
        <v/>
      </c>
      <c r="B20" s="7">
        <f>IF(Cadastro!$A19="","",Cadastro!$B19)</f>
        <v/>
      </c>
      <c r="C20" s="7">
        <f>IF(Cadastro!$A19="","",Cadastro!$C19)</f>
        <v/>
      </c>
      <c r="D20" s="8">
        <f>IF($A20="","",IF(COUNTIFS('Avaliação Semanal'!$B$5:$B$504,$A20,'Avaliação Semanal'!$C$5:$C$504,"GP",'Avaliação Semanal'!$A$5:$A$504,"&gt;="&amp;$B$3,'Avaliação Semanal'!$A$5:$A$504,"&lt;="&amp;$D$3,'Avaliação Semanal'!$J$5:$J$504,"&gt;0")=0,"",ROUND(AVERAGEIFS('Avaliação Semanal'!$J$5:$J$504,'Avaliação Semanal'!$B$5:$B$504,$A20,'Avaliação Semanal'!$C$5:$C$504,"GP",'Avaliação Semanal'!$A$5:$A$504,"&gt;="&amp;$B$3,'Avaliação Semanal'!$A$5:$A$504,"&lt;="&amp;$D$3),2)))</f>
        <v/>
      </c>
      <c r="E20" s="8">
        <f>IF($A20="","",IF(COUNTIFS('Avaliação Semanal'!$B$5:$B$504,$A20,'Avaliação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Semanal'!$B$5:$B$504,$A20,'Avaliação Semanal'!$C$5:$C$504,"Líder Técnico",'Avaliação Semanal'!$A$5:$A$504,"&gt;="&amp;$B$3,'Avaliação Semanal'!$A$5:$A$504,"&lt;="&amp;$D$3),2)))</f>
        <v/>
      </c>
      <c r="F20" s="8">
        <f>IF($A20="","",IF(COUNTIFS('Avaliação Semanal'!$B$5:$B$504,$A20,'Avaliação Semanal'!$A$5:$A$504,"&gt;="&amp;$B$3,'Avaliação Semanal'!$A$5:$A$504,"&lt;="&amp;$D$3,'Avaliação Semanal'!$E$5:$E$504,"&gt;0")=0,"",ROUND(AVERAGEIFS('Avaliação Semanal'!$E$5:$E$504,'Avaliação Semanal'!$B$5:$B$504,$A20,'Avaliação Semanal'!$A$5:$A$504,"&gt;="&amp;$B$3,'Avaliação Semanal'!$A$5:$A$504,"&lt;="&amp;$D$3),2)))</f>
        <v/>
      </c>
      <c r="G20" s="8">
        <f>IF($A20="","",IF(COUNTIFS('Avaliação Semanal'!$B$5:$B$504,$A20,'Avaliação Semanal'!$A$5:$A$504,"&gt;="&amp;$B$3,'Avaliação Semanal'!$A$5:$A$504,"&lt;="&amp;$D$3,'Avaliação Semanal'!$F$5:$F$504,"&gt;0")=0,"",ROUND(AVERAGEIFS('Avaliação Semanal'!$F$5:$F$504,'Avaliação Semanal'!$B$5:$B$504,$A20,'Avaliação Semanal'!$A$5:$A$504,"&gt;="&amp;$B$3,'Avaliação Semanal'!$A$5:$A$504,"&lt;="&amp;$D$3),2)))</f>
        <v/>
      </c>
      <c r="H20" s="8">
        <f>IF($A20="","",IF(COUNTIFS('Avaliação Semanal'!$B$5:$B$504,$A20,'Avaliação Semanal'!$A$5:$A$504,"&gt;="&amp;$B$3,'Avaliação Semanal'!$A$5:$A$504,"&lt;="&amp;$D$3,'Avaliação Semanal'!$G$5:$G$504,"&gt;0")=0,"",ROUND(AVERAGEIFS('Avaliação Semanal'!$G$5:$G$504,'Avaliação Semanal'!$B$5:$B$504,$A20,'Avaliação Semanal'!$A$5:$A$504,"&gt;="&amp;$B$3,'Avaliação Semanal'!$A$5:$A$504,"&lt;="&amp;$D$3),2)))</f>
        <v/>
      </c>
      <c r="I20" s="8">
        <f>IF($A20="","",IF(COUNTIFS('Avaliação Semanal'!$B$5:$B$504,$A20,'Avaliação Semanal'!$A$5:$A$504,"&gt;="&amp;$B$3,'Avaliação Semanal'!$A$5:$A$504,"&lt;="&amp;$D$3,'Avaliação Semanal'!$H$5:$H$504,"&gt;0")=0,"",ROUND(AVERAGEIFS('Avaliação Semanal'!$H$5:$H$504,'Avaliação Semanal'!$B$5:$B$504,$A20,'Avaliação Semanal'!$A$5:$A$504,"&gt;="&amp;$B$3,'Avaliação Semanal'!$A$5:$A$504,"&lt;="&amp;$D$3),2)))</f>
        <v/>
      </c>
      <c r="J20" s="8">
        <f>IF($A20="","",IF(COUNTIFS('Avaliação Semanal'!$B$5:$B$504,$A20,'Avaliação Semanal'!$A$5:$A$504,"&gt;="&amp;$B$3,'Avaliação Semanal'!$A$5:$A$504,"&lt;="&amp;$D$3,'Avaliação Semanal'!$I$5:$I$504,"&gt;0")=0,"",ROUND(AVERAGEIFS('Avaliação Semanal'!$I$5:$I$504,'Avaliação Semanal'!$B$5:$B$504,$A20,'Avaliação Semanal'!$A$5:$A$504,"&gt;="&amp;$B$3,'Avaliação Semanal'!$A$5:$A$504,"&lt;="&amp;$D$3),2)))</f>
        <v/>
      </c>
      <c r="K20" s="9">
        <f>IF(COUNT($F20:$J20)=0,"",ROUND(AVERAGE($F20:$J20),2))</f>
        <v/>
      </c>
      <c r="L20" s="10">
        <f>IF($K20="","",IF($K20&gt;=Cadastro!$H$5,"Verde",IF($K20&gt;=Cadastro!$H$6,"Atenção","Crítico")))</f>
        <v/>
      </c>
      <c r="M20" s="7">
        <f>IF($A20="","",COUNTIFS('Avaliação Semanal'!$B$5:$B$504,$A20,'Avaliação Semanal'!$A$5:$A$504,"&gt;="&amp;$B$3,'Avaliação Semanal'!$A$5:$A$504,"&lt;="&amp;$D$3,'Avaliação Semanal'!$J$5:$J$504,"&gt;0"))</f>
        <v/>
      </c>
      <c r="N20" s="11">
        <f>IF($M20=0,"",_xlfn.MAXIFS('Avaliação Semanal'!$A$5:$A$504,'Avaliação Semanal'!$B$5:$B$504,$A20,'Avaliação Semanal'!$A$5:$A$504,"&lt;="&amp;$D$3))</f>
        <v/>
      </c>
      <c r="O20" s="7">
        <f>IF($A20="","",COUNTIFS('Ocorrências'!$B$5:$B$204,$A20,'Ocorrências'!$A$5:$A$204,"&gt;="&amp;$B$3,'Ocorrências'!$A$5:$A$204,"&lt;="&amp;$D$3))</f>
        <v/>
      </c>
      <c r="P20" s="7">
        <f>IF($A20="","",COUNTIFS('Ocorrências'!$B$5:$B$204,$A20,'Ocorrências'!$C$5:$C$204,"Ponto de atenção",'Ocorrências'!$A$5:$A$204,"&gt;="&amp;$B$3,'Ocorrências'!$A$5:$A$204,"&lt;="&amp;$D$3)+COUNTIFS('Ocorrências'!$B$5:$B$204,$A20,'Ocorrências'!$C$5:$C$204,"Crítica",'Ocorrências'!$A$5:$A$204,"&gt;="&amp;$B$3,'Ocorrências'!$A$5:$A$204,"&lt;="&amp;$D$3))</f>
        <v/>
      </c>
      <c r="Q20" s="7">
        <f>IF($A20="","",IF(COUNTIFS('Avaliação Semanal'!$B$5:$B$504,$A20,'Avaliação Semanal'!$C$5:$C$504,"GP",'Avaliação Semanal'!$A$5:$A$504,"&gt;="&amp;$B$3,'Avaliação Semanal'!$A$5:$A$504,"&lt;="&amp;$D$3)=0,"",IFERROR(INDEX('Avaliação Semanal'!$L$5:$L$504,MATCH($A20&amp;"|GP|"&amp;TEXT(_xlfn.MAXIFS('Avaliação Semanal'!$A$5:$A$504,'Avaliação Semanal'!$B$5:$B$504,$A20,'Avaliação Semanal'!$C$5:$C$504,"GP",'Avaliação Semanal'!$A$5:$A$504,"&lt;="&amp;$D$3),"00000"),'Avaliação Semanal'!$M$5:$M$504,0)),"")))</f>
        <v/>
      </c>
      <c r="R20" s="7">
        <f>IF($A20="","",IF(COUNTIFS('Avaliação Semanal'!$B$5:$B$504,$A20,'Avaliação Semanal'!$C$5:$C$504,"Líder Técnico",'Avaliação Semanal'!$A$5:$A$504,"&gt;="&amp;$B$3,'Avaliação Semanal'!$A$5:$A$504,"&lt;="&amp;$D$3)=0,"",IFERROR(INDEX('Avaliação Semanal'!$L$5:$L$504,MATCH($A20&amp;"|Líder Técnico|"&amp;TEXT(_xlfn.MAXIFS('Avaliação Semanal'!$A$5:$A$504,'Avaliação Semanal'!$B$5:$B$504,$A20,'Avaliação Semanal'!$C$5:$C$504,"Líder Técnico",'Avaliação Semanal'!$A$5:$A$504,"&lt;="&amp;$D$3),"00000"),'Avaliação Semanal'!$M$5:$M$504,0)),"")))</f>
        <v/>
      </c>
    </row>
    <row r="21" ht="30" customHeight="1">
      <c r="A21" s="7">
        <f>IF(Cadastro!$A20="","",Cadastro!$A20)</f>
        <v/>
      </c>
      <c r="B21" s="7">
        <f>IF(Cadastro!$A20="","",Cadastro!$B20)</f>
        <v/>
      </c>
      <c r="C21" s="7">
        <f>IF(Cadastro!$A20="","",Cadastro!$C20)</f>
        <v/>
      </c>
      <c r="D21" s="8">
        <f>IF($A21="","",IF(COUNTIFS('Avaliação Semanal'!$B$5:$B$504,$A21,'Avaliação Semanal'!$C$5:$C$504,"GP",'Avaliação Semanal'!$A$5:$A$504,"&gt;="&amp;$B$3,'Avaliação Semanal'!$A$5:$A$504,"&lt;="&amp;$D$3,'Avaliação Semanal'!$J$5:$J$504,"&gt;0")=0,"",ROUND(AVERAGEIFS('Avaliação Semanal'!$J$5:$J$504,'Avaliação Semanal'!$B$5:$B$504,$A21,'Avaliação Semanal'!$C$5:$C$504,"GP",'Avaliação Semanal'!$A$5:$A$504,"&gt;="&amp;$B$3,'Avaliação Semanal'!$A$5:$A$504,"&lt;="&amp;$D$3),2)))</f>
        <v/>
      </c>
      <c r="E21" s="8">
        <f>IF($A21="","",IF(COUNTIFS('Avaliação Semanal'!$B$5:$B$504,$A21,'Avaliação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Semanal'!$B$5:$B$504,$A21,'Avaliação Semanal'!$C$5:$C$504,"Líder Técnico",'Avaliação Semanal'!$A$5:$A$504,"&gt;="&amp;$B$3,'Avaliação Semanal'!$A$5:$A$504,"&lt;="&amp;$D$3),2)))</f>
        <v/>
      </c>
      <c r="F21" s="8">
        <f>IF($A21="","",IF(COUNTIFS('Avaliação Semanal'!$B$5:$B$504,$A21,'Avaliação Semanal'!$A$5:$A$504,"&gt;="&amp;$B$3,'Avaliação Semanal'!$A$5:$A$504,"&lt;="&amp;$D$3,'Avaliação Semanal'!$E$5:$E$504,"&gt;0")=0,"",ROUND(AVERAGEIFS('Avaliação Semanal'!$E$5:$E$504,'Avaliação Semanal'!$B$5:$B$504,$A21,'Avaliação Semanal'!$A$5:$A$504,"&gt;="&amp;$B$3,'Avaliação Semanal'!$A$5:$A$504,"&lt;="&amp;$D$3),2)))</f>
        <v/>
      </c>
      <c r="G21" s="8">
        <f>IF($A21="","",IF(COUNTIFS('Avaliação Semanal'!$B$5:$B$504,$A21,'Avaliação Semanal'!$A$5:$A$504,"&gt;="&amp;$B$3,'Avaliação Semanal'!$A$5:$A$504,"&lt;="&amp;$D$3,'Avaliação Semanal'!$F$5:$F$504,"&gt;0")=0,"",ROUND(AVERAGEIFS('Avaliação Semanal'!$F$5:$F$504,'Avaliação Semanal'!$B$5:$B$504,$A21,'Avaliação Semanal'!$A$5:$A$504,"&gt;="&amp;$B$3,'Avaliação Semanal'!$A$5:$A$504,"&lt;="&amp;$D$3),2)))</f>
        <v/>
      </c>
      <c r="H21" s="8">
        <f>IF($A21="","",IF(COUNTIFS('Avaliação Semanal'!$B$5:$B$504,$A21,'Avaliação Semanal'!$A$5:$A$504,"&gt;="&amp;$B$3,'Avaliação Semanal'!$A$5:$A$504,"&lt;="&amp;$D$3,'Avaliação Semanal'!$G$5:$G$504,"&gt;0")=0,"",ROUND(AVERAGEIFS('Avaliação Semanal'!$G$5:$G$504,'Avaliação Semanal'!$B$5:$B$504,$A21,'Avaliação Semanal'!$A$5:$A$504,"&gt;="&amp;$B$3,'Avaliação Semanal'!$A$5:$A$504,"&lt;="&amp;$D$3),2)))</f>
        <v/>
      </c>
      <c r="I21" s="8">
        <f>IF($A21="","",IF(COUNTIFS('Avaliação Semanal'!$B$5:$B$504,$A21,'Avaliação Semanal'!$A$5:$A$504,"&gt;="&amp;$B$3,'Avaliação Semanal'!$A$5:$A$504,"&lt;="&amp;$D$3,'Avaliação Semanal'!$H$5:$H$504,"&gt;0")=0,"",ROUND(AVERAGEIFS('Avaliação Semanal'!$H$5:$H$504,'Avaliação Semanal'!$B$5:$B$504,$A21,'Avaliação Semanal'!$A$5:$A$504,"&gt;="&amp;$B$3,'Avaliação Semanal'!$A$5:$A$504,"&lt;="&amp;$D$3),2)))</f>
        <v/>
      </c>
      <c r="J21" s="8">
        <f>IF($A21="","",IF(COUNTIFS('Avaliação Semanal'!$B$5:$B$504,$A21,'Avaliação Semanal'!$A$5:$A$504,"&gt;="&amp;$B$3,'Avaliação Semanal'!$A$5:$A$504,"&lt;="&amp;$D$3,'Avaliação Semanal'!$I$5:$I$504,"&gt;0")=0,"",ROUND(AVERAGEIFS('Avaliação Semanal'!$I$5:$I$504,'Avaliação Semanal'!$B$5:$B$504,$A21,'Avaliação Semanal'!$A$5:$A$504,"&gt;="&amp;$B$3,'Avaliação Semanal'!$A$5:$A$504,"&lt;="&amp;$D$3),2)))</f>
        <v/>
      </c>
      <c r="K21" s="9">
        <f>IF(COUNT($F21:$J21)=0,"",ROUND(AVERAGE($F21:$J21),2))</f>
        <v/>
      </c>
      <c r="L21" s="10">
        <f>IF($K21="","",IF($K21&gt;=Cadastro!$H$5,"Verde",IF($K21&gt;=Cadastro!$H$6,"Atenção","Crítico")))</f>
        <v/>
      </c>
      <c r="M21" s="7">
        <f>IF($A21="","",COUNTIFS('Avaliação Semanal'!$B$5:$B$504,$A21,'Avaliação Semanal'!$A$5:$A$504,"&gt;="&amp;$B$3,'Avaliação Semanal'!$A$5:$A$504,"&lt;="&amp;$D$3,'Avaliação Semanal'!$J$5:$J$504,"&gt;0"))</f>
        <v/>
      </c>
      <c r="N21" s="11">
        <f>IF($M21=0,"",_xlfn.MAXIFS('Avaliação Semanal'!$A$5:$A$504,'Avaliação Semanal'!$B$5:$B$504,$A21,'Avaliação Semanal'!$A$5:$A$504,"&lt;="&amp;$D$3))</f>
        <v/>
      </c>
      <c r="O21" s="7">
        <f>IF($A21="","",COUNTIFS('Ocorrências'!$B$5:$B$204,$A21,'Ocorrências'!$A$5:$A$204,"&gt;="&amp;$B$3,'Ocorrências'!$A$5:$A$204,"&lt;="&amp;$D$3))</f>
        <v/>
      </c>
      <c r="P21" s="7">
        <f>IF($A21="","",COUNTIFS('Ocorrências'!$B$5:$B$204,$A21,'Ocorrências'!$C$5:$C$204,"Ponto de atenção",'Ocorrências'!$A$5:$A$204,"&gt;="&amp;$B$3,'Ocorrências'!$A$5:$A$204,"&lt;="&amp;$D$3)+COUNTIFS('Ocorrências'!$B$5:$B$204,$A21,'Ocorrências'!$C$5:$C$204,"Crítica",'Ocorrências'!$A$5:$A$204,"&gt;="&amp;$B$3,'Ocorrências'!$A$5:$A$204,"&lt;="&amp;$D$3))</f>
        <v/>
      </c>
      <c r="Q21" s="7">
        <f>IF($A21="","",IF(COUNTIFS('Avaliação Semanal'!$B$5:$B$504,$A21,'Avaliação Semanal'!$C$5:$C$504,"GP",'Avaliação Semanal'!$A$5:$A$504,"&gt;="&amp;$B$3,'Avaliação Semanal'!$A$5:$A$504,"&lt;="&amp;$D$3)=0,"",IFERROR(INDEX('Avaliação Semanal'!$L$5:$L$504,MATCH($A21&amp;"|GP|"&amp;TEXT(_xlfn.MAXIFS('Avaliação Semanal'!$A$5:$A$504,'Avaliação Semanal'!$B$5:$B$504,$A21,'Avaliação Semanal'!$C$5:$C$504,"GP",'Avaliação Semanal'!$A$5:$A$504,"&lt;="&amp;$D$3),"00000"),'Avaliação Semanal'!$M$5:$M$504,0)),"")))</f>
        <v/>
      </c>
      <c r="R21" s="7">
        <f>IF($A21="","",IF(COUNTIFS('Avaliação Semanal'!$B$5:$B$504,$A21,'Avaliação Semanal'!$C$5:$C$504,"Líder Técnico",'Avaliação Semanal'!$A$5:$A$504,"&gt;="&amp;$B$3,'Avaliação Semanal'!$A$5:$A$504,"&lt;="&amp;$D$3)=0,"",IFERROR(INDEX('Avaliação Semanal'!$L$5:$L$504,MATCH($A21&amp;"|Líder Técnico|"&amp;TEXT(_xlfn.MAXIFS('Avaliação Semanal'!$A$5:$A$504,'Avaliação Semanal'!$B$5:$B$504,$A21,'Avaliação Semanal'!$C$5:$C$504,"Líder Técnico",'Avaliação Semanal'!$A$5:$A$504,"&lt;="&amp;$D$3),"00000"),'Avaliação Semanal'!$M$5:$M$504,0)),"")))</f>
        <v/>
      </c>
    </row>
    <row r="22" ht="30" customHeight="1">
      <c r="A22" s="7">
        <f>IF(Cadastro!$A21="","",Cadastro!$A21)</f>
        <v/>
      </c>
      <c r="B22" s="7">
        <f>IF(Cadastro!$A21="","",Cadastro!$B21)</f>
        <v/>
      </c>
      <c r="C22" s="7">
        <f>IF(Cadastro!$A21="","",Cadastro!$C21)</f>
        <v/>
      </c>
      <c r="D22" s="8">
        <f>IF($A22="","",IF(COUNTIFS('Avaliação Semanal'!$B$5:$B$504,$A22,'Avaliação Semanal'!$C$5:$C$504,"GP",'Avaliação Semanal'!$A$5:$A$504,"&gt;="&amp;$B$3,'Avaliação Semanal'!$A$5:$A$504,"&lt;="&amp;$D$3,'Avaliação Semanal'!$J$5:$J$504,"&gt;0")=0,"",ROUND(AVERAGEIFS('Avaliação Semanal'!$J$5:$J$504,'Avaliação Semanal'!$B$5:$B$504,$A22,'Avaliação Semanal'!$C$5:$C$504,"GP",'Avaliação Semanal'!$A$5:$A$504,"&gt;="&amp;$B$3,'Avaliação Semanal'!$A$5:$A$504,"&lt;="&amp;$D$3),2)))</f>
        <v/>
      </c>
      <c r="E22" s="8">
        <f>IF($A22="","",IF(COUNTIFS('Avaliação Semanal'!$B$5:$B$504,$A22,'Avaliação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Semanal'!$B$5:$B$504,$A22,'Avaliação Semanal'!$C$5:$C$504,"Líder Técnico",'Avaliação Semanal'!$A$5:$A$504,"&gt;="&amp;$B$3,'Avaliação Semanal'!$A$5:$A$504,"&lt;="&amp;$D$3),2)))</f>
        <v/>
      </c>
      <c r="F22" s="8">
        <f>IF($A22="","",IF(COUNTIFS('Avaliação Semanal'!$B$5:$B$504,$A22,'Avaliação Semanal'!$A$5:$A$504,"&gt;="&amp;$B$3,'Avaliação Semanal'!$A$5:$A$504,"&lt;="&amp;$D$3,'Avaliação Semanal'!$E$5:$E$504,"&gt;0")=0,"",ROUND(AVERAGEIFS('Avaliação Semanal'!$E$5:$E$504,'Avaliação Semanal'!$B$5:$B$504,$A22,'Avaliação Semanal'!$A$5:$A$504,"&gt;="&amp;$B$3,'Avaliação Semanal'!$A$5:$A$504,"&lt;="&amp;$D$3),2)))</f>
        <v/>
      </c>
      <c r="G22" s="8">
        <f>IF($A22="","",IF(COUNTIFS('Avaliação Semanal'!$B$5:$B$504,$A22,'Avaliação Semanal'!$A$5:$A$504,"&gt;="&amp;$B$3,'Avaliação Semanal'!$A$5:$A$504,"&lt;="&amp;$D$3,'Avaliação Semanal'!$F$5:$F$504,"&gt;0")=0,"",ROUND(AVERAGEIFS('Avaliação Semanal'!$F$5:$F$504,'Avaliação Semanal'!$B$5:$B$504,$A22,'Avaliação Semanal'!$A$5:$A$504,"&gt;="&amp;$B$3,'Avaliação Semanal'!$A$5:$A$504,"&lt;="&amp;$D$3),2)))</f>
        <v/>
      </c>
      <c r="H22" s="8">
        <f>IF($A22="","",IF(COUNTIFS('Avaliação Semanal'!$B$5:$B$504,$A22,'Avaliação Semanal'!$A$5:$A$504,"&gt;="&amp;$B$3,'Avaliação Semanal'!$A$5:$A$504,"&lt;="&amp;$D$3,'Avaliação Semanal'!$G$5:$G$504,"&gt;0")=0,"",ROUND(AVERAGEIFS('Avaliação Semanal'!$G$5:$G$504,'Avaliação Semanal'!$B$5:$B$504,$A22,'Avaliação Semanal'!$A$5:$A$504,"&gt;="&amp;$B$3,'Avaliação Semanal'!$A$5:$A$504,"&lt;="&amp;$D$3),2)))</f>
        <v/>
      </c>
      <c r="I22" s="8">
        <f>IF($A22="","",IF(COUNTIFS('Avaliação Semanal'!$B$5:$B$504,$A22,'Avaliação Semanal'!$A$5:$A$504,"&gt;="&amp;$B$3,'Avaliação Semanal'!$A$5:$A$504,"&lt;="&amp;$D$3,'Avaliação Semanal'!$H$5:$H$504,"&gt;0")=0,"",ROUND(AVERAGEIFS('Avaliação Semanal'!$H$5:$H$504,'Avaliação Semanal'!$B$5:$B$504,$A22,'Avaliação Semanal'!$A$5:$A$504,"&gt;="&amp;$B$3,'Avaliação Semanal'!$A$5:$A$504,"&lt;="&amp;$D$3),2)))</f>
        <v/>
      </c>
      <c r="J22" s="8">
        <f>IF($A22="","",IF(COUNTIFS('Avaliação Semanal'!$B$5:$B$504,$A22,'Avaliação Semanal'!$A$5:$A$504,"&gt;="&amp;$B$3,'Avaliação Semanal'!$A$5:$A$504,"&lt;="&amp;$D$3,'Avaliação Semanal'!$I$5:$I$504,"&gt;0")=0,"",ROUND(AVERAGEIFS('Avaliação Semanal'!$I$5:$I$504,'Avaliação Semanal'!$B$5:$B$504,$A22,'Avaliação Semanal'!$A$5:$A$504,"&gt;="&amp;$B$3,'Avaliação Semanal'!$A$5:$A$504,"&lt;="&amp;$D$3),2)))</f>
        <v/>
      </c>
      <c r="K22" s="9">
        <f>IF(COUNT($F22:$J22)=0,"",ROUND(AVERAGE($F22:$J22),2))</f>
        <v/>
      </c>
      <c r="L22" s="10">
        <f>IF($K22="","",IF($K22&gt;=Cadastro!$H$5,"Verde",IF($K22&gt;=Cadastro!$H$6,"Atenção","Crítico")))</f>
        <v/>
      </c>
      <c r="M22" s="7">
        <f>IF($A22="","",COUNTIFS('Avaliação Semanal'!$B$5:$B$504,$A22,'Avaliação Semanal'!$A$5:$A$504,"&gt;="&amp;$B$3,'Avaliação Semanal'!$A$5:$A$504,"&lt;="&amp;$D$3,'Avaliação Semanal'!$J$5:$J$504,"&gt;0"))</f>
        <v/>
      </c>
      <c r="N22" s="11">
        <f>IF($M22=0,"",_xlfn.MAXIFS('Avaliação Semanal'!$A$5:$A$504,'Avaliação Semanal'!$B$5:$B$504,$A22,'Avaliação Semanal'!$A$5:$A$504,"&lt;="&amp;$D$3))</f>
        <v/>
      </c>
      <c r="O22" s="7">
        <f>IF($A22="","",COUNTIFS('Ocorrências'!$B$5:$B$204,$A22,'Ocorrências'!$A$5:$A$204,"&gt;="&amp;$B$3,'Ocorrências'!$A$5:$A$204,"&lt;="&amp;$D$3))</f>
        <v/>
      </c>
      <c r="P22" s="7">
        <f>IF($A22="","",COUNTIFS('Ocorrências'!$B$5:$B$204,$A22,'Ocorrências'!$C$5:$C$204,"Ponto de atenção",'Ocorrências'!$A$5:$A$204,"&gt;="&amp;$B$3,'Ocorrências'!$A$5:$A$204,"&lt;="&amp;$D$3)+COUNTIFS('Ocorrências'!$B$5:$B$204,$A22,'Ocorrências'!$C$5:$C$204,"Crítica",'Ocorrências'!$A$5:$A$204,"&gt;="&amp;$B$3,'Ocorrências'!$A$5:$A$204,"&lt;="&amp;$D$3))</f>
        <v/>
      </c>
      <c r="Q22" s="7">
        <f>IF($A22="","",IF(COUNTIFS('Avaliação Semanal'!$B$5:$B$504,$A22,'Avaliação Semanal'!$C$5:$C$504,"GP",'Avaliação Semanal'!$A$5:$A$504,"&gt;="&amp;$B$3,'Avaliação Semanal'!$A$5:$A$504,"&lt;="&amp;$D$3)=0,"",IFERROR(INDEX('Avaliação Semanal'!$L$5:$L$504,MATCH($A22&amp;"|GP|"&amp;TEXT(_xlfn.MAXIFS('Avaliação Semanal'!$A$5:$A$504,'Avaliação Semanal'!$B$5:$B$504,$A22,'Avaliação Semanal'!$C$5:$C$504,"GP",'Avaliação Semanal'!$A$5:$A$504,"&lt;="&amp;$D$3),"00000"),'Avaliação Semanal'!$M$5:$M$504,0)),"")))</f>
        <v/>
      </c>
      <c r="R22" s="7">
        <f>IF($A22="","",IF(COUNTIFS('Avaliação Semanal'!$B$5:$B$504,$A22,'Avaliação Semanal'!$C$5:$C$504,"Líder Técnico",'Avaliação Semanal'!$A$5:$A$504,"&gt;="&amp;$B$3,'Avaliação Semanal'!$A$5:$A$504,"&lt;="&amp;$D$3)=0,"",IFERROR(INDEX('Avaliação Semanal'!$L$5:$L$504,MATCH($A22&amp;"|Líder Técnico|"&amp;TEXT(_xlfn.MAXIFS('Avaliação Semanal'!$A$5:$A$504,'Avaliação Semanal'!$B$5:$B$504,$A22,'Avaliação Semanal'!$C$5:$C$504,"Líder Técnico",'Avaliação Semanal'!$A$5:$A$504,"&lt;="&amp;$D$3),"00000"),'Avaliação Semanal'!$M$5:$M$504,0)),"")))</f>
        <v/>
      </c>
    </row>
    <row r="23" ht="30" customHeight="1">
      <c r="A23" s="7">
        <f>IF(Cadastro!$A22="","",Cadastro!$A22)</f>
        <v/>
      </c>
      <c r="B23" s="7">
        <f>IF(Cadastro!$A22="","",Cadastro!$B22)</f>
        <v/>
      </c>
      <c r="C23" s="7">
        <f>IF(Cadastro!$A22="","",Cadastro!$C22)</f>
        <v/>
      </c>
      <c r="D23" s="8">
        <f>IF($A23="","",IF(COUNTIFS('Avaliação Semanal'!$B$5:$B$504,$A23,'Avaliação Semanal'!$C$5:$C$504,"GP",'Avaliação Semanal'!$A$5:$A$504,"&gt;="&amp;$B$3,'Avaliação Semanal'!$A$5:$A$504,"&lt;="&amp;$D$3,'Avaliação Semanal'!$J$5:$J$504,"&gt;0")=0,"",ROUND(AVERAGEIFS('Avaliação Semanal'!$J$5:$J$504,'Avaliação Semanal'!$B$5:$B$504,$A23,'Avaliação Semanal'!$C$5:$C$504,"GP",'Avaliação Semanal'!$A$5:$A$504,"&gt;="&amp;$B$3,'Avaliação Semanal'!$A$5:$A$504,"&lt;="&amp;$D$3),2)))</f>
        <v/>
      </c>
      <c r="E23" s="8">
        <f>IF($A23="","",IF(COUNTIFS('Avaliação Semanal'!$B$5:$B$504,$A23,'Avaliação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Semanal'!$B$5:$B$504,$A23,'Avaliação Semanal'!$C$5:$C$504,"Líder Técnico",'Avaliação Semanal'!$A$5:$A$504,"&gt;="&amp;$B$3,'Avaliação Semanal'!$A$5:$A$504,"&lt;="&amp;$D$3),2)))</f>
        <v/>
      </c>
      <c r="F23" s="8">
        <f>IF($A23="","",IF(COUNTIFS('Avaliação Semanal'!$B$5:$B$504,$A23,'Avaliação Semanal'!$A$5:$A$504,"&gt;="&amp;$B$3,'Avaliação Semanal'!$A$5:$A$504,"&lt;="&amp;$D$3,'Avaliação Semanal'!$E$5:$E$504,"&gt;0")=0,"",ROUND(AVERAGEIFS('Avaliação Semanal'!$E$5:$E$504,'Avaliação Semanal'!$B$5:$B$504,$A23,'Avaliação Semanal'!$A$5:$A$504,"&gt;="&amp;$B$3,'Avaliação Semanal'!$A$5:$A$504,"&lt;="&amp;$D$3),2)))</f>
        <v/>
      </c>
      <c r="G23" s="8">
        <f>IF($A23="","",IF(COUNTIFS('Avaliação Semanal'!$B$5:$B$504,$A23,'Avaliação Semanal'!$A$5:$A$504,"&gt;="&amp;$B$3,'Avaliação Semanal'!$A$5:$A$504,"&lt;="&amp;$D$3,'Avaliação Semanal'!$F$5:$F$504,"&gt;0")=0,"",ROUND(AVERAGEIFS('Avaliação Semanal'!$F$5:$F$504,'Avaliação Semanal'!$B$5:$B$504,$A23,'Avaliação Semanal'!$A$5:$A$504,"&gt;="&amp;$B$3,'Avaliação Semanal'!$A$5:$A$504,"&lt;="&amp;$D$3),2)))</f>
        <v/>
      </c>
      <c r="H23" s="8">
        <f>IF($A23="","",IF(COUNTIFS('Avaliação Semanal'!$B$5:$B$504,$A23,'Avaliação Semanal'!$A$5:$A$504,"&gt;="&amp;$B$3,'Avaliação Semanal'!$A$5:$A$504,"&lt;="&amp;$D$3,'Avaliação Semanal'!$G$5:$G$504,"&gt;0")=0,"",ROUND(AVERAGEIFS('Avaliação Semanal'!$G$5:$G$504,'Avaliação Semanal'!$B$5:$B$504,$A23,'Avaliação Semanal'!$A$5:$A$504,"&gt;="&amp;$B$3,'Avaliação Semanal'!$A$5:$A$504,"&lt;="&amp;$D$3),2)))</f>
        <v/>
      </c>
      <c r="I23" s="8">
        <f>IF($A23="","",IF(COUNTIFS('Avaliação Semanal'!$B$5:$B$504,$A23,'Avaliação Semanal'!$A$5:$A$504,"&gt;="&amp;$B$3,'Avaliação Semanal'!$A$5:$A$504,"&lt;="&amp;$D$3,'Avaliação Semanal'!$H$5:$H$504,"&gt;0")=0,"",ROUND(AVERAGEIFS('Avaliação Semanal'!$H$5:$H$504,'Avaliação Semanal'!$B$5:$B$504,$A23,'Avaliação Semanal'!$A$5:$A$504,"&gt;="&amp;$B$3,'Avaliação Semanal'!$A$5:$A$504,"&lt;="&amp;$D$3),2)))</f>
        <v/>
      </c>
      <c r="J23" s="8">
        <f>IF($A23="","",IF(COUNTIFS('Avaliação Semanal'!$B$5:$B$504,$A23,'Avaliação Semanal'!$A$5:$A$504,"&gt;="&amp;$B$3,'Avaliação Semanal'!$A$5:$A$504,"&lt;="&amp;$D$3,'Avaliação Semanal'!$I$5:$I$504,"&gt;0")=0,"",ROUND(AVERAGEIFS('Avaliação Semanal'!$I$5:$I$504,'Avaliação Semanal'!$B$5:$B$504,$A23,'Avaliação Semanal'!$A$5:$A$504,"&gt;="&amp;$B$3,'Avaliação Semanal'!$A$5:$A$504,"&lt;="&amp;$D$3),2)))</f>
        <v/>
      </c>
      <c r="K23" s="9">
        <f>IF(COUNT($F23:$J23)=0,"",ROUND(AVERAGE($F23:$J23),2))</f>
        <v/>
      </c>
      <c r="L23" s="10">
        <f>IF($K23="","",IF($K23&gt;=Cadastro!$H$5,"Verde",IF($K23&gt;=Cadastro!$H$6,"Atenção","Crítico")))</f>
        <v/>
      </c>
      <c r="M23" s="7">
        <f>IF($A23="","",COUNTIFS('Avaliação Semanal'!$B$5:$B$504,$A23,'Avaliação Semanal'!$A$5:$A$504,"&gt;="&amp;$B$3,'Avaliação Semanal'!$A$5:$A$504,"&lt;="&amp;$D$3,'Avaliação Semanal'!$J$5:$J$504,"&gt;0"))</f>
        <v/>
      </c>
      <c r="N23" s="11">
        <f>IF($M23=0,"",_xlfn.MAXIFS('Avaliação Semanal'!$A$5:$A$504,'Avaliação Semanal'!$B$5:$B$504,$A23,'Avaliação Semanal'!$A$5:$A$504,"&lt;="&amp;$D$3))</f>
        <v/>
      </c>
      <c r="O23" s="7">
        <f>IF($A23="","",COUNTIFS('Ocorrências'!$B$5:$B$204,$A23,'Ocorrências'!$A$5:$A$204,"&gt;="&amp;$B$3,'Ocorrências'!$A$5:$A$204,"&lt;="&amp;$D$3))</f>
        <v/>
      </c>
      <c r="P23" s="7">
        <f>IF($A23="","",COUNTIFS('Ocorrências'!$B$5:$B$204,$A23,'Ocorrências'!$C$5:$C$204,"Ponto de atenção",'Ocorrências'!$A$5:$A$204,"&gt;="&amp;$B$3,'Ocorrências'!$A$5:$A$204,"&lt;="&amp;$D$3)+COUNTIFS('Ocorrências'!$B$5:$B$204,$A23,'Ocorrências'!$C$5:$C$204,"Crítica",'Ocorrências'!$A$5:$A$204,"&gt;="&amp;$B$3,'Ocorrências'!$A$5:$A$204,"&lt;="&amp;$D$3))</f>
        <v/>
      </c>
      <c r="Q23" s="7">
        <f>IF($A23="","",IF(COUNTIFS('Avaliação Semanal'!$B$5:$B$504,$A23,'Avaliação Semanal'!$C$5:$C$504,"GP",'Avaliação Semanal'!$A$5:$A$504,"&gt;="&amp;$B$3,'Avaliação Semanal'!$A$5:$A$504,"&lt;="&amp;$D$3)=0,"",IFERROR(INDEX('Avaliação Semanal'!$L$5:$L$504,MATCH($A23&amp;"|GP|"&amp;TEXT(_xlfn.MAXIFS('Avaliação Semanal'!$A$5:$A$504,'Avaliação Semanal'!$B$5:$B$504,$A23,'Avaliação Semanal'!$C$5:$C$504,"GP",'Avaliação Semanal'!$A$5:$A$504,"&lt;="&amp;$D$3),"00000"),'Avaliação Semanal'!$M$5:$M$504,0)),"")))</f>
        <v/>
      </c>
      <c r="R23" s="7">
        <f>IF($A23="","",IF(COUNTIFS('Avaliação Semanal'!$B$5:$B$504,$A23,'Avaliação Semanal'!$C$5:$C$504,"Líder Técnico",'Avaliação Semanal'!$A$5:$A$504,"&gt;="&amp;$B$3,'Avaliação Semanal'!$A$5:$A$504,"&lt;="&amp;$D$3)=0,"",IFERROR(INDEX('Avaliação Semanal'!$L$5:$L$504,MATCH($A23&amp;"|Líder Técnico|"&amp;TEXT(_xlfn.MAXIFS('Avaliação Semanal'!$A$5:$A$504,'Avaliação Semanal'!$B$5:$B$504,$A23,'Avaliação Semanal'!$C$5:$C$504,"Líder Técnico",'Avaliação Semanal'!$A$5:$A$504,"&lt;="&amp;$D$3),"00000"),'Avaliação Semanal'!$M$5:$M$504,0)),"")))</f>
        <v/>
      </c>
    </row>
    <row r="24" ht="30" customHeight="1">
      <c r="A24" s="7">
        <f>IF(Cadastro!$A23="","",Cadastro!$A23)</f>
        <v/>
      </c>
      <c r="B24" s="7">
        <f>IF(Cadastro!$A23="","",Cadastro!$B23)</f>
        <v/>
      </c>
      <c r="C24" s="7">
        <f>IF(Cadastro!$A23="","",Cadastro!$C23)</f>
        <v/>
      </c>
      <c r="D24" s="8">
        <f>IF($A24="","",IF(COUNTIFS('Avaliação Semanal'!$B$5:$B$504,$A24,'Avaliação Semanal'!$C$5:$C$504,"GP",'Avaliação Semanal'!$A$5:$A$504,"&gt;="&amp;$B$3,'Avaliação Semanal'!$A$5:$A$504,"&lt;="&amp;$D$3,'Avaliação Semanal'!$J$5:$J$504,"&gt;0")=0,"",ROUND(AVERAGEIFS('Avaliação Semanal'!$J$5:$J$504,'Avaliação Semanal'!$B$5:$B$504,$A24,'Avaliação Semanal'!$C$5:$C$504,"GP",'Avaliação Semanal'!$A$5:$A$504,"&gt;="&amp;$B$3,'Avaliação Semanal'!$A$5:$A$504,"&lt;="&amp;$D$3),2)))</f>
        <v/>
      </c>
      <c r="E24" s="8">
        <f>IF($A24="","",IF(COUNTIFS('Avaliação Semanal'!$B$5:$B$504,$A24,'Avaliação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Semanal'!$B$5:$B$504,$A24,'Avaliação Semanal'!$C$5:$C$504,"Líder Técnico",'Avaliação Semanal'!$A$5:$A$504,"&gt;="&amp;$B$3,'Avaliação Semanal'!$A$5:$A$504,"&lt;="&amp;$D$3),2)))</f>
        <v/>
      </c>
      <c r="F24" s="8">
        <f>IF($A24="","",IF(COUNTIFS('Avaliação Semanal'!$B$5:$B$504,$A24,'Avaliação Semanal'!$A$5:$A$504,"&gt;="&amp;$B$3,'Avaliação Semanal'!$A$5:$A$504,"&lt;="&amp;$D$3,'Avaliação Semanal'!$E$5:$E$504,"&gt;0")=0,"",ROUND(AVERAGEIFS('Avaliação Semanal'!$E$5:$E$504,'Avaliação Semanal'!$B$5:$B$504,$A24,'Avaliação Semanal'!$A$5:$A$504,"&gt;="&amp;$B$3,'Avaliação Semanal'!$A$5:$A$504,"&lt;="&amp;$D$3),2)))</f>
        <v/>
      </c>
      <c r="G24" s="8">
        <f>IF($A24="","",IF(COUNTIFS('Avaliação Semanal'!$B$5:$B$504,$A24,'Avaliação Semanal'!$A$5:$A$504,"&gt;="&amp;$B$3,'Avaliação Semanal'!$A$5:$A$504,"&lt;="&amp;$D$3,'Avaliação Semanal'!$F$5:$F$504,"&gt;0")=0,"",ROUND(AVERAGEIFS('Avaliação Semanal'!$F$5:$F$504,'Avaliação Semanal'!$B$5:$B$504,$A24,'Avaliação Semanal'!$A$5:$A$504,"&gt;="&amp;$B$3,'Avaliação Semanal'!$A$5:$A$504,"&lt;="&amp;$D$3),2)))</f>
        <v/>
      </c>
      <c r="H24" s="8">
        <f>IF($A24="","",IF(COUNTIFS('Avaliação Semanal'!$B$5:$B$504,$A24,'Avaliação Semanal'!$A$5:$A$504,"&gt;="&amp;$B$3,'Avaliação Semanal'!$A$5:$A$504,"&lt;="&amp;$D$3,'Avaliação Semanal'!$G$5:$G$504,"&gt;0")=0,"",ROUND(AVERAGEIFS('Avaliação Semanal'!$G$5:$G$504,'Avaliação Semanal'!$B$5:$B$504,$A24,'Avaliação Semanal'!$A$5:$A$504,"&gt;="&amp;$B$3,'Avaliação Semanal'!$A$5:$A$504,"&lt;="&amp;$D$3),2)))</f>
        <v/>
      </c>
      <c r="I24" s="8">
        <f>IF($A24="","",IF(COUNTIFS('Avaliação Semanal'!$B$5:$B$504,$A24,'Avaliação Semanal'!$A$5:$A$504,"&gt;="&amp;$B$3,'Avaliação Semanal'!$A$5:$A$504,"&lt;="&amp;$D$3,'Avaliação Semanal'!$H$5:$H$504,"&gt;0")=0,"",ROUND(AVERAGEIFS('Avaliação Semanal'!$H$5:$H$504,'Avaliação Semanal'!$B$5:$B$504,$A24,'Avaliação Semanal'!$A$5:$A$504,"&gt;="&amp;$B$3,'Avaliação Semanal'!$A$5:$A$504,"&lt;="&amp;$D$3),2)))</f>
        <v/>
      </c>
      <c r="J24" s="8">
        <f>IF($A24="","",IF(COUNTIFS('Avaliação Semanal'!$B$5:$B$504,$A24,'Avaliação Semanal'!$A$5:$A$504,"&gt;="&amp;$B$3,'Avaliação Semanal'!$A$5:$A$504,"&lt;="&amp;$D$3,'Avaliação Semanal'!$I$5:$I$504,"&gt;0")=0,"",ROUND(AVERAGEIFS('Avaliação Semanal'!$I$5:$I$504,'Avaliação Semanal'!$B$5:$B$504,$A24,'Avaliação Semanal'!$A$5:$A$504,"&gt;="&amp;$B$3,'Avaliação Semanal'!$A$5:$A$504,"&lt;="&amp;$D$3),2)))</f>
        <v/>
      </c>
      <c r="K24" s="9">
        <f>IF(COUNT($F24:$J24)=0,"",ROUND(AVERAGE($F24:$J24),2))</f>
        <v/>
      </c>
      <c r="L24" s="10">
        <f>IF($K24="","",IF($K24&gt;=Cadastro!$H$5,"Verde",IF($K24&gt;=Cadastro!$H$6,"Atenção","Crítico")))</f>
        <v/>
      </c>
      <c r="M24" s="7">
        <f>IF($A24="","",COUNTIFS('Avaliação Semanal'!$B$5:$B$504,$A24,'Avaliação Semanal'!$A$5:$A$504,"&gt;="&amp;$B$3,'Avaliação Semanal'!$A$5:$A$504,"&lt;="&amp;$D$3,'Avaliação Semanal'!$J$5:$J$504,"&gt;0"))</f>
        <v/>
      </c>
      <c r="N24" s="11">
        <f>IF($M24=0,"",_xlfn.MAXIFS('Avaliação Semanal'!$A$5:$A$504,'Avaliação Semanal'!$B$5:$B$504,$A24,'Avaliação Semanal'!$A$5:$A$504,"&lt;="&amp;$D$3))</f>
        <v/>
      </c>
      <c r="O24" s="7">
        <f>IF($A24="","",COUNTIFS('Ocorrências'!$B$5:$B$204,$A24,'Ocorrências'!$A$5:$A$204,"&gt;="&amp;$B$3,'Ocorrências'!$A$5:$A$204,"&lt;="&amp;$D$3))</f>
        <v/>
      </c>
      <c r="P24" s="7">
        <f>IF($A24="","",COUNTIFS('Ocorrências'!$B$5:$B$204,$A24,'Ocorrências'!$C$5:$C$204,"Ponto de atenção",'Ocorrências'!$A$5:$A$204,"&gt;="&amp;$B$3,'Ocorrências'!$A$5:$A$204,"&lt;="&amp;$D$3)+COUNTIFS('Ocorrências'!$B$5:$B$204,$A24,'Ocorrências'!$C$5:$C$204,"Crítica",'Ocorrências'!$A$5:$A$204,"&gt;="&amp;$B$3,'Ocorrências'!$A$5:$A$204,"&lt;="&amp;$D$3))</f>
        <v/>
      </c>
      <c r="Q24" s="7">
        <f>IF($A24="","",IF(COUNTIFS('Avaliação Semanal'!$B$5:$B$504,$A24,'Avaliação Semanal'!$C$5:$C$504,"GP",'Avaliação Semanal'!$A$5:$A$504,"&gt;="&amp;$B$3,'Avaliação Semanal'!$A$5:$A$504,"&lt;="&amp;$D$3)=0,"",IFERROR(INDEX('Avaliação Semanal'!$L$5:$L$504,MATCH($A24&amp;"|GP|"&amp;TEXT(_xlfn.MAXIFS('Avaliação Semanal'!$A$5:$A$504,'Avaliação Semanal'!$B$5:$B$504,$A24,'Avaliação Semanal'!$C$5:$C$504,"GP",'Avaliação Semanal'!$A$5:$A$504,"&lt;="&amp;$D$3),"00000"),'Avaliação Semanal'!$M$5:$M$504,0)),"")))</f>
        <v/>
      </c>
      <c r="R24" s="7">
        <f>IF($A24="","",IF(COUNTIFS('Avaliação Semanal'!$B$5:$B$504,$A24,'Avaliação Semanal'!$C$5:$C$504,"Líder Técnico",'Avaliação Semanal'!$A$5:$A$504,"&gt;="&amp;$B$3,'Avaliação Semanal'!$A$5:$A$504,"&lt;="&amp;$D$3)=0,"",IFERROR(INDEX('Avaliação Semanal'!$L$5:$L$504,MATCH($A24&amp;"|Líder Técnico|"&amp;TEXT(_xlfn.MAXIFS('Avaliação Semanal'!$A$5:$A$504,'Avaliação Semanal'!$B$5:$B$504,$A24,'Avaliação Semanal'!$C$5:$C$504,"Líder Técnico",'Avaliação Semanal'!$A$5:$A$504,"&lt;="&amp;$D$3),"00000"),'Avaliação Semanal'!$M$5:$M$504,0)),"")))</f>
        <v/>
      </c>
    </row>
    <row r="25" ht="30" customHeight="1">
      <c r="A25" s="7">
        <f>IF(Cadastro!$A24="","",Cadastro!$A24)</f>
        <v/>
      </c>
      <c r="B25" s="7">
        <f>IF(Cadastro!$A24="","",Cadastro!$B24)</f>
        <v/>
      </c>
      <c r="C25" s="7">
        <f>IF(Cadastro!$A24="","",Cadastro!$C24)</f>
        <v/>
      </c>
      <c r="D25" s="8">
        <f>IF($A25="","",IF(COUNTIFS('Avaliação Semanal'!$B$5:$B$504,$A25,'Avaliação Semanal'!$C$5:$C$504,"GP",'Avaliação Semanal'!$A$5:$A$504,"&gt;="&amp;$B$3,'Avaliação Semanal'!$A$5:$A$504,"&lt;="&amp;$D$3,'Avaliação Semanal'!$J$5:$J$504,"&gt;0")=0,"",ROUND(AVERAGEIFS('Avaliação Semanal'!$J$5:$J$504,'Avaliação Semanal'!$B$5:$B$504,$A25,'Avaliação Semanal'!$C$5:$C$504,"GP",'Avaliação Semanal'!$A$5:$A$504,"&gt;="&amp;$B$3,'Avaliação Semanal'!$A$5:$A$504,"&lt;="&amp;$D$3),2)))</f>
        <v/>
      </c>
      <c r="E25" s="8">
        <f>IF($A25="","",IF(COUNTIFS('Avaliação Semanal'!$B$5:$B$504,$A25,'Avaliação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Semanal'!$B$5:$B$504,$A25,'Avaliação Semanal'!$C$5:$C$504,"Líder Técnico",'Avaliação Semanal'!$A$5:$A$504,"&gt;="&amp;$B$3,'Avaliação Semanal'!$A$5:$A$504,"&lt;="&amp;$D$3),2)))</f>
        <v/>
      </c>
      <c r="F25" s="8">
        <f>IF($A25="","",IF(COUNTIFS('Avaliação Semanal'!$B$5:$B$504,$A25,'Avaliação Semanal'!$A$5:$A$504,"&gt;="&amp;$B$3,'Avaliação Semanal'!$A$5:$A$504,"&lt;="&amp;$D$3,'Avaliação Semanal'!$E$5:$E$504,"&gt;0")=0,"",ROUND(AVERAGEIFS('Avaliação Semanal'!$E$5:$E$504,'Avaliação Semanal'!$B$5:$B$504,$A25,'Avaliação Semanal'!$A$5:$A$504,"&gt;="&amp;$B$3,'Avaliação Semanal'!$A$5:$A$504,"&lt;="&amp;$D$3),2)))</f>
        <v/>
      </c>
      <c r="G25" s="8">
        <f>IF($A25="","",IF(COUNTIFS('Avaliação Semanal'!$B$5:$B$504,$A25,'Avaliação Semanal'!$A$5:$A$504,"&gt;="&amp;$B$3,'Avaliação Semanal'!$A$5:$A$504,"&lt;="&amp;$D$3,'Avaliação Semanal'!$F$5:$F$504,"&gt;0")=0,"",ROUND(AVERAGEIFS('Avaliação Semanal'!$F$5:$F$504,'Avaliação Semanal'!$B$5:$B$504,$A25,'Avaliação Semanal'!$A$5:$A$504,"&gt;="&amp;$B$3,'Avaliação Semanal'!$A$5:$A$504,"&lt;="&amp;$D$3),2)))</f>
        <v/>
      </c>
      <c r="H25" s="8">
        <f>IF($A25="","",IF(COUNTIFS('Avaliação Semanal'!$B$5:$B$504,$A25,'Avaliação Semanal'!$A$5:$A$504,"&gt;="&amp;$B$3,'Avaliação Semanal'!$A$5:$A$504,"&lt;="&amp;$D$3,'Avaliação Semanal'!$G$5:$G$504,"&gt;0")=0,"",ROUND(AVERAGEIFS('Avaliação Semanal'!$G$5:$G$504,'Avaliação Semanal'!$B$5:$B$504,$A25,'Avaliação Semanal'!$A$5:$A$504,"&gt;="&amp;$B$3,'Avaliação Semanal'!$A$5:$A$504,"&lt;="&amp;$D$3),2)))</f>
        <v/>
      </c>
      <c r="I25" s="8">
        <f>IF($A25="","",IF(COUNTIFS('Avaliação Semanal'!$B$5:$B$504,$A25,'Avaliação Semanal'!$A$5:$A$504,"&gt;="&amp;$B$3,'Avaliação Semanal'!$A$5:$A$504,"&lt;="&amp;$D$3,'Avaliação Semanal'!$H$5:$H$504,"&gt;0")=0,"",ROUND(AVERAGEIFS('Avaliação Semanal'!$H$5:$H$504,'Avaliação Semanal'!$B$5:$B$504,$A25,'Avaliação Semanal'!$A$5:$A$504,"&gt;="&amp;$B$3,'Avaliação Semanal'!$A$5:$A$504,"&lt;="&amp;$D$3),2)))</f>
        <v/>
      </c>
      <c r="J25" s="8">
        <f>IF($A25="","",IF(COUNTIFS('Avaliação Semanal'!$B$5:$B$504,$A25,'Avaliação Semanal'!$A$5:$A$504,"&gt;="&amp;$B$3,'Avaliação Semanal'!$A$5:$A$504,"&lt;="&amp;$D$3,'Avaliação Semanal'!$I$5:$I$504,"&gt;0")=0,"",ROUND(AVERAGEIFS('Avaliação Semanal'!$I$5:$I$504,'Avaliação Semanal'!$B$5:$B$504,$A25,'Avaliação Semanal'!$A$5:$A$504,"&gt;="&amp;$B$3,'Avaliação Semanal'!$A$5:$A$504,"&lt;="&amp;$D$3),2)))</f>
        <v/>
      </c>
      <c r="K25" s="9">
        <f>IF(COUNT($F25:$J25)=0,"",ROUND(AVERAGE($F25:$J25),2))</f>
        <v/>
      </c>
      <c r="L25" s="10">
        <f>IF($K25="","",IF($K25&gt;=Cadastro!$H$5,"Verde",IF($K25&gt;=Cadastro!$H$6,"Atenção","Crítico")))</f>
        <v/>
      </c>
      <c r="M25" s="7">
        <f>IF($A25="","",COUNTIFS('Avaliação Semanal'!$B$5:$B$504,$A25,'Avaliação Semanal'!$A$5:$A$504,"&gt;="&amp;$B$3,'Avaliação Semanal'!$A$5:$A$504,"&lt;="&amp;$D$3,'Avaliação Semanal'!$J$5:$J$504,"&gt;0"))</f>
        <v/>
      </c>
      <c r="N25" s="11">
        <f>IF($M25=0,"",_xlfn.MAXIFS('Avaliação Semanal'!$A$5:$A$504,'Avaliação Semanal'!$B$5:$B$504,$A25,'Avaliação Semanal'!$A$5:$A$504,"&lt;="&amp;$D$3))</f>
        <v/>
      </c>
      <c r="O25" s="7">
        <f>IF($A25="","",COUNTIFS('Ocorrências'!$B$5:$B$204,$A25,'Ocorrências'!$A$5:$A$204,"&gt;="&amp;$B$3,'Ocorrências'!$A$5:$A$204,"&lt;="&amp;$D$3))</f>
        <v/>
      </c>
      <c r="P25" s="7">
        <f>IF($A25="","",COUNTIFS('Ocorrências'!$B$5:$B$204,$A25,'Ocorrências'!$C$5:$C$204,"Ponto de atenção",'Ocorrências'!$A$5:$A$204,"&gt;="&amp;$B$3,'Ocorrências'!$A$5:$A$204,"&lt;="&amp;$D$3)+COUNTIFS('Ocorrências'!$B$5:$B$204,$A25,'Ocorrências'!$C$5:$C$204,"Crítica",'Ocorrências'!$A$5:$A$204,"&gt;="&amp;$B$3,'Ocorrências'!$A$5:$A$204,"&lt;="&amp;$D$3))</f>
        <v/>
      </c>
      <c r="Q25" s="7">
        <f>IF($A25="","",IF(COUNTIFS('Avaliação Semanal'!$B$5:$B$504,$A25,'Avaliação Semanal'!$C$5:$C$504,"GP",'Avaliação Semanal'!$A$5:$A$504,"&gt;="&amp;$B$3,'Avaliação Semanal'!$A$5:$A$504,"&lt;="&amp;$D$3)=0,"",IFERROR(INDEX('Avaliação Semanal'!$L$5:$L$504,MATCH($A25&amp;"|GP|"&amp;TEXT(_xlfn.MAXIFS('Avaliação Semanal'!$A$5:$A$504,'Avaliação Semanal'!$B$5:$B$504,$A25,'Avaliação Semanal'!$C$5:$C$504,"GP",'Avaliação Semanal'!$A$5:$A$504,"&lt;="&amp;$D$3),"00000"),'Avaliação Semanal'!$M$5:$M$504,0)),"")))</f>
        <v/>
      </c>
      <c r="R25" s="7">
        <f>IF($A25="","",IF(COUNTIFS('Avaliação Semanal'!$B$5:$B$504,$A25,'Avaliação Semanal'!$C$5:$C$504,"Líder Técnico",'Avaliação Semanal'!$A$5:$A$504,"&gt;="&amp;$B$3,'Avaliação Semanal'!$A$5:$A$504,"&lt;="&amp;$D$3)=0,"",IFERROR(INDEX('Avaliação Semanal'!$L$5:$L$504,MATCH($A25&amp;"|Líder Técnico|"&amp;TEXT(_xlfn.MAXIFS('Avaliação Semanal'!$A$5:$A$504,'Avaliação Semanal'!$B$5:$B$504,$A25,'Avaliação Semanal'!$C$5:$C$504,"Líder Técnico",'Avaliação Semanal'!$A$5:$A$504,"&lt;="&amp;$D$3),"00000"),'Avaliação Semanal'!$M$5:$M$504,0)),"")))</f>
        <v/>
      </c>
    </row>
    <row r="26" ht="30" customHeight="1">
      <c r="A26" s="7">
        <f>IF(Cadastro!$A25="","",Cadastro!$A25)</f>
        <v/>
      </c>
      <c r="B26" s="7">
        <f>IF(Cadastro!$A25="","",Cadastro!$B25)</f>
        <v/>
      </c>
      <c r="C26" s="7">
        <f>IF(Cadastro!$A25="","",Cadastro!$C25)</f>
        <v/>
      </c>
      <c r="D26" s="8">
        <f>IF($A26="","",IF(COUNTIFS('Avaliação Semanal'!$B$5:$B$504,$A26,'Avaliação Semanal'!$C$5:$C$504,"GP",'Avaliação Semanal'!$A$5:$A$504,"&gt;="&amp;$B$3,'Avaliação Semanal'!$A$5:$A$504,"&lt;="&amp;$D$3,'Avaliação Semanal'!$J$5:$J$504,"&gt;0")=0,"",ROUND(AVERAGEIFS('Avaliação Semanal'!$J$5:$J$504,'Avaliação Semanal'!$B$5:$B$504,$A26,'Avaliação Semanal'!$C$5:$C$504,"GP",'Avaliação Semanal'!$A$5:$A$504,"&gt;="&amp;$B$3,'Avaliação Semanal'!$A$5:$A$504,"&lt;="&amp;$D$3),2)))</f>
        <v/>
      </c>
      <c r="E26" s="8">
        <f>IF($A26="","",IF(COUNTIFS('Avaliação Semanal'!$B$5:$B$504,$A26,'Avaliação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Semanal'!$B$5:$B$504,$A26,'Avaliação Semanal'!$C$5:$C$504,"Líder Técnico",'Avaliação Semanal'!$A$5:$A$504,"&gt;="&amp;$B$3,'Avaliação Semanal'!$A$5:$A$504,"&lt;="&amp;$D$3),2)))</f>
        <v/>
      </c>
      <c r="F26" s="8">
        <f>IF($A26="","",IF(COUNTIFS('Avaliação Semanal'!$B$5:$B$504,$A26,'Avaliação Semanal'!$A$5:$A$504,"&gt;="&amp;$B$3,'Avaliação Semanal'!$A$5:$A$504,"&lt;="&amp;$D$3,'Avaliação Semanal'!$E$5:$E$504,"&gt;0")=0,"",ROUND(AVERAGEIFS('Avaliação Semanal'!$E$5:$E$504,'Avaliação Semanal'!$B$5:$B$504,$A26,'Avaliação Semanal'!$A$5:$A$504,"&gt;="&amp;$B$3,'Avaliação Semanal'!$A$5:$A$504,"&lt;="&amp;$D$3),2)))</f>
        <v/>
      </c>
      <c r="G26" s="8">
        <f>IF($A26="","",IF(COUNTIFS('Avaliação Semanal'!$B$5:$B$504,$A26,'Avaliação Semanal'!$A$5:$A$504,"&gt;="&amp;$B$3,'Avaliação Semanal'!$A$5:$A$504,"&lt;="&amp;$D$3,'Avaliação Semanal'!$F$5:$F$504,"&gt;0")=0,"",ROUND(AVERAGEIFS('Avaliação Semanal'!$F$5:$F$504,'Avaliação Semanal'!$B$5:$B$504,$A26,'Avaliação Semanal'!$A$5:$A$504,"&gt;="&amp;$B$3,'Avaliação Semanal'!$A$5:$A$504,"&lt;="&amp;$D$3),2)))</f>
        <v/>
      </c>
      <c r="H26" s="8">
        <f>IF($A26="","",IF(COUNTIFS('Avaliação Semanal'!$B$5:$B$504,$A26,'Avaliação Semanal'!$A$5:$A$504,"&gt;="&amp;$B$3,'Avaliação Semanal'!$A$5:$A$504,"&lt;="&amp;$D$3,'Avaliação Semanal'!$G$5:$G$504,"&gt;0")=0,"",ROUND(AVERAGEIFS('Avaliação Semanal'!$G$5:$G$504,'Avaliação Semanal'!$B$5:$B$504,$A26,'Avaliação Semanal'!$A$5:$A$504,"&gt;="&amp;$B$3,'Avaliação Semanal'!$A$5:$A$504,"&lt;="&amp;$D$3),2)))</f>
        <v/>
      </c>
      <c r="I26" s="8">
        <f>IF($A26="","",IF(COUNTIFS('Avaliação Semanal'!$B$5:$B$504,$A26,'Avaliação Semanal'!$A$5:$A$504,"&gt;="&amp;$B$3,'Avaliação Semanal'!$A$5:$A$504,"&lt;="&amp;$D$3,'Avaliação Semanal'!$H$5:$H$504,"&gt;0")=0,"",ROUND(AVERAGEIFS('Avaliação Semanal'!$H$5:$H$504,'Avaliação Semanal'!$B$5:$B$504,$A26,'Avaliação Semanal'!$A$5:$A$504,"&gt;="&amp;$B$3,'Avaliação Semanal'!$A$5:$A$504,"&lt;="&amp;$D$3),2)))</f>
        <v/>
      </c>
      <c r="J26" s="8">
        <f>IF($A26="","",IF(COUNTIFS('Avaliação Semanal'!$B$5:$B$504,$A26,'Avaliação Semanal'!$A$5:$A$504,"&gt;="&amp;$B$3,'Avaliação Semanal'!$A$5:$A$504,"&lt;="&amp;$D$3,'Avaliação Semanal'!$I$5:$I$504,"&gt;0")=0,"",ROUND(AVERAGEIFS('Avaliação Semanal'!$I$5:$I$504,'Avaliação Semanal'!$B$5:$B$504,$A26,'Avaliação Semanal'!$A$5:$A$504,"&gt;="&amp;$B$3,'Avaliação Semanal'!$A$5:$A$504,"&lt;="&amp;$D$3),2)))</f>
        <v/>
      </c>
      <c r="K26" s="9">
        <f>IF(COUNT($F26:$J26)=0,"",ROUND(AVERAGE($F26:$J26),2))</f>
        <v/>
      </c>
      <c r="L26" s="10">
        <f>IF($K26="","",IF($K26&gt;=Cadastro!$H$5,"Verde",IF($K26&gt;=Cadastro!$H$6,"Atenção","Crítico")))</f>
        <v/>
      </c>
      <c r="M26" s="7">
        <f>IF($A26="","",COUNTIFS('Avaliação Semanal'!$B$5:$B$504,$A26,'Avaliação Semanal'!$A$5:$A$504,"&gt;="&amp;$B$3,'Avaliação Semanal'!$A$5:$A$504,"&lt;="&amp;$D$3,'Avaliação Semanal'!$J$5:$J$504,"&gt;0"))</f>
        <v/>
      </c>
      <c r="N26" s="11">
        <f>IF($M26=0,"",_xlfn.MAXIFS('Avaliação Semanal'!$A$5:$A$504,'Avaliação Semanal'!$B$5:$B$504,$A26,'Avaliação Semanal'!$A$5:$A$504,"&lt;="&amp;$D$3))</f>
        <v/>
      </c>
      <c r="O26" s="7">
        <f>IF($A26="","",COUNTIFS('Ocorrências'!$B$5:$B$204,$A26,'Ocorrências'!$A$5:$A$204,"&gt;="&amp;$B$3,'Ocorrências'!$A$5:$A$204,"&lt;="&amp;$D$3))</f>
        <v/>
      </c>
      <c r="P26" s="7">
        <f>IF($A26="","",COUNTIFS('Ocorrências'!$B$5:$B$204,$A26,'Ocorrências'!$C$5:$C$204,"Ponto de atenção",'Ocorrências'!$A$5:$A$204,"&gt;="&amp;$B$3,'Ocorrências'!$A$5:$A$204,"&lt;="&amp;$D$3)+COUNTIFS('Ocorrências'!$B$5:$B$204,$A26,'Ocorrências'!$C$5:$C$204,"Crítica",'Ocorrências'!$A$5:$A$204,"&gt;="&amp;$B$3,'Ocorrências'!$A$5:$A$204,"&lt;="&amp;$D$3))</f>
        <v/>
      </c>
      <c r="Q26" s="7">
        <f>IF($A26="","",IF(COUNTIFS('Avaliação Semanal'!$B$5:$B$504,$A26,'Avaliação Semanal'!$C$5:$C$504,"GP",'Avaliação Semanal'!$A$5:$A$504,"&gt;="&amp;$B$3,'Avaliação Semanal'!$A$5:$A$504,"&lt;="&amp;$D$3)=0,"",IFERROR(INDEX('Avaliação Semanal'!$L$5:$L$504,MATCH($A26&amp;"|GP|"&amp;TEXT(_xlfn.MAXIFS('Avaliação Semanal'!$A$5:$A$504,'Avaliação Semanal'!$B$5:$B$504,$A26,'Avaliação Semanal'!$C$5:$C$504,"GP",'Avaliação Semanal'!$A$5:$A$504,"&lt;="&amp;$D$3),"00000"),'Avaliação Semanal'!$M$5:$M$504,0)),"")))</f>
        <v/>
      </c>
      <c r="R26" s="7">
        <f>IF($A26="","",IF(COUNTIFS('Avaliação Semanal'!$B$5:$B$504,$A26,'Avaliação Semanal'!$C$5:$C$504,"Líder Técnico",'Avaliação Semanal'!$A$5:$A$504,"&gt;="&amp;$B$3,'Avaliação Semanal'!$A$5:$A$504,"&lt;="&amp;$D$3)=0,"",IFERROR(INDEX('Avaliação Semanal'!$L$5:$L$504,MATCH($A26&amp;"|Líder Técnico|"&amp;TEXT(_xlfn.MAXIFS('Avaliação Semanal'!$A$5:$A$504,'Avaliação Semanal'!$B$5:$B$504,$A26,'Avaliação Semanal'!$C$5:$C$504,"Líder Técnico",'Avaliação Semanal'!$A$5:$A$504,"&lt;="&amp;$D$3),"00000"),'Avaliação Semanal'!$M$5:$M$504,0)),"")))</f>
        <v/>
      </c>
    </row>
    <row r="27" ht="30" customHeight="1">
      <c r="A27" s="7">
        <f>IF(Cadastro!$A26="","",Cadastro!$A26)</f>
        <v/>
      </c>
      <c r="B27" s="7">
        <f>IF(Cadastro!$A26="","",Cadastro!$B26)</f>
        <v/>
      </c>
      <c r="C27" s="7">
        <f>IF(Cadastro!$A26="","",Cadastro!$C26)</f>
        <v/>
      </c>
      <c r="D27" s="8">
        <f>IF($A27="","",IF(COUNTIFS('Avaliação Semanal'!$B$5:$B$504,$A27,'Avaliação Semanal'!$C$5:$C$504,"GP",'Avaliação Semanal'!$A$5:$A$504,"&gt;="&amp;$B$3,'Avaliação Semanal'!$A$5:$A$504,"&lt;="&amp;$D$3,'Avaliação Semanal'!$J$5:$J$504,"&gt;0")=0,"",ROUND(AVERAGEIFS('Avaliação Semanal'!$J$5:$J$504,'Avaliação Semanal'!$B$5:$B$504,$A27,'Avaliação Semanal'!$C$5:$C$504,"GP",'Avaliação Semanal'!$A$5:$A$504,"&gt;="&amp;$B$3,'Avaliação Semanal'!$A$5:$A$504,"&lt;="&amp;$D$3),2)))</f>
        <v/>
      </c>
      <c r="E27" s="8">
        <f>IF($A27="","",IF(COUNTIFS('Avaliação Semanal'!$B$5:$B$504,$A27,'Avaliação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Semanal'!$B$5:$B$504,$A27,'Avaliação Semanal'!$C$5:$C$504,"Líder Técnico",'Avaliação Semanal'!$A$5:$A$504,"&gt;="&amp;$B$3,'Avaliação Semanal'!$A$5:$A$504,"&lt;="&amp;$D$3),2)))</f>
        <v/>
      </c>
      <c r="F27" s="8">
        <f>IF($A27="","",IF(COUNTIFS('Avaliação Semanal'!$B$5:$B$504,$A27,'Avaliação Semanal'!$A$5:$A$504,"&gt;="&amp;$B$3,'Avaliação Semanal'!$A$5:$A$504,"&lt;="&amp;$D$3,'Avaliação Semanal'!$E$5:$E$504,"&gt;0")=0,"",ROUND(AVERAGEIFS('Avaliação Semanal'!$E$5:$E$504,'Avaliação Semanal'!$B$5:$B$504,$A27,'Avaliação Semanal'!$A$5:$A$504,"&gt;="&amp;$B$3,'Avaliação Semanal'!$A$5:$A$504,"&lt;="&amp;$D$3),2)))</f>
        <v/>
      </c>
      <c r="G27" s="8">
        <f>IF($A27="","",IF(COUNTIFS('Avaliação Semanal'!$B$5:$B$504,$A27,'Avaliação Semanal'!$A$5:$A$504,"&gt;="&amp;$B$3,'Avaliação Semanal'!$A$5:$A$504,"&lt;="&amp;$D$3,'Avaliação Semanal'!$F$5:$F$504,"&gt;0")=0,"",ROUND(AVERAGEIFS('Avaliação Semanal'!$F$5:$F$504,'Avaliação Semanal'!$B$5:$B$504,$A27,'Avaliação Semanal'!$A$5:$A$504,"&gt;="&amp;$B$3,'Avaliação Semanal'!$A$5:$A$504,"&lt;="&amp;$D$3),2)))</f>
        <v/>
      </c>
      <c r="H27" s="8">
        <f>IF($A27="","",IF(COUNTIFS('Avaliação Semanal'!$B$5:$B$504,$A27,'Avaliação Semanal'!$A$5:$A$504,"&gt;="&amp;$B$3,'Avaliação Semanal'!$A$5:$A$504,"&lt;="&amp;$D$3,'Avaliação Semanal'!$G$5:$G$504,"&gt;0")=0,"",ROUND(AVERAGEIFS('Avaliação Semanal'!$G$5:$G$504,'Avaliação Semanal'!$B$5:$B$504,$A27,'Avaliação Semanal'!$A$5:$A$504,"&gt;="&amp;$B$3,'Avaliação Semanal'!$A$5:$A$504,"&lt;="&amp;$D$3),2)))</f>
        <v/>
      </c>
      <c r="I27" s="8">
        <f>IF($A27="","",IF(COUNTIFS('Avaliação Semanal'!$B$5:$B$504,$A27,'Avaliação Semanal'!$A$5:$A$504,"&gt;="&amp;$B$3,'Avaliação Semanal'!$A$5:$A$504,"&lt;="&amp;$D$3,'Avaliação Semanal'!$H$5:$H$504,"&gt;0")=0,"",ROUND(AVERAGEIFS('Avaliação Semanal'!$H$5:$H$504,'Avaliação Semanal'!$B$5:$B$504,$A27,'Avaliação Semanal'!$A$5:$A$504,"&gt;="&amp;$B$3,'Avaliação Semanal'!$A$5:$A$504,"&lt;="&amp;$D$3),2)))</f>
        <v/>
      </c>
      <c r="J27" s="8">
        <f>IF($A27="","",IF(COUNTIFS('Avaliação Semanal'!$B$5:$B$504,$A27,'Avaliação Semanal'!$A$5:$A$504,"&gt;="&amp;$B$3,'Avaliação Semanal'!$A$5:$A$504,"&lt;="&amp;$D$3,'Avaliação Semanal'!$I$5:$I$504,"&gt;0")=0,"",ROUND(AVERAGEIFS('Avaliação Semanal'!$I$5:$I$504,'Avaliação Semanal'!$B$5:$B$504,$A27,'Avaliação Semanal'!$A$5:$A$504,"&gt;="&amp;$B$3,'Avaliação Semanal'!$A$5:$A$504,"&lt;="&amp;$D$3),2)))</f>
        <v/>
      </c>
      <c r="K27" s="9">
        <f>IF(COUNT($F27:$J27)=0,"",ROUND(AVERAGE($F27:$J27),2))</f>
        <v/>
      </c>
      <c r="L27" s="10">
        <f>IF($K27="","",IF($K27&gt;=Cadastro!$H$5,"Verde",IF($K27&gt;=Cadastro!$H$6,"Atenção","Crítico")))</f>
        <v/>
      </c>
      <c r="M27" s="7">
        <f>IF($A27="","",COUNTIFS('Avaliação Semanal'!$B$5:$B$504,$A27,'Avaliação Semanal'!$A$5:$A$504,"&gt;="&amp;$B$3,'Avaliação Semanal'!$A$5:$A$504,"&lt;="&amp;$D$3,'Avaliação Semanal'!$J$5:$J$504,"&gt;0"))</f>
        <v/>
      </c>
      <c r="N27" s="11">
        <f>IF($M27=0,"",_xlfn.MAXIFS('Avaliação Semanal'!$A$5:$A$504,'Avaliação Semanal'!$B$5:$B$504,$A27,'Avaliação Semanal'!$A$5:$A$504,"&lt;="&amp;$D$3))</f>
        <v/>
      </c>
      <c r="O27" s="7">
        <f>IF($A27="","",COUNTIFS('Ocorrências'!$B$5:$B$204,$A27,'Ocorrências'!$A$5:$A$204,"&gt;="&amp;$B$3,'Ocorrências'!$A$5:$A$204,"&lt;="&amp;$D$3))</f>
        <v/>
      </c>
      <c r="P27" s="7">
        <f>IF($A27="","",COUNTIFS('Ocorrências'!$B$5:$B$204,$A27,'Ocorrências'!$C$5:$C$204,"Ponto de atenção",'Ocorrências'!$A$5:$A$204,"&gt;="&amp;$B$3,'Ocorrências'!$A$5:$A$204,"&lt;="&amp;$D$3)+COUNTIFS('Ocorrências'!$B$5:$B$204,$A27,'Ocorrências'!$C$5:$C$204,"Crítica",'Ocorrências'!$A$5:$A$204,"&gt;="&amp;$B$3,'Ocorrências'!$A$5:$A$204,"&lt;="&amp;$D$3))</f>
        <v/>
      </c>
      <c r="Q27" s="7">
        <f>IF($A27="","",IF(COUNTIFS('Avaliação Semanal'!$B$5:$B$504,$A27,'Avaliação Semanal'!$C$5:$C$504,"GP",'Avaliação Semanal'!$A$5:$A$504,"&gt;="&amp;$B$3,'Avaliação Semanal'!$A$5:$A$504,"&lt;="&amp;$D$3)=0,"",IFERROR(INDEX('Avaliação Semanal'!$L$5:$L$504,MATCH($A27&amp;"|GP|"&amp;TEXT(_xlfn.MAXIFS('Avaliação Semanal'!$A$5:$A$504,'Avaliação Semanal'!$B$5:$B$504,$A27,'Avaliação Semanal'!$C$5:$C$504,"GP",'Avaliação Semanal'!$A$5:$A$504,"&lt;="&amp;$D$3),"00000"),'Avaliação Semanal'!$M$5:$M$504,0)),"")))</f>
        <v/>
      </c>
      <c r="R27" s="7">
        <f>IF($A27="","",IF(COUNTIFS('Avaliação Semanal'!$B$5:$B$504,$A27,'Avaliação Semanal'!$C$5:$C$504,"Líder Técnico",'Avaliação Semanal'!$A$5:$A$504,"&gt;="&amp;$B$3,'Avaliação Semanal'!$A$5:$A$504,"&lt;="&amp;$D$3)=0,"",IFERROR(INDEX('Avaliação Semanal'!$L$5:$L$504,MATCH($A27&amp;"|Líder Técnico|"&amp;TEXT(_xlfn.MAXIFS('Avaliação Semanal'!$A$5:$A$504,'Avaliação Semanal'!$B$5:$B$504,$A27,'Avaliação Semanal'!$C$5:$C$504,"Líder Técnico",'Avaliação Semanal'!$A$5:$A$504,"&lt;="&amp;$D$3),"00000"),'Avaliação Semanal'!$M$5:$M$504,0)),"")))</f>
        <v/>
      </c>
    </row>
    <row r="28" ht="30" customHeight="1">
      <c r="A28" s="7">
        <f>IF(Cadastro!$A27="","",Cadastro!$A27)</f>
        <v/>
      </c>
      <c r="B28" s="7">
        <f>IF(Cadastro!$A27="","",Cadastro!$B27)</f>
        <v/>
      </c>
      <c r="C28" s="7">
        <f>IF(Cadastro!$A27="","",Cadastro!$C27)</f>
        <v/>
      </c>
      <c r="D28" s="8">
        <f>IF($A28="","",IF(COUNTIFS('Avaliação Semanal'!$B$5:$B$504,$A28,'Avaliação Semanal'!$C$5:$C$504,"GP",'Avaliação Semanal'!$A$5:$A$504,"&gt;="&amp;$B$3,'Avaliação Semanal'!$A$5:$A$504,"&lt;="&amp;$D$3,'Avaliação Semanal'!$J$5:$J$504,"&gt;0")=0,"",ROUND(AVERAGEIFS('Avaliação Semanal'!$J$5:$J$504,'Avaliação Semanal'!$B$5:$B$504,$A28,'Avaliação Semanal'!$C$5:$C$504,"GP",'Avaliação Semanal'!$A$5:$A$504,"&gt;="&amp;$B$3,'Avaliação Semanal'!$A$5:$A$504,"&lt;="&amp;$D$3),2)))</f>
        <v/>
      </c>
      <c r="E28" s="8">
        <f>IF($A28="","",IF(COUNTIFS('Avaliação Semanal'!$B$5:$B$504,$A28,'Avaliação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Semanal'!$B$5:$B$504,$A28,'Avaliação Semanal'!$C$5:$C$504,"Líder Técnico",'Avaliação Semanal'!$A$5:$A$504,"&gt;="&amp;$B$3,'Avaliação Semanal'!$A$5:$A$504,"&lt;="&amp;$D$3),2)))</f>
        <v/>
      </c>
      <c r="F28" s="8">
        <f>IF($A28="","",IF(COUNTIFS('Avaliação Semanal'!$B$5:$B$504,$A28,'Avaliação Semanal'!$A$5:$A$504,"&gt;="&amp;$B$3,'Avaliação Semanal'!$A$5:$A$504,"&lt;="&amp;$D$3,'Avaliação Semanal'!$E$5:$E$504,"&gt;0")=0,"",ROUND(AVERAGEIFS('Avaliação Semanal'!$E$5:$E$504,'Avaliação Semanal'!$B$5:$B$504,$A28,'Avaliação Semanal'!$A$5:$A$504,"&gt;="&amp;$B$3,'Avaliação Semanal'!$A$5:$A$504,"&lt;="&amp;$D$3),2)))</f>
        <v/>
      </c>
      <c r="G28" s="8">
        <f>IF($A28="","",IF(COUNTIFS('Avaliação Semanal'!$B$5:$B$504,$A28,'Avaliação Semanal'!$A$5:$A$504,"&gt;="&amp;$B$3,'Avaliação Semanal'!$A$5:$A$504,"&lt;="&amp;$D$3,'Avaliação Semanal'!$F$5:$F$504,"&gt;0")=0,"",ROUND(AVERAGEIFS('Avaliação Semanal'!$F$5:$F$504,'Avaliação Semanal'!$B$5:$B$504,$A28,'Avaliação Semanal'!$A$5:$A$504,"&gt;="&amp;$B$3,'Avaliação Semanal'!$A$5:$A$504,"&lt;="&amp;$D$3),2)))</f>
        <v/>
      </c>
      <c r="H28" s="8">
        <f>IF($A28="","",IF(COUNTIFS('Avaliação Semanal'!$B$5:$B$504,$A28,'Avaliação Semanal'!$A$5:$A$504,"&gt;="&amp;$B$3,'Avaliação Semanal'!$A$5:$A$504,"&lt;="&amp;$D$3,'Avaliação Semanal'!$G$5:$G$504,"&gt;0")=0,"",ROUND(AVERAGEIFS('Avaliação Semanal'!$G$5:$G$504,'Avaliação Semanal'!$B$5:$B$504,$A28,'Avaliação Semanal'!$A$5:$A$504,"&gt;="&amp;$B$3,'Avaliação Semanal'!$A$5:$A$504,"&lt;="&amp;$D$3),2)))</f>
        <v/>
      </c>
      <c r="I28" s="8">
        <f>IF($A28="","",IF(COUNTIFS('Avaliação Semanal'!$B$5:$B$504,$A28,'Avaliação Semanal'!$A$5:$A$504,"&gt;="&amp;$B$3,'Avaliação Semanal'!$A$5:$A$504,"&lt;="&amp;$D$3,'Avaliação Semanal'!$H$5:$H$504,"&gt;0")=0,"",ROUND(AVERAGEIFS('Avaliação Semanal'!$H$5:$H$504,'Avaliação Semanal'!$B$5:$B$504,$A28,'Avaliação Semanal'!$A$5:$A$504,"&gt;="&amp;$B$3,'Avaliação Semanal'!$A$5:$A$504,"&lt;="&amp;$D$3),2)))</f>
        <v/>
      </c>
      <c r="J28" s="8">
        <f>IF($A28="","",IF(COUNTIFS('Avaliação Semanal'!$B$5:$B$504,$A28,'Avaliação Semanal'!$A$5:$A$504,"&gt;="&amp;$B$3,'Avaliação Semanal'!$A$5:$A$504,"&lt;="&amp;$D$3,'Avaliação Semanal'!$I$5:$I$504,"&gt;0")=0,"",ROUND(AVERAGEIFS('Avaliação Semanal'!$I$5:$I$504,'Avaliação Semanal'!$B$5:$B$504,$A28,'Avaliação Semanal'!$A$5:$A$504,"&gt;="&amp;$B$3,'Avaliação Semanal'!$A$5:$A$504,"&lt;="&amp;$D$3),2)))</f>
        <v/>
      </c>
      <c r="K28" s="9">
        <f>IF(COUNT($F28:$J28)=0,"",ROUND(AVERAGE($F28:$J28),2))</f>
        <v/>
      </c>
      <c r="L28" s="10">
        <f>IF($K28="","",IF($K28&gt;=Cadastro!$H$5,"Verde",IF($K28&gt;=Cadastro!$H$6,"Atenção","Crítico")))</f>
        <v/>
      </c>
      <c r="M28" s="7">
        <f>IF($A28="","",COUNTIFS('Avaliação Semanal'!$B$5:$B$504,$A28,'Avaliação Semanal'!$A$5:$A$504,"&gt;="&amp;$B$3,'Avaliação Semanal'!$A$5:$A$504,"&lt;="&amp;$D$3,'Avaliação Semanal'!$J$5:$J$504,"&gt;0"))</f>
        <v/>
      </c>
      <c r="N28" s="11">
        <f>IF($M28=0,"",_xlfn.MAXIFS('Avaliação Semanal'!$A$5:$A$504,'Avaliação Semanal'!$B$5:$B$504,$A28,'Avaliação Semanal'!$A$5:$A$504,"&lt;="&amp;$D$3))</f>
        <v/>
      </c>
      <c r="O28" s="7">
        <f>IF($A28="","",COUNTIFS('Ocorrências'!$B$5:$B$204,$A28,'Ocorrências'!$A$5:$A$204,"&gt;="&amp;$B$3,'Ocorrências'!$A$5:$A$204,"&lt;="&amp;$D$3))</f>
        <v/>
      </c>
      <c r="P28" s="7">
        <f>IF($A28="","",COUNTIFS('Ocorrências'!$B$5:$B$204,$A28,'Ocorrências'!$C$5:$C$204,"Ponto de atenção",'Ocorrências'!$A$5:$A$204,"&gt;="&amp;$B$3,'Ocorrências'!$A$5:$A$204,"&lt;="&amp;$D$3)+COUNTIFS('Ocorrências'!$B$5:$B$204,$A28,'Ocorrências'!$C$5:$C$204,"Crítica",'Ocorrências'!$A$5:$A$204,"&gt;="&amp;$B$3,'Ocorrências'!$A$5:$A$204,"&lt;="&amp;$D$3))</f>
        <v/>
      </c>
      <c r="Q28" s="7">
        <f>IF($A28="","",IF(COUNTIFS('Avaliação Semanal'!$B$5:$B$504,$A28,'Avaliação Semanal'!$C$5:$C$504,"GP",'Avaliação Semanal'!$A$5:$A$504,"&gt;="&amp;$B$3,'Avaliação Semanal'!$A$5:$A$504,"&lt;="&amp;$D$3)=0,"",IFERROR(INDEX('Avaliação Semanal'!$L$5:$L$504,MATCH($A28&amp;"|GP|"&amp;TEXT(_xlfn.MAXIFS('Avaliação Semanal'!$A$5:$A$504,'Avaliação Semanal'!$B$5:$B$504,$A28,'Avaliação Semanal'!$C$5:$C$504,"GP",'Avaliação Semanal'!$A$5:$A$504,"&lt;="&amp;$D$3),"00000"),'Avaliação Semanal'!$M$5:$M$504,0)),"")))</f>
        <v/>
      </c>
      <c r="R28" s="7">
        <f>IF($A28="","",IF(COUNTIFS('Avaliação Semanal'!$B$5:$B$504,$A28,'Avaliação Semanal'!$C$5:$C$504,"Líder Técnico",'Avaliação Semanal'!$A$5:$A$504,"&gt;="&amp;$B$3,'Avaliação Semanal'!$A$5:$A$504,"&lt;="&amp;$D$3)=0,"",IFERROR(INDEX('Avaliação Semanal'!$L$5:$L$504,MATCH($A28&amp;"|Líder Técnico|"&amp;TEXT(_xlfn.MAXIFS('Avaliação Semanal'!$A$5:$A$504,'Avaliação Semanal'!$B$5:$B$504,$A28,'Avaliação Semanal'!$C$5:$C$504,"Líder Técnico",'Avaliação Semanal'!$A$5:$A$504,"&lt;="&amp;$D$3),"00000"),'Avaliação Semanal'!$M$5:$M$504,0)),"")))</f>
        <v/>
      </c>
    </row>
    <row r="29" ht="30" customHeight="1">
      <c r="A29" s="7">
        <f>IF(Cadastro!$A28="","",Cadastro!$A28)</f>
        <v/>
      </c>
      <c r="B29" s="7">
        <f>IF(Cadastro!$A28="","",Cadastro!$B28)</f>
        <v/>
      </c>
      <c r="C29" s="7">
        <f>IF(Cadastro!$A28="","",Cadastro!$C28)</f>
        <v/>
      </c>
      <c r="D29" s="8">
        <f>IF($A29="","",IF(COUNTIFS('Avaliação Semanal'!$B$5:$B$504,$A29,'Avaliação Semanal'!$C$5:$C$504,"GP",'Avaliação Semanal'!$A$5:$A$504,"&gt;="&amp;$B$3,'Avaliação Semanal'!$A$5:$A$504,"&lt;="&amp;$D$3,'Avaliação Semanal'!$J$5:$J$504,"&gt;0")=0,"",ROUND(AVERAGEIFS('Avaliação Semanal'!$J$5:$J$504,'Avaliação Semanal'!$B$5:$B$504,$A29,'Avaliação Semanal'!$C$5:$C$504,"GP",'Avaliação Semanal'!$A$5:$A$504,"&gt;="&amp;$B$3,'Avaliação Semanal'!$A$5:$A$504,"&lt;="&amp;$D$3),2)))</f>
        <v/>
      </c>
      <c r="E29" s="8">
        <f>IF($A29="","",IF(COUNTIFS('Avaliação Semanal'!$B$5:$B$504,$A29,'Avaliação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Semanal'!$B$5:$B$504,$A29,'Avaliação Semanal'!$C$5:$C$504,"Líder Técnico",'Avaliação Semanal'!$A$5:$A$504,"&gt;="&amp;$B$3,'Avaliação Semanal'!$A$5:$A$504,"&lt;="&amp;$D$3),2)))</f>
        <v/>
      </c>
      <c r="F29" s="8">
        <f>IF($A29="","",IF(COUNTIFS('Avaliação Semanal'!$B$5:$B$504,$A29,'Avaliação Semanal'!$A$5:$A$504,"&gt;="&amp;$B$3,'Avaliação Semanal'!$A$5:$A$504,"&lt;="&amp;$D$3,'Avaliação Semanal'!$E$5:$E$504,"&gt;0")=0,"",ROUND(AVERAGEIFS('Avaliação Semanal'!$E$5:$E$504,'Avaliação Semanal'!$B$5:$B$504,$A29,'Avaliação Semanal'!$A$5:$A$504,"&gt;="&amp;$B$3,'Avaliação Semanal'!$A$5:$A$504,"&lt;="&amp;$D$3),2)))</f>
        <v/>
      </c>
      <c r="G29" s="8">
        <f>IF($A29="","",IF(COUNTIFS('Avaliação Semanal'!$B$5:$B$504,$A29,'Avaliação Semanal'!$A$5:$A$504,"&gt;="&amp;$B$3,'Avaliação Semanal'!$A$5:$A$504,"&lt;="&amp;$D$3,'Avaliação Semanal'!$F$5:$F$504,"&gt;0")=0,"",ROUND(AVERAGEIFS('Avaliação Semanal'!$F$5:$F$504,'Avaliação Semanal'!$B$5:$B$504,$A29,'Avaliação Semanal'!$A$5:$A$504,"&gt;="&amp;$B$3,'Avaliação Semanal'!$A$5:$A$504,"&lt;="&amp;$D$3),2)))</f>
        <v/>
      </c>
      <c r="H29" s="8">
        <f>IF($A29="","",IF(COUNTIFS('Avaliação Semanal'!$B$5:$B$504,$A29,'Avaliação Semanal'!$A$5:$A$504,"&gt;="&amp;$B$3,'Avaliação Semanal'!$A$5:$A$504,"&lt;="&amp;$D$3,'Avaliação Semanal'!$G$5:$G$504,"&gt;0")=0,"",ROUND(AVERAGEIFS('Avaliação Semanal'!$G$5:$G$504,'Avaliação Semanal'!$B$5:$B$504,$A29,'Avaliação Semanal'!$A$5:$A$504,"&gt;="&amp;$B$3,'Avaliação Semanal'!$A$5:$A$504,"&lt;="&amp;$D$3),2)))</f>
        <v/>
      </c>
      <c r="I29" s="8">
        <f>IF($A29="","",IF(COUNTIFS('Avaliação Semanal'!$B$5:$B$504,$A29,'Avaliação Semanal'!$A$5:$A$504,"&gt;="&amp;$B$3,'Avaliação Semanal'!$A$5:$A$504,"&lt;="&amp;$D$3,'Avaliação Semanal'!$H$5:$H$504,"&gt;0")=0,"",ROUND(AVERAGEIFS('Avaliação Semanal'!$H$5:$H$504,'Avaliação Semanal'!$B$5:$B$504,$A29,'Avaliação Semanal'!$A$5:$A$504,"&gt;="&amp;$B$3,'Avaliação Semanal'!$A$5:$A$504,"&lt;="&amp;$D$3),2)))</f>
        <v/>
      </c>
      <c r="J29" s="8">
        <f>IF($A29="","",IF(COUNTIFS('Avaliação Semanal'!$B$5:$B$504,$A29,'Avaliação Semanal'!$A$5:$A$504,"&gt;="&amp;$B$3,'Avaliação Semanal'!$A$5:$A$504,"&lt;="&amp;$D$3,'Avaliação Semanal'!$I$5:$I$504,"&gt;0")=0,"",ROUND(AVERAGEIFS('Avaliação Semanal'!$I$5:$I$504,'Avaliação Semanal'!$B$5:$B$504,$A29,'Avaliação Semanal'!$A$5:$A$504,"&gt;="&amp;$B$3,'Avaliação Semanal'!$A$5:$A$504,"&lt;="&amp;$D$3),2)))</f>
        <v/>
      </c>
      <c r="K29" s="9">
        <f>IF(COUNT($F29:$J29)=0,"",ROUND(AVERAGE($F29:$J29),2))</f>
        <v/>
      </c>
      <c r="L29" s="10">
        <f>IF($K29="","",IF($K29&gt;=Cadastro!$H$5,"Verde",IF($K29&gt;=Cadastro!$H$6,"Atenção","Crítico")))</f>
        <v/>
      </c>
      <c r="M29" s="7">
        <f>IF($A29="","",COUNTIFS('Avaliação Semanal'!$B$5:$B$504,$A29,'Avaliação Semanal'!$A$5:$A$504,"&gt;="&amp;$B$3,'Avaliação Semanal'!$A$5:$A$504,"&lt;="&amp;$D$3,'Avaliação Semanal'!$J$5:$J$504,"&gt;0"))</f>
        <v/>
      </c>
      <c r="N29" s="11">
        <f>IF($M29=0,"",_xlfn.MAXIFS('Avaliação Semanal'!$A$5:$A$504,'Avaliação Semanal'!$B$5:$B$504,$A29,'Avaliação Semanal'!$A$5:$A$504,"&lt;="&amp;$D$3))</f>
        <v/>
      </c>
      <c r="O29" s="7">
        <f>IF($A29="","",COUNTIFS('Ocorrências'!$B$5:$B$204,$A29,'Ocorrências'!$A$5:$A$204,"&gt;="&amp;$B$3,'Ocorrências'!$A$5:$A$204,"&lt;="&amp;$D$3))</f>
        <v/>
      </c>
      <c r="P29" s="7">
        <f>IF($A29="","",COUNTIFS('Ocorrências'!$B$5:$B$204,$A29,'Ocorrências'!$C$5:$C$204,"Ponto de atenção",'Ocorrências'!$A$5:$A$204,"&gt;="&amp;$B$3,'Ocorrências'!$A$5:$A$204,"&lt;="&amp;$D$3)+COUNTIFS('Ocorrências'!$B$5:$B$204,$A29,'Ocorrências'!$C$5:$C$204,"Crítica",'Ocorrências'!$A$5:$A$204,"&gt;="&amp;$B$3,'Ocorrências'!$A$5:$A$204,"&lt;="&amp;$D$3))</f>
        <v/>
      </c>
      <c r="Q29" s="7">
        <f>IF($A29="","",IF(COUNTIFS('Avaliação Semanal'!$B$5:$B$504,$A29,'Avaliação Semanal'!$C$5:$C$504,"GP",'Avaliação Semanal'!$A$5:$A$504,"&gt;="&amp;$B$3,'Avaliação Semanal'!$A$5:$A$504,"&lt;="&amp;$D$3)=0,"",IFERROR(INDEX('Avaliação Semanal'!$L$5:$L$504,MATCH($A29&amp;"|GP|"&amp;TEXT(_xlfn.MAXIFS('Avaliação Semanal'!$A$5:$A$504,'Avaliação Semanal'!$B$5:$B$504,$A29,'Avaliação Semanal'!$C$5:$C$504,"GP",'Avaliação Semanal'!$A$5:$A$504,"&lt;="&amp;$D$3),"00000"),'Avaliação Semanal'!$M$5:$M$504,0)),"")))</f>
        <v/>
      </c>
      <c r="R29" s="7">
        <f>IF($A29="","",IF(COUNTIFS('Avaliação Semanal'!$B$5:$B$504,$A29,'Avaliação Semanal'!$C$5:$C$504,"Líder Técnico",'Avaliação Semanal'!$A$5:$A$504,"&gt;="&amp;$B$3,'Avaliação Semanal'!$A$5:$A$504,"&lt;="&amp;$D$3)=0,"",IFERROR(INDEX('Avaliação Semanal'!$L$5:$L$504,MATCH($A29&amp;"|Líder Técnico|"&amp;TEXT(_xlfn.MAXIFS('Avaliação Semanal'!$A$5:$A$504,'Avaliação Semanal'!$B$5:$B$504,$A29,'Avaliação Semanal'!$C$5:$C$504,"Líder Técnico",'Avaliação Semanal'!$A$5:$A$504,"&lt;="&amp;$D$3),"00000"),'Avaliação Semanal'!$M$5:$M$504,0)),"")))</f>
        <v/>
      </c>
    </row>
    <row r="30" ht="30" customHeight="1">
      <c r="A30" s="7">
        <f>IF(Cadastro!$A29="","",Cadastro!$A29)</f>
        <v/>
      </c>
      <c r="B30" s="7">
        <f>IF(Cadastro!$A29="","",Cadastro!$B29)</f>
        <v/>
      </c>
      <c r="C30" s="7">
        <f>IF(Cadastro!$A29="","",Cadastro!$C29)</f>
        <v/>
      </c>
      <c r="D30" s="8">
        <f>IF($A30="","",IF(COUNTIFS('Avaliação Semanal'!$B$5:$B$504,$A30,'Avaliação Semanal'!$C$5:$C$504,"GP",'Avaliação Semanal'!$A$5:$A$504,"&gt;="&amp;$B$3,'Avaliação Semanal'!$A$5:$A$504,"&lt;="&amp;$D$3,'Avaliação Semanal'!$J$5:$J$504,"&gt;0")=0,"",ROUND(AVERAGEIFS('Avaliação Semanal'!$J$5:$J$504,'Avaliação Semanal'!$B$5:$B$504,$A30,'Avaliação Semanal'!$C$5:$C$504,"GP",'Avaliação Semanal'!$A$5:$A$504,"&gt;="&amp;$B$3,'Avaliação Semanal'!$A$5:$A$504,"&lt;="&amp;$D$3),2)))</f>
        <v/>
      </c>
      <c r="E30" s="8">
        <f>IF($A30="","",IF(COUNTIFS('Avaliação Semanal'!$B$5:$B$504,$A30,'Avaliação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Semanal'!$B$5:$B$504,$A30,'Avaliação Semanal'!$C$5:$C$504,"Líder Técnico",'Avaliação Semanal'!$A$5:$A$504,"&gt;="&amp;$B$3,'Avaliação Semanal'!$A$5:$A$504,"&lt;="&amp;$D$3),2)))</f>
        <v/>
      </c>
      <c r="F30" s="8">
        <f>IF($A30="","",IF(COUNTIFS('Avaliação Semanal'!$B$5:$B$504,$A30,'Avaliação Semanal'!$A$5:$A$504,"&gt;="&amp;$B$3,'Avaliação Semanal'!$A$5:$A$504,"&lt;="&amp;$D$3,'Avaliação Semanal'!$E$5:$E$504,"&gt;0")=0,"",ROUND(AVERAGEIFS('Avaliação Semanal'!$E$5:$E$504,'Avaliação Semanal'!$B$5:$B$504,$A30,'Avaliação Semanal'!$A$5:$A$504,"&gt;="&amp;$B$3,'Avaliação Semanal'!$A$5:$A$504,"&lt;="&amp;$D$3),2)))</f>
        <v/>
      </c>
      <c r="G30" s="8">
        <f>IF($A30="","",IF(COUNTIFS('Avaliação Semanal'!$B$5:$B$504,$A30,'Avaliação Semanal'!$A$5:$A$504,"&gt;="&amp;$B$3,'Avaliação Semanal'!$A$5:$A$504,"&lt;="&amp;$D$3,'Avaliação Semanal'!$F$5:$F$504,"&gt;0")=0,"",ROUND(AVERAGEIFS('Avaliação Semanal'!$F$5:$F$504,'Avaliação Semanal'!$B$5:$B$504,$A30,'Avaliação Semanal'!$A$5:$A$504,"&gt;="&amp;$B$3,'Avaliação Semanal'!$A$5:$A$504,"&lt;="&amp;$D$3),2)))</f>
        <v/>
      </c>
      <c r="H30" s="8">
        <f>IF($A30="","",IF(COUNTIFS('Avaliação Semanal'!$B$5:$B$504,$A30,'Avaliação Semanal'!$A$5:$A$504,"&gt;="&amp;$B$3,'Avaliação Semanal'!$A$5:$A$504,"&lt;="&amp;$D$3,'Avaliação Semanal'!$G$5:$G$504,"&gt;0")=0,"",ROUND(AVERAGEIFS('Avaliação Semanal'!$G$5:$G$504,'Avaliação Semanal'!$B$5:$B$504,$A30,'Avaliação Semanal'!$A$5:$A$504,"&gt;="&amp;$B$3,'Avaliação Semanal'!$A$5:$A$504,"&lt;="&amp;$D$3),2)))</f>
        <v/>
      </c>
      <c r="I30" s="8">
        <f>IF($A30="","",IF(COUNTIFS('Avaliação Semanal'!$B$5:$B$504,$A30,'Avaliação Semanal'!$A$5:$A$504,"&gt;="&amp;$B$3,'Avaliação Semanal'!$A$5:$A$504,"&lt;="&amp;$D$3,'Avaliação Semanal'!$H$5:$H$504,"&gt;0")=0,"",ROUND(AVERAGEIFS('Avaliação Semanal'!$H$5:$H$504,'Avaliação Semanal'!$B$5:$B$504,$A30,'Avaliação Semanal'!$A$5:$A$504,"&gt;="&amp;$B$3,'Avaliação Semanal'!$A$5:$A$504,"&lt;="&amp;$D$3),2)))</f>
        <v/>
      </c>
      <c r="J30" s="8">
        <f>IF($A30="","",IF(COUNTIFS('Avaliação Semanal'!$B$5:$B$504,$A30,'Avaliação Semanal'!$A$5:$A$504,"&gt;="&amp;$B$3,'Avaliação Semanal'!$A$5:$A$504,"&lt;="&amp;$D$3,'Avaliação Semanal'!$I$5:$I$504,"&gt;0")=0,"",ROUND(AVERAGEIFS('Avaliação Semanal'!$I$5:$I$504,'Avaliação Semanal'!$B$5:$B$504,$A30,'Avaliação Semanal'!$A$5:$A$504,"&gt;="&amp;$B$3,'Avaliação Semanal'!$A$5:$A$504,"&lt;="&amp;$D$3),2)))</f>
        <v/>
      </c>
      <c r="K30" s="9">
        <f>IF(COUNT($F30:$J30)=0,"",ROUND(AVERAGE($F30:$J30),2))</f>
        <v/>
      </c>
      <c r="L30" s="10">
        <f>IF($K30="","",IF($K30&gt;=Cadastro!$H$5,"Verde",IF($K30&gt;=Cadastro!$H$6,"Atenção","Crítico")))</f>
        <v/>
      </c>
      <c r="M30" s="7">
        <f>IF($A30="","",COUNTIFS('Avaliação Semanal'!$B$5:$B$504,$A30,'Avaliação Semanal'!$A$5:$A$504,"&gt;="&amp;$B$3,'Avaliação Semanal'!$A$5:$A$504,"&lt;="&amp;$D$3,'Avaliação Semanal'!$J$5:$J$504,"&gt;0"))</f>
        <v/>
      </c>
      <c r="N30" s="11">
        <f>IF($M30=0,"",_xlfn.MAXIFS('Avaliação Semanal'!$A$5:$A$504,'Avaliação Semanal'!$B$5:$B$504,$A30,'Avaliação Semanal'!$A$5:$A$504,"&lt;="&amp;$D$3))</f>
        <v/>
      </c>
      <c r="O30" s="7">
        <f>IF($A30="","",COUNTIFS('Ocorrências'!$B$5:$B$204,$A30,'Ocorrências'!$A$5:$A$204,"&gt;="&amp;$B$3,'Ocorrências'!$A$5:$A$204,"&lt;="&amp;$D$3))</f>
        <v/>
      </c>
      <c r="P30" s="7">
        <f>IF($A30="","",COUNTIFS('Ocorrências'!$B$5:$B$204,$A30,'Ocorrências'!$C$5:$C$204,"Ponto de atenção",'Ocorrências'!$A$5:$A$204,"&gt;="&amp;$B$3,'Ocorrências'!$A$5:$A$204,"&lt;="&amp;$D$3)+COUNTIFS('Ocorrências'!$B$5:$B$204,$A30,'Ocorrências'!$C$5:$C$204,"Crítica",'Ocorrências'!$A$5:$A$204,"&gt;="&amp;$B$3,'Ocorrências'!$A$5:$A$204,"&lt;="&amp;$D$3))</f>
        <v/>
      </c>
      <c r="Q30" s="7">
        <f>IF($A30="","",IF(COUNTIFS('Avaliação Semanal'!$B$5:$B$504,$A30,'Avaliação Semanal'!$C$5:$C$504,"GP",'Avaliação Semanal'!$A$5:$A$504,"&gt;="&amp;$B$3,'Avaliação Semanal'!$A$5:$A$504,"&lt;="&amp;$D$3)=0,"",IFERROR(INDEX('Avaliação Semanal'!$L$5:$L$504,MATCH($A30&amp;"|GP|"&amp;TEXT(_xlfn.MAXIFS('Avaliação Semanal'!$A$5:$A$504,'Avaliação Semanal'!$B$5:$B$504,$A30,'Avaliação Semanal'!$C$5:$C$504,"GP",'Avaliação Semanal'!$A$5:$A$504,"&lt;="&amp;$D$3),"00000"),'Avaliação Semanal'!$M$5:$M$504,0)),"")))</f>
        <v/>
      </c>
      <c r="R30" s="7">
        <f>IF($A30="","",IF(COUNTIFS('Avaliação Semanal'!$B$5:$B$504,$A30,'Avaliação Semanal'!$C$5:$C$504,"Líder Técnico",'Avaliação Semanal'!$A$5:$A$504,"&gt;="&amp;$B$3,'Avaliação Semanal'!$A$5:$A$504,"&lt;="&amp;$D$3)=0,"",IFERROR(INDEX('Avaliação Semanal'!$L$5:$L$504,MATCH($A30&amp;"|Líder Técnico|"&amp;TEXT(_xlfn.MAXIFS('Avaliação Semanal'!$A$5:$A$504,'Avaliação Semanal'!$B$5:$B$504,$A30,'Avaliação Semanal'!$C$5:$C$504,"Líder Técnico",'Avaliação Semanal'!$A$5:$A$504,"&lt;="&amp;$D$3),"00000"),'Avaliação Semanal'!$M$5:$M$504,0)),"")))</f>
        <v/>
      </c>
    </row>
    <row r="31" ht="30" customHeight="1">
      <c r="A31" s="7">
        <f>IF(Cadastro!$A30="","",Cadastro!$A30)</f>
        <v/>
      </c>
      <c r="B31" s="7">
        <f>IF(Cadastro!$A30="","",Cadastro!$B30)</f>
        <v/>
      </c>
      <c r="C31" s="7">
        <f>IF(Cadastro!$A30="","",Cadastro!$C30)</f>
        <v/>
      </c>
      <c r="D31" s="8">
        <f>IF($A31="","",IF(COUNTIFS('Avaliação Semanal'!$B$5:$B$504,$A31,'Avaliação Semanal'!$C$5:$C$504,"GP",'Avaliação Semanal'!$A$5:$A$504,"&gt;="&amp;$B$3,'Avaliação Semanal'!$A$5:$A$504,"&lt;="&amp;$D$3,'Avaliação Semanal'!$J$5:$J$504,"&gt;0")=0,"",ROUND(AVERAGEIFS('Avaliação Semanal'!$J$5:$J$504,'Avaliação Semanal'!$B$5:$B$504,$A31,'Avaliação Semanal'!$C$5:$C$504,"GP",'Avaliação Semanal'!$A$5:$A$504,"&gt;="&amp;$B$3,'Avaliação Semanal'!$A$5:$A$504,"&lt;="&amp;$D$3),2)))</f>
        <v/>
      </c>
      <c r="E31" s="8">
        <f>IF($A31="","",IF(COUNTIFS('Avaliação Semanal'!$B$5:$B$504,$A31,'Avaliação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Semanal'!$B$5:$B$504,$A31,'Avaliação Semanal'!$C$5:$C$504,"Líder Técnico",'Avaliação Semanal'!$A$5:$A$504,"&gt;="&amp;$B$3,'Avaliação Semanal'!$A$5:$A$504,"&lt;="&amp;$D$3),2)))</f>
        <v/>
      </c>
      <c r="F31" s="8">
        <f>IF($A31="","",IF(COUNTIFS('Avaliação Semanal'!$B$5:$B$504,$A31,'Avaliação Semanal'!$A$5:$A$504,"&gt;="&amp;$B$3,'Avaliação Semanal'!$A$5:$A$504,"&lt;="&amp;$D$3,'Avaliação Semanal'!$E$5:$E$504,"&gt;0")=0,"",ROUND(AVERAGEIFS('Avaliação Semanal'!$E$5:$E$504,'Avaliação Semanal'!$B$5:$B$504,$A31,'Avaliação Semanal'!$A$5:$A$504,"&gt;="&amp;$B$3,'Avaliação Semanal'!$A$5:$A$504,"&lt;="&amp;$D$3),2)))</f>
        <v/>
      </c>
      <c r="G31" s="8">
        <f>IF($A31="","",IF(COUNTIFS('Avaliação Semanal'!$B$5:$B$504,$A31,'Avaliação Semanal'!$A$5:$A$504,"&gt;="&amp;$B$3,'Avaliação Semanal'!$A$5:$A$504,"&lt;="&amp;$D$3,'Avaliação Semanal'!$F$5:$F$504,"&gt;0")=0,"",ROUND(AVERAGEIFS('Avaliação Semanal'!$F$5:$F$504,'Avaliação Semanal'!$B$5:$B$504,$A31,'Avaliação Semanal'!$A$5:$A$504,"&gt;="&amp;$B$3,'Avaliação Semanal'!$A$5:$A$504,"&lt;="&amp;$D$3),2)))</f>
        <v/>
      </c>
      <c r="H31" s="8">
        <f>IF($A31="","",IF(COUNTIFS('Avaliação Semanal'!$B$5:$B$504,$A31,'Avaliação Semanal'!$A$5:$A$504,"&gt;="&amp;$B$3,'Avaliação Semanal'!$A$5:$A$504,"&lt;="&amp;$D$3,'Avaliação Semanal'!$G$5:$G$504,"&gt;0")=0,"",ROUND(AVERAGEIFS('Avaliação Semanal'!$G$5:$G$504,'Avaliação Semanal'!$B$5:$B$504,$A31,'Avaliação Semanal'!$A$5:$A$504,"&gt;="&amp;$B$3,'Avaliação Semanal'!$A$5:$A$504,"&lt;="&amp;$D$3),2)))</f>
        <v/>
      </c>
      <c r="I31" s="8">
        <f>IF($A31="","",IF(COUNTIFS('Avaliação Semanal'!$B$5:$B$504,$A31,'Avaliação Semanal'!$A$5:$A$504,"&gt;="&amp;$B$3,'Avaliação Semanal'!$A$5:$A$504,"&lt;="&amp;$D$3,'Avaliação Semanal'!$H$5:$H$504,"&gt;0")=0,"",ROUND(AVERAGEIFS('Avaliação Semanal'!$H$5:$H$504,'Avaliação Semanal'!$B$5:$B$504,$A31,'Avaliação Semanal'!$A$5:$A$504,"&gt;="&amp;$B$3,'Avaliação Semanal'!$A$5:$A$504,"&lt;="&amp;$D$3),2)))</f>
        <v/>
      </c>
      <c r="J31" s="8">
        <f>IF($A31="","",IF(COUNTIFS('Avaliação Semanal'!$B$5:$B$504,$A31,'Avaliação Semanal'!$A$5:$A$504,"&gt;="&amp;$B$3,'Avaliação Semanal'!$A$5:$A$504,"&lt;="&amp;$D$3,'Avaliação Semanal'!$I$5:$I$504,"&gt;0")=0,"",ROUND(AVERAGEIFS('Avaliação Semanal'!$I$5:$I$504,'Avaliação Semanal'!$B$5:$B$504,$A31,'Avaliação Semanal'!$A$5:$A$504,"&gt;="&amp;$B$3,'Avaliação Semanal'!$A$5:$A$504,"&lt;="&amp;$D$3),2)))</f>
        <v/>
      </c>
      <c r="K31" s="9">
        <f>IF(COUNT($F31:$J31)=0,"",ROUND(AVERAGE($F31:$J31),2))</f>
        <v/>
      </c>
      <c r="L31" s="10">
        <f>IF($K31="","",IF($K31&gt;=Cadastro!$H$5,"Verde",IF($K31&gt;=Cadastro!$H$6,"Atenção","Crítico")))</f>
        <v/>
      </c>
      <c r="M31" s="7">
        <f>IF($A31="","",COUNTIFS('Avaliação Semanal'!$B$5:$B$504,$A31,'Avaliação Semanal'!$A$5:$A$504,"&gt;="&amp;$B$3,'Avaliação Semanal'!$A$5:$A$504,"&lt;="&amp;$D$3,'Avaliação Semanal'!$J$5:$J$504,"&gt;0"))</f>
        <v/>
      </c>
      <c r="N31" s="11">
        <f>IF($M31=0,"",_xlfn.MAXIFS('Avaliação Semanal'!$A$5:$A$504,'Avaliação Semanal'!$B$5:$B$504,$A31,'Avaliação Semanal'!$A$5:$A$504,"&lt;="&amp;$D$3))</f>
        <v/>
      </c>
      <c r="O31" s="7">
        <f>IF($A31="","",COUNTIFS('Ocorrências'!$B$5:$B$204,$A31,'Ocorrências'!$A$5:$A$204,"&gt;="&amp;$B$3,'Ocorrências'!$A$5:$A$204,"&lt;="&amp;$D$3))</f>
        <v/>
      </c>
      <c r="P31" s="7">
        <f>IF($A31="","",COUNTIFS('Ocorrências'!$B$5:$B$204,$A31,'Ocorrências'!$C$5:$C$204,"Ponto de atenção",'Ocorrências'!$A$5:$A$204,"&gt;="&amp;$B$3,'Ocorrências'!$A$5:$A$204,"&lt;="&amp;$D$3)+COUNTIFS('Ocorrências'!$B$5:$B$204,$A31,'Ocorrências'!$C$5:$C$204,"Crítica",'Ocorrências'!$A$5:$A$204,"&gt;="&amp;$B$3,'Ocorrências'!$A$5:$A$204,"&lt;="&amp;$D$3))</f>
        <v/>
      </c>
      <c r="Q31" s="7">
        <f>IF($A31="","",IF(COUNTIFS('Avaliação Semanal'!$B$5:$B$504,$A31,'Avaliação Semanal'!$C$5:$C$504,"GP",'Avaliação Semanal'!$A$5:$A$504,"&gt;="&amp;$B$3,'Avaliação Semanal'!$A$5:$A$504,"&lt;="&amp;$D$3)=0,"",IFERROR(INDEX('Avaliação Semanal'!$L$5:$L$504,MATCH($A31&amp;"|GP|"&amp;TEXT(_xlfn.MAXIFS('Avaliação Semanal'!$A$5:$A$504,'Avaliação Semanal'!$B$5:$B$504,$A31,'Avaliação Semanal'!$C$5:$C$504,"GP",'Avaliação Semanal'!$A$5:$A$504,"&lt;="&amp;$D$3),"00000"),'Avaliação Semanal'!$M$5:$M$504,0)),"")))</f>
        <v/>
      </c>
      <c r="R31" s="7">
        <f>IF($A31="","",IF(COUNTIFS('Avaliação Semanal'!$B$5:$B$504,$A31,'Avaliação Semanal'!$C$5:$C$504,"Líder Técnico",'Avaliação Semanal'!$A$5:$A$504,"&gt;="&amp;$B$3,'Avaliação Semanal'!$A$5:$A$504,"&lt;="&amp;$D$3)=0,"",IFERROR(INDEX('Avaliação Semanal'!$L$5:$L$504,MATCH($A31&amp;"|Líder Técnico|"&amp;TEXT(_xlfn.MAXIFS('Avaliação Semanal'!$A$5:$A$504,'Avaliação Semanal'!$B$5:$B$504,$A31,'Avaliação Semanal'!$C$5:$C$504,"Líder Técnico",'Avaliação Semanal'!$A$5:$A$504,"&lt;="&amp;$D$3),"00000"),'Avaliação Semanal'!$M$5:$M$504,0)),"")))</f>
        <v/>
      </c>
    </row>
    <row r="32" ht="30" customHeight="1">
      <c r="A32" s="7">
        <f>IF(Cadastro!$A31="","",Cadastro!$A31)</f>
        <v/>
      </c>
      <c r="B32" s="7">
        <f>IF(Cadastro!$A31="","",Cadastro!$B31)</f>
        <v/>
      </c>
      <c r="C32" s="7">
        <f>IF(Cadastro!$A31="","",Cadastro!$C31)</f>
        <v/>
      </c>
      <c r="D32" s="8">
        <f>IF($A32="","",IF(COUNTIFS('Avaliação Semanal'!$B$5:$B$504,$A32,'Avaliação Semanal'!$C$5:$C$504,"GP",'Avaliação Semanal'!$A$5:$A$504,"&gt;="&amp;$B$3,'Avaliação Semanal'!$A$5:$A$504,"&lt;="&amp;$D$3,'Avaliação Semanal'!$J$5:$J$504,"&gt;0")=0,"",ROUND(AVERAGEIFS('Avaliação Semanal'!$J$5:$J$504,'Avaliação Semanal'!$B$5:$B$504,$A32,'Avaliação Semanal'!$C$5:$C$504,"GP",'Avaliação Semanal'!$A$5:$A$504,"&gt;="&amp;$B$3,'Avaliação Semanal'!$A$5:$A$504,"&lt;="&amp;$D$3),2)))</f>
        <v/>
      </c>
      <c r="E32" s="8">
        <f>IF($A32="","",IF(COUNTIFS('Avaliação Semanal'!$B$5:$B$504,$A32,'Avaliação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Semanal'!$B$5:$B$504,$A32,'Avaliação Semanal'!$C$5:$C$504,"Líder Técnico",'Avaliação Semanal'!$A$5:$A$504,"&gt;="&amp;$B$3,'Avaliação Semanal'!$A$5:$A$504,"&lt;="&amp;$D$3),2)))</f>
        <v/>
      </c>
      <c r="F32" s="8">
        <f>IF($A32="","",IF(COUNTIFS('Avaliação Semanal'!$B$5:$B$504,$A32,'Avaliação Semanal'!$A$5:$A$504,"&gt;="&amp;$B$3,'Avaliação Semanal'!$A$5:$A$504,"&lt;="&amp;$D$3,'Avaliação Semanal'!$E$5:$E$504,"&gt;0")=0,"",ROUND(AVERAGEIFS('Avaliação Semanal'!$E$5:$E$504,'Avaliação Semanal'!$B$5:$B$504,$A32,'Avaliação Semanal'!$A$5:$A$504,"&gt;="&amp;$B$3,'Avaliação Semanal'!$A$5:$A$504,"&lt;="&amp;$D$3),2)))</f>
        <v/>
      </c>
      <c r="G32" s="8">
        <f>IF($A32="","",IF(COUNTIFS('Avaliação Semanal'!$B$5:$B$504,$A32,'Avaliação Semanal'!$A$5:$A$504,"&gt;="&amp;$B$3,'Avaliação Semanal'!$A$5:$A$504,"&lt;="&amp;$D$3,'Avaliação Semanal'!$F$5:$F$504,"&gt;0")=0,"",ROUND(AVERAGEIFS('Avaliação Semanal'!$F$5:$F$504,'Avaliação Semanal'!$B$5:$B$504,$A32,'Avaliação Semanal'!$A$5:$A$504,"&gt;="&amp;$B$3,'Avaliação Semanal'!$A$5:$A$504,"&lt;="&amp;$D$3),2)))</f>
        <v/>
      </c>
      <c r="H32" s="8">
        <f>IF($A32="","",IF(COUNTIFS('Avaliação Semanal'!$B$5:$B$504,$A32,'Avaliação Semanal'!$A$5:$A$504,"&gt;="&amp;$B$3,'Avaliação Semanal'!$A$5:$A$504,"&lt;="&amp;$D$3,'Avaliação Semanal'!$G$5:$G$504,"&gt;0")=0,"",ROUND(AVERAGEIFS('Avaliação Semanal'!$G$5:$G$504,'Avaliação Semanal'!$B$5:$B$504,$A32,'Avaliação Semanal'!$A$5:$A$504,"&gt;="&amp;$B$3,'Avaliação Semanal'!$A$5:$A$504,"&lt;="&amp;$D$3),2)))</f>
        <v/>
      </c>
      <c r="I32" s="8">
        <f>IF($A32="","",IF(COUNTIFS('Avaliação Semanal'!$B$5:$B$504,$A32,'Avaliação Semanal'!$A$5:$A$504,"&gt;="&amp;$B$3,'Avaliação Semanal'!$A$5:$A$504,"&lt;="&amp;$D$3,'Avaliação Semanal'!$H$5:$H$504,"&gt;0")=0,"",ROUND(AVERAGEIFS('Avaliação Semanal'!$H$5:$H$504,'Avaliação Semanal'!$B$5:$B$504,$A32,'Avaliação Semanal'!$A$5:$A$504,"&gt;="&amp;$B$3,'Avaliação Semanal'!$A$5:$A$504,"&lt;="&amp;$D$3),2)))</f>
        <v/>
      </c>
      <c r="J32" s="8">
        <f>IF($A32="","",IF(COUNTIFS('Avaliação Semanal'!$B$5:$B$504,$A32,'Avaliação Semanal'!$A$5:$A$504,"&gt;="&amp;$B$3,'Avaliação Semanal'!$A$5:$A$504,"&lt;="&amp;$D$3,'Avaliação Semanal'!$I$5:$I$504,"&gt;0")=0,"",ROUND(AVERAGEIFS('Avaliação Semanal'!$I$5:$I$504,'Avaliação Semanal'!$B$5:$B$504,$A32,'Avaliação Semanal'!$A$5:$A$504,"&gt;="&amp;$B$3,'Avaliação Semanal'!$A$5:$A$504,"&lt;="&amp;$D$3),2)))</f>
        <v/>
      </c>
      <c r="K32" s="9">
        <f>IF(COUNT($F32:$J32)=0,"",ROUND(AVERAGE($F32:$J32),2))</f>
        <v/>
      </c>
      <c r="L32" s="10">
        <f>IF($K32="","",IF($K32&gt;=Cadastro!$H$5,"Verde",IF($K32&gt;=Cadastro!$H$6,"Atenção","Crítico")))</f>
        <v/>
      </c>
      <c r="M32" s="7">
        <f>IF($A32="","",COUNTIFS('Avaliação Semanal'!$B$5:$B$504,$A32,'Avaliação Semanal'!$A$5:$A$504,"&gt;="&amp;$B$3,'Avaliação Semanal'!$A$5:$A$504,"&lt;="&amp;$D$3,'Avaliação Semanal'!$J$5:$J$504,"&gt;0"))</f>
        <v/>
      </c>
      <c r="N32" s="11">
        <f>IF($M32=0,"",_xlfn.MAXIFS('Avaliação Semanal'!$A$5:$A$504,'Avaliação Semanal'!$B$5:$B$504,$A32,'Avaliação Semanal'!$A$5:$A$504,"&lt;="&amp;$D$3))</f>
        <v/>
      </c>
      <c r="O32" s="7">
        <f>IF($A32="","",COUNTIFS('Ocorrências'!$B$5:$B$204,$A32,'Ocorrências'!$A$5:$A$204,"&gt;="&amp;$B$3,'Ocorrências'!$A$5:$A$204,"&lt;="&amp;$D$3))</f>
        <v/>
      </c>
      <c r="P32" s="7">
        <f>IF($A32="","",COUNTIFS('Ocorrências'!$B$5:$B$204,$A32,'Ocorrências'!$C$5:$C$204,"Ponto de atenção",'Ocorrências'!$A$5:$A$204,"&gt;="&amp;$B$3,'Ocorrências'!$A$5:$A$204,"&lt;="&amp;$D$3)+COUNTIFS('Ocorrências'!$B$5:$B$204,$A32,'Ocorrências'!$C$5:$C$204,"Crítica",'Ocorrências'!$A$5:$A$204,"&gt;="&amp;$B$3,'Ocorrências'!$A$5:$A$204,"&lt;="&amp;$D$3))</f>
        <v/>
      </c>
      <c r="Q32" s="7">
        <f>IF($A32="","",IF(COUNTIFS('Avaliação Semanal'!$B$5:$B$504,$A32,'Avaliação Semanal'!$C$5:$C$504,"GP",'Avaliação Semanal'!$A$5:$A$504,"&gt;="&amp;$B$3,'Avaliação Semanal'!$A$5:$A$504,"&lt;="&amp;$D$3)=0,"",IFERROR(INDEX('Avaliação Semanal'!$L$5:$L$504,MATCH($A32&amp;"|GP|"&amp;TEXT(_xlfn.MAXIFS('Avaliação Semanal'!$A$5:$A$504,'Avaliação Semanal'!$B$5:$B$504,$A32,'Avaliação Semanal'!$C$5:$C$504,"GP",'Avaliação Semanal'!$A$5:$A$504,"&lt;="&amp;$D$3),"00000"),'Avaliação Semanal'!$M$5:$M$504,0)),"")))</f>
        <v/>
      </c>
      <c r="R32" s="7">
        <f>IF($A32="","",IF(COUNTIFS('Avaliação Semanal'!$B$5:$B$504,$A32,'Avaliação Semanal'!$C$5:$C$504,"Líder Técnico",'Avaliação Semanal'!$A$5:$A$504,"&gt;="&amp;$B$3,'Avaliação Semanal'!$A$5:$A$504,"&lt;="&amp;$D$3)=0,"",IFERROR(INDEX('Avaliação Semanal'!$L$5:$L$504,MATCH($A32&amp;"|Líder Técnico|"&amp;TEXT(_xlfn.MAXIFS('Avaliação Semanal'!$A$5:$A$504,'Avaliação Semanal'!$B$5:$B$504,$A32,'Avaliação Semanal'!$C$5:$C$504,"Líder Técnico",'Avaliação Semanal'!$A$5:$A$504,"&lt;="&amp;$D$3),"00000"),'Avaliação Semanal'!$M$5:$M$504,0)),"")))</f>
        <v/>
      </c>
    </row>
    <row r="33" ht="30" customHeight="1">
      <c r="A33" s="7">
        <f>IF(Cadastro!$A32="","",Cadastro!$A32)</f>
        <v/>
      </c>
      <c r="B33" s="7">
        <f>IF(Cadastro!$A32="","",Cadastro!$B32)</f>
        <v/>
      </c>
      <c r="C33" s="7">
        <f>IF(Cadastro!$A32="","",Cadastro!$C32)</f>
        <v/>
      </c>
      <c r="D33" s="8">
        <f>IF($A33="","",IF(COUNTIFS('Avaliação Semanal'!$B$5:$B$504,$A33,'Avaliação Semanal'!$C$5:$C$504,"GP",'Avaliação Semanal'!$A$5:$A$504,"&gt;="&amp;$B$3,'Avaliação Semanal'!$A$5:$A$504,"&lt;="&amp;$D$3,'Avaliação Semanal'!$J$5:$J$504,"&gt;0")=0,"",ROUND(AVERAGEIFS('Avaliação Semanal'!$J$5:$J$504,'Avaliação Semanal'!$B$5:$B$504,$A33,'Avaliação Semanal'!$C$5:$C$504,"GP",'Avaliação Semanal'!$A$5:$A$504,"&gt;="&amp;$B$3,'Avaliação Semanal'!$A$5:$A$504,"&lt;="&amp;$D$3),2)))</f>
        <v/>
      </c>
      <c r="E33" s="8">
        <f>IF($A33="","",IF(COUNTIFS('Avaliação Semanal'!$B$5:$B$504,$A33,'Avaliação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Semanal'!$B$5:$B$504,$A33,'Avaliação Semanal'!$C$5:$C$504,"Líder Técnico",'Avaliação Semanal'!$A$5:$A$504,"&gt;="&amp;$B$3,'Avaliação Semanal'!$A$5:$A$504,"&lt;="&amp;$D$3),2)))</f>
        <v/>
      </c>
      <c r="F33" s="8">
        <f>IF($A33="","",IF(COUNTIFS('Avaliação Semanal'!$B$5:$B$504,$A33,'Avaliação Semanal'!$A$5:$A$504,"&gt;="&amp;$B$3,'Avaliação Semanal'!$A$5:$A$504,"&lt;="&amp;$D$3,'Avaliação Semanal'!$E$5:$E$504,"&gt;0")=0,"",ROUND(AVERAGEIFS('Avaliação Semanal'!$E$5:$E$504,'Avaliação Semanal'!$B$5:$B$504,$A33,'Avaliação Semanal'!$A$5:$A$504,"&gt;="&amp;$B$3,'Avaliação Semanal'!$A$5:$A$504,"&lt;="&amp;$D$3),2)))</f>
        <v/>
      </c>
      <c r="G33" s="8">
        <f>IF($A33="","",IF(COUNTIFS('Avaliação Semanal'!$B$5:$B$504,$A33,'Avaliação Semanal'!$A$5:$A$504,"&gt;="&amp;$B$3,'Avaliação Semanal'!$A$5:$A$504,"&lt;="&amp;$D$3,'Avaliação Semanal'!$F$5:$F$504,"&gt;0")=0,"",ROUND(AVERAGEIFS('Avaliação Semanal'!$F$5:$F$504,'Avaliação Semanal'!$B$5:$B$504,$A33,'Avaliação Semanal'!$A$5:$A$504,"&gt;="&amp;$B$3,'Avaliação Semanal'!$A$5:$A$504,"&lt;="&amp;$D$3),2)))</f>
        <v/>
      </c>
      <c r="H33" s="8">
        <f>IF($A33="","",IF(COUNTIFS('Avaliação Semanal'!$B$5:$B$504,$A33,'Avaliação Semanal'!$A$5:$A$504,"&gt;="&amp;$B$3,'Avaliação Semanal'!$A$5:$A$504,"&lt;="&amp;$D$3,'Avaliação Semanal'!$G$5:$G$504,"&gt;0")=0,"",ROUND(AVERAGEIFS('Avaliação Semanal'!$G$5:$G$504,'Avaliação Semanal'!$B$5:$B$504,$A33,'Avaliação Semanal'!$A$5:$A$504,"&gt;="&amp;$B$3,'Avaliação Semanal'!$A$5:$A$504,"&lt;="&amp;$D$3),2)))</f>
        <v/>
      </c>
      <c r="I33" s="8">
        <f>IF($A33="","",IF(COUNTIFS('Avaliação Semanal'!$B$5:$B$504,$A33,'Avaliação Semanal'!$A$5:$A$504,"&gt;="&amp;$B$3,'Avaliação Semanal'!$A$5:$A$504,"&lt;="&amp;$D$3,'Avaliação Semanal'!$H$5:$H$504,"&gt;0")=0,"",ROUND(AVERAGEIFS('Avaliação Semanal'!$H$5:$H$504,'Avaliação Semanal'!$B$5:$B$504,$A33,'Avaliação Semanal'!$A$5:$A$504,"&gt;="&amp;$B$3,'Avaliação Semanal'!$A$5:$A$504,"&lt;="&amp;$D$3),2)))</f>
        <v/>
      </c>
      <c r="J33" s="8">
        <f>IF($A33="","",IF(COUNTIFS('Avaliação Semanal'!$B$5:$B$504,$A33,'Avaliação Semanal'!$A$5:$A$504,"&gt;="&amp;$B$3,'Avaliação Semanal'!$A$5:$A$504,"&lt;="&amp;$D$3,'Avaliação Semanal'!$I$5:$I$504,"&gt;0")=0,"",ROUND(AVERAGEIFS('Avaliação Semanal'!$I$5:$I$504,'Avaliação Semanal'!$B$5:$B$504,$A33,'Avaliação Semanal'!$A$5:$A$504,"&gt;="&amp;$B$3,'Avaliação Semanal'!$A$5:$A$504,"&lt;="&amp;$D$3),2)))</f>
        <v/>
      </c>
      <c r="K33" s="9">
        <f>IF(COUNT($F33:$J33)=0,"",ROUND(AVERAGE($F33:$J33),2))</f>
        <v/>
      </c>
      <c r="L33" s="10">
        <f>IF($K33="","",IF($K33&gt;=Cadastro!$H$5,"Verde",IF($K33&gt;=Cadastro!$H$6,"Atenção","Crítico")))</f>
        <v/>
      </c>
      <c r="M33" s="7">
        <f>IF($A33="","",COUNTIFS('Avaliação Semanal'!$B$5:$B$504,$A33,'Avaliação Semanal'!$A$5:$A$504,"&gt;="&amp;$B$3,'Avaliação Semanal'!$A$5:$A$504,"&lt;="&amp;$D$3,'Avaliação Semanal'!$J$5:$J$504,"&gt;0"))</f>
        <v/>
      </c>
      <c r="N33" s="11">
        <f>IF($M33=0,"",_xlfn.MAXIFS('Avaliação Semanal'!$A$5:$A$504,'Avaliação Semanal'!$B$5:$B$504,$A33,'Avaliação Semanal'!$A$5:$A$504,"&lt;="&amp;$D$3))</f>
        <v/>
      </c>
      <c r="O33" s="7">
        <f>IF($A33="","",COUNTIFS('Ocorrências'!$B$5:$B$204,$A33,'Ocorrências'!$A$5:$A$204,"&gt;="&amp;$B$3,'Ocorrências'!$A$5:$A$204,"&lt;="&amp;$D$3))</f>
        <v/>
      </c>
      <c r="P33" s="7">
        <f>IF($A33="","",COUNTIFS('Ocorrências'!$B$5:$B$204,$A33,'Ocorrências'!$C$5:$C$204,"Ponto de atenção",'Ocorrências'!$A$5:$A$204,"&gt;="&amp;$B$3,'Ocorrências'!$A$5:$A$204,"&lt;="&amp;$D$3)+COUNTIFS('Ocorrências'!$B$5:$B$204,$A33,'Ocorrências'!$C$5:$C$204,"Crítica",'Ocorrências'!$A$5:$A$204,"&gt;="&amp;$B$3,'Ocorrências'!$A$5:$A$204,"&lt;="&amp;$D$3))</f>
        <v/>
      </c>
      <c r="Q33" s="7">
        <f>IF($A33="","",IF(COUNTIFS('Avaliação Semanal'!$B$5:$B$504,$A33,'Avaliação Semanal'!$C$5:$C$504,"GP",'Avaliação Semanal'!$A$5:$A$504,"&gt;="&amp;$B$3,'Avaliação Semanal'!$A$5:$A$504,"&lt;="&amp;$D$3)=0,"",IFERROR(INDEX('Avaliação Semanal'!$L$5:$L$504,MATCH($A33&amp;"|GP|"&amp;TEXT(_xlfn.MAXIFS('Avaliação Semanal'!$A$5:$A$504,'Avaliação Semanal'!$B$5:$B$504,$A33,'Avaliação Semanal'!$C$5:$C$504,"GP",'Avaliação Semanal'!$A$5:$A$504,"&lt;="&amp;$D$3),"00000"),'Avaliação Semanal'!$M$5:$M$504,0)),"")))</f>
        <v/>
      </c>
      <c r="R33" s="7">
        <f>IF($A33="","",IF(COUNTIFS('Avaliação Semanal'!$B$5:$B$504,$A33,'Avaliação Semanal'!$C$5:$C$504,"Líder Técnico",'Avaliação Semanal'!$A$5:$A$504,"&gt;="&amp;$B$3,'Avaliação Semanal'!$A$5:$A$504,"&lt;="&amp;$D$3)=0,"",IFERROR(INDEX('Avaliação Semanal'!$L$5:$L$504,MATCH($A33&amp;"|Líder Técnico|"&amp;TEXT(_xlfn.MAXIFS('Avaliação Semanal'!$A$5:$A$504,'Avaliação Semanal'!$B$5:$B$504,$A33,'Avaliação Semanal'!$C$5:$C$504,"Líder Técnico",'Avaliação Semanal'!$A$5:$A$504,"&lt;="&amp;$D$3),"00000"),'Avaliação Semanal'!$M$5:$M$504,0)),"")))</f>
        <v/>
      </c>
    </row>
    <row r="34" ht="30" customHeight="1">
      <c r="A34" s="7">
        <f>IF(Cadastro!$A33="","",Cadastro!$A33)</f>
        <v/>
      </c>
      <c r="B34" s="7">
        <f>IF(Cadastro!$A33="","",Cadastro!$B33)</f>
        <v/>
      </c>
      <c r="C34" s="7">
        <f>IF(Cadastro!$A33="","",Cadastro!$C33)</f>
        <v/>
      </c>
      <c r="D34" s="8">
        <f>IF($A34="","",IF(COUNTIFS('Avaliação Semanal'!$B$5:$B$504,$A34,'Avaliação Semanal'!$C$5:$C$504,"GP",'Avaliação Semanal'!$A$5:$A$504,"&gt;="&amp;$B$3,'Avaliação Semanal'!$A$5:$A$504,"&lt;="&amp;$D$3,'Avaliação Semanal'!$J$5:$J$504,"&gt;0")=0,"",ROUND(AVERAGEIFS('Avaliação Semanal'!$J$5:$J$504,'Avaliação Semanal'!$B$5:$B$504,$A34,'Avaliação Semanal'!$C$5:$C$504,"GP",'Avaliação Semanal'!$A$5:$A$504,"&gt;="&amp;$B$3,'Avaliação Semanal'!$A$5:$A$504,"&lt;="&amp;$D$3),2)))</f>
        <v/>
      </c>
      <c r="E34" s="8">
        <f>IF($A34="","",IF(COUNTIFS('Avaliação Semanal'!$B$5:$B$504,$A34,'Avaliação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Semanal'!$B$5:$B$504,$A34,'Avaliação Semanal'!$C$5:$C$504,"Líder Técnico",'Avaliação Semanal'!$A$5:$A$504,"&gt;="&amp;$B$3,'Avaliação Semanal'!$A$5:$A$504,"&lt;="&amp;$D$3),2)))</f>
        <v/>
      </c>
      <c r="F34" s="8">
        <f>IF($A34="","",IF(COUNTIFS('Avaliação Semanal'!$B$5:$B$504,$A34,'Avaliação Semanal'!$A$5:$A$504,"&gt;="&amp;$B$3,'Avaliação Semanal'!$A$5:$A$504,"&lt;="&amp;$D$3,'Avaliação Semanal'!$E$5:$E$504,"&gt;0")=0,"",ROUND(AVERAGEIFS('Avaliação Semanal'!$E$5:$E$504,'Avaliação Semanal'!$B$5:$B$504,$A34,'Avaliação Semanal'!$A$5:$A$504,"&gt;="&amp;$B$3,'Avaliação Semanal'!$A$5:$A$504,"&lt;="&amp;$D$3),2)))</f>
        <v/>
      </c>
      <c r="G34" s="8">
        <f>IF($A34="","",IF(COUNTIFS('Avaliação Semanal'!$B$5:$B$504,$A34,'Avaliação Semanal'!$A$5:$A$504,"&gt;="&amp;$B$3,'Avaliação Semanal'!$A$5:$A$504,"&lt;="&amp;$D$3,'Avaliação Semanal'!$F$5:$F$504,"&gt;0")=0,"",ROUND(AVERAGEIFS('Avaliação Semanal'!$F$5:$F$504,'Avaliação Semanal'!$B$5:$B$504,$A34,'Avaliação Semanal'!$A$5:$A$504,"&gt;="&amp;$B$3,'Avaliação Semanal'!$A$5:$A$504,"&lt;="&amp;$D$3),2)))</f>
        <v/>
      </c>
      <c r="H34" s="8">
        <f>IF($A34="","",IF(COUNTIFS('Avaliação Semanal'!$B$5:$B$504,$A34,'Avaliação Semanal'!$A$5:$A$504,"&gt;="&amp;$B$3,'Avaliação Semanal'!$A$5:$A$504,"&lt;="&amp;$D$3,'Avaliação Semanal'!$G$5:$G$504,"&gt;0")=0,"",ROUND(AVERAGEIFS('Avaliação Semanal'!$G$5:$G$504,'Avaliação Semanal'!$B$5:$B$504,$A34,'Avaliação Semanal'!$A$5:$A$504,"&gt;="&amp;$B$3,'Avaliação Semanal'!$A$5:$A$504,"&lt;="&amp;$D$3),2)))</f>
        <v/>
      </c>
      <c r="I34" s="8">
        <f>IF($A34="","",IF(COUNTIFS('Avaliação Semanal'!$B$5:$B$504,$A34,'Avaliação Semanal'!$A$5:$A$504,"&gt;="&amp;$B$3,'Avaliação Semanal'!$A$5:$A$504,"&lt;="&amp;$D$3,'Avaliação Semanal'!$H$5:$H$504,"&gt;0")=0,"",ROUND(AVERAGEIFS('Avaliação Semanal'!$H$5:$H$504,'Avaliação Semanal'!$B$5:$B$504,$A34,'Avaliação Semanal'!$A$5:$A$504,"&gt;="&amp;$B$3,'Avaliação Semanal'!$A$5:$A$504,"&lt;="&amp;$D$3),2)))</f>
        <v/>
      </c>
      <c r="J34" s="8">
        <f>IF($A34="","",IF(COUNTIFS('Avaliação Semanal'!$B$5:$B$504,$A34,'Avaliação Semanal'!$A$5:$A$504,"&gt;="&amp;$B$3,'Avaliação Semanal'!$A$5:$A$504,"&lt;="&amp;$D$3,'Avaliação Semanal'!$I$5:$I$504,"&gt;0")=0,"",ROUND(AVERAGEIFS('Avaliação Semanal'!$I$5:$I$504,'Avaliação Semanal'!$B$5:$B$504,$A34,'Avaliação Semanal'!$A$5:$A$504,"&gt;="&amp;$B$3,'Avaliação Semanal'!$A$5:$A$504,"&lt;="&amp;$D$3),2)))</f>
        <v/>
      </c>
      <c r="K34" s="9">
        <f>IF(COUNT($F34:$J34)=0,"",ROUND(AVERAGE($F34:$J34),2))</f>
        <v/>
      </c>
      <c r="L34" s="10">
        <f>IF($K34="","",IF($K34&gt;=Cadastro!$H$5,"Verde",IF($K34&gt;=Cadastro!$H$6,"Atenção","Crítico")))</f>
        <v/>
      </c>
      <c r="M34" s="7">
        <f>IF($A34="","",COUNTIFS('Avaliação Semanal'!$B$5:$B$504,$A34,'Avaliação Semanal'!$A$5:$A$504,"&gt;="&amp;$B$3,'Avaliação Semanal'!$A$5:$A$504,"&lt;="&amp;$D$3,'Avaliação Semanal'!$J$5:$J$504,"&gt;0"))</f>
        <v/>
      </c>
      <c r="N34" s="11">
        <f>IF($M34=0,"",_xlfn.MAXIFS('Avaliação Semanal'!$A$5:$A$504,'Avaliação Semanal'!$B$5:$B$504,$A34,'Avaliação Semanal'!$A$5:$A$504,"&lt;="&amp;$D$3))</f>
        <v/>
      </c>
      <c r="O34" s="7">
        <f>IF($A34="","",COUNTIFS('Ocorrências'!$B$5:$B$204,$A34,'Ocorrências'!$A$5:$A$204,"&gt;="&amp;$B$3,'Ocorrências'!$A$5:$A$204,"&lt;="&amp;$D$3))</f>
        <v/>
      </c>
      <c r="P34" s="7">
        <f>IF($A34="","",COUNTIFS('Ocorrências'!$B$5:$B$204,$A34,'Ocorrências'!$C$5:$C$204,"Ponto de atenção",'Ocorrências'!$A$5:$A$204,"&gt;="&amp;$B$3,'Ocorrências'!$A$5:$A$204,"&lt;="&amp;$D$3)+COUNTIFS('Ocorrências'!$B$5:$B$204,$A34,'Ocorrências'!$C$5:$C$204,"Crítica",'Ocorrências'!$A$5:$A$204,"&gt;="&amp;$B$3,'Ocorrências'!$A$5:$A$204,"&lt;="&amp;$D$3))</f>
        <v/>
      </c>
      <c r="Q34" s="7">
        <f>IF($A34="","",IF(COUNTIFS('Avaliação Semanal'!$B$5:$B$504,$A34,'Avaliação Semanal'!$C$5:$C$504,"GP",'Avaliação Semanal'!$A$5:$A$504,"&gt;="&amp;$B$3,'Avaliação Semanal'!$A$5:$A$504,"&lt;="&amp;$D$3)=0,"",IFERROR(INDEX('Avaliação Semanal'!$L$5:$L$504,MATCH($A34&amp;"|GP|"&amp;TEXT(_xlfn.MAXIFS('Avaliação Semanal'!$A$5:$A$504,'Avaliação Semanal'!$B$5:$B$504,$A34,'Avaliação Semanal'!$C$5:$C$504,"GP",'Avaliação Semanal'!$A$5:$A$504,"&lt;="&amp;$D$3),"00000"),'Avaliação Semanal'!$M$5:$M$504,0)),"")))</f>
        <v/>
      </c>
      <c r="R34" s="7">
        <f>IF($A34="","",IF(COUNTIFS('Avaliação Semanal'!$B$5:$B$504,$A34,'Avaliação Semanal'!$C$5:$C$504,"Líder Técnico",'Avaliação Semanal'!$A$5:$A$504,"&gt;="&amp;$B$3,'Avaliação Semanal'!$A$5:$A$504,"&lt;="&amp;$D$3)=0,"",IFERROR(INDEX('Avaliação Semanal'!$L$5:$L$504,MATCH($A34&amp;"|Líder Técnico|"&amp;TEXT(_xlfn.MAXIFS('Avaliação Semanal'!$A$5:$A$504,'Avaliação Semanal'!$B$5:$B$504,$A34,'Avaliação Semanal'!$C$5:$C$504,"Líder Técnico",'Avaliação Semanal'!$A$5:$A$504,"&lt;="&amp;$D$3),"00000"),'Avaliação Semanal'!$M$5:$M$504,0)),"")))</f>
        <v/>
      </c>
    </row>
    <row r="35" ht="30" customHeight="1">
      <c r="A35" s="7">
        <f>IF(Cadastro!$A34="","",Cadastro!$A34)</f>
        <v/>
      </c>
      <c r="B35" s="7">
        <f>IF(Cadastro!$A34="","",Cadastro!$B34)</f>
        <v/>
      </c>
      <c r="C35" s="7">
        <f>IF(Cadastro!$A34="","",Cadastro!$C34)</f>
        <v/>
      </c>
      <c r="D35" s="8">
        <f>IF($A35="","",IF(COUNTIFS('Avaliação Semanal'!$B$5:$B$504,$A35,'Avaliação Semanal'!$C$5:$C$504,"GP",'Avaliação Semanal'!$A$5:$A$504,"&gt;="&amp;$B$3,'Avaliação Semanal'!$A$5:$A$504,"&lt;="&amp;$D$3,'Avaliação Semanal'!$J$5:$J$504,"&gt;0")=0,"",ROUND(AVERAGEIFS('Avaliação Semanal'!$J$5:$J$504,'Avaliação Semanal'!$B$5:$B$504,$A35,'Avaliação Semanal'!$C$5:$C$504,"GP",'Avaliação Semanal'!$A$5:$A$504,"&gt;="&amp;$B$3,'Avaliação Semanal'!$A$5:$A$504,"&lt;="&amp;$D$3),2)))</f>
        <v/>
      </c>
      <c r="E35" s="8">
        <f>IF($A35="","",IF(COUNTIFS('Avaliação Semanal'!$B$5:$B$504,$A35,'Avaliação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Semanal'!$B$5:$B$504,$A35,'Avaliação Semanal'!$C$5:$C$504,"Líder Técnico",'Avaliação Semanal'!$A$5:$A$504,"&gt;="&amp;$B$3,'Avaliação Semanal'!$A$5:$A$504,"&lt;="&amp;$D$3),2)))</f>
        <v/>
      </c>
      <c r="F35" s="8">
        <f>IF($A35="","",IF(COUNTIFS('Avaliação Semanal'!$B$5:$B$504,$A35,'Avaliação Semanal'!$A$5:$A$504,"&gt;="&amp;$B$3,'Avaliação Semanal'!$A$5:$A$504,"&lt;="&amp;$D$3,'Avaliação Semanal'!$E$5:$E$504,"&gt;0")=0,"",ROUND(AVERAGEIFS('Avaliação Semanal'!$E$5:$E$504,'Avaliação Semanal'!$B$5:$B$504,$A35,'Avaliação Semanal'!$A$5:$A$504,"&gt;="&amp;$B$3,'Avaliação Semanal'!$A$5:$A$504,"&lt;="&amp;$D$3),2)))</f>
        <v/>
      </c>
      <c r="G35" s="8">
        <f>IF($A35="","",IF(COUNTIFS('Avaliação Semanal'!$B$5:$B$504,$A35,'Avaliação Semanal'!$A$5:$A$504,"&gt;="&amp;$B$3,'Avaliação Semanal'!$A$5:$A$504,"&lt;="&amp;$D$3,'Avaliação Semanal'!$F$5:$F$504,"&gt;0")=0,"",ROUND(AVERAGEIFS('Avaliação Semanal'!$F$5:$F$504,'Avaliação Semanal'!$B$5:$B$504,$A35,'Avaliação Semanal'!$A$5:$A$504,"&gt;="&amp;$B$3,'Avaliação Semanal'!$A$5:$A$504,"&lt;="&amp;$D$3),2)))</f>
        <v/>
      </c>
      <c r="H35" s="8">
        <f>IF($A35="","",IF(COUNTIFS('Avaliação Semanal'!$B$5:$B$504,$A35,'Avaliação Semanal'!$A$5:$A$504,"&gt;="&amp;$B$3,'Avaliação Semanal'!$A$5:$A$504,"&lt;="&amp;$D$3,'Avaliação Semanal'!$G$5:$G$504,"&gt;0")=0,"",ROUND(AVERAGEIFS('Avaliação Semanal'!$G$5:$G$504,'Avaliação Semanal'!$B$5:$B$504,$A35,'Avaliação Semanal'!$A$5:$A$504,"&gt;="&amp;$B$3,'Avaliação Semanal'!$A$5:$A$504,"&lt;="&amp;$D$3),2)))</f>
        <v/>
      </c>
      <c r="I35" s="8">
        <f>IF($A35="","",IF(COUNTIFS('Avaliação Semanal'!$B$5:$B$504,$A35,'Avaliação Semanal'!$A$5:$A$504,"&gt;="&amp;$B$3,'Avaliação Semanal'!$A$5:$A$504,"&lt;="&amp;$D$3,'Avaliação Semanal'!$H$5:$H$504,"&gt;0")=0,"",ROUND(AVERAGEIFS('Avaliação Semanal'!$H$5:$H$504,'Avaliação Semanal'!$B$5:$B$504,$A35,'Avaliação Semanal'!$A$5:$A$504,"&gt;="&amp;$B$3,'Avaliação Semanal'!$A$5:$A$504,"&lt;="&amp;$D$3),2)))</f>
        <v/>
      </c>
      <c r="J35" s="8">
        <f>IF($A35="","",IF(COUNTIFS('Avaliação Semanal'!$B$5:$B$504,$A35,'Avaliação Semanal'!$A$5:$A$504,"&gt;="&amp;$B$3,'Avaliação Semanal'!$A$5:$A$504,"&lt;="&amp;$D$3,'Avaliação Semanal'!$I$5:$I$504,"&gt;0")=0,"",ROUND(AVERAGEIFS('Avaliação Semanal'!$I$5:$I$504,'Avaliação Semanal'!$B$5:$B$504,$A35,'Avaliação Semanal'!$A$5:$A$504,"&gt;="&amp;$B$3,'Avaliação Semanal'!$A$5:$A$504,"&lt;="&amp;$D$3),2)))</f>
        <v/>
      </c>
      <c r="K35" s="9">
        <f>IF(COUNT($F35:$J35)=0,"",ROUND(AVERAGE($F35:$J35),2))</f>
        <v/>
      </c>
      <c r="L35" s="10">
        <f>IF($K35="","",IF($K35&gt;=Cadastro!$H$5,"Verde",IF($K35&gt;=Cadastro!$H$6,"Atenção","Crítico")))</f>
        <v/>
      </c>
      <c r="M35" s="7">
        <f>IF($A35="","",COUNTIFS('Avaliação Semanal'!$B$5:$B$504,$A35,'Avaliação Semanal'!$A$5:$A$504,"&gt;="&amp;$B$3,'Avaliação Semanal'!$A$5:$A$504,"&lt;="&amp;$D$3,'Avaliação Semanal'!$J$5:$J$504,"&gt;0"))</f>
        <v/>
      </c>
      <c r="N35" s="11">
        <f>IF($M35=0,"",_xlfn.MAXIFS('Avaliação Semanal'!$A$5:$A$504,'Avaliação Semanal'!$B$5:$B$504,$A35,'Avaliação Semanal'!$A$5:$A$504,"&lt;="&amp;$D$3))</f>
        <v/>
      </c>
      <c r="O35" s="7">
        <f>IF($A35="","",COUNTIFS('Ocorrências'!$B$5:$B$204,$A35,'Ocorrências'!$A$5:$A$204,"&gt;="&amp;$B$3,'Ocorrências'!$A$5:$A$204,"&lt;="&amp;$D$3))</f>
        <v/>
      </c>
      <c r="P35" s="7">
        <f>IF($A35="","",COUNTIFS('Ocorrências'!$B$5:$B$204,$A35,'Ocorrências'!$C$5:$C$204,"Ponto de atenção",'Ocorrências'!$A$5:$A$204,"&gt;="&amp;$B$3,'Ocorrências'!$A$5:$A$204,"&lt;="&amp;$D$3)+COUNTIFS('Ocorrências'!$B$5:$B$204,$A35,'Ocorrências'!$C$5:$C$204,"Crítica",'Ocorrências'!$A$5:$A$204,"&gt;="&amp;$B$3,'Ocorrências'!$A$5:$A$204,"&lt;="&amp;$D$3))</f>
        <v/>
      </c>
      <c r="Q35" s="7">
        <f>IF($A35="","",IF(COUNTIFS('Avaliação Semanal'!$B$5:$B$504,$A35,'Avaliação Semanal'!$C$5:$C$504,"GP",'Avaliação Semanal'!$A$5:$A$504,"&gt;="&amp;$B$3,'Avaliação Semanal'!$A$5:$A$504,"&lt;="&amp;$D$3)=0,"",IFERROR(INDEX('Avaliação Semanal'!$L$5:$L$504,MATCH($A35&amp;"|GP|"&amp;TEXT(_xlfn.MAXIFS('Avaliação Semanal'!$A$5:$A$504,'Avaliação Semanal'!$B$5:$B$504,$A35,'Avaliação Semanal'!$C$5:$C$504,"GP",'Avaliação Semanal'!$A$5:$A$504,"&lt;="&amp;$D$3),"00000"),'Avaliação Semanal'!$M$5:$M$504,0)),"")))</f>
        <v/>
      </c>
      <c r="R35" s="7">
        <f>IF($A35="","",IF(COUNTIFS('Avaliação Semanal'!$B$5:$B$504,$A35,'Avaliação Semanal'!$C$5:$C$504,"Líder Técnico",'Avaliação Semanal'!$A$5:$A$504,"&gt;="&amp;$B$3,'Avaliação Semanal'!$A$5:$A$504,"&lt;="&amp;$D$3)=0,"",IFERROR(INDEX('Avaliação Semanal'!$L$5:$L$504,MATCH($A35&amp;"|Líder Técnico|"&amp;TEXT(_xlfn.MAXIFS('Avaliação Semanal'!$A$5:$A$504,'Avaliação Semanal'!$B$5:$B$504,$A35,'Avaliação Semanal'!$C$5:$C$504,"Líder Técnico",'Avaliação Semanal'!$A$5:$A$504,"&lt;="&amp;$D$3),"00000"),'Avaliação Semanal'!$M$5:$M$504,0)),"")))</f>
        <v/>
      </c>
    </row>
    <row r="36" ht="30" customHeight="1">
      <c r="A36" s="7">
        <f>IF(Cadastro!$A35="","",Cadastro!$A35)</f>
        <v/>
      </c>
      <c r="B36" s="7">
        <f>IF(Cadastro!$A35="","",Cadastro!$B35)</f>
        <v/>
      </c>
      <c r="C36" s="7">
        <f>IF(Cadastro!$A35="","",Cadastro!$C35)</f>
        <v/>
      </c>
      <c r="D36" s="8">
        <f>IF($A36="","",IF(COUNTIFS('Avaliação Semanal'!$B$5:$B$504,$A36,'Avaliação Semanal'!$C$5:$C$504,"GP",'Avaliação Semanal'!$A$5:$A$504,"&gt;="&amp;$B$3,'Avaliação Semanal'!$A$5:$A$504,"&lt;="&amp;$D$3,'Avaliação Semanal'!$J$5:$J$504,"&gt;0")=0,"",ROUND(AVERAGEIFS('Avaliação Semanal'!$J$5:$J$504,'Avaliação Semanal'!$B$5:$B$504,$A36,'Avaliação Semanal'!$C$5:$C$504,"GP",'Avaliação Semanal'!$A$5:$A$504,"&gt;="&amp;$B$3,'Avaliação Semanal'!$A$5:$A$504,"&lt;="&amp;$D$3),2)))</f>
        <v/>
      </c>
      <c r="E36" s="8">
        <f>IF($A36="","",IF(COUNTIFS('Avaliação Semanal'!$B$5:$B$504,$A36,'Avaliação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Semanal'!$B$5:$B$504,$A36,'Avaliação Semanal'!$C$5:$C$504,"Líder Técnico",'Avaliação Semanal'!$A$5:$A$504,"&gt;="&amp;$B$3,'Avaliação Semanal'!$A$5:$A$504,"&lt;="&amp;$D$3),2)))</f>
        <v/>
      </c>
      <c r="F36" s="8">
        <f>IF($A36="","",IF(COUNTIFS('Avaliação Semanal'!$B$5:$B$504,$A36,'Avaliação Semanal'!$A$5:$A$504,"&gt;="&amp;$B$3,'Avaliação Semanal'!$A$5:$A$504,"&lt;="&amp;$D$3,'Avaliação Semanal'!$E$5:$E$504,"&gt;0")=0,"",ROUND(AVERAGEIFS('Avaliação Semanal'!$E$5:$E$504,'Avaliação Semanal'!$B$5:$B$504,$A36,'Avaliação Semanal'!$A$5:$A$504,"&gt;="&amp;$B$3,'Avaliação Semanal'!$A$5:$A$504,"&lt;="&amp;$D$3),2)))</f>
        <v/>
      </c>
      <c r="G36" s="8">
        <f>IF($A36="","",IF(COUNTIFS('Avaliação Semanal'!$B$5:$B$504,$A36,'Avaliação Semanal'!$A$5:$A$504,"&gt;="&amp;$B$3,'Avaliação Semanal'!$A$5:$A$504,"&lt;="&amp;$D$3,'Avaliação Semanal'!$F$5:$F$504,"&gt;0")=0,"",ROUND(AVERAGEIFS('Avaliação Semanal'!$F$5:$F$504,'Avaliação Semanal'!$B$5:$B$504,$A36,'Avaliação Semanal'!$A$5:$A$504,"&gt;="&amp;$B$3,'Avaliação Semanal'!$A$5:$A$504,"&lt;="&amp;$D$3),2)))</f>
        <v/>
      </c>
      <c r="H36" s="8">
        <f>IF($A36="","",IF(COUNTIFS('Avaliação Semanal'!$B$5:$B$504,$A36,'Avaliação Semanal'!$A$5:$A$504,"&gt;="&amp;$B$3,'Avaliação Semanal'!$A$5:$A$504,"&lt;="&amp;$D$3,'Avaliação Semanal'!$G$5:$G$504,"&gt;0")=0,"",ROUND(AVERAGEIFS('Avaliação Semanal'!$G$5:$G$504,'Avaliação Semanal'!$B$5:$B$504,$A36,'Avaliação Semanal'!$A$5:$A$504,"&gt;="&amp;$B$3,'Avaliação Semanal'!$A$5:$A$504,"&lt;="&amp;$D$3),2)))</f>
        <v/>
      </c>
      <c r="I36" s="8">
        <f>IF($A36="","",IF(COUNTIFS('Avaliação Semanal'!$B$5:$B$504,$A36,'Avaliação Semanal'!$A$5:$A$504,"&gt;="&amp;$B$3,'Avaliação Semanal'!$A$5:$A$504,"&lt;="&amp;$D$3,'Avaliação Semanal'!$H$5:$H$504,"&gt;0")=0,"",ROUND(AVERAGEIFS('Avaliação Semanal'!$H$5:$H$504,'Avaliação Semanal'!$B$5:$B$504,$A36,'Avaliação Semanal'!$A$5:$A$504,"&gt;="&amp;$B$3,'Avaliação Semanal'!$A$5:$A$504,"&lt;="&amp;$D$3),2)))</f>
        <v/>
      </c>
      <c r="J36" s="8">
        <f>IF($A36="","",IF(COUNTIFS('Avaliação Semanal'!$B$5:$B$504,$A36,'Avaliação Semanal'!$A$5:$A$504,"&gt;="&amp;$B$3,'Avaliação Semanal'!$A$5:$A$504,"&lt;="&amp;$D$3,'Avaliação Semanal'!$I$5:$I$504,"&gt;0")=0,"",ROUND(AVERAGEIFS('Avaliação Semanal'!$I$5:$I$504,'Avaliação Semanal'!$B$5:$B$504,$A36,'Avaliação Semanal'!$A$5:$A$504,"&gt;="&amp;$B$3,'Avaliação Semanal'!$A$5:$A$504,"&lt;="&amp;$D$3),2)))</f>
        <v/>
      </c>
      <c r="K36" s="9">
        <f>IF(COUNT($F36:$J36)=0,"",ROUND(AVERAGE($F36:$J36),2))</f>
        <v/>
      </c>
      <c r="L36" s="10">
        <f>IF($K36="","",IF($K36&gt;=Cadastro!$H$5,"Verde",IF($K36&gt;=Cadastro!$H$6,"Atenção","Crítico")))</f>
        <v/>
      </c>
      <c r="M36" s="7">
        <f>IF($A36="","",COUNTIFS('Avaliação Semanal'!$B$5:$B$504,$A36,'Avaliação Semanal'!$A$5:$A$504,"&gt;="&amp;$B$3,'Avaliação Semanal'!$A$5:$A$504,"&lt;="&amp;$D$3,'Avaliação Semanal'!$J$5:$J$504,"&gt;0"))</f>
        <v/>
      </c>
      <c r="N36" s="11">
        <f>IF($M36=0,"",_xlfn.MAXIFS('Avaliação Semanal'!$A$5:$A$504,'Avaliação Semanal'!$B$5:$B$504,$A36,'Avaliação Semanal'!$A$5:$A$504,"&lt;="&amp;$D$3))</f>
        <v/>
      </c>
      <c r="O36" s="7">
        <f>IF($A36="","",COUNTIFS('Ocorrências'!$B$5:$B$204,$A36,'Ocorrências'!$A$5:$A$204,"&gt;="&amp;$B$3,'Ocorrências'!$A$5:$A$204,"&lt;="&amp;$D$3))</f>
        <v/>
      </c>
      <c r="P36" s="7">
        <f>IF($A36="","",COUNTIFS('Ocorrências'!$B$5:$B$204,$A36,'Ocorrências'!$C$5:$C$204,"Ponto de atenção",'Ocorrências'!$A$5:$A$204,"&gt;="&amp;$B$3,'Ocorrências'!$A$5:$A$204,"&lt;="&amp;$D$3)+COUNTIFS('Ocorrências'!$B$5:$B$204,$A36,'Ocorrências'!$C$5:$C$204,"Crítica",'Ocorrências'!$A$5:$A$204,"&gt;="&amp;$B$3,'Ocorrências'!$A$5:$A$204,"&lt;="&amp;$D$3))</f>
        <v/>
      </c>
      <c r="Q36" s="7">
        <f>IF($A36="","",IF(COUNTIFS('Avaliação Semanal'!$B$5:$B$504,$A36,'Avaliação Semanal'!$C$5:$C$504,"GP",'Avaliação Semanal'!$A$5:$A$504,"&gt;="&amp;$B$3,'Avaliação Semanal'!$A$5:$A$504,"&lt;="&amp;$D$3)=0,"",IFERROR(INDEX('Avaliação Semanal'!$L$5:$L$504,MATCH($A36&amp;"|GP|"&amp;TEXT(_xlfn.MAXIFS('Avaliação Semanal'!$A$5:$A$504,'Avaliação Semanal'!$B$5:$B$504,$A36,'Avaliação Semanal'!$C$5:$C$504,"GP",'Avaliação Semanal'!$A$5:$A$504,"&lt;="&amp;$D$3),"00000"),'Avaliação Semanal'!$M$5:$M$504,0)),"")))</f>
        <v/>
      </c>
      <c r="R36" s="7">
        <f>IF($A36="","",IF(COUNTIFS('Avaliação Semanal'!$B$5:$B$504,$A36,'Avaliação Semanal'!$C$5:$C$504,"Líder Técnico",'Avaliação Semanal'!$A$5:$A$504,"&gt;="&amp;$B$3,'Avaliação Semanal'!$A$5:$A$504,"&lt;="&amp;$D$3)=0,"",IFERROR(INDEX('Avaliação Semanal'!$L$5:$L$504,MATCH($A36&amp;"|Líder Técnico|"&amp;TEXT(_xlfn.MAXIFS('Avaliação Semanal'!$A$5:$A$504,'Avaliação Semanal'!$B$5:$B$504,$A36,'Avaliação Semanal'!$C$5:$C$504,"Líder Técnico",'Avaliação Semanal'!$A$5:$A$504,"&lt;="&amp;$D$3),"00000"),'Avaliação Semanal'!$M$5:$M$504,0)),"")))</f>
        <v/>
      </c>
    </row>
    <row r="37" ht="30" customHeight="1">
      <c r="A37" s="7">
        <f>IF(Cadastro!$A36="","",Cadastro!$A36)</f>
        <v/>
      </c>
      <c r="B37" s="7">
        <f>IF(Cadastro!$A36="","",Cadastro!$B36)</f>
        <v/>
      </c>
      <c r="C37" s="7">
        <f>IF(Cadastro!$A36="","",Cadastro!$C36)</f>
        <v/>
      </c>
      <c r="D37" s="8">
        <f>IF($A37="","",IF(COUNTIFS('Avaliação Semanal'!$B$5:$B$504,$A37,'Avaliação Semanal'!$C$5:$C$504,"GP",'Avaliação Semanal'!$A$5:$A$504,"&gt;="&amp;$B$3,'Avaliação Semanal'!$A$5:$A$504,"&lt;="&amp;$D$3,'Avaliação Semanal'!$J$5:$J$504,"&gt;0")=0,"",ROUND(AVERAGEIFS('Avaliação Semanal'!$J$5:$J$504,'Avaliação Semanal'!$B$5:$B$504,$A37,'Avaliação Semanal'!$C$5:$C$504,"GP",'Avaliação Semanal'!$A$5:$A$504,"&gt;="&amp;$B$3,'Avaliação Semanal'!$A$5:$A$504,"&lt;="&amp;$D$3),2)))</f>
        <v/>
      </c>
      <c r="E37" s="8">
        <f>IF($A37="","",IF(COUNTIFS('Avaliação Semanal'!$B$5:$B$504,$A37,'Avaliação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Semanal'!$B$5:$B$504,$A37,'Avaliação Semanal'!$C$5:$C$504,"Líder Técnico",'Avaliação Semanal'!$A$5:$A$504,"&gt;="&amp;$B$3,'Avaliação Semanal'!$A$5:$A$504,"&lt;="&amp;$D$3),2)))</f>
        <v/>
      </c>
      <c r="F37" s="8">
        <f>IF($A37="","",IF(COUNTIFS('Avaliação Semanal'!$B$5:$B$504,$A37,'Avaliação Semanal'!$A$5:$A$504,"&gt;="&amp;$B$3,'Avaliação Semanal'!$A$5:$A$504,"&lt;="&amp;$D$3,'Avaliação Semanal'!$E$5:$E$504,"&gt;0")=0,"",ROUND(AVERAGEIFS('Avaliação Semanal'!$E$5:$E$504,'Avaliação Semanal'!$B$5:$B$504,$A37,'Avaliação Semanal'!$A$5:$A$504,"&gt;="&amp;$B$3,'Avaliação Semanal'!$A$5:$A$504,"&lt;="&amp;$D$3),2)))</f>
        <v/>
      </c>
      <c r="G37" s="8">
        <f>IF($A37="","",IF(COUNTIFS('Avaliação Semanal'!$B$5:$B$504,$A37,'Avaliação Semanal'!$A$5:$A$504,"&gt;="&amp;$B$3,'Avaliação Semanal'!$A$5:$A$504,"&lt;="&amp;$D$3,'Avaliação Semanal'!$F$5:$F$504,"&gt;0")=0,"",ROUND(AVERAGEIFS('Avaliação Semanal'!$F$5:$F$504,'Avaliação Semanal'!$B$5:$B$504,$A37,'Avaliação Semanal'!$A$5:$A$504,"&gt;="&amp;$B$3,'Avaliação Semanal'!$A$5:$A$504,"&lt;="&amp;$D$3),2)))</f>
        <v/>
      </c>
      <c r="H37" s="8">
        <f>IF($A37="","",IF(COUNTIFS('Avaliação Semanal'!$B$5:$B$504,$A37,'Avaliação Semanal'!$A$5:$A$504,"&gt;="&amp;$B$3,'Avaliação Semanal'!$A$5:$A$504,"&lt;="&amp;$D$3,'Avaliação Semanal'!$G$5:$G$504,"&gt;0")=0,"",ROUND(AVERAGEIFS('Avaliação Semanal'!$G$5:$G$504,'Avaliação Semanal'!$B$5:$B$504,$A37,'Avaliação Semanal'!$A$5:$A$504,"&gt;="&amp;$B$3,'Avaliação Semanal'!$A$5:$A$504,"&lt;="&amp;$D$3),2)))</f>
        <v/>
      </c>
      <c r="I37" s="8">
        <f>IF($A37="","",IF(COUNTIFS('Avaliação Semanal'!$B$5:$B$504,$A37,'Avaliação Semanal'!$A$5:$A$504,"&gt;="&amp;$B$3,'Avaliação Semanal'!$A$5:$A$504,"&lt;="&amp;$D$3,'Avaliação Semanal'!$H$5:$H$504,"&gt;0")=0,"",ROUND(AVERAGEIFS('Avaliação Semanal'!$H$5:$H$504,'Avaliação Semanal'!$B$5:$B$504,$A37,'Avaliação Semanal'!$A$5:$A$504,"&gt;="&amp;$B$3,'Avaliação Semanal'!$A$5:$A$504,"&lt;="&amp;$D$3),2)))</f>
        <v/>
      </c>
      <c r="J37" s="8">
        <f>IF($A37="","",IF(COUNTIFS('Avaliação Semanal'!$B$5:$B$504,$A37,'Avaliação Semanal'!$A$5:$A$504,"&gt;="&amp;$B$3,'Avaliação Semanal'!$A$5:$A$504,"&lt;="&amp;$D$3,'Avaliação Semanal'!$I$5:$I$504,"&gt;0")=0,"",ROUND(AVERAGEIFS('Avaliação Semanal'!$I$5:$I$504,'Avaliação Semanal'!$B$5:$B$504,$A37,'Avaliação Semanal'!$A$5:$A$504,"&gt;="&amp;$B$3,'Avaliação Semanal'!$A$5:$A$504,"&lt;="&amp;$D$3),2)))</f>
        <v/>
      </c>
      <c r="K37" s="9">
        <f>IF(COUNT($F37:$J37)=0,"",ROUND(AVERAGE($F37:$J37),2))</f>
        <v/>
      </c>
      <c r="L37" s="10">
        <f>IF($K37="","",IF($K37&gt;=Cadastro!$H$5,"Verde",IF($K37&gt;=Cadastro!$H$6,"Atenção","Crítico")))</f>
        <v/>
      </c>
      <c r="M37" s="7">
        <f>IF($A37="","",COUNTIFS('Avaliação Semanal'!$B$5:$B$504,$A37,'Avaliação Semanal'!$A$5:$A$504,"&gt;="&amp;$B$3,'Avaliação Semanal'!$A$5:$A$504,"&lt;="&amp;$D$3,'Avaliação Semanal'!$J$5:$J$504,"&gt;0"))</f>
        <v/>
      </c>
      <c r="N37" s="11">
        <f>IF($M37=0,"",_xlfn.MAXIFS('Avaliação Semanal'!$A$5:$A$504,'Avaliação Semanal'!$B$5:$B$504,$A37,'Avaliação Semanal'!$A$5:$A$504,"&lt;="&amp;$D$3))</f>
        <v/>
      </c>
      <c r="O37" s="7">
        <f>IF($A37="","",COUNTIFS('Ocorrências'!$B$5:$B$204,$A37,'Ocorrências'!$A$5:$A$204,"&gt;="&amp;$B$3,'Ocorrências'!$A$5:$A$204,"&lt;="&amp;$D$3))</f>
        <v/>
      </c>
      <c r="P37" s="7">
        <f>IF($A37="","",COUNTIFS('Ocorrências'!$B$5:$B$204,$A37,'Ocorrências'!$C$5:$C$204,"Ponto de atenção",'Ocorrências'!$A$5:$A$204,"&gt;="&amp;$B$3,'Ocorrências'!$A$5:$A$204,"&lt;="&amp;$D$3)+COUNTIFS('Ocorrências'!$B$5:$B$204,$A37,'Ocorrências'!$C$5:$C$204,"Crítica",'Ocorrências'!$A$5:$A$204,"&gt;="&amp;$B$3,'Ocorrências'!$A$5:$A$204,"&lt;="&amp;$D$3))</f>
        <v/>
      </c>
      <c r="Q37" s="7">
        <f>IF($A37="","",IF(COUNTIFS('Avaliação Semanal'!$B$5:$B$504,$A37,'Avaliação Semanal'!$C$5:$C$504,"GP",'Avaliação Semanal'!$A$5:$A$504,"&gt;="&amp;$B$3,'Avaliação Semanal'!$A$5:$A$504,"&lt;="&amp;$D$3)=0,"",IFERROR(INDEX('Avaliação Semanal'!$L$5:$L$504,MATCH($A37&amp;"|GP|"&amp;TEXT(_xlfn.MAXIFS('Avaliação Semanal'!$A$5:$A$504,'Avaliação Semanal'!$B$5:$B$504,$A37,'Avaliação Semanal'!$C$5:$C$504,"GP",'Avaliação Semanal'!$A$5:$A$504,"&lt;="&amp;$D$3),"00000"),'Avaliação Semanal'!$M$5:$M$504,0)),"")))</f>
        <v/>
      </c>
      <c r="R37" s="7">
        <f>IF($A37="","",IF(COUNTIFS('Avaliação Semanal'!$B$5:$B$504,$A37,'Avaliação Semanal'!$C$5:$C$504,"Líder Técnico",'Avaliação Semanal'!$A$5:$A$504,"&gt;="&amp;$B$3,'Avaliação Semanal'!$A$5:$A$504,"&lt;="&amp;$D$3)=0,"",IFERROR(INDEX('Avaliação Semanal'!$L$5:$L$504,MATCH($A37&amp;"|Líder Técnico|"&amp;TEXT(_xlfn.MAXIFS('Avaliação Semanal'!$A$5:$A$504,'Avaliação Semanal'!$B$5:$B$504,$A37,'Avaliação Semanal'!$C$5:$C$504,"Líder Técnico",'Avaliação Semanal'!$A$5:$A$504,"&lt;="&amp;$D$3),"00000"),'Avaliação Semanal'!$M$5:$M$504,0)),"")))</f>
        <v/>
      </c>
    </row>
    <row r="38" ht="30" customHeight="1">
      <c r="A38" s="7">
        <f>IF(Cadastro!$A37="","",Cadastro!$A37)</f>
        <v/>
      </c>
      <c r="B38" s="7">
        <f>IF(Cadastro!$A37="","",Cadastro!$B37)</f>
        <v/>
      </c>
      <c r="C38" s="7">
        <f>IF(Cadastro!$A37="","",Cadastro!$C37)</f>
        <v/>
      </c>
      <c r="D38" s="8">
        <f>IF($A38="","",IF(COUNTIFS('Avaliação Semanal'!$B$5:$B$504,$A38,'Avaliação Semanal'!$C$5:$C$504,"GP",'Avaliação Semanal'!$A$5:$A$504,"&gt;="&amp;$B$3,'Avaliação Semanal'!$A$5:$A$504,"&lt;="&amp;$D$3,'Avaliação Semanal'!$J$5:$J$504,"&gt;0")=0,"",ROUND(AVERAGEIFS('Avaliação Semanal'!$J$5:$J$504,'Avaliação Semanal'!$B$5:$B$504,$A38,'Avaliação Semanal'!$C$5:$C$504,"GP",'Avaliação Semanal'!$A$5:$A$504,"&gt;="&amp;$B$3,'Avaliação Semanal'!$A$5:$A$504,"&lt;="&amp;$D$3),2)))</f>
        <v/>
      </c>
      <c r="E38" s="8">
        <f>IF($A38="","",IF(COUNTIFS('Avaliação Semanal'!$B$5:$B$504,$A38,'Avaliação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Semanal'!$B$5:$B$504,$A38,'Avaliação Semanal'!$C$5:$C$504,"Líder Técnico",'Avaliação Semanal'!$A$5:$A$504,"&gt;="&amp;$B$3,'Avaliação Semanal'!$A$5:$A$504,"&lt;="&amp;$D$3),2)))</f>
        <v/>
      </c>
      <c r="F38" s="8">
        <f>IF($A38="","",IF(COUNTIFS('Avaliação Semanal'!$B$5:$B$504,$A38,'Avaliação Semanal'!$A$5:$A$504,"&gt;="&amp;$B$3,'Avaliação Semanal'!$A$5:$A$504,"&lt;="&amp;$D$3,'Avaliação Semanal'!$E$5:$E$504,"&gt;0")=0,"",ROUND(AVERAGEIFS('Avaliação Semanal'!$E$5:$E$504,'Avaliação Semanal'!$B$5:$B$504,$A38,'Avaliação Semanal'!$A$5:$A$504,"&gt;="&amp;$B$3,'Avaliação Semanal'!$A$5:$A$504,"&lt;="&amp;$D$3),2)))</f>
        <v/>
      </c>
      <c r="G38" s="8">
        <f>IF($A38="","",IF(COUNTIFS('Avaliação Semanal'!$B$5:$B$504,$A38,'Avaliação Semanal'!$A$5:$A$504,"&gt;="&amp;$B$3,'Avaliação Semanal'!$A$5:$A$504,"&lt;="&amp;$D$3,'Avaliação Semanal'!$F$5:$F$504,"&gt;0")=0,"",ROUND(AVERAGEIFS('Avaliação Semanal'!$F$5:$F$504,'Avaliação Semanal'!$B$5:$B$504,$A38,'Avaliação Semanal'!$A$5:$A$504,"&gt;="&amp;$B$3,'Avaliação Semanal'!$A$5:$A$504,"&lt;="&amp;$D$3),2)))</f>
        <v/>
      </c>
      <c r="H38" s="8">
        <f>IF($A38="","",IF(COUNTIFS('Avaliação Semanal'!$B$5:$B$504,$A38,'Avaliação Semanal'!$A$5:$A$504,"&gt;="&amp;$B$3,'Avaliação Semanal'!$A$5:$A$504,"&lt;="&amp;$D$3,'Avaliação Semanal'!$G$5:$G$504,"&gt;0")=0,"",ROUND(AVERAGEIFS('Avaliação Semanal'!$G$5:$G$504,'Avaliação Semanal'!$B$5:$B$504,$A38,'Avaliação Semanal'!$A$5:$A$504,"&gt;="&amp;$B$3,'Avaliação Semanal'!$A$5:$A$504,"&lt;="&amp;$D$3),2)))</f>
        <v/>
      </c>
      <c r="I38" s="8">
        <f>IF($A38="","",IF(COUNTIFS('Avaliação Semanal'!$B$5:$B$504,$A38,'Avaliação Semanal'!$A$5:$A$504,"&gt;="&amp;$B$3,'Avaliação Semanal'!$A$5:$A$504,"&lt;="&amp;$D$3,'Avaliação Semanal'!$H$5:$H$504,"&gt;0")=0,"",ROUND(AVERAGEIFS('Avaliação Semanal'!$H$5:$H$504,'Avaliação Semanal'!$B$5:$B$504,$A38,'Avaliação Semanal'!$A$5:$A$504,"&gt;="&amp;$B$3,'Avaliação Semanal'!$A$5:$A$504,"&lt;="&amp;$D$3),2)))</f>
        <v/>
      </c>
      <c r="J38" s="8">
        <f>IF($A38="","",IF(COUNTIFS('Avaliação Semanal'!$B$5:$B$504,$A38,'Avaliação Semanal'!$A$5:$A$504,"&gt;="&amp;$B$3,'Avaliação Semanal'!$A$5:$A$504,"&lt;="&amp;$D$3,'Avaliação Semanal'!$I$5:$I$504,"&gt;0")=0,"",ROUND(AVERAGEIFS('Avaliação Semanal'!$I$5:$I$504,'Avaliação Semanal'!$B$5:$B$504,$A38,'Avaliação Semanal'!$A$5:$A$504,"&gt;="&amp;$B$3,'Avaliação Semanal'!$A$5:$A$504,"&lt;="&amp;$D$3),2)))</f>
        <v/>
      </c>
      <c r="K38" s="9">
        <f>IF(COUNT($F38:$J38)=0,"",ROUND(AVERAGE($F38:$J38),2))</f>
        <v/>
      </c>
      <c r="L38" s="10">
        <f>IF($K38="","",IF($K38&gt;=Cadastro!$H$5,"Verde",IF($K38&gt;=Cadastro!$H$6,"Atenção","Crítico")))</f>
        <v/>
      </c>
      <c r="M38" s="7">
        <f>IF($A38="","",COUNTIFS('Avaliação Semanal'!$B$5:$B$504,$A38,'Avaliação Semanal'!$A$5:$A$504,"&gt;="&amp;$B$3,'Avaliação Semanal'!$A$5:$A$504,"&lt;="&amp;$D$3,'Avaliação Semanal'!$J$5:$J$504,"&gt;0"))</f>
        <v/>
      </c>
      <c r="N38" s="11">
        <f>IF($M38=0,"",_xlfn.MAXIFS('Avaliação Semanal'!$A$5:$A$504,'Avaliação Semanal'!$B$5:$B$504,$A38,'Avaliação Semanal'!$A$5:$A$504,"&lt;="&amp;$D$3))</f>
        <v/>
      </c>
      <c r="O38" s="7">
        <f>IF($A38="","",COUNTIFS('Ocorrências'!$B$5:$B$204,$A38,'Ocorrências'!$A$5:$A$204,"&gt;="&amp;$B$3,'Ocorrências'!$A$5:$A$204,"&lt;="&amp;$D$3))</f>
        <v/>
      </c>
      <c r="P38" s="7">
        <f>IF($A38="","",COUNTIFS('Ocorrências'!$B$5:$B$204,$A38,'Ocorrências'!$C$5:$C$204,"Ponto de atenção",'Ocorrências'!$A$5:$A$204,"&gt;="&amp;$B$3,'Ocorrências'!$A$5:$A$204,"&lt;="&amp;$D$3)+COUNTIFS('Ocorrências'!$B$5:$B$204,$A38,'Ocorrências'!$C$5:$C$204,"Crítica",'Ocorrências'!$A$5:$A$204,"&gt;="&amp;$B$3,'Ocorrências'!$A$5:$A$204,"&lt;="&amp;$D$3))</f>
        <v/>
      </c>
      <c r="Q38" s="7">
        <f>IF($A38="","",IF(COUNTIFS('Avaliação Semanal'!$B$5:$B$504,$A38,'Avaliação Semanal'!$C$5:$C$504,"GP",'Avaliação Semanal'!$A$5:$A$504,"&gt;="&amp;$B$3,'Avaliação Semanal'!$A$5:$A$504,"&lt;="&amp;$D$3)=0,"",IFERROR(INDEX('Avaliação Semanal'!$L$5:$L$504,MATCH($A38&amp;"|GP|"&amp;TEXT(_xlfn.MAXIFS('Avaliação Semanal'!$A$5:$A$504,'Avaliação Semanal'!$B$5:$B$504,$A38,'Avaliação Semanal'!$C$5:$C$504,"GP",'Avaliação Semanal'!$A$5:$A$504,"&lt;="&amp;$D$3),"00000"),'Avaliação Semanal'!$M$5:$M$504,0)),"")))</f>
        <v/>
      </c>
      <c r="R38" s="7">
        <f>IF($A38="","",IF(COUNTIFS('Avaliação Semanal'!$B$5:$B$504,$A38,'Avaliação Semanal'!$C$5:$C$504,"Líder Técnico",'Avaliação Semanal'!$A$5:$A$504,"&gt;="&amp;$B$3,'Avaliação Semanal'!$A$5:$A$504,"&lt;="&amp;$D$3)=0,"",IFERROR(INDEX('Avaliação Semanal'!$L$5:$L$504,MATCH($A38&amp;"|Líder Técnico|"&amp;TEXT(_xlfn.MAXIFS('Avaliação Semanal'!$A$5:$A$504,'Avaliação Semanal'!$B$5:$B$504,$A38,'Avaliação Semanal'!$C$5:$C$504,"Líder Técnico",'Avaliação Semanal'!$A$5:$A$504,"&lt;="&amp;$D$3),"00000"),'Avaliação Semanal'!$M$5:$M$504,0)),"")))</f>
        <v/>
      </c>
    </row>
    <row r="39" ht="30" customHeight="1">
      <c r="A39" s="7">
        <f>IF(Cadastro!$A38="","",Cadastro!$A38)</f>
        <v/>
      </c>
      <c r="B39" s="7">
        <f>IF(Cadastro!$A38="","",Cadastro!$B38)</f>
        <v/>
      </c>
      <c r="C39" s="7">
        <f>IF(Cadastro!$A38="","",Cadastro!$C38)</f>
        <v/>
      </c>
      <c r="D39" s="8">
        <f>IF($A39="","",IF(COUNTIFS('Avaliação Semanal'!$B$5:$B$504,$A39,'Avaliação Semanal'!$C$5:$C$504,"GP",'Avaliação Semanal'!$A$5:$A$504,"&gt;="&amp;$B$3,'Avaliação Semanal'!$A$5:$A$504,"&lt;="&amp;$D$3,'Avaliação Semanal'!$J$5:$J$504,"&gt;0")=0,"",ROUND(AVERAGEIFS('Avaliação Semanal'!$J$5:$J$504,'Avaliação Semanal'!$B$5:$B$504,$A39,'Avaliação Semanal'!$C$5:$C$504,"GP",'Avaliação Semanal'!$A$5:$A$504,"&gt;="&amp;$B$3,'Avaliação Semanal'!$A$5:$A$504,"&lt;="&amp;$D$3),2)))</f>
        <v/>
      </c>
      <c r="E39" s="8">
        <f>IF($A39="","",IF(COUNTIFS('Avaliação Semanal'!$B$5:$B$504,$A39,'Avaliação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Semanal'!$B$5:$B$504,$A39,'Avaliação Semanal'!$C$5:$C$504,"Líder Técnico",'Avaliação Semanal'!$A$5:$A$504,"&gt;="&amp;$B$3,'Avaliação Semanal'!$A$5:$A$504,"&lt;="&amp;$D$3),2)))</f>
        <v/>
      </c>
      <c r="F39" s="8">
        <f>IF($A39="","",IF(COUNTIFS('Avaliação Semanal'!$B$5:$B$504,$A39,'Avaliação Semanal'!$A$5:$A$504,"&gt;="&amp;$B$3,'Avaliação Semanal'!$A$5:$A$504,"&lt;="&amp;$D$3,'Avaliação Semanal'!$E$5:$E$504,"&gt;0")=0,"",ROUND(AVERAGEIFS('Avaliação Semanal'!$E$5:$E$504,'Avaliação Semanal'!$B$5:$B$504,$A39,'Avaliação Semanal'!$A$5:$A$504,"&gt;="&amp;$B$3,'Avaliação Semanal'!$A$5:$A$504,"&lt;="&amp;$D$3),2)))</f>
        <v/>
      </c>
      <c r="G39" s="8">
        <f>IF($A39="","",IF(COUNTIFS('Avaliação Semanal'!$B$5:$B$504,$A39,'Avaliação Semanal'!$A$5:$A$504,"&gt;="&amp;$B$3,'Avaliação Semanal'!$A$5:$A$504,"&lt;="&amp;$D$3,'Avaliação Semanal'!$F$5:$F$504,"&gt;0")=0,"",ROUND(AVERAGEIFS('Avaliação Semanal'!$F$5:$F$504,'Avaliação Semanal'!$B$5:$B$504,$A39,'Avaliação Semanal'!$A$5:$A$504,"&gt;="&amp;$B$3,'Avaliação Semanal'!$A$5:$A$504,"&lt;="&amp;$D$3),2)))</f>
        <v/>
      </c>
      <c r="H39" s="8">
        <f>IF($A39="","",IF(COUNTIFS('Avaliação Semanal'!$B$5:$B$504,$A39,'Avaliação Semanal'!$A$5:$A$504,"&gt;="&amp;$B$3,'Avaliação Semanal'!$A$5:$A$504,"&lt;="&amp;$D$3,'Avaliação Semanal'!$G$5:$G$504,"&gt;0")=0,"",ROUND(AVERAGEIFS('Avaliação Semanal'!$G$5:$G$504,'Avaliação Semanal'!$B$5:$B$504,$A39,'Avaliação Semanal'!$A$5:$A$504,"&gt;="&amp;$B$3,'Avaliação Semanal'!$A$5:$A$504,"&lt;="&amp;$D$3),2)))</f>
        <v/>
      </c>
      <c r="I39" s="8">
        <f>IF($A39="","",IF(COUNTIFS('Avaliação Semanal'!$B$5:$B$504,$A39,'Avaliação Semanal'!$A$5:$A$504,"&gt;="&amp;$B$3,'Avaliação Semanal'!$A$5:$A$504,"&lt;="&amp;$D$3,'Avaliação Semanal'!$H$5:$H$504,"&gt;0")=0,"",ROUND(AVERAGEIFS('Avaliação Semanal'!$H$5:$H$504,'Avaliação Semanal'!$B$5:$B$504,$A39,'Avaliação Semanal'!$A$5:$A$504,"&gt;="&amp;$B$3,'Avaliação Semanal'!$A$5:$A$504,"&lt;="&amp;$D$3),2)))</f>
        <v/>
      </c>
      <c r="J39" s="8">
        <f>IF($A39="","",IF(COUNTIFS('Avaliação Semanal'!$B$5:$B$504,$A39,'Avaliação Semanal'!$A$5:$A$504,"&gt;="&amp;$B$3,'Avaliação Semanal'!$A$5:$A$504,"&lt;="&amp;$D$3,'Avaliação Semanal'!$I$5:$I$504,"&gt;0")=0,"",ROUND(AVERAGEIFS('Avaliação Semanal'!$I$5:$I$504,'Avaliação Semanal'!$B$5:$B$504,$A39,'Avaliação Semanal'!$A$5:$A$504,"&gt;="&amp;$B$3,'Avaliação Semanal'!$A$5:$A$504,"&lt;="&amp;$D$3),2)))</f>
        <v/>
      </c>
      <c r="K39" s="9">
        <f>IF(COUNT($F39:$J39)=0,"",ROUND(AVERAGE($F39:$J39),2))</f>
        <v/>
      </c>
      <c r="L39" s="10">
        <f>IF($K39="","",IF($K39&gt;=Cadastro!$H$5,"Verde",IF($K39&gt;=Cadastro!$H$6,"Atenção","Crítico")))</f>
        <v/>
      </c>
      <c r="M39" s="7">
        <f>IF($A39="","",COUNTIFS('Avaliação Semanal'!$B$5:$B$504,$A39,'Avaliação Semanal'!$A$5:$A$504,"&gt;="&amp;$B$3,'Avaliação Semanal'!$A$5:$A$504,"&lt;="&amp;$D$3,'Avaliação Semanal'!$J$5:$J$504,"&gt;0"))</f>
        <v/>
      </c>
      <c r="N39" s="11">
        <f>IF($M39=0,"",_xlfn.MAXIFS('Avaliação Semanal'!$A$5:$A$504,'Avaliação Semanal'!$B$5:$B$504,$A39,'Avaliação Semanal'!$A$5:$A$504,"&lt;="&amp;$D$3))</f>
        <v/>
      </c>
      <c r="O39" s="7">
        <f>IF($A39="","",COUNTIFS('Ocorrências'!$B$5:$B$204,$A39,'Ocorrências'!$A$5:$A$204,"&gt;="&amp;$B$3,'Ocorrências'!$A$5:$A$204,"&lt;="&amp;$D$3))</f>
        <v/>
      </c>
      <c r="P39" s="7">
        <f>IF($A39="","",COUNTIFS('Ocorrências'!$B$5:$B$204,$A39,'Ocorrências'!$C$5:$C$204,"Ponto de atenção",'Ocorrências'!$A$5:$A$204,"&gt;="&amp;$B$3,'Ocorrências'!$A$5:$A$204,"&lt;="&amp;$D$3)+COUNTIFS('Ocorrências'!$B$5:$B$204,$A39,'Ocorrências'!$C$5:$C$204,"Crítica",'Ocorrências'!$A$5:$A$204,"&gt;="&amp;$B$3,'Ocorrências'!$A$5:$A$204,"&lt;="&amp;$D$3))</f>
        <v/>
      </c>
      <c r="Q39" s="7">
        <f>IF($A39="","",IF(COUNTIFS('Avaliação Semanal'!$B$5:$B$504,$A39,'Avaliação Semanal'!$C$5:$C$504,"GP",'Avaliação Semanal'!$A$5:$A$504,"&gt;="&amp;$B$3,'Avaliação Semanal'!$A$5:$A$504,"&lt;="&amp;$D$3)=0,"",IFERROR(INDEX('Avaliação Semanal'!$L$5:$L$504,MATCH($A39&amp;"|GP|"&amp;TEXT(_xlfn.MAXIFS('Avaliação Semanal'!$A$5:$A$504,'Avaliação Semanal'!$B$5:$B$504,$A39,'Avaliação Semanal'!$C$5:$C$504,"GP",'Avaliação Semanal'!$A$5:$A$504,"&lt;="&amp;$D$3),"00000"),'Avaliação Semanal'!$M$5:$M$504,0)),"")))</f>
        <v/>
      </c>
      <c r="R39" s="7">
        <f>IF($A39="","",IF(COUNTIFS('Avaliação Semanal'!$B$5:$B$504,$A39,'Avaliação Semanal'!$C$5:$C$504,"Líder Técnico",'Avaliação Semanal'!$A$5:$A$504,"&gt;="&amp;$B$3,'Avaliação Semanal'!$A$5:$A$504,"&lt;="&amp;$D$3)=0,"",IFERROR(INDEX('Avaliação Semanal'!$L$5:$L$504,MATCH($A39&amp;"|Líder Técnico|"&amp;TEXT(_xlfn.MAXIFS('Avaliação Semanal'!$A$5:$A$504,'Avaliação Semanal'!$B$5:$B$504,$A39,'Avaliação Semanal'!$C$5:$C$504,"Líder Técnico",'Avaliação Semanal'!$A$5:$A$504,"&lt;="&amp;$D$3),"00000"),'Avaliação Semanal'!$M$5:$M$504,0)),"")))</f>
        <v/>
      </c>
    </row>
    <row r="40" ht="30" customHeight="1">
      <c r="A40" s="7">
        <f>IF(Cadastro!$A39="","",Cadastro!$A39)</f>
        <v/>
      </c>
      <c r="B40" s="7">
        <f>IF(Cadastro!$A39="","",Cadastro!$B39)</f>
        <v/>
      </c>
      <c r="C40" s="7">
        <f>IF(Cadastro!$A39="","",Cadastro!$C39)</f>
        <v/>
      </c>
      <c r="D40" s="8">
        <f>IF($A40="","",IF(COUNTIFS('Avaliação Semanal'!$B$5:$B$504,$A40,'Avaliação Semanal'!$C$5:$C$504,"GP",'Avaliação Semanal'!$A$5:$A$504,"&gt;="&amp;$B$3,'Avaliação Semanal'!$A$5:$A$504,"&lt;="&amp;$D$3,'Avaliação Semanal'!$J$5:$J$504,"&gt;0")=0,"",ROUND(AVERAGEIFS('Avaliação Semanal'!$J$5:$J$504,'Avaliação Semanal'!$B$5:$B$504,$A40,'Avaliação Semanal'!$C$5:$C$504,"GP",'Avaliação Semanal'!$A$5:$A$504,"&gt;="&amp;$B$3,'Avaliação Semanal'!$A$5:$A$504,"&lt;="&amp;$D$3),2)))</f>
        <v/>
      </c>
      <c r="E40" s="8">
        <f>IF($A40="","",IF(COUNTIFS('Avaliação Semanal'!$B$5:$B$504,$A40,'Avaliação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Semanal'!$B$5:$B$504,$A40,'Avaliação Semanal'!$C$5:$C$504,"Líder Técnico",'Avaliação Semanal'!$A$5:$A$504,"&gt;="&amp;$B$3,'Avaliação Semanal'!$A$5:$A$504,"&lt;="&amp;$D$3),2)))</f>
        <v/>
      </c>
      <c r="F40" s="8">
        <f>IF($A40="","",IF(COUNTIFS('Avaliação Semanal'!$B$5:$B$504,$A40,'Avaliação Semanal'!$A$5:$A$504,"&gt;="&amp;$B$3,'Avaliação Semanal'!$A$5:$A$504,"&lt;="&amp;$D$3,'Avaliação Semanal'!$E$5:$E$504,"&gt;0")=0,"",ROUND(AVERAGEIFS('Avaliação Semanal'!$E$5:$E$504,'Avaliação Semanal'!$B$5:$B$504,$A40,'Avaliação Semanal'!$A$5:$A$504,"&gt;="&amp;$B$3,'Avaliação Semanal'!$A$5:$A$504,"&lt;="&amp;$D$3),2)))</f>
        <v/>
      </c>
      <c r="G40" s="8">
        <f>IF($A40="","",IF(COUNTIFS('Avaliação Semanal'!$B$5:$B$504,$A40,'Avaliação Semanal'!$A$5:$A$504,"&gt;="&amp;$B$3,'Avaliação Semanal'!$A$5:$A$504,"&lt;="&amp;$D$3,'Avaliação Semanal'!$F$5:$F$504,"&gt;0")=0,"",ROUND(AVERAGEIFS('Avaliação Semanal'!$F$5:$F$504,'Avaliação Semanal'!$B$5:$B$504,$A40,'Avaliação Semanal'!$A$5:$A$504,"&gt;="&amp;$B$3,'Avaliação Semanal'!$A$5:$A$504,"&lt;="&amp;$D$3),2)))</f>
        <v/>
      </c>
      <c r="H40" s="8">
        <f>IF($A40="","",IF(COUNTIFS('Avaliação Semanal'!$B$5:$B$504,$A40,'Avaliação Semanal'!$A$5:$A$504,"&gt;="&amp;$B$3,'Avaliação Semanal'!$A$5:$A$504,"&lt;="&amp;$D$3,'Avaliação Semanal'!$G$5:$G$504,"&gt;0")=0,"",ROUND(AVERAGEIFS('Avaliação Semanal'!$G$5:$G$504,'Avaliação Semanal'!$B$5:$B$504,$A40,'Avaliação Semanal'!$A$5:$A$504,"&gt;="&amp;$B$3,'Avaliação Semanal'!$A$5:$A$504,"&lt;="&amp;$D$3),2)))</f>
        <v/>
      </c>
      <c r="I40" s="8">
        <f>IF($A40="","",IF(COUNTIFS('Avaliação Semanal'!$B$5:$B$504,$A40,'Avaliação Semanal'!$A$5:$A$504,"&gt;="&amp;$B$3,'Avaliação Semanal'!$A$5:$A$504,"&lt;="&amp;$D$3,'Avaliação Semanal'!$H$5:$H$504,"&gt;0")=0,"",ROUND(AVERAGEIFS('Avaliação Semanal'!$H$5:$H$504,'Avaliação Semanal'!$B$5:$B$504,$A40,'Avaliação Semanal'!$A$5:$A$504,"&gt;="&amp;$B$3,'Avaliação Semanal'!$A$5:$A$504,"&lt;="&amp;$D$3),2)))</f>
        <v/>
      </c>
      <c r="J40" s="8">
        <f>IF($A40="","",IF(COUNTIFS('Avaliação Semanal'!$B$5:$B$504,$A40,'Avaliação Semanal'!$A$5:$A$504,"&gt;="&amp;$B$3,'Avaliação Semanal'!$A$5:$A$504,"&lt;="&amp;$D$3,'Avaliação Semanal'!$I$5:$I$504,"&gt;0")=0,"",ROUND(AVERAGEIFS('Avaliação Semanal'!$I$5:$I$504,'Avaliação Semanal'!$B$5:$B$504,$A40,'Avaliação Semanal'!$A$5:$A$504,"&gt;="&amp;$B$3,'Avaliação Semanal'!$A$5:$A$504,"&lt;="&amp;$D$3),2)))</f>
        <v/>
      </c>
      <c r="K40" s="9">
        <f>IF(COUNT($F40:$J40)=0,"",ROUND(AVERAGE($F40:$J40),2))</f>
        <v/>
      </c>
      <c r="L40" s="10">
        <f>IF($K40="","",IF($K40&gt;=Cadastro!$H$5,"Verde",IF($K40&gt;=Cadastro!$H$6,"Atenção","Crítico")))</f>
        <v/>
      </c>
      <c r="M40" s="7">
        <f>IF($A40="","",COUNTIFS('Avaliação Semanal'!$B$5:$B$504,$A40,'Avaliação Semanal'!$A$5:$A$504,"&gt;="&amp;$B$3,'Avaliação Semanal'!$A$5:$A$504,"&lt;="&amp;$D$3,'Avaliação Semanal'!$J$5:$J$504,"&gt;0"))</f>
        <v/>
      </c>
      <c r="N40" s="11">
        <f>IF($M40=0,"",_xlfn.MAXIFS('Avaliação Semanal'!$A$5:$A$504,'Avaliação Semanal'!$B$5:$B$504,$A40,'Avaliação Semanal'!$A$5:$A$504,"&lt;="&amp;$D$3))</f>
        <v/>
      </c>
      <c r="O40" s="7">
        <f>IF($A40="","",COUNTIFS('Ocorrências'!$B$5:$B$204,$A40,'Ocorrências'!$A$5:$A$204,"&gt;="&amp;$B$3,'Ocorrências'!$A$5:$A$204,"&lt;="&amp;$D$3))</f>
        <v/>
      </c>
      <c r="P40" s="7">
        <f>IF($A40="","",COUNTIFS('Ocorrências'!$B$5:$B$204,$A40,'Ocorrências'!$C$5:$C$204,"Ponto de atenção",'Ocorrências'!$A$5:$A$204,"&gt;="&amp;$B$3,'Ocorrências'!$A$5:$A$204,"&lt;="&amp;$D$3)+COUNTIFS('Ocorrências'!$B$5:$B$204,$A40,'Ocorrências'!$C$5:$C$204,"Crítica",'Ocorrências'!$A$5:$A$204,"&gt;="&amp;$B$3,'Ocorrências'!$A$5:$A$204,"&lt;="&amp;$D$3))</f>
        <v/>
      </c>
      <c r="Q40" s="7">
        <f>IF($A40="","",IF(COUNTIFS('Avaliação Semanal'!$B$5:$B$504,$A40,'Avaliação Semanal'!$C$5:$C$504,"GP",'Avaliação Semanal'!$A$5:$A$504,"&gt;="&amp;$B$3,'Avaliação Semanal'!$A$5:$A$504,"&lt;="&amp;$D$3)=0,"",IFERROR(INDEX('Avaliação Semanal'!$L$5:$L$504,MATCH($A40&amp;"|GP|"&amp;TEXT(_xlfn.MAXIFS('Avaliação Semanal'!$A$5:$A$504,'Avaliação Semanal'!$B$5:$B$504,$A40,'Avaliação Semanal'!$C$5:$C$504,"GP",'Avaliação Semanal'!$A$5:$A$504,"&lt;="&amp;$D$3),"00000"),'Avaliação Semanal'!$M$5:$M$504,0)),"")))</f>
        <v/>
      </c>
      <c r="R40" s="7">
        <f>IF($A40="","",IF(COUNTIFS('Avaliação Semanal'!$B$5:$B$504,$A40,'Avaliação Semanal'!$C$5:$C$504,"Líder Técnico",'Avaliação Semanal'!$A$5:$A$504,"&gt;="&amp;$B$3,'Avaliação Semanal'!$A$5:$A$504,"&lt;="&amp;$D$3)=0,"",IFERROR(INDEX('Avaliação Semanal'!$L$5:$L$504,MATCH($A40&amp;"|Líder Técnico|"&amp;TEXT(_xlfn.MAXIFS('Avaliação Semanal'!$A$5:$A$504,'Avaliação Semanal'!$B$5:$B$504,$A40,'Avaliação Semanal'!$C$5:$C$504,"Líder Técnico",'Avaliação Semanal'!$A$5:$A$504,"&lt;="&amp;$D$3),"00000"),'Avaliação Semanal'!$M$5:$M$504,0)),"")))</f>
        <v/>
      </c>
    </row>
    <row r="41" ht="30" customHeight="1">
      <c r="A41" s="7">
        <f>IF(Cadastro!$A40="","",Cadastro!$A40)</f>
        <v/>
      </c>
      <c r="B41" s="7">
        <f>IF(Cadastro!$A40="","",Cadastro!$B40)</f>
        <v/>
      </c>
      <c r="C41" s="7">
        <f>IF(Cadastro!$A40="","",Cadastro!$C40)</f>
        <v/>
      </c>
      <c r="D41" s="8">
        <f>IF($A41="","",IF(COUNTIFS('Avaliação Semanal'!$B$5:$B$504,$A41,'Avaliação Semanal'!$C$5:$C$504,"GP",'Avaliação Semanal'!$A$5:$A$504,"&gt;="&amp;$B$3,'Avaliação Semanal'!$A$5:$A$504,"&lt;="&amp;$D$3,'Avaliação Semanal'!$J$5:$J$504,"&gt;0")=0,"",ROUND(AVERAGEIFS('Avaliação Semanal'!$J$5:$J$504,'Avaliação Semanal'!$B$5:$B$504,$A41,'Avaliação Semanal'!$C$5:$C$504,"GP",'Avaliação Semanal'!$A$5:$A$504,"&gt;="&amp;$B$3,'Avaliação Semanal'!$A$5:$A$504,"&lt;="&amp;$D$3),2)))</f>
        <v/>
      </c>
      <c r="E41" s="8">
        <f>IF($A41="","",IF(COUNTIFS('Avaliação Semanal'!$B$5:$B$504,$A41,'Avaliação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Semanal'!$B$5:$B$504,$A41,'Avaliação Semanal'!$C$5:$C$504,"Líder Técnico",'Avaliação Semanal'!$A$5:$A$504,"&gt;="&amp;$B$3,'Avaliação Semanal'!$A$5:$A$504,"&lt;="&amp;$D$3),2)))</f>
        <v/>
      </c>
      <c r="F41" s="8">
        <f>IF($A41="","",IF(COUNTIFS('Avaliação Semanal'!$B$5:$B$504,$A41,'Avaliação Semanal'!$A$5:$A$504,"&gt;="&amp;$B$3,'Avaliação Semanal'!$A$5:$A$504,"&lt;="&amp;$D$3,'Avaliação Semanal'!$E$5:$E$504,"&gt;0")=0,"",ROUND(AVERAGEIFS('Avaliação Semanal'!$E$5:$E$504,'Avaliação Semanal'!$B$5:$B$504,$A41,'Avaliação Semanal'!$A$5:$A$504,"&gt;="&amp;$B$3,'Avaliação Semanal'!$A$5:$A$504,"&lt;="&amp;$D$3),2)))</f>
        <v/>
      </c>
      <c r="G41" s="8">
        <f>IF($A41="","",IF(COUNTIFS('Avaliação Semanal'!$B$5:$B$504,$A41,'Avaliação Semanal'!$A$5:$A$504,"&gt;="&amp;$B$3,'Avaliação Semanal'!$A$5:$A$504,"&lt;="&amp;$D$3,'Avaliação Semanal'!$F$5:$F$504,"&gt;0")=0,"",ROUND(AVERAGEIFS('Avaliação Semanal'!$F$5:$F$504,'Avaliação Semanal'!$B$5:$B$504,$A41,'Avaliação Semanal'!$A$5:$A$504,"&gt;="&amp;$B$3,'Avaliação Semanal'!$A$5:$A$504,"&lt;="&amp;$D$3),2)))</f>
        <v/>
      </c>
      <c r="H41" s="8">
        <f>IF($A41="","",IF(COUNTIFS('Avaliação Semanal'!$B$5:$B$504,$A41,'Avaliação Semanal'!$A$5:$A$504,"&gt;="&amp;$B$3,'Avaliação Semanal'!$A$5:$A$504,"&lt;="&amp;$D$3,'Avaliação Semanal'!$G$5:$G$504,"&gt;0")=0,"",ROUND(AVERAGEIFS('Avaliação Semanal'!$G$5:$G$504,'Avaliação Semanal'!$B$5:$B$504,$A41,'Avaliação Semanal'!$A$5:$A$504,"&gt;="&amp;$B$3,'Avaliação Semanal'!$A$5:$A$504,"&lt;="&amp;$D$3),2)))</f>
        <v/>
      </c>
      <c r="I41" s="8">
        <f>IF($A41="","",IF(COUNTIFS('Avaliação Semanal'!$B$5:$B$504,$A41,'Avaliação Semanal'!$A$5:$A$504,"&gt;="&amp;$B$3,'Avaliação Semanal'!$A$5:$A$504,"&lt;="&amp;$D$3,'Avaliação Semanal'!$H$5:$H$504,"&gt;0")=0,"",ROUND(AVERAGEIFS('Avaliação Semanal'!$H$5:$H$504,'Avaliação Semanal'!$B$5:$B$504,$A41,'Avaliação Semanal'!$A$5:$A$504,"&gt;="&amp;$B$3,'Avaliação Semanal'!$A$5:$A$504,"&lt;="&amp;$D$3),2)))</f>
        <v/>
      </c>
      <c r="J41" s="8">
        <f>IF($A41="","",IF(COUNTIFS('Avaliação Semanal'!$B$5:$B$504,$A41,'Avaliação Semanal'!$A$5:$A$504,"&gt;="&amp;$B$3,'Avaliação Semanal'!$A$5:$A$504,"&lt;="&amp;$D$3,'Avaliação Semanal'!$I$5:$I$504,"&gt;0")=0,"",ROUND(AVERAGEIFS('Avaliação Semanal'!$I$5:$I$504,'Avaliação Semanal'!$B$5:$B$504,$A41,'Avaliação Semanal'!$A$5:$A$504,"&gt;="&amp;$B$3,'Avaliação Semanal'!$A$5:$A$504,"&lt;="&amp;$D$3),2)))</f>
        <v/>
      </c>
      <c r="K41" s="9">
        <f>IF(COUNT($F41:$J41)=0,"",ROUND(AVERAGE($F41:$J41),2))</f>
        <v/>
      </c>
      <c r="L41" s="10">
        <f>IF($K41="","",IF($K41&gt;=Cadastro!$H$5,"Verde",IF($K41&gt;=Cadastro!$H$6,"Atenção","Crítico")))</f>
        <v/>
      </c>
      <c r="M41" s="7">
        <f>IF($A41="","",COUNTIFS('Avaliação Semanal'!$B$5:$B$504,$A41,'Avaliação Semanal'!$A$5:$A$504,"&gt;="&amp;$B$3,'Avaliação Semanal'!$A$5:$A$504,"&lt;="&amp;$D$3,'Avaliação Semanal'!$J$5:$J$504,"&gt;0"))</f>
        <v/>
      </c>
      <c r="N41" s="11">
        <f>IF($M41=0,"",_xlfn.MAXIFS('Avaliação Semanal'!$A$5:$A$504,'Avaliação Semanal'!$B$5:$B$504,$A41,'Avaliação Semanal'!$A$5:$A$504,"&lt;="&amp;$D$3))</f>
        <v/>
      </c>
      <c r="O41" s="7">
        <f>IF($A41="","",COUNTIFS('Ocorrências'!$B$5:$B$204,$A41,'Ocorrências'!$A$5:$A$204,"&gt;="&amp;$B$3,'Ocorrências'!$A$5:$A$204,"&lt;="&amp;$D$3))</f>
        <v/>
      </c>
      <c r="P41" s="7">
        <f>IF($A41="","",COUNTIFS('Ocorrências'!$B$5:$B$204,$A41,'Ocorrências'!$C$5:$C$204,"Ponto de atenção",'Ocorrências'!$A$5:$A$204,"&gt;="&amp;$B$3,'Ocorrências'!$A$5:$A$204,"&lt;="&amp;$D$3)+COUNTIFS('Ocorrências'!$B$5:$B$204,$A41,'Ocorrências'!$C$5:$C$204,"Crítica",'Ocorrências'!$A$5:$A$204,"&gt;="&amp;$B$3,'Ocorrências'!$A$5:$A$204,"&lt;="&amp;$D$3))</f>
        <v/>
      </c>
      <c r="Q41" s="7">
        <f>IF($A41="","",IF(COUNTIFS('Avaliação Semanal'!$B$5:$B$504,$A41,'Avaliação Semanal'!$C$5:$C$504,"GP",'Avaliação Semanal'!$A$5:$A$504,"&gt;="&amp;$B$3,'Avaliação Semanal'!$A$5:$A$504,"&lt;="&amp;$D$3)=0,"",IFERROR(INDEX('Avaliação Semanal'!$L$5:$L$504,MATCH($A41&amp;"|GP|"&amp;TEXT(_xlfn.MAXIFS('Avaliação Semanal'!$A$5:$A$504,'Avaliação Semanal'!$B$5:$B$504,$A41,'Avaliação Semanal'!$C$5:$C$504,"GP",'Avaliação Semanal'!$A$5:$A$504,"&lt;="&amp;$D$3),"00000"),'Avaliação Semanal'!$M$5:$M$504,0)),"")))</f>
        <v/>
      </c>
      <c r="R41" s="7">
        <f>IF($A41="","",IF(COUNTIFS('Avaliação Semanal'!$B$5:$B$504,$A41,'Avaliação Semanal'!$C$5:$C$504,"Líder Técnico",'Avaliação Semanal'!$A$5:$A$504,"&gt;="&amp;$B$3,'Avaliação Semanal'!$A$5:$A$504,"&lt;="&amp;$D$3)=0,"",IFERROR(INDEX('Avaliação Semanal'!$L$5:$L$504,MATCH($A41&amp;"|Líder Técnico|"&amp;TEXT(_xlfn.MAXIFS('Avaliação Semanal'!$A$5:$A$504,'Avaliação Semanal'!$B$5:$B$504,$A41,'Avaliação Semanal'!$C$5:$C$504,"Líder Técnico",'Avaliação Semanal'!$A$5:$A$504,"&lt;="&amp;$D$3),"00000"),'Avaliação Semanal'!$M$5:$M$504,0)),"")))</f>
        <v/>
      </c>
    </row>
    <row r="42" ht="30" customHeight="1">
      <c r="A42" s="7">
        <f>IF(Cadastro!$A41="","",Cadastro!$A41)</f>
        <v/>
      </c>
      <c r="B42" s="7">
        <f>IF(Cadastro!$A41="","",Cadastro!$B41)</f>
        <v/>
      </c>
      <c r="C42" s="7">
        <f>IF(Cadastro!$A41="","",Cadastro!$C41)</f>
        <v/>
      </c>
      <c r="D42" s="8">
        <f>IF($A42="","",IF(COUNTIFS('Avaliação Semanal'!$B$5:$B$504,$A42,'Avaliação Semanal'!$C$5:$C$504,"GP",'Avaliação Semanal'!$A$5:$A$504,"&gt;="&amp;$B$3,'Avaliação Semanal'!$A$5:$A$504,"&lt;="&amp;$D$3,'Avaliação Semanal'!$J$5:$J$504,"&gt;0")=0,"",ROUND(AVERAGEIFS('Avaliação Semanal'!$J$5:$J$504,'Avaliação Semanal'!$B$5:$B$504,$A42,'Avaliação Semanal'!$C$5:$C$504,"GP",'Avaliação Semanal'!$A$5:$A$504,"&gt;="&amp;$B$3,'Avaliação Semanal'!$A$5:$A$504,"&lt;="&amp;$D$3),2)))</f>
        <v/>
      </c>
      <c r="E42" s="8">
        <f>IF($A42="","",IF(COUNTIFS('Avaliação Semanal'!$B$5:$B$504,$A42,'Avaliação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Semanal'!$B$5:$B$504,$A42,'Avaliação Semanal'!$C$5:$C$504,"Líder Técnico",'Avaliação Semanal'!$A$5:$A$504,"&gt;="&amp;$B$3,'Avaliação Semanal'!$A$5:$A$504,"&lt;="&amp;$D$3),2)))</f>
        <v/>
      </c>
      <c r="F42" s="8">
        <f>IF($A42="","",IF(COUNTIFS('Avaliação Semanal'!$B$5:$B$504,$A42,'Avaliação Semanal'!$A$5:$A$504,"&gt;="&amp;$B$3,'Avaliação Semanal'!$A$5:$A$504,"&lt;="&amp;$D$3,'Avaliação Semanal'!$E$5:$E$504,"&gt;0")=0,"",ROUND(AVERAGEIFS('Avaliação Semanal'!$E$5:$E$504,'Avaliação Semanal'!$B$5:$B$504,$A42,'Avaliação Semanal'!$A$5:$A$504,"&gt;="&amp;$B$3,'Avaliação Semanal'!$A$5:$A$504,"&lt;="&amp;$D$3),2)))</f>
        <v/>
      </c>
      <c r="G42" s="8">
        <f>IF($A42="","",IF(COUNTIFS('Avaliação Semanal'!$B$5:$B$504,$A42,'Avaliação Semanal'!$A$5:$A$504,"&gt;="&amp;$B$3,'Avaliação Semanal'!$A$5:$A$504,"&lt;="&amp;$D$3,'Avaliação Semanal'!$F$5:$F$504,"&gt;0")=0,"",ROUND(AVERAGEIFS('Avaliação Semanal'!$F$5:$F$504,'Avaliação Semanal'!$B$5:$B$504,$A42,'Avaliação Semanal'!$A$5:$A$504,"&gt;="&amp;$B$3,'Avaliação Semanal'!$A$5:$A$504,"&lt;="&amp;$D$3),2)))</f>
        <v/>
      </c>
      <c r="H42" s="8">
        <f>IF($A42="","",IF(COUNTIFS('Avaliação Semanal'!$B$5:$B$504,$A42,'Avaliação Semanal'!$A$5:$A$504,"&gt;="&amp;$B$3,'Avaliação Semanal'!$A$5:$A$504,"&lt;="&amp;$D$3,'Avaliação Semanal'!$G$5:$G$504,"&gt;0")=0,"",ROUND(AVERAGEIFS('Avaliação Semanal'!$G$5:$G$504,'Avaliação Semanal'!$B$5:$B$504,$A42,'Avaliação Semanal'!$A$5:$A$504,"&gt;="&amp;$B$3,'Avaliação Semanal'!$A$5:$A$504,"&lt;="&amp;$D$3),2)))</f>
        <v/>
      </c>
      <c r="I42" s="8">
        <f>IF($A42="","",IF(COUNTIFS('Avaliação Semanal'!$B$5:$B$504,$A42,'Avaliação Semanal'!$A$5:$A$504,"&gt;="&amp;$B$3,'Avaliação Semanal'!$A$5:$A$504,"&lt;="&amp;$D$3,'Avaliação Semanal'!$H$5:$H$504,"&gt;0")=0,"",ROUND(AVERAGEIFS('Avaliação Semanal'!$H$5:$H$504,'Avaliação Semanal'!$B$5:$B$504,$A42,'Avaliação Semanal'!$A$5:$A$504,"&gt;="&amp;$B$3,'Avaliação Semanal'!$A$5:$A$504,"&lt;="&amp;$D$3),2)))</f>
        <v/>
      </c>
      <c r="J42" s="8">
        <f>IF($A42="","",IF(COUNTIFS('Avaliação Semanal'!$B$5:$B$504,$A42,'Avaliação Semanal'!$A$5:$A$504,"&gt;="&amp;$B$3,'Avaliação Semanal'!$A$5:$A$504,"&lt;="&amp;$D$3,'Avaliação Semanal'!$I$5:$I$504,"&gt;0")=0,"",ROUND(AVERAGEIFS('Avaliação Semanal'!$I$5:$I$504,'Avaliação Semanal'!$B$5:$B$504,$A42,'Avaliação Semanal'!$A$5:$A$504,"&gt;="&amp;$B$3,'Avaliação Semanal'!$A$5:$A$504,"&lt;="&amp;$D$3),2)))</f>
        <v/>
      </c>
      <c r="K42" s="9">
        <f>IF(COUNT($F42:$J42)=0,"",ROUND(AVERAGE($F42:$J42),2))</f>
        <v/>
      </c>
      <c r="L42" s="10">
        <f>IF($K42="","",IF($K42&gt;=Cadastro!$H$5,"Verde",IF($K42&gt;=Cadastro!$H$6,"Atenção","Crítico")))</f>
        <v/>
      </c>
      <c r="M42" s="7">
        <f>IF($A42="","",COUNTIFS('Avaliação Semanal'!$B$5:$B$504,$A42,'Avaliação Semanal'!$A$5:$A$504,"&gt;="&amp;$B$3,'Avaliação Semanal'!$A$5:$A$504,"&lt;="&amp;$D$3,'Avaliação Semanal'!$J$5:$J$504,"&gt;0"))</f>
        <v/>
      </c>
      <c r="N42" s="11">
        <f>IF($M42=0,"",_xlfn.MAXIFS('Avaliação Semanal'!$A$5:$A$504,'Avaliação Semanal'!$B$5:$B$504,$A42,'Avaliação Semanal'!$A$5:$A$504,"&lt;="&amp;$D$3))</f>
        <v/>
      </c>
      <c r="O42" s="7">
        <f>IF($A42="","",COUNTIFS('Ocorrências'!$B$5:$B$204,$A42,'Ocorrências'!$A$5:$A$204,"&gt;="&amp;$B$3,'Ocorrências'!$A$5:$A$204,"&lt;="&amp;$D$3))</f>
        <v/>
      </c>
      <c r="P42" s="7">
        <f>IF($A42="","",COUNTIFS('Ocorrências'!$B$5:$B$204,$A42,'Ocorrências'!$C$5:$C$204,"Ponto de atenção",'Ocorrências'!$A$5:$A$204,"&gt;="&amp;$B$3,'Ocorrências'!$A$5:$A$204,"&lt;="&amp;$D$3)+COUNTIFS('Ocorrências'!$B$5:$B$204,$A42,'Ocorrências'!$C$5:$C$204,"Crítica",'Ocorrências'!$A$5:$A$204,"&gt;="&amp;$B$3,'Ocorrências'!$A$5:$A$204,"&lt;="&amp;$D$3))</f>
        <v/>
      </c>
      <c r="Q42" s="7">
        <f>IF($A42="","",IF(COUNTIFS('Avaliação Semanal'!$B$5:$B$504,$A42,'Avaliação Semanal'!$C$5:$C$504,"GP",'Avaliação Semanal'!$A$5:$A$504,"&gt;="&amp;$B$3,'Avaliação Semanal'!$A$5:$A$504,"&lt;="&amp;$D$3)=0,"",IFERROR(INDEX('Avaliação Semanal'!$L$5:$L$504,MATCH($A42&amp;"|GP|"&amp;TEXT(_xlfn.MAXIFS('Avaliação Semanal'!$A$5:$A$504,'Avaliação Semanal'!$B$5:$B$504,$A42,'Avaliação Semanal'!$C$5:$C$504,"GP",'Avaliação Semanal'!$A$5:$A$504,"&lt;="&amp;$D$3),"00000"),'Avaliação Semanal'!$M$5:$M$504,0)),"")))</f>
        <v/>
      </c>
      <c r="R42" s="7">
        <f>IF($A42="","",IF(COUNTIFS('Avaliação Semanal'!$B$5:$B$504,$A42,'Avaliação Semanal'!$C$5:$C$504,"Líder Técnico",'Avaliação Semanal'!$A$5:$A$504,"&gt;="&amp;$B$3,'Avaliação Semanal'!$A$5:$A$504,"&lt;="&amp;$D$3)=0,"",IFERROR(INDEX('Avaliação Semanal'!$L$5:$L$504,MATCH($A42&amp;"|Líder Técnico|"&amp;TEXT(_xlfn.MAXIFS('Avaliação Semanal'!$A$5:$A$504,'Avaliação Semanal'!$B$5:$B$504,$A42,'Avaliação Semanal'!$C$5:$C$504,"Líder Técnico",'Avaliação Semanal'!$A$5:$A$504,"&lt;="&amp;$D$3),"00000"),'Avaliação Semanal'!$M$5:$M$504,0)),"")))</f>
        <v/>
      </c>
    </row>
    <row r="43" ht="30" customHeight="1">
      <c r="A43" s="7">
        <f>IF(Cadastro!$A42="","",Cadastro!$A42)</f>
        <v/>
      </c>
      <c r="B43" s="7">
        <f>IF(Cadastro!$A42="","",Cadastro!$B42)</f>
        <v/>
      </c>
      <c r="C43" s="7">
        <f>IF(Cadastro!$A42="","",Cadastro!$C42)</f>
        <v/>
      </c>
      <c r="D43" s="8">
        <f>IF($A43="","",IF(COUNTIFS('Avaliação Semanal'!$B$5:$B$504,$A43,'Avaliação Semanal'!$C$5:$C$504,"GP",'Avaliação Semanal'!$A$5:$A$504,"&gt;="&amp;$B$3,'Avaliação Semanal'!$A$5:$A$504,"&lt;="&amp;$D$3,'Avaliação Semanal'!$J$5:$J$504,"&gt;0")=0,"",ROUND(AVERAGEIFS('Avaliação Semanal'!$J$5:$J$504,'Avaliação Semanal'!$B$5:$B$504,$A43,'Avaliação Semanal'!$C$5:$C$504,"GP",'Avaliação Semanal'!$A$5:$A$504,"&gt;="&amp;$B$3,'Avaliação Semanal'!$A$5:$A$504,"&lt;="&amp;$D$3),2)))</f>
        <v/>
      </c>
      <c r="E43" s="8">
        <f>IF($A43="","",IF(COUNTIFS('Avaliação Semanal'!$B$5:$B$504,$A43,'Avaliação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Semanal'!$B$5:$B$504,$A43,'Avaliação Semanal'!$C$5:$C$504,"Líder Técnico",'Avaliação Semanal'!$A$5:$A$504,"&gt;="&amp;$B$3,'Avaliação Semanal'!$A$5:$A$504,"&lt;="&amp;$D$3),2)))</f>
        <v/>
      </c>
      <c r="F43" s="8">
        <f>IF($A43="","",IF(COUNTIFS('Avaliação Semanal'!$B$5:$B$504,$A43,'Avaliação Semanal'!$A$5:$A$504,"&gt;="&amp;$B$3,'Avaliação Semanal'!$A$5:$A$504,"&lt;="&amp;$D$3,'Avaliação Semanal'!$E$5:$E$504,"&gt;0")=0,"",ROUND(AVERAGEIFS('Avaliação Semanal'!$E$5:$E$504,'Avaliação Semanal'!$B$5:$B$504,$A43,'Avaliação Semanal'!$A$5:$A$504,"&gt;="&amp;$B$3,'Avaliação Semanal'!$A$5:$A$504,"&lt;="&amp;$D$3),2)))</f>
        <v/>
      </c>
      <c r="G43" s="8">
        <f>IF($A43="","",IF(COUNTIFS('Avaliação Semanal'!$B$5:$B$504,$A43,'Avaliação Semanal'!$A$5:$A$504,"&gt;="&amp;$B$3,'Avaliação Semanal'!$A$5:$A$504,"&lt;="&amp;$D$3,'Avaliação Semanal'!$F$5:$F$504,"&gt;0")=0,"",ROUND(AVERAGEIFS('Avaliação Semanal'!$F$5:$F$504,'Avaliação Semanal'!$B$5:$B$504,$A43,'Avaliação Semanal'!$A$5:$A$504,"&gt;="&amp;$B$3,'Avaliação Semanal'!$A$5:$A$504,"&lt;="&amp;$D$3),2)))</f>
        <v/>
      </c>
      <c r="H43" s="8">
        <f>IF($A43="","",IF(COUNTIFS('Avaliação Semanal'!$B$5:$B$504,$A43,'Avaliação Semanal'!$A$5:$A$504,"&gt;="&amp;$B$3,'Avaliação Semanal'!$A$5:$A$504,"&lt;="&amp;$D$3,'Avaliação Semanal'!$G$5:$G$504,"&gt;0")=0,"",ROUND(AVERAGEIFS('Avaliação Semanal'!$G$5:$G$504,'Avaliação Semanal'!$B$5:$B$504,$A43,'Avaliação Semanal'!$A$5:$A$504,"&gt;="&amp;$B$3,'Avaliação Semanal'!$A$5:$A$504,"&lt;="&amp;$D$3),2)))</f>
        <v/>
      </c>
      <c r="I43" s="8">
        <f>IF($A43="","",IF(COUNTIFS('Avaliação Semanal'!$B$5:$B$504,$A43,'Avaliação Semanal'!$A$5:$A$504,"&gt;="&amp;$B$3,'Avaliação Semanal'!$A$5:$A$504,"&lt;="&amp;$D$3,'Avaliação Semanal'!$H$5:$H$504,"&gt;0")=0,"",ROUND(AVERAGEIFS('Avaliação Semanal'!$H$5:$H$504,'Avaliação Semanal'!$B$5:$B$504,$A43,'Avaliação Semanal'!$A$5:$A$504,"&gt;="&amp;$B$3,'Avaliação Semanal'!$A$5:$A$504,"&lt;="&amp;$D$3),2)))</f>
        <v/>
      </c>
      <c r="J43" s="8">
        <f>IF($A43="","",IF(COUNTIFS('Avaliação Semanal'!$B$5:$B$504,$A43,'Avaliação Semanal'!$A$5:$A$504,"&gt;="&amp;$B$3,'Avaliação Semanal'!$A$5:$A$504,"&lt;="&amp;$D$3,'Avaliação Semanal'!$I$5:$I$504,"&gt;0")=0,"",ROUND(AVERAGEIFS('Avaliação Semanal'!$I$5:$I$504,'Avaliação Semanal'!$B$5:$B$504,$A43,'Avaliação Semanal'!$A$5:$A$504,"&gt;="&amp;$B$3,'Avaliação Semanal'!$A$5:$A$504,"&lt;="&amp;$D$3),2)))</f>
        <v/>
      </c>
      <c r="K43" s="9">
        <f>IF(COUNT($F43:$J43)=0,"",ROUND(AVERAGE($F43:$J43),2))</f>
        <v/>
      </c>
      <c r="L43" s="10">
        <f>IF($K43="","",IF($K43&gt;=Cadastro!$H$5,"Verde",IF($K43&gt;=Cadastro!$H$6,"Atenção","Crítico")))</f>
        <v/>
      </c>
      <c r="M43" s="7">
        <f>IF($A43="","",COUNTIFS('Avaliação Semanal'!$B$5:$B$504,$A43,'Avaliação Semanal'!$A$5:$A$504,"&gt;="&amp;$B$3,'Avaliação Semanal'!$A$5:$A$504,"&lt;="&amp;$D$3,'Avaliação Semanal'!$J$5:$J$504,"&gt;0"))</f>
        <v/>
      </c>
      <c r="N43" s="11">
        <f>IF($M43=0,"",_xlfn.MAXIFS('Avaliação Semanal'!$A$5:$A$504,'Avaliação Semanal'!$B$5:$B$504,$A43,'Avaliação Semanal'!$A$5:$A$504,"&lt;="&amp;$D$3))</f>
        <v/>
      </c>
      <c r="O43" s="7">
        <f>IF($A43="","",COUNTIFS('Ocorrências'!$B$5:$B$204,$A43,'Ocorrências'!$A$5:$A$204,"&gt;="&amp;$B$3,'Ocorrências'!$A$5:$A$204,"&lt;="&amp;$D$3))</f>
        <v/>
      </c>
      <c r="P43" s="7">
        <f>IF($A43="","",COUNTIFS('Ocorrências'!$B$5:$B$204,$A43,'Ocorrências'!$C$5:$C$204,"Ponto de atenção",'Ocorrências'!$A$5:$A$204,"&gt;="&amp;$B$3,'Ocorrências'!$A$5:$A$204,"&lt;="&amp;$D$3)+COUNTIFS('Ocorrências'!$B$5:$B$204,$A43,'Ocorrências'!$C$5:$C$204,"Crítica",'Ocorrências'!$A$5:$A$204,"&gt;="&amp;$B$3,'Ocorrências'!$A$5:$A$204,"&lt;="&amp;$D$3))</f>
        <v/>
      </c>
      <c r="Q43" s="7">
        <f>IF($A43="","",IF(COUNTIFS('Avaliação Semanal'!$B$5:$B$504,$A43,'Avaliação Semanal'!$C$5:$C$504,"GP",'Avaliação Semanal'!$A$5:$A$504,"&gt;="&amp;$B$3,'Avaliação Semanal'!$A$5:$A$504,"&lt;="&amp;$D$3)=0,"",IFERROR(INDEX('Avaliação Semanal'!$L$5:$L$504,MATCH($A43&amp;"|GP|"&amp;TEXT(_xlfn.MAXIFS('Avaliação Semanal'!$A$5:$A$504,'Avaliação Semanal'!$B$5:$B$504,$A43,'Avaliação Semanal'!$C$5:$C$504,"GP",'Avaliação Semanal'!$A$5:$A$504,"&lt;="&amp;$D$3),"00000"),'Avaliação Semanal'!$M$5:$M$504,0)),"")))</f>
        <v/>
      </c>
      <c r="R43" s="7">
        <f>IF($A43="","",IF(COUNTIFS('Avaliação Semanal'!$B$5:$B$504,$A43,'Avaliação Semanal'!$C$5:$C$504,"Líder Técnico",'Avaliação Semanal'!$A$5:$A$504,"&gt;="&amp;$B$3,'Avaliação Semanal'!$A$5:$A$504,"&lt;="&amp;$D$3)=0,"",IFERROR(INDEX('Avaliação Semanal'!$L$5:$L$504,MATCH($A43&amp;"|Líder Técnico|"&amp;TEXT(_xlfn.MAXIFS('Avaliação Semanal'!$A$5:$A$504,'Avaliação Semanal'!$B$5:$B$504,$A43,'Avaliação Semanal'!$C$5:$C$504,"Líder Técnico",'Avaliação Semanal'!$A$5:$A$504,"&lt;="&amp;$D$3),"00000"),'Avaliação Semanal'!$M$5:$M$504,0)),"")))</f>
        <v/>
      </c>
    </row>
    <row r="44" ht="30" customHeight="1">
      <c r="A44" s="7">
        <f>IF(Cadastro!$A43="","",Cadastro!$A43)</f>
        <v/>
      </c>
      <c r="B44" s="7">
        <f>IF(Cadastro!$A43="","",Cadastro!$B43)</f>
        <v/>
      </c>
      <c r="C44" s="7">
        <f>IF(Cadastro!$A43="","",Cadastro!$C43)</f>
        <v/>
      </c>
      <c r="D44" s="8">
        <f>IF($A44="","",IF(COUNTIFS('Avaliação Semanal'!$B$5:$B$504,$A44,'Avaliação Semanal'!$C$5:$C$504,"GP",'Avaliação Semanal'!$A$5:$A$504,"&gt;="&amp;$B$3,'Avaliação Semanal'!$A$5:$A$504,"&lt;="&amp;$D$3,'Avaliação Semanal'!$J$5:$J$504,"&gt;0")=0,"",ROUND(AVERAGEIFS('Avaliação Semanal'!$J$5:$J$504,'Avaliação Semanal'!$B$5:$B$504,$A44,'Avaliação Semanal'!$C$5:$C$504,"GP",'Avaliação Semanal'!$A$5:$A$504,"&gt;="&amp;$B$3,'Avaliação Semanal'!$A$5:$A$504,"&lt;="&amp;$D$3),2)))</f>
        <v/>
      </c>
      <c r="E44" s="8">
        <f>IF($A44="","",IF(COUNTIFS('Avaliação Semanal'!$B$5:$B$504,$A44,'Avaliação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Semanal'!$B$5:$B$504,$A44,'Avaliação Semanal'!$C$5:$C$504,"Líder Técnico",'Avaliação Semanal'!$A$5:$A$504,"&gt;="&amp;$B$3,'Avaliação Semanal'!$A$5:$A$504,"&lt;="&amp;$D$3),2)))</f>
        <v/>
      </c>
      <c r="F44" s="8">
        <f>IF($A44="","",IF(COUNTIFS('Avaliação Semanal'!$B$5:$B$504,$A44,'Avaliação Semanal'!$A$5:$A$504,"&gt;="&amp;$B$3,'Avaliação Semanal'!$A$5:$A$504,"&lt;="&amp;$D$3,'Avaliação Semanal'!$E$5:$E$504,"&gt;0")=0,"",ROUND(AVERAGEIFS('Avaliação Semanal'!$E$5:$E$504,'Avaliação Semanal'!$B$5:$B$504,$A44,'Avaliação Semanal'!$A$5:$A$504,"&gt;="&amp;$B$3,'Avaliação Semanal'!$A$5:$A$504,"&lt;="&amp;$D$3),2)))</f>
        <v/>
      </c>
      <c r="G44" s="8">
        <f>IF($A44="","",IF(COUNTIFS('Avaliação Semanal'!$B$5:$B$504,$A44,'Avaliação Semanal'!$A$5:$A$504,"&gt;="&amp;$B$3,'Avaliação Semanal'!$A$5:$A$504,"&lt;="&amp;$D$3,'Avaliação Semanal'!$F$5:$F$504,"&gt;0")=0,"",ROUND(AVERAGEIFS('Avaliação Semanal'!$F$5:$F$504,'Avaliação Semanal'!$B$5:$B$504,$A44,'Avaliação Semanal'!$A$5:$A$504,"&gt;="&amp;$B$3,'Avaliação Semanal'!$A$5:$A$504,"&lt;="&amp;$D$3),2)))</f>
        <v/>
      </c>
      <c r="H44" s="8">
        <f>IF($A44="","",IF(COUNTIFS('Avaliação Semanal'!$B$5:$B$504,$A44,'Avaliação Semanal'!$A$5:$A$504,"&gt;="&amp;$B$3,'Avaliação Semanal'!$A$5:$A$504,"&lt;="&amp;$D$3,'Avaliação Semanal'!$G$5:$G$504,"&gt;0")=0,"",ROUND(AVERAGEIFS('Avaliação Semanal'!$G$5:$G$504,'Avaliação Semanal'!$B$5:$B$504,$A44,'Avaliação Semanal'!$A$5:$A$504,"&gt;="&amp;$B$3,'Avaliação Semanal'!$A$5:$A$504,"&lt;="&amp;$D$3),2)))</f>
        <v/>
      </c>
      <c r="I44" s="8">
        <f>IF($A44="","",IF(COUNTIFS('Avaliação Semanal'!$B$5:$B$504,$A44,'Avaliação Semanal'!$A$5:$A$504,"&gt;="&amp;$B$3,'Avaliação Semanal'!$A$5:$A$504,"&lt;="&amp;$D$3,'Avaliação Semanal'!$H$5:$H$504,"&gt;0")=0,"",ROUND(AVERAGEIFS('Avaliação Semanal'!$H$5:$H$504,'Avaliação Semanal'!$B$5:$B$504,$A44,'Avaliação Semanal'!$A$5:$A$504,"&gt;="&amp;$B$3,'Avaliação Semanal'!$A$5:$A$504,"&lt;="&amp;$D$3),2)))</f>
        <v/>
      </c>
      <c r="J44" s="8">
        <f>IF($A44="","",IF(COUNTIFS('Avaliação Semanal'!$B$5:$B$504,$A44,'Avaliação Semanal'!$A$5:$A$504,"&gt;="&amp;$B$3,'Avaliação Semanal'!$A$5:$A$504,"&lt;="&amp;$D$3,'Avaliação Semanal'!$I$5:$I$504,"&gt;0")=0,"",ROUND(AVERAGEIFS('Avaliação Semanal'!$I$5:$I$504,'Avaliação Semanal'!$B$5:$B$504,$A44,'Avaliação Semanal'!$A$5:$A$504,"&gt;="&amp;$B$3,'Avaliação Semanal'!$A$5:$A$504,"&lt;="&amp;$D$3),2)))</f>
        <v/>
      </c>
      <c r="K44" s="9">
        <f>IF(COUNT($F44:$J44)=0,"",ROUND(AVERAGE($F44:$J44),2))</f>
        <v/>
      </c>
      <c r="L44" s="10">
        <f>IF($K44="","",IF($K44&gt;=Cadastro!$H$5,"Verde",IF($K44&gt;=Cadastro!$H$6,"Atenção","Crítico")))</f>
        <v/>
      </c>
      <c r="M44" s="7">
        <f>IF($A44="","",COUNTIFS('Avaliação Semanal'!$B$5:$B$504,$A44,'Avaliação Semanal'!$A$5:$A$504,"&gt;="&amp;$B$3,'Avaliação Semanal'!$A$5:$A$504,"&lt;="&amp;$D$3,'Avaliação Semanal'!$J$5:$J$504,"&gt;0"))</f>
        <v/>
      </c>
      <c r="N44" s="11">
        <f>IF($M44=0,"",_xlfn.MAXIFS('Avaliação Semanal'!$A$5:$A$504,'Avaliação Semanal'!$B$5:$B$504,$A44,'Avaliação Semanal'!$A$5:$A$504,"&lt;="&amp;$D$3))</f>
        <v/>
      </c>
      <c r="O44" s="7">
        <f>IF($A44="","",COUNTIFS('Ocorrências'!$B$5:$B$204,$A44,'Ocorrências'!$A$5:$A$204,"&gt;="&amp;$B$3,'Ocorrências'!$A$5:$A$204,"&lt;="&amp;$D$3))</f>
        <v/>
      </c>
      <c r="P44" s="7">
        <f>IF($A44="","",COUNTIFS('Ocorrências'!$B$5:$B$204,$A44,'Ocorrências'!$C$5:$C$204,"Ponto de atenção",'Ocorrências'!$A$5:$A$204,"&gt;="&amp;$B$3,'Ocorrências'!$A$5:$A$204,"&lt;="&amp;$D$3)+COUNTIFS('Ocorrências'!$B$5:$B$204,$A44,'Ocorrências'!$C$5:$C$204,"Crítica",'Ocorrências'!$A$5:$A$204,"&gt;="&amp;$B$3,'Ocorrências'!$A$5:$A$204,"&lt;="&amp;$D$3))</f>
        <v/>
      </c>
      <c r="Q44" s="7">
        <f>IF($A44="","",IF(COUNTIFS('Avaliação Semanal'!$B$5:$B$504,$A44,'Avaliação Semanal'!$C$5:$C$504,"GP",'Avaliação Semanal'!$A$5:$A$504,"&gt;="&amp;$B$3,'Avaliação Semanal'!$A$5:$A$504,"&lt;="&amp;$D$3)=0,"",IFERROR(INDEX('Avaliação Semanal'!$L$5:$L$504,MATCH($A44&amp;"|GP|"&amp;TEXT(_xlfn.MAXIFS('Avaliação Semanal'!$A$5:$A$504,'Avaliação Semanal'!$B$5:$B$504,$A44,'Avaliação Semanal'!$C$5:$C$504,"GP",'Avaliação Semanal'!$A$5:$A$504,"&lt;="&amp;$D$3),"00000"),'Avaliação Semanal'!$M$5:$M$504,0)),"")))</f>
        <v/>
      </c>
      <c r="R44" s="7">
        <f>IF($A44="","",IF(COUNTIFS('Avaliação Semanal'!$B$5:$B$504,$A44,'Avaliação Semanal'!$C$5:$C$504,"Líder Técnico",'Avaliação Semanal'!$A$5:$A$504,"&gt;="&amp;$B$3,'Avaliação Semanal'!$A$5:$A$504,"&lt;="&amp;$D$3)=0,"",IFERROR(INDEX('Avaliação Semanal'!$L$5:$L$504,MATCH($A44&amp;"|Líder Técnico|"&amp;TEXT(_xlfn.MAXIFS('Avaliação Semanal'!$A$5:$A$504,'Avaliação Semanal'!$B$5:$B$504,$A44,'Avaliação Semanal'!$C$5:$C$504,"Líder Técnico",'Avaliação Semanal'!$A$5:$A$504,"&lt;="&amp;$D$3),"00000"),'Avaliação Semanal'!$M$5:$M$504,0)),"")))</f>
        <v/>
      </c>
    </row>
    <row r="45" ht="30" customHeight="1">
      <c r="A45" s="7">
        <f>IF(Cadastro!$A44="","",Cadastro!$A44)</f>
        <v/>
      </c>
      <c r="B45" s="7">
        <f>IF(Cadastro!$A44="","",Cadastro!$B44)</f>
        <v/>
      </c>
      <c r="C45" s="7">
        <f>IF(Cadastro!$A44="","",Cadastro!$C44)</f>
        <v/>
      </c>
      <c r="D45" s="8">
        <f>IF($A45="","",IF(COUNTIFS('Avaliação Semanal'!$B$5:$B$504,$A45,'Avaliação Semanal'!$C$5:$C$504,"GP",'Avaliação Semanal'!$A$5:$A$504,"&gt;="&amp;$B$3,'Avaliação Semanal'!$A$5:$A$504,"&lt;="&amp;$D$3,'Avaliação Semanal'!$J$5:$J$504,"&gt;0")=0,"",ROUND(AVERAGEIFS('Avaliação Semanal'!$J$5:$J$504,'Avaliação Semanal'!$B$5:$B$504,$A45,'Avaliação Semanal'!$C$5:$C$504,"GP",'Avaliação Semanal'!$A$5:$A$504,"&gt;="&amp;$B$3,'Avaliação Semanal'!$A$5:$A$504,"&lt;="&amp;$D$3),2)))</f>
        <v/>
      </c>
      <c r="E45" s="8">
        <f>IF($A45="","",IF(COUNTIFS('Avaliação Semanal'!$B$5:$B$504,$A45,'Avaliação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Semanal'!$B$5:$B$504,$A45,'Avaliação Semanal'!$C$5:$C$504,"Líder Técnico",'Avaliação Semanal'!$A$5:$A$504,"&gt;="&amp;$B$3,'Avaliação Semanal'!$A$5:$A$504,"&lt;="&amp;$D$3),2)))</f>
        <v/>
      </c>
      <c r="F45" s="8">
        <f>IF($A45="","",IF(COUNTIFS('Avaliação Semanal'!$B$5:$B$504,$A45,'Avaliação Semanal'!$A$5:$A$504,"&gt;="&amp;$B$3,'Avaliação Semanal'!$A$5:$A$504,"&lt;="&amp;$D$3,'Avaliação Semanal'!$E$5:$E$504,"&gt;0")=0,"",ROUND(AVERAGEIFS('Avaliação Semanal'!$E$5:$E$504,'Avaliação Semanal'!$B$5:$B$504,$A45,'Avaliação Semanal'!$A$5:$A$504,"&gt;="&amp;$B$3,'Avaliação Semanal'!$A$5:$A$504,"&lt;="&amp;$D$3),2)))</f>
        <v/>
      </c>
      <c r="G45" s="8">
        <f>IF($A45="","",IF(COUNTIFS('Avaliação Semanal'!$B$5:$B$504,$A45,'Avaliação Semanal'!$A$5:$A$504,"&gt;="&amp;$B$3,'Avaliação Semanal'!$A$5:$A$504,"&lt;="&amp;$D$3,'Avaliação Semanal'!$F$5:$F$504,"&gt;0")=0,"",ROUND(AVERAGEIFS('Avaliação Semanal'!$F$5:$F$504,'Avaliação Semanal'!$B$5:$B$504,$A45,'Avaliação Semanal'!$A$5:$A$504,"&gt;="&amp;$B$3,'Avaliação Semanal'!$A$5:$A$504,"&lt;="&amp;$D$3),2)))</f>
        <v/>
      </c>
      <c r="H45" s="8">
        <f>IF($A45="","",IF(COUNTIFS('Avaliação Semanal'!$B$5:$B$504,$A45,'Avaliação Semanal'!$A$5:$A$504,"&gt;="&amp;$B$3,'Avaliação Semanal'!$A$5:$A$504,"&lt;="&amp;$D$3,'Avaliação Semanal'!$G$5:$G$504,"&gt;0")=0,"",ROUND(AVERAGEIFS('Avaliação Semanal'!$G$5:$G$504,'Avaliação Semanal'!$B$5:$B$504,$A45,'Avaliação Semanal'!$A$5:$A$504,"&gt;="&amp;$B$3,'Avaliação Semanal'!$A$5:$A$504,"&lt;="&amp;$D$3),2)))</f>
        <v/>
      </c>
      <c r="I45" s="8">
        <f>IF($A45="","",IF(COUNTIFS('Avaliação Semanal'!$B$5:$B$504,$A45,'Avaliação Semanal'!$A$5:$A$504,"&gt;="&amp;$B$3,'Avaliação Semanal'!$A$5:$A$504,"&lt;="&amp;$D$3,'Avaliação Semanal'!$H$5:$H$504,"&gt;0")=0,"",ROUND(AVERAGEIFS('Avaliação Semanal'!$H$5:$H$504,'Avaliação Semanal'!$B$5:$B$504,$A45,'Avaliação Semanal'!$A$5:$A$504,"&gt;="&amp;$B$3,'Avaliação Semanal'!$A$5:$A$504,"&lt;="&amp;$D$3),2)))</f>
        <v/>
      </c>
      <c r="J45" s="8">
        <f>IF($A45="","",IF(COUNTIFS('Avaliação Semanal'!$B$5:$B$504,$A45,'Avaliação Semanal'!$A$5:$A$504,"&gt;="&amp;$B$3,'Avaliação Semanal'!$A$5:$A$504,"&lt;="&amp;$D$3,'Avaliação Semanal'!$I$5:$I$504,"&gt;0")=0,"",ROUND(AVERAGEIFS('Avaliação Semanal'!$I$5:$I$504,'Avaliação Semanal'!$B$5:$B$504,$A45,'Avaliação Semanal'!$A$5:$A$504,"&gt;="&amp;$B$3,'Avaliação Semanal'!$A$5:$A$504,"&lt;="&amp;$D$3),2)))</f>
        <v/>
      </c>
      <c r="K45" s="9">
        <f>IF(COUNT($F45:$J45)=0,"",ROUND(AVERAGE($F45:$J45),2))</f>
        <v/>
      </c>
      <c r="L45" s="10">
        <f>IF($K45="","",IF($K45&gt;=Cadastro!$H$5,"Verde",IF($K45&gt;=Cadastro!$H$6,"Atenção","Crítico")))</f>
        <v/>
      </c>
      <c r="M45" s="7">
        <f>IF($A45="","",COUNTIFS('Avaliação Semanal'!$B$5:$B$504,$A45,'Avaliação Semanal'!$A$5:$A$504,"&gt;="&amp;$B$3,'Avaliação Semanal'!$A$5:$A$504,"&lt;="&amp;$D$3,'Avaliação Semanal'!$J$5:$J$504,"&gt;0"))</f>
        <v/>
      </c>
      <c r="N45" s="11">
        <f>IF($M45=0,"",_xlfn.MAXIFS('Avaliação Semanal'!$A$5:$A$504,'Avaliação Semanal'!$B$5:$B$504,$A45,'Avaliação Semanal'!$A$5:$A$504,"&lt;="&amp;$D$3))</f>
        <v/>
      </c>
      <c r="O45" s="7">
        <f>IF($A45="","",COUNTIFS('Ocorrências'!$B$5:$B$204,$A45,'Ocorrências'!$A$5:$A$204,"&gt;="&amp;$B$3,'Ocorrências'!$A$5:$A$204,"&lt;="&amp;$D$3))</f>
        <v/>
      </c>
      <c r="P45" s="7">
        <f>IF($A45="","",COUNTIFS('Ocorrências'!$B$5:$B$204,$A45,'Ocorrências'!$C$5:$C$204,"Ponto de atenção",'Ocorrências'!$A$5:$A$204,"&gt;="&amp;$B$3,'Ocorrências'!$A$5:$A$204,"&lt;="&amp;$D$3)+COUNTIFS('Ocorrências'!$B$5:$B$204,$A45,'Ocorrências'!$C$5:$C$204,"Crítica",'Ocorrências'!$A$5:$A$204,"&gt;="&amp;$B$3,'Ocorrências'!$A$5:$A$204,"&lt;="&amp;$D$3))</f>
        <v/>
      </c>
      <c r="Q45" s="7">
        <f>IF($A45="","",IF(COUNTIFS('Avaliação Semanal'!$B$5:$B$504,$A45,'Avaliação Semanal'!$C$5:$C$504,"GP",'Avaliação Semanal'!$A$5:$A$504,"&gt;="&amp;$B$3,'Avaliação Semanal'!$A$5:$A$504,"&lt;="&amp;$D$3)=0,"",IFERROR(INDEX('Avaliação Semanal'!$L$5:$L$504,MATCH($A45&amp;"|GP|"&amp;TEXT(_xlfn.MAXIFS('Avaliação Semanal'!$A$5:$A$504,'Avaliação Semanal'!$B$5:$B$504,$A45,'Avaliação Semanal'!$C$5:$C$504,"GP",'Avaliação Semanal'!$A$5:$A$504,"&lt;="&amp;$D$3),"00000"),'Avaliação Semanal'!$M$5:$M$504,0)),"")))</f>
        <v/>
      </c>
      <c r="R45" s="7">
        <f>IF($A45="","",IF(COUNTIFS('Avaliação Semanal'!$B$5:$B$504,$A45,'Avaliação Semanal'!$C$5:$C$504,"Líder Técnico",'Avaliação Semanal'!$A$5:$A$504,"&gt;="&amp;$B$3,'Avaliação Semanal'!$A$5:$A$504,"&lt;="&amp;$D$3)=0,"",IFERROR(INDEX('Avaliação Semanal'!$L$5:$L$504,MATCH($A45&amp;"|Líder Técnico|"&amp;TEXT(_xlfn.MAXIFS('Avaliação Semanal'!$A$5:$A$504,'Avaliação Semanal'!$B$5:$B$504,$A45,'Avaliação Semanal'!$C$5:$C$504,"Líder Técnico",'Avaliação Semanal'!$A$5:$A$504,"&lt;="&amp;$D$3),"00000"),'Avaliação Semanal'!$M$5:$M$504,0)),"")))</f>
        <v/>
      </c>
    </row>
    <row r="46" ht="30" customHeight="1">
      <c r="A46" s="7">
        <f>IF(Cadastro!$A45="","",Cadastro!$A45)</f>
        <v/>
      </c>
      <c r="B46" s="7">
        <f>IF(Cadastro!$A45="","",Cadastro!$B45)</f>
        <v/>
      </c>
      <c r="C46" s="7">
        <f>IF(Cadastro!$A45="","",Cadastro!$C45)</f>
        <v/>
      </c>
      <c r="D46" s="8">
        <f>IF($A46="","",IF(COUNTIFS('Avaliação Semanal'!$B$5:$B$504,$A46,'Avaliação Semanal'!$C$5:$C$504,"GP",'Avaliação Semanal'!$A$5:$A$504,"&gt;="&amp;$B$3,'Avaliação Semanal'!$A$5:$A$504,"&lt;="&amp;$D$3,'Avaliação Semanal'!$J$5:$J$504,"&gt;0")=0,"",ROUND(AVERAGEIFS('Avaliação Semanal'!$J$5:$J$504,'Avaliação Semanal'!$B$5:$B$504,$A46,'Avaliação Semanal'!$C$5:$C$504,"GP",'Avaliação Semanal'!$A$5:$A$504,"&gt;="&amp;$B$3,'Avaliação Semanal'!$A$5:$A$504,"&lt;="&amp;$D$3),2)))</f>
        <v/>
      </c>
      <c r="E46" s="8">
        <f>IF($A46="","",IF(COUNTIFS('Avaliação Semanal'!$B$5:$B$504,$A46,'Avaliação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Semanal'!$B$5:$B$504,$A46,'Avaliação Semanal'!$C$5:$C$504,"Líder Técnico",'Avaliação Semanal'!$A$5:$A$504,"&gt;="&amp;$B$3,'Avaliação Semanal'!$A$5:$A$504,"&lt;="&amp;$D$3),2)))</f>
        <v/>
      </c>
      <c r="F46" s="8">
        <f>IF($A46="","",IF(COUNTIFS('Avaliação Semanal'!$B$5:$B$504,$A46,'Avaliação Semanal'!$A$5:$A$504,"&gt;="&amp;$B$3,'Avaliação Semanal'!$A$5:$A$504,"&lt;="&amp;$D$3,'Avaliação Semanal'!$E$5:$E$504,"&gt;0")=0,"",ROUND(AVERAGEIFS('Avaliação Semanal'!$E$5:$E$504,'Avaliação Semanal'!$B$5:$B$504,$A46,'Avaliação Semanal'!$A$5:$A$504,"&gt;="&amp;$B$3,'Avaliação Semanal'!$A$5:$A$504,"&lt;="&amp;$D$3),2)))</f>
        <v/>
      </c>
      <c r="G46" s="8">
        <f>IF($A46="","",IF(COUNTIFS('Avaliação Semanal'!$B$5:$B$504,$A46,'Avaliação Semanal'!$A$5:$A$504,"&gt;="&amp;$B$3,'Avaliação Semanal'!$A$5:$A$504,"&lt;="&amp;$D$3,'Avaliação Semanal'!$F$5:$F$504,"&gt;0")=0,"",ROUND(AVERAGEIFS('Avaliação Semanal'!$F$5:$F$504,'Avaliação Semanal'!$B$5:$B$504,$A46,'Avaliação Semanal'!$A$5:$A$504,"&gt;="&amp;$B$3,'Avaliação Semanal'!$A$5:$A$504,"&lt;="&amp;$D$3),2)))</f>
        <v/>
      </c>
      <c r="H46" s="8">
        <f>IF($A46="","",IF(COUNTIFS('Avaliação Semanal'!$B$5:$B$504,$A46,'Avaliação Semanal'!$A$5:$A$504,"&gt;="&amp;$B$3,'Avaliação Semanal'!$A$5:$A$504,"&lt;="&amp;$D$3,'Avaliação Semanal'!$G$5:$G$504,"&gt;0")=0,"",ROUND(AVERAGEIFS('Avaliação Semanal'!$G$5:$G$504,'Avaliação Semanal'!$B$5:$B$504,$A46,'Avaliação Semanal'!$A$5:$A$504,"&gt;="&amp;$B$3,'Avaliação Semanal'!$A$5:$A$504,"&lt;="&amp;$D$3),2)))</f>
        <v/>
      </c>
      <c r="I46" s="8">
        <f>IF($A46="","",IF(COUNTIFS('Avaliação Semanal'!$B$5:$B$504,$A46,'Avaliação Semanal'!$A$5:$A$504,"&gt;="&amp;$B$3,'Avaliação Semanal'!$A$5:$A$504,"&lt;="&amp;$D$3,'Avaliação Semanal'!$H$5:$H$504,"&gt;0")=0,"",ROUND(AVERAGEIFS('Avaliação Semanal'!$H$5:$H$504,'Avaliação Semanal'!$B$5:$B$504,$A46,'Avaliação Semanal'!$A$5:$A$504,"&gt;="&amp;$B$3,'Avaliação Semanal'!$A$5:$A$504,"&lt;="&amp;$D$3),2)))</f>
        <v/>
      </c>
      <c r="J46" s="8">
        <f>IF($A46="","",IF(COUNTIFS('Avaliação Semanal'!$B$5:$B$504,$A46,'Avaliação Semanal'!$A$5:$A$504,"&gt;="&amp;$B$3,'Avaliação Semanal'!$A$5:$A$504,"&lt;="&amp;$D$3,'Avaliação Semanal'!$I$5:$I$504,"&gt;0")=0,"",ROUND(AVERAGEIFS('Avaliação Semanal'!$I$5:$I$504,'Avaliação Semanal'!$B$5:$B$504,$A46,'Avaliação Semanal'!$A$5:$A$504,"&gt;="&amp;$B$3,'Avaliação Semanal'!$A$5:$A$504,"&lt;="&amp;$D$3),2)))</f>
        <v/>
      </c>
      <c r="K46" s="9">
        <f>IF(COUNT($F46:$J46)=0,"",ROUND(AVERAGE($F46:$J46),2))</f>
        <v/>
      </c>
      <c r="L46" s="10">
        <f>IF($K46="","",IF($K46&gt;=Cadastro!$H$5,"Verde",IF($K46&gt;=Cadastro!$H$6,"Atenção","Crítico")))</f>
        <v/>
      </c>
      <c r="M46" s="7">
        <f>IF($A46="","",COUNTIFS('Avaliação Semanal'!$B$5:$B$504,$A46,'Avaliação Semanal'!$A$5:$A$504,"&gt;="&amp;$B$3,'Avaliação Semanal'!$A$5:$A$504,"&lt;="&amp;$D$3,'Avaliação Semanal'!$J$5:$J$504,"&gt;0"))</f>
        <v/>
      </c>
      <c r="N46" s="11">
        <f>IF($M46=0,"",_xlfn.MAXIFS('Avaliação Semanal'!$A$5:$A$504,'Avaliação Semanal'!$B$5:$B$504,$A46,'Avaliação Semanal'!$A$5:$A$504,"&lt;="&amp;$D$3))</f>
        <v/>
      </c>
      <c r="O46" s="7">
        <f>IF($A46="","",COUNTIFS('Ocorrências'!$B$5:$B$204,$A46,'Ocorrências'!$A$5:$A$204,"&gt;="&amp;$B$3,'Ocorrências'!$A$5:$A$204,"&lt;="&amp;$D$3))</f>
        <v/>
      </c>
      <c r="P46" s="7">
        <f>IF($A46="","",COUNTIFS('Ocorrências'!$B$5:$B$204,$A46,'Ocorrências'!$C$5:$C$204,"Ponto de atenção",'Ocorrências'!$A$5:$A$204,"&gt;="&amp;$B$3,'Ocorrências'!$A$5:$A$204,"&lt;="&amp;$D$3)+COUNTIFS('Ocorrências'!$B$5:$B$204,$A46,'Ocorrências'!$C$5:$C$204,"Crítica",'Ocorrências'!$A$5:$A$204,"&gt;="&amp;$B$3,'Ocorrências'!$A$5:$A$204,"&lt;="&amp;$D$3))</f>
        <v/>
      </c>
      <c r="Q46" s="7">
        <f>IF($A46="","",IF(COUNTIFS('Avaliação Semanal'!$B$5:$B$504,$A46,'Avaliação Semanal'!$C$5:$C$504,"GP",'Avaliação Semanal'!$A$5:$A$504,"&gt;="&amp;$B$3,'Avaliação Semanal'!$A$5:$A$504,"&lt;="&amp;$D$3)=0,"",IFERROR(INDEX('Avaliação Semanal'!$L$5:$L$504,MATCH($A46&amp;"|GP|"&amp;TEXT(_xlfn.MAXIFS('Avaliação Semanal'!$A$5:$A$504,'Avaliação Semanal'!$B$5:$B$504,$A46,'Avaliação Semanal'!$C$5:$C$504,"GP",'Avaliação Semanal'!$A$5:$A$504,"&lt;="&amp;$D$3),"00000"),'Avaliação Semanal'!$M$5:$M$504,0)),"")))</f>
        <v/>
      </c>
      <c r="R46" s="7">
        <f>IF($A46="","",IF(COUNTIFS('Avaliação Semanal'!$B$5:$B$504,$A46,'Avaliação Semanal'!$C$5:$C$504,"Líder Técnico",'Avaliação Semanal'!$A$5:$A$504,"&gt;="&amp;$B$3,'Avaliação Semanal'!$A$5:$A$504,"&lt;="&amp;$D$3)=0,"",IFERROR(INDEX('Avaliação Semanal'!$L$5:$L$504,MATCH($A46&amp;"|Líder Técnico|"&amp;TEXT(_xlfn.MAXIFS('Avaliação Semanal'!$A$5:$A$504,'Avaliação Semanal'!$B$5:$B$504,$A46,'Avaliação Semanal'!$C$5:$C$504,"Líder Técnico",'Avaliação Semanal'!$A$5:$A$504,"&lt;="&amp;$D$3),"00000"),'Avaliação Semanal'!$M$5:$M$504,0)),"")))</f>
        <v/>
      </c>
    </row>
    <row r="47" ht="30" customHeight="1">
      <c r="A47" s="7">
        <f>IF(Cadastro!$A46="","",Cadastro!$A46)</f>
        <v/>
      </c>
      <c r="B47" s="7">
        <f>IF(Cadastro!$A46="","",Cadastro!$B46)</f>
        <v/>
      </c>
      <c r="C47" s="7">
        <f>IF(Cadastro!$A46="","",Cadastro!$C46)</f>
        <v/>
      </c>
      <c r="D47" s="8">
        <f>IF($A47="","",IF(COUNTIFS('Avaliação Semanal'!$B$5:$B$504,$A47,'Avaliação Semanal'!$C$5:$C$504,"GP",'Avaliação Semanal'!$A$5:$A$504,"&gt;="&amp;$B$3,'Avaliação Semanal'!$A$5:$A$504,"&lt;="&amp;$D$3,'Avaliação Semanal'!$J$5:$J$504,"&gt;0")=0,"",ROUND(AVERAGEIFS('Avaliação Semanal'!$J$5:$J$504,'Avaliação Semanal'!$B$5:$B$504,$A47,'Avaliação Semanal'!$C$5:$C$504,"GP",'Avaliação Semanal'!$A$5:$A$504,"&gt;="&amp;$B$3,'Avaliação Semanal'!$A$5:$A$504,"&lt;="&amp;$D$3),2)))</f>
        <v/>
      </c>
      <c r="E47" s="8">
        <f>IF($A47="","",IF(COUNTIFS('Avaliação Semanal'!$B$5:$B$504,$A47,'Avaliação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Semanal'!$B$5:$B$504,$A47,'Avaliação Semanal'!$C$5:$C$504,"Líder Técnico",'Avaliação Semanal'!$A$5:$A$504,"&gt;="&amp;$B$3,'Avaliação Semanal'!$A$5:$A$504,"&lt;="&amp;$D$3),2)))</f>
        <v/>
      </c>
      <c r="F47" s="8">
        <f>IF($A47="","",IF(COUNTIFS('Avaliação Semanal'!$B$5:$B$504,$A47,'Avaliação Semanal'!$A$5:$A$504,"&gt;="&amp;$B$3,'Avaliação Semanal'!$A$5:$A$504,"&lt;="&amp;$D$3,'Avaliação Semanal'!$E$5:$E$504,"&gt;0")=0,"",ROUND(AVERAGEIFS('Avaliação Semanal'!$E$5:$E$504,'Avaliação Semanal'!$B$5:$B$504,$A47,'Avaliação Semanal'!$A$5:$A$504,"&gt;="&amp;$B$3,'Avaliação Semanal'!$A$5:$A$504,"&lt;="&amp;$D$3),2)))</f>
        <v/>
      </c>
      <c r="G47" s="8">
        <f>IF($A47="","",IF(COUNTIFS('Avaliação Semanal'!$B$5:$B$504,$A47,'Avaliação Semanal'!$A$5:$A$504,"&gt;="&amp;$B$3,'Avaliação Semanal'!$A$5:$A$504,"&lt;="&amp;$D$3,'Avaliação Semanal'!$F$5:$F$504,"&gt;0")=0,"",ROUND(AVERAGEIFS('Avaliação Semanal'!$F$5:$F$504,'Avaliação Semanal'!$B$5:$B$504,$A47,'Avaliação Semanal'!$A$5:$A$504,"&gt;="&amp;$B$3,'Avaliação Semanal'!$A$5:$A$504,"&lt;="&amp;$D$3),2)))</f>
        <v/>
      </c>
      <c r="H47" s="8">
        <f>IF($A47="","",IF(COUNTIFS('Avaliação Semanal'!$B$5:$B$504,$A47,'Avaliação Semanal'!$A$5:$A$504,"&gt;="&amp;$B$3,'Avaliação Semanal'!$A$5:$A$504,"&lt;="&amp;$D$3,'Avaliação Semanal'!$G$5:$G$504,"&gt;0")=0,"",ROUND(AVERAGEIFS('Avaliação Semanal'!$G$5:$G$504,'Avaliação Semanal'!$B$5:$B$504,$A47,'Avaliação Semanal'!$A$5:$A$504,"&gt;="&amp;$B$3,'Avaliação Semanal'!$A$5:$A$504,"&lt;="&amp;$D$3),2)))</f>
        <v/>
      </c>
      <c r="I47" s="8">
        <f>IF($A47="","",IF(COUNTIFS('Avaliação Semanal'!$B$5:$B$504,$A47,'Avaliação Semanal'!$A$5:$A$504,"&gt;="&amp;$B$3,'Avaliação Semanal'!$A$5:$A$504,"&lt;="&amp;$D$3,'Avaliação Semanal'!$H$5:$H$504,"&gt;0")=0,"",ROUND(AVERAGEIFS('Avaliação Semanal'!$H$5:$H$504,'Avaliação Semanal'!$B$5:$B$504,$A47,'Avaliação Semanal'!$A$5:$A$504,"&gt;="&amp;$B$3,'Avaliação Semanal'!$A$5:$A$504,"&lt;="&amp;$D$3),2)))</f>
        <v/>
      </c>
      <c r="J47" s="8">
        <f>IF($A47="","",IF(COUNTIFS('Avaliação Semanal'!$B$5:$B$504,$A47,'Avaliação Semanal'!$A$5:$A$504,"&gt;="&amp;$B$3,'Avaliação Semanal'!$A$5:$A$504,"&lt;="&amp;$D$3,'Avaliação Semanal'!$I$5:$I$504,"&gt;0")=0,"",ROUND(AVERAGEIFS('Avaliação Semanal'!$I$5:$I$504,'Avaliação Semanal'!$B$5:$B$504,$A47,'Avaliação Semanal'!$A$5:$A$504,"&gt;="&amp;$B$3,'Avaliação Semanal'!$A$5:$A$504,"&lt;="&amp;$D$3),2)))</f>
        <v/>
      </c>
      <c r="K47" s="9">
        <f>IF(COUNT($F47:$J47)=0,"",ROUND(AVERAGE($F47:$J47),2))</f>
        <v/>
      </c>
      <c r="L47" s="10">
        <f>IF($K47="","",IF($K47&gt;=Cadastro!$H$5,"Verde",IF($K47&gt;=Cadastro!$H$6,"Atenção","Crítico")))</f>
        <v/>
      </c>
      <c r="M47" s="7">
        <f>IF($A47="","",COUNTIFS('Avaliação Semanal'!$B$5:$B$504,$A47,'Avaliação Semanal'!$A$5:$A$504,"&gt;="&amp;$B$3,'Avaliação Semanal'!$A$5:$A$504,"&lt;="&amp;$D$3,'Avaliação Semanal'!$J$5:$J$504,"&gt;0"))</f>
        <v/>
      </c>
      <c r="N47" s="11">
        <f>IF($M47=0,"",_xlfn.MAXIFS('Avaliação Semanal'!$A$5:$A$504,'Avaliação Semanal'!$B$5:$B$504,$A47,'Avaliação Semanal'!$A$5:$A$504,"&lt;="&amp;$D$3))</f>
        <v/>
      </c>
      <c r="O47" s="7">
        <f>IF($A47="","",COUNTIFS('Ocorrências'!$B$5:$B$204,$A47,'Ocorrências'!$A$5:$A$204,"&gt;="&amp;$B$3,'Ocorrências'!$A$5:$A$204,"&lt;="&amp;$D$3))</f>
        <v/>
      </c>
      <c r="P47" s="7">
        <f>IF($A47="","",COUNTIFS('Ocorrências'!$B$5:$B$204,$A47,'Ocorrências'!$C$5:$C$204,"Ponto de atenção",'Ocorrências'!$A$5:$A$204,"&gt;="&amp;$B$3,'Ocorrências'!$A$5:$A$204,"&lt;="&amp;$D$3)+COUNTIFS('Ocorrências'!$B$5:$B$204,$A47,'Ocorrências'!$C$5:$C$204,"Crítica",'Ocorrências'!$A$5:$A$204,"&gt;="&amp;$B$3,'Ocorrências'!$A$5:$A$204,"&lt;="&amp;$D$3))</f>
        <v/>
      </c>
      <c r="Q47" s="7">
        <f>IF($A47="","",IF(COUNTIFS('Avaliação Semanal'!$B$5:$B$504,$A47,'Avaliação Semanal'!$C$5:$C$504,"GP",'Avaliação Semanal'!$A$5:$A$504,"&gt;="&amp;$B$3,'Avaliação Semanal'!$A$5:$A$504,"&lt;="&amp;$D$3)=0,"",IFERROR(INDEX('Avaliação Semanal'!$L$5:$L$504,MATCH($A47&amp;"|GP|"&amp;TEXT(_xlfn.MAXIFS('Avaliação Semanal'!$A$5:$A$504,'Avaliação Semanal'!$B$5:$B$504,$A47,'Avaliação Semanal'!$C$5:$C$504,"GP",'Avaliação Semanal'!$A$5:$A$504,"&lt;="&amp;$D$3),"00000"),'Avaliação Semanal'!$M$5:$M$504,0)),"")))</f>
        <v/>
      </c>
      <c r="R47" s="7">
        <f>IF($A47="","",IF(COUNTIFS('Avaliação Semanal'!$B$5:$B$504,$A47,'Avaliação Semanal'!$C$5:$C$504,"Líder Técnico",'Avaliação Semanal'!$A$5:$A$504,"&gt;="&amp;$B$3,'Avaliação Semanal'!$A$5:$A$504,"&lt;="&amp;$D$3)=0,"",IFERROR(INDEX('Avaliação Semanal'!$L$5:$L$504,MATCH($A47&amp;"|Líder Técnico|"&amp;TEXT(_xlfn.MAXIFS('Avaliação Semanal'!$A$5:$A$504,'Avaliação Semanal'!$B$5:$B$504,$A47,'Avaliação Semanal'!$C$5:$C$504,"Líder Técnico",'Avaliação Semanal'!$A$5:$A$504,"&lt;="&amp;$D$3),"00000"),'Avaliação Semanal'!$M$5:$M$504,0)),"")))</f>
        <v/>
      </c>
    </row>
    <row r="48" ht="30" customHeight="1">
      <c r="A48" s="7">
        <f>IF(Cadastro!$A47="","",Cadastro!$A47)</f>
        <v/>
      </c>
      <c r="B48" s="7">
        <f>IF(Cadastro!$A47="","",Cadastro!$B47)</f>
        <v/>
      </c>
      <c r="C48" s="7">
        <f>IF(Cadastro!$A47="","",Cadastro!$C47)</f>
        <v/>
      </c>
      <c r="D48" s="8">
        <f>IF($A48="","",IF(COUNTIFS('Avaliação Semanal'!$B$5:$B$504,$A48,'Avaliação Semanal'!$C$5:$C$504,"GP",'Avaliação Semanal'!$A$5:$A$504,"&gt;="&amp;$B$3,'Avaliação Semanal'!$A$5:$A$504,"&lt;="&amp;$D$3,'Avaliação Semanal'!$J$5:$J$504,"&gt;0")=0,"",ROUND(AVERAGEIFS('Avaliação Semanal'!$J$5:$J$504,'Avaliação Semanal'!$B$5:$B$504,$A48,'Avaliação Semanal'!$C$5:$C$504,"GP",'Avaliação Semanal'!$A$5:$A$504,"&gt;="&amp;$B$3,'Avaliação Semanal'!$A$5:$A$504,"&lt;="&amp;$D$3),2)))</f>
        <v/>
      </c>
      <c r="E48" s="8">
        <f>IF($A48="","",IF(COUNTIFS('Avaliação Semanal'!$B$5:$B$504,$A48,'Avaliação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Semanal'!$B$5:$B$504,$A48,'Avaliação Semanal'!$C$5:$C$504,"Líder Técnico",'Avaliação Semanal'!$A$5:$A$504,"&gt;="&amp;$B$3,'Avaliação Semanal'!$A$5:$A$504,"&lt;="&amp;$D$3),2)))</f>
        <v/>
      </c>
      <c r="F48" s="8">
        <f>IF($A48="","",IF(COUNTIFS('Avaliação Semanal'!$B$5:$B$504,$A48,'Avaliação Semanal'!$A$5:$A$504,"&gt;="&amp;$B$3,'Avaliação Semanal'!$A$5:$A$504,"&lt;="&amp;$D$3,'Avaliação Semanal'!$E$5:$E$504,"&gt;0")=0,"",ROUND(AVERAGEIFS('Avaliação Semanal'!$E$5:$E$504,'Avaliação Semanal'!$B$5:$B$504,$A48,'Avaliação Semanal'!$A$5:$A$504,"&gt;="&amp;$B$3,'Avaliação Semanal'!$A$5:$A$504,"&lt;="&amp;$D$3),2)))</f>
        <v/>
      </c>
      <c r="G48" s="8">
        <f>IF($A48="","",IF(COUNTIFS('Avaliação Semanal'!$B$5:$B$504,$A48,'Avaliação Semanal'!$A$5:$A$504,"&gt;="&amp;$B$3,'Avaliação Semanal'!$A$5:$A$504,"&lt;="&amp;$D$3,'Avaliação Semanal'!$F$5:$F$504,"&gt;0")=0,"",ROUND(AVERAGEIFS('Avaliação Semanal'!$F$5:$F$504,'Avaliação Semanal'!$B$5:$B$504,$A48,'Avaliação Semanal'!$A$5:$A$504,"&gt;="&amp;$B$3,'Avaliação Semanal'!$A$5:$A$504,"&lt;="&amp;$D$3),2)))</f>
        <v/>
      </c>
      <c r="H48" s="8">
        <f>IF($A48="","",IF(COUNTIFS('Avaliação Semanal'!$B$5:$B$504,$A48,'Avaliação Semanal'!$A$5:$A$504,"&gt;="&amp;$B$3,'Avaliação Semanal'!$A$5:$A$504,"&lt;="&amp;$D$3,'Avaliação Semanal'!$G$5:$G$504,"&gt;0")=0,"",ROUND(AVERAGEIFS('Avaliação Semanal'!$G$5:$G$504,'Avaliação Semanal'!$B$5:$B$504,$A48,'Avaliação Semanal'!$A$5:$A$504,"&gt;="&amp;$B$3,'Avaliação Semanal'!$A$5:$A$504,"&lt;="&amp;$D$3),2)))</f>
        <v/>
      </c>
      <c r="I48" s="8">
        <f>IF($A48="","",IF(COUNTIFS('Avaliação Semanal'!$B$5:$B$504,$A48,'Avaliação Semanal'!$A$5:$A$504,"&gt;="&amp;$B$3,'Avaliação Semanal'!$A$5:$A$504,"&lt;="&amp;$D$3,'Avaliação Semanal'!$H$5:$H$504,"&gt;0")=0,"",ROUND(AVERAGEIFS('Avaliação Semanal'!$H$5:$H$504,'Avaliação Semanal'!$B$5:$B$504,$A48,'Avaliação Semanal'!$A$5:$A$504,"&gt;="&amp;$B$3,'Avaliação Semanal'!$A$5:$A$504,"&lt;="&amp;$D$3),2)))</f>
        <v/>
      </c>
      <c r="J48" s="8">
        <f>IF($A48="","",IF(COUNTIFS('Avaliação Semanal'!$B$5:$B$504,$A48,'Avaliação Semanal'!$A$5:$A$504,"&gt;="&amp;$B$3,'Avaliação Semanal'!$A$5:$A$504,"&lt;="&amp;$D$3,'Avaliação Semanal'!$I$5:$I$504,"&gt;0")=0,"",ROUND(AVERAGEIFS('Avaliação Semanal'!$I$5:$I$504,'Avaliação Semanal'!$B$5:$B$504,$A48,'Avaliação Semanal'!$A$5:$A$504,"&gt;="&amp;$B$3,'Avaliação Semanal'!$A$5:$A$504,"&lt;="&amp;$D$3),2)))</f>
        <v/>
      </c>
      <c r="K48" s="9">
        <f>IF(COUNT($F48:$J48)=0,"",ROUND(AVERAGE($F48:$J48),2))</f>
        <v/>
      </c>
      <c r="L48" s="10">
        <f>IF($K48="","",IF($K48&gt;=Cadastro!$H$5,"Verde",IF($K48&gt;=Cadastro!$H$6,"Atenção","Crítico")))</f>
        <v/>
      </c>
      <c r="M48" s="7">
        <f>IF($A48="","",COUNTIFS('Avaliação Semanal'!$B$5:$B$504,$A48,'Avaliação Semanal'!$A$5:$A$504,"&gt;="&amp;$B$3,'Avaliação Semanal'!$A$5:$A$504,"&lt;="&amp;$D$3,'Avaliação Semanal'!$J$5:$J$504,"&gt;0"))</f>
        <v/>
      </c>
      <c r="N48" s="11">
        <f>IF($M48=0,"",_xlfn.MAXIFS('Avaliação Semanal'!$A$5:$A$504,'Avaliação Semanal'!$B$5:$B$504,$A48,'Avaliação Semanal'!$A$5:$A$504,"&lt;="&amp;$D$3))</f>
        <v/>
      </c>
      <c r="O48" s="7">
        <f>IF($A48="","",COUNTIFS('Ocorrências'!$B$5:$B$204,$A48,'Ocorrências'!$A$5:$A$204,"&gt;="&amp;$B$3,'Ocorrências'!$A$5:$A$204,"&lt;="&amp;$D$3))</f>
        <v/>
      </c>
      <c r="P48" s="7">
        <f>IF($A48="","",COUNTIFS('Ocorrências'!$B$5:$B$204,$A48,'Ocorrências'!$C$5:$C$204,"Ponto de atenção",'Ocorrências'!$A$5:$A$204,"&gt;="&amp;$B$3,'Ocorrências'!$A$5:$A$204,"&lt;="&amp;$D$3)+COUNTIFS('Ocorrências'!$B$5:$B$204,$A48,'Ocorrências'!$C$5:$C$204,"Crítica",'Ocorrências'!$A$5:$A$204,"&gt;="&amp;$B$3,'Ocorrências'!$A$5:$A$204,"&lt;="&amp;$D$3))</f>
        <v/>
      </c>
      <c r="Q48" s="7">
        <f>IF($A48="","",IF(COUNTIFS('Avaliação Semanal'!$B$5:$B$504,$A48,'Avaliação Semanal'!$C$5:$C$504,"GP",'Avaliação Semanal'!$A$5:$A$504,"&gt;="&amp;$B$3,'Avaliação Semanal'!$A$5:$A$504,"&lt;="&amp;$D$3)=0,"",IFERROR(INDEX('Avaliação Semanal'!$L$5:$L$504,MATCH($A48&amp;"|GP|"&amp;TEXT(_xlfn.MAXIFS('Avaliação Semanal'!$A$5:$A$504,'Avaliação Semanal'!$B$5:$B$504,$A48,'Avaliação Semanal'!$C$5:$C$504,"GP",'Avaliação Semanal'!$A$5:$A$504,"&lt;="&amp;$D$3),"00000"),'Avaliação Semanal'!$M$5:$M$504,0)),"")))</f>
        <v/>
      </c>
      <c r="R48" s="7">
        <f>IF($A48="","",IF(COUNTIFS('Avaliação Semanal'!$B$5:$B$504,$A48,'Avaliação Semanal'!$C$5:$C$504,"Líder Técnico",'Avaliação Semanal'!$A$5:$A$504,"&gt;="&amp;$B$3,'Avaliação Semanal'!$A$5:$A$504,"&lt;="&amp;$D$3)=0,"",IFERROR(INDEX('Avaliação Semanal'!$L$5:$L$504,MATCH($A48&amp;"|Líder Técnico|"&amp;TEXT(_xlfn.MAXIFS('Avaliação Semanal'!$A$5:$A$504,'Avaliação Semanal'!$B$5:$B$504,$A48,'Avaliação Semanal'!$C$5:$C$504,"Líder Técnico",'Avaliação Semanal'!$A$5:$A$504,"&lt;="&amp;$D$3),"00000"),'Avaliação Semanal'!$M$5:$M$504,0)),"")))</f>
        <v/>
      </c>
    </row>
    <row r="49" ht="30" customHeight="1">
      <c r="A49" s="7">
        <f>IF(Cadastro!$A48="","",Cadastro!$A48)</f>
        <v/>
      </c>
      <c r="B49" s="7">
        <f>IF(Cadastro!$A48="","",Cadastro!$B48)</f>
        <v/>
      </c>
      <c r="C49" s="7">
        <f>IF(Cadastro!$A48="","",Cadastro!$C48)</f>
        <v/>
      </c>
      <c r="D49" s="8">
        <f>IF($A49="","",IF(COUNTIFS('Avaliação Semanal'!$B$5:$B$504,$A49,'Avaliação Semanal'!$C$5:$C$504,"GP",'Avaliação Semanal'!$A$5:$A$504,"&gt;="&amp;$B$3,'Avaliação Semanal'!$A$5:$A$504,"&lt;="&amp;$D$3,'Avaliação Semanal'!$J$5:$J$504,"&gt;0")=0,"",ROUND(AVERAGEIFS('Avaliação Semanal'!$J$5:$J$504,'Avaliação Semanal'!$B$5:$B$504,$A49,'Avaliação Semanal'!$C$5:$C$504,"GP",'Avaliação Semanal'!$A$5:$A$504,"&gt;="&amp;$B$3,'Avaliação Semanal'!$A$5:$A$504,"&lt;="&amp;$D$3),2)))</f>
        <v/>
      </c>
      <c r="E49" s="8">
        <f>IF($A49="","",IF(COUNTIFS('Avaliação Semanal'!$B$5:$B$504,$A49,'Avaliação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Semanal'!$B$5:$B$504,$A49,'Avaliação Semanal'!$C$5:$C$504,"Líder Técnico",'Avaliação Semanal'!$A$5:$A$504,"&gt;="&amp;$B$3,'Avaliação Semanal'!$A$5:$A$504,"&lt;="&amp;$D$3),2)))</f>
        <v/>
      </c>
      <c r="F49" s="8">
        <f>IF($A49="","",IF(COUNTIFS('Avaliação Semanal'!$B$5:$B$504,$A49,'Avaliação Semanal'!$A$5:$A$504,"&gt;="&amp;$B$3,'Avaliação Semanal'!$A$5:$A$504,"&lt;="&amp;$D$3,'Avaliação Semanal'!$E$5:$E$504,"&gt;0")=0,"",ROUND(AVERAGEIFS('Avaliação Semanal'!$E$5:$E$504,'Avaliação Semanal'!$B$5:$B$504,$A49,'Avaliação Semanal'!$A$5:$A$504,"&gt;="&amp;$B$3,'Avaliação Semanal'!$A$5:$A$504,"&lt;="&amp;$D$3),2)))</f>
        <v/>
      </c>
      <c r="G49" s="8">
        <f>IF($A49="","",IF(COUNTIFS('Avaliação Semanal'!$B$5:$B$504,$A49,'Avaliação Semanal'!$A$5:$A$504,"&gt;="&amp;$B$3,'Avaliação Semanal'!$A$5:$A$504,"&lt;="&amp;$D$3,'Avaliação Semanal'!$F$5:$F$504,"&gt;0")=0,"",ROUND(AVERAGEIFS('Avaliação Semanal'!$F$5:$F$504,'Avaliação Semanal'!$B$5:$B$504,$A49,'Avaliação Semanal'!$A$5:$A$504,"&gt;="&amp;$B$3,'Avaliação Semanal'!$A$5:$A$504,"&lt;="&amp;$D$3),2)))</f>
        <v/>
      </c>
      <c r="H49" s="8">
        <f>IF($A49="","",IF(COUNTIFS('Avaliação Semanal'!$B$5:$B$504,$A49,'Avaliação Semanal'!$A$5:$A$504,"&gt;="&amp;$B$3,'Avaliação Semanal'!$A$5:$A$504,"&lt;="&amp;$D$3,'Avaliação Semanal'!$G$5:$G$504,"&gt;0")=0,"",ROUND(AVERAGEIFS('Avaliação Semanal'!$G$5:$G$504,'Avaliação Semanal'!$B$5:$B$504,$A49,'Avaliação Semanal'!$A$5:$A$504,"&gt;="&amp;$B$3,'Avaliação Semanal'!$A$5:$A$504,"&lt;="&amp;$D$3),2)))</f>
        <v/>
      </c>
      <c r="I49" s="8">
        <f>IF($A49="","",IF(COUNTIFS('Avaliação Semanal'!$B$5:$B$504,$A49,'Avaliação Semanal'!$A$5:$A$504,"&gt;="&amp;$B$3,'Avaliação Semanal'!$A$5:$A$504,"&lt;="&amp;$D$3,'Avaliação Semanal'!$H$5:$H$504,"&gt;0")=0,"",ROUND(AVERAGEIFS('Avaliação Semanal'!$H$5:$H$504,'Avaliação Semanal'!$B$5:$B$504,$A49,'Avaliação Semanal'!$A$5:$A$504,"&gt;="&amp;$B$3,'Avaliação Semanal'!$A$5:$A$504,"&lt;="&amp;$D$3),2)))</f>
        <v/>
      </c>
      <c r="J49" s="8">
        <f>IF($A49="","",IF(COUNTIFS('Avaliação Semanal'!$B$5:$B$504,$A49,'Avaliação Semanal'!$A$5:$A$504,"&gt;="&amp;$B$3,'Avaliação Semanal'!$A$5:$A$504,"&lt;="&amp;$D$3,'Avaliação Semanal'!$I$5:$I$504,"&gt;0")=0,"",ROUND(AVERAGEIFS('Avaliação Semanal'!$I$5:$I$504,'Avaliação Semanal'!$B$5:$B$504,$A49,'Avaliação Semanal'!$A$5:$A$504,"&gt;="&amp;$B$3,'Avaliação Semanal'!$A$5:$A$504,"&lt;="&amp;$D$3),2)))</f>
        <v/>
      </c>
      <c r="K49" s="9">
        <f>IF(COUNT($F49:$J49)=0,"",ROUND(AVERAGE($F49:$J49),2))</f>
        <v/>
      </c>
      <c r="L49" s="10">
        <f>IF($K49="","",IF($K49&gt;=Cadastro!$H$5,"Verde",IF($K49&gt;=Cadastro!$H$6,"Atenção","Crítico")))</f>
        <v/>
      </c>
      <c r="M49" s="7">
        <f>IF($A49="","",COUNTIFS('Avaliação Semanal'!$B$5:$B$504,$A49,'Avaliação Semanal'!$A$5:$A$504,"&gt;="&amp;$B$3,'Avaliação Semanal'!$A$5:$A$504,"&lt;="&amp;$D$3,'Avaliação Semanal'!$J$5:$J$504,"&gt;0"))</f>
        <v/>
      </c>
      <c r="N49" s="11">
        <f>IF($M49=0,"",_xlfn.MAXIFS('Avaliação Semanal'!$A$5:$A$504,'Avaliação Semanal'!$B$5:$B$504,$A49,'Avaliação Semanal'!$A$5:$A$504,"&lt;="&amp;$D$3))</f>
        <v/>
      </c>
      <c r="O49" s="7">
        <f>IF($A49="","",COUNTIFS('Ocorrências'!$B$5:$B$204,$A49,'Ocorrências'!$A$5:$A$204,"&gt;="&amp;$B$3,'Ocorrências'!$A$5:$A$204,"&lt;="&amp;$D$3))</f>
        <v/>
      </c>
      <c r="P49" s="7">
        <f>IF($A49="","",COUNTIFS('Ocorrências'!$B$5:$B$204,$A49,'Ocorrências'!$C$5:$C$204,"Ponto de atenção",'Ocorrências'!$A$5:$A$204,"&gt;="&amp;$B$3,'Ocorrências'!$A$5:$A$204,"&lt;="&amp;$D$3)+COUNTIFS('Ocorrências'!$B$5:$B$204,$A49,'Ocorrências'!$C$5:$C$204,"Crítica",'Ocorrências'!$A$5:$A$204,"&gt;="&amp;$B$3,'Ocorrências'!$A$5:$A$204,"&lt;="&amp;$D$3))</f>
        <v/>
      </c>
      <c r="Q49" s="7">
        <f>IF($A49="","",IF(COUNTIFS('Avaliação Semanal'!$B$5:$B$504,$A49,'Avaliação Semanal'!$C$5:$C$504,"GP",'Avaliação Semanal'!$A$5:$A$504,"&gt;="&amp;$B$3,'Avaliação Semanal'!$A$5:$A$504,"&lt;="&amp;$D$3)=0,"",IFERROR(INDEX('Avaliação Semanal'!$L$5:$L$504,MATCH($A49&amp;"|GP|"&amp;TEXT(_xlfn.MAXIFS('Avaliação Semanal'!$A$5:$A$504,'Avaliação Semanal'!$B$5:$B$504,$A49,'Avaliação Semanal'!$C$5:$C$504,"GP",'Avaliação Semanal'!$A$5:$A$504,"&lt;="&amp;$D$3),"00000"),'Avaliação Semanal'!$M$5:$M$504,0)),"")))</f>
        <v/>
      </c>
      <c r="R49" s="7">
        <f>IF($A49="","",IF(COUNTIFS('Avaliação Semanal'!$B$5:$B$504,$A49,'Avaliação Semanal'!$C$5:$C$504,"Líder Técnico",'Avaliação Semanal'!$A$5:$A$504,"&gt;="&amp;$B$3,'Avaliação Semanal'!$A$5:$A$504,"&lt;="&amp;$D$3)=0,"",IFERROR(INDEX('Avaliação Semanal'!$L$5:$L$504,MATCH($A49&amp;"|Líder Técnico|"&amp;TEXT(_xlfn.MAXIFS('Avaliação Semanal'!$A$5:$A$504,'Avaliação Semanal'!$B$5:$B$504,$A49,'Avaliação Semanal'!$C$5:$C$504,"Líder Técnico",'Avaliação Semanal'!$A$5:$A$504,"&lt;="&amp;$D$3),"00000"),'Avaliação Semanal'!$M$5:$M$504,0)),"")))</f>
        <v/>
      </c>
    </row>
    <row r="50" ht="30" customHeight="1">
      <c r="A50" s="7">
        <f>IF(Cadastro!$A49="","",Cadastro!$A49)</f>
        <v/>
      </c>
      <c r="B50" s="7">
        <f>IF(Cadastro!$A49="","",Cadastro!$B49)</f>
        <v/>
      </c>
      <c r="C50" s="7">
        <f>IF(Cadastro!$A49="","",Cadastro!$C49)</f>
        <v/>
      </c>
      <c r="D50" s="8">
        <f>IF($A50="","",IF(COUNTIFS('Avaliação Semanal'!$B$5:$B$504,$A50,'Avaliação Semanal'!$C$5:$C$504,"GP",'Avaliação Semanal'!$A$5:$A$504,"&gt;="&amp;$B$3,'Avaliação Semanal'!$A$5:$A$504,"&lt;="&amp;$D$3,'Avaliação Semanal'!$J$5:$J$504,"&gt;0")=0,"",ROUND(AVERAGEIFS('Avaliação Semanal'!$J$5:$J$504,'Avaliação Semanal'!$B$5:$B$504,$A50,'Avaliação Semanal'!$C$5:$C$504,"GP",'Avaliação Semanal'!$A$5:$A$504,"&gt;="&amp;$B$3,'Avaliação Semanal'!$A$5:$A$504,"&lt;="&amp;$D$3),2)))</f>
        <v/>
      </c>
      <c r="E50" s="8">
        <f>IF($A50="","",IF(COUNTIFS('Avaliação Semanal'!$B$5:$B$504,$A50,'Avaliação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Semanal'!$B$5:$B$504,$A50,'Avaliação Semanal'!$C$5:$C$504,"Líder Técnico",'Avaliação Semanal'!$A$5:$A$504,"&gt;="&amp;$B$3,'Avaliação Semanal'!$A$5:$A$504,"&lt;="&amp;$D$3),2)))</f>
        <v/>
      </c>
      <c r="F50" s="8">
        <f>IF($A50="","",IF(COUNTIFS('Avaliação Semanal'!$B$5:$B$504,$A50,'Avaliação Semanal'!$A$5:$A$504,"&gt;="&amp;$B$3,'Avaliação Semanal'!$A$5:$A$504,"&lt;="&amp;$D$3,'Avaliação Semanal'!$E$5:$E$504,"&gt;0")=0,"",ROUND(AVERAGEIFS('Avaliação Semanal'!$E$5:$E$504,'Avaliação Semanal'!$B$5:$B$504,$A50,'Avaliação Semanal'!$A$5:$A$504,"&gt;="&amp;$B$3,'Avaliação Semanal'!$A$5:$A$504,"&lt;="&amp;$D$3),2)))</f>
        <v/>
      </c>
      <c r="G50" s="8">
        <f>IF($A50="","",IF(COUNTIFS('Avaliação Semanal'!$B$5:$B$504,$A50,'Avaliação Semanal'!$A$5:$A$504,"&gt;="&amp;$B$3,'Avaliação Semanal'!$A$5:$A$504,"&lt;="&amp;$D$3,'Avaliação Semanal'!$F$5:$F$504,"&gt;0")=0,"",ROUND(AVERAGEIFS('Avaliação Semanal'!$F$5:$F$504,'Avaliação Semanal'!$B$5:$B$504,$A50,'Avaliação Semanal'!$A$5:$A$504,"&gt;="&amp;$B$3,'Avaliação Semanal'!$A$5:$A$504,"&lt;="&amp;$D$3),2)))</f>
        <v/>
      </c>
      <c r="H50" s="8">
        <f>IF($A50="","",IF(COUNTIFS('Avaliação Semanal'!$B$5:$B$504,$A50,'Avaliação Semanal'!$A$5:$A$504,"&gt;="&amp;$B$3,'Avaliação Semanal'!$A$5:$A$504,"&lt;="&amp;$D$3,'Avaliação Semanal'!$G$5:$G$504,"&gt;0")=0,"",ROUND(AVERAGEIFS('Avaliação Semanal'!$G$5:$G$504,'Avaliação Semanal'!$B$5:$B$504,$A50,'Avaliação Semanal'!$A$5:$A$504,"&gt;="&amp;$B$3,'Avaliação Semanal'!$A$5:$A$504,"&lt;="&amp;$D$3),2)))</f>
        <v/>
      </c>
      <c r="I50" s="8">
        <f>IF($A50="","",IF(COUNTIFS('Avaliação Semanal'!$B$5:$B$504,$A50,'Avaliação Semanal'!$A$5:$A$504,"&gt;="&amp;$B$3,'Avaliação Semanal'!$A$5:$A$504,"&lt;="&amp;$D$3,'Avaliação Semanal'!$H$5:$H$504,"&gt;0")=0,"",ROUND(AVERAGEIFS('Avaliação Semanal'!$H$5:$H$504,'Avaliação Semanal'!$B$5:$B$504,$A50,'Avaliação Semanal'!$A$5:$A$504,"&gt;="&amp;$B$3,'Avaliação Semanal'!$A$5:$A$504,"&lt;="&amp;$D$3),2)))</f>
        <v/>
      </c>
      <c r="J50" s="8">
        <f>IF($A50="","",IF(COUNTIFS('Avaliação Semanal'!$B$5:$B$504,$A50,'Avaliação Semanal'!$A$5:$A$504,"&gt;="&amp;$B$3,'Avaliação Semanal'!$A$5:$A$504,"&lt;="&amp;$D$3,'Avaliação Semanal'!$I$5:$I$504,"&gt;0")=0,"",ROUND(AVERAGEIFS('Avaliação Semanal'!$I$5:$I$504,'Avaliação Semanal'!$B$5:$B$504,$A50,'Avaliação Semanal'!$A$5:$A$504,"&gt;="&amp;$B$3,'Avaliação Semanal'!$A$5:$A$504,"&lt;="&amp;$D$3),2)))</f>
        <v/>
      </c>
      <c r="K50" s="9">
        <f>IF(COUNT($F50:$J50)=0,"",ROUND(AVERAGE($F50:$J50),2))</f>
        <v/>
      </c>
      <c r="L50" s="10">
        <f>IF($K50="","",IF($K50&gt;=Cadastro!$H$5,"Verde",IF($K50&gt;=Cadastro!$H$6,"Atenção","Crítico")))</f>
        <v/>
      </c>
      <c r="M50" s="7">
        <f>IF($A50="","",COUNTIFS('Avaliação Semanal'!$B$5:$B$504,$A50,'Avaliação Semanal'!$A$5:$A$504,"&gt;="&amp;$B$3,'Avaliação Semanal'!$A$5:$A$504,"&lt;="&amp;$D$3,'Avaliação Semanal'!$J$5:$J$504,"&gt;0"))</f>
        <v/>
      </c>
      <c r="N50" s="11">
        <f>IF($M50=0,"",_xlfn.MAXIFS('Avaliação Semanal'!$A$5:$A$504,'Avaliação Semanal'!$B$5:$B$504,$A50,'Avaliação Semanal'!$A$5:$A$504,"&lt;="&amp;$D$3))</f>
        <v/>
      </c>
      <c r="O50" s="7">
        <f>IF($A50="","",COUNTIFS('Ocorrências'!$B$5:$B$204,$A50,'Ocorrências'!$A$5:$A$204,"&gt;="&amp;$B$3,'Ocorrências'!$A$5:$A$204,"&lt;="&amp;$D$3))</f>
        <v/>
      </c>
      <c r="P50" s="7">
        <f>IF($A50="","",COUNTIFS('Ocorrências'!$B$5:$B$204,$A50,'Ocorrências'!$C$5:$C$204,"Ponto de atenção",'Ocorrências'!$A$5:$A$204,"&gt;="&amp;$B$3,'Ocorrências'!$A$5:$A$204,"&lt;="&amp;$D$3)+COUNTIFS('Ocorrências'!$B$5:$B$204,$A50,'Ocorrências'!$C$5:$C$204,"Crítica",'Ocorrências'!$A$5:$A$204,"&gt;="&amp;$B$3,'Ocorrências'!$A$5:$A$204,"&lt;="&amp;$D$3))</f>
        <v/>
      </c>
      <c r="Q50" s="7">
        <f>IF($A50="","",IF(COUNTIFS('Avaliação Semanal'!$B$5:$B$504,$A50,'Avaliação Semanal'!$C$5:$C$504,"GP",'Avaliação Semanal'!$A$5:$A$504,"&gt;="&amp;$B$3,'Avaliação Semanal'!$A$5:$A$504,"&lt;="&amp;$D$3)=0,"",IFERROR(INDEX('Avaliação Semanal'!$L$5:$L$504,MATCH($A50&amp;"|GP|"&amp;TEXT(_xlfn.MAXIFS('Avaliação Semanal'!$A$5:$A$504,'Avaliação Semanal'!$B$5:$B$504,$A50,'Avaliação Semanal'!$C$5:$C$504,"GP",'Avaliação Semanal'!$A$5:$A$504,"&lt;="&amp;$D$3),"00000"),'Avaliação Semanal'!$M$5:$M$504,0)),"")))</f>
        <v/>
      </c>
      <c r="R50" s="7">
        <f>IF($A50="","",IF(COUNTIFS('Avaliação Semanal'!$B$5:$B$504,$A50,'Avaliação Semanal'!$C$5:$C$504,"Líder Técnico",'Avaliação Semanal'!$A$5:$A$504,"&gt;="&amp;$B$3,'Avaliação Semanal'!$A$5:$A$504,"&lt;="&amp;$D$3)=0,"",IFERROR(INDEX('Avaliação Semanal'!$L$5:$L$504,MATCH($A50&amp;"|Líder Técnico|"&amp;TEXT(_xlfn.MAXIFS('Avaliação Semanal'!$A$5:$A$504,'Avaliação Semanal'!$B$5:$B$504,$A50,'Avaliação Semanal'!$C$5:$C$504,"Líder Técnico",'Avaliação Semanal'!$A$5:$A$504,"&lt;="&amp;$D$3),"00000"),'Avaliação Semanal'!$M$5:$M$504,0)),"")))</f>
        <v/>
      </c>
    </row>
    <row r="51" ht="30" customHeight="1">
      <c r="A51" s="7">
        <f>IF(Cadastro!$A50="","",Cadastro!$A50)</f>
        <v/>
      </c>
      <c r="B51" s="7">
        <f>IF(Cadastro!$A50="","",Cadastro!$B50)</f>
        <v/>
      </c>
      <c r="C51" s="7">
        <f>IF(Cadastro!$A50="","",Cadastro!$C50)</f>
        <v/>
      </c>
      <c r="D51" s="8">
        <f>IF($A51="","",IF(COUNTIFS('Avaliação Semanal'!$B$5:$B$504,$A51,'Avaliação Semanal'!$C$5:$C$504,"GP",'Avaliação Semanal'!$A$5:$A$504,"&gt;="&amp;$B$3,'Avaliação Semanal'!$A$5:$A$504,"&lt;="&amp;$D$3,'Avaliação Semanal'!$J$5:$J$504,"&gt;0")=0,"",ROUND(AVERAGEIFS('Avaliação Semanal'!$J$5:$J$504,'Avaliação Semanal'!$B$5:$B$504,$A51,'Avaliação Semanal'!$C$5:$C$504,"GP",'Avaliação Semanal'!$A$5:$A$504,"&gt;="&amp;$B$3,'Avaliação Semanal'!$A$5:$A$504,"&lt;="&amp;$D$3),2)))</f>
        <v/>
      </c>
      <c r="E51" s="8">
        <f>IF($A51="","",IF(COUNTIFS('Avaliação Semanal'!$B$5:$B$504,$A51,'Avaliação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Semanal'!$B$5:$B$504,$A51,'Avaliação Semanal'!$C$5:$C$504,"Líder Técnico",'Avaliação Semanal'!$A$5:$A$504,"&gt;="&amp;$B$3,'Avaliação Semanal'!$A$5:$A$504,"&lt;="&amp;$D$3),2)))</f>
        <v/>
      </c>
      <c r="F51" s="8">
        <f>IF($A51="","",IF(COUNTIFS('Avaliação Semanal'!$B$5:$B$504,$A51,'Avaliação Semanal'!$A$5:$A$504,"&gt;="&amp;$B$3,'Avaliação Semanal'!$A$5:$A$504,"&lt;="&amp;$D$3,'Avaliação Semanal'!$E$5:$E$504,"&gt;0")=0,"",ROUND(AVERAGEIFS('Avaliação Semanal'!$E$5:$E$504,'Avaliação Semanal'!$B$5:$B$504,$A51,'Avaliação Semanal'!$A$5:$A$504,"&gt;="&amp;$B$3,'Avaliação Semanal'!$A$5:$A$504,"&lt;="&amp;$D$3),2)))</f>
        <v/>
      </c>
      <c r="G51" s="8">
        <f>IF($A51="","",IF(COUNTIFS('Avaliação Semanal'!$B$5:$B$504,$A51,'Avaliação Semanal'!$A$5:$A$504,"&gt;="&amp;$B$3,'Avaliação Semanal'!$A$5:$A$504,"&lt;="&amp;$D$3,'Avaliação Semanal'!$F$5:$F$504,"&gt;0")=0,"",ROUND(AVERAGEIFS('Avaliação Semanal'!$F$5:$F$504,'Avaliação Semanal'!$B$5:$B$504,$A51,'Avaliação Semanal'!$A$5:$A$504,"&gt;="&amp;$B$3,'Avaliação Semanal'!$A$5:$A$504,"&lt;="&amp;$D$3),2)))</f>
        <v/>
      </c>
      <c r="H51" s="8">
        <f>IF($A51="","",IF(COUNTIFS('Avaliação Semanal'!$B$5:$B$504,$A51,'Avaliação Semanal'!$A$5:$A$504,"&gt;="&amp;$B$3,'Avaliação Semanal'!$A$5:$A$504,"&lt;="&amp;$D$3,'Avaliação Semanal'!$G$5:$G$504,"&gt;0")=0,"",ROUND(AVERAGEIFS('Avaliação Semanal'!$G$5:$G$504,'Avaliação Semanal'!$B$5:$B$504,$A51,'Avaliação Semanal'!$A$5:$A$504,"&gt;="&amp;$B$3,'Avaliação Semanal'!$A$5:$A$504,"&lt;="&amp;$D$3),2)))</f>
        <v/>
      </c>
      <c r="I51" s="8">
        <f>IF($A51="","",IF(COUNTIFS('Avaliação Semanal'!$B$5:$B$504,$A51,'Avaliação Semanal'!$A$5:$A$504,"&gt;="&amp;$B$3,'Avaliação Semanal'!$A$5:$A$504,"&lt;="&amp;$D$3,'Avaliação Semanal'!$H$5:$H$504,"&gt;0")=0,"",ROUND(AVERAGEIFS('Avaliação Semanal'!$H$5:$H$504,'Avaliação Semanal'!$B$5:$B$504,$A51,'Avaliação Semanal'!$A$5:$A$504,"&gt;="&amp;$B$3,'Avaliação Semanal'!$A$5:$A$504,"&lt;="&amp;$D$3),2)))</f>
        <v/>
      </c>
      <c r="J51" s="8">
        <f>IF($A51="","",IF(COUNTIFS('Avaliação Semanal'!$B$5:$B$504,$A51,'Avaliação Semanal'!$A$5:$A$504,"&gt;="&amp;$B$3,'Avaliação Semanal'!$A$5:$A$504,"&lt;="&amp;$D$3,'Avaliação Semanal'!$I$5:$I$504,"&gt;0")=0,"",ROUND(AVERAGEIFS('Avaliação Semanal'!$I$5:$I$504,'Avaliação Semanal'!$B$5:$B$504,$A51,'Avaliação Semanal'!$A$5:$A$504,"&gt;="&amp;$B$3,'Avaliação Semanal'!$A$5:$A$504,"&lt;="&amp;$D$3),2)))</f>
        <v/>
      </c>
      <c r="K51" s="9">
        <f>IF(COUNT($F51:$J51)=0,"",ROUND(AVERAGE($F51:$J51),2))</f>
        <v/>
      </c>
      <c r="L51" s="10">
        <f>IF($K51="","",IF($K51&gt;=Cadastro!$H$5,"Verde",IF($K51&gt;=Cadastro!$H$6,"Atenção","Crítico")))</f>
        <v/>
      </c>
      <c r="M51" s="7">
        <f>IF($A51="","",COUNTIFS('Avaliação Semanal'!$B$5:$B$504,$A51,'Avaliação Semanal'!$A$5:$A$504,"&gt;="&amp;$B$3,'Avaliação Semanal'!$A$5:$A$504,"&lt;="&amp;$D$3,'Avaliação Semanal'!$J$5:$J$504,"&gt;0"))</f>
        <v/>
      </c>
      <c r="N51" s="11">
        <f>IF($M51=0,"",_xlfn.MAXIFS('Avaliação Semanal'!$A$5:$A$504,'Avaliação Semanal'!$B$5:$B$504,$A51,'Avaliação Semanal'!$A$5:$A$504,"&lt;="&amp;$D$3))</f>
        <v/>
      </c>
      <c r="O51" s="7">
        <f>IF($A51="","",COUNTIFS('Ocorrências'!$B$5:$B$204,$A51,'Ocorrências'!$A$5:$A$204,"&gt;="&amp;$B$3,'Ocorrências'!$A$5:$A$204,"&lt;="&amp;$D$3))</f>
        <v/>
      </c>
      <c r="P51" s="7">
        <f>IF($A51="","",COUNTIFS('Ocorrências'!$B$5:$B$204,$A51,'Ocorrências'!$C$5:$C$204,"Ponto de atenção",'Ocorrências'!$A$5:$A$204,"&gt;="&amp;$B$3,'Ocorrências'!$A$5:$A$204,"&lt;="&amp;$D$3)+COUNTIFS('Ocorrências'!$B$5:$B$204,$A51,'Ocorrências'!$C$5:$C$204,"Crítica",'Ocorrências'!$A$5:$A$204,"&gt;="&amp;$B$3,'Ocorrências'!$A$5:$A$204,"&lt;="&amp;$D$3))</f>
        <v/>
      </c>
      <c r="Q51" s="7">
        <f>IF($A51="","",IF(COUNTIFS('Avaliação Semanal'!$B$5:$B$504,$A51,'Avaliação Semanal'!$C$5:$C$504,"GP",'Avaliação Semanal'!$A$5:$A$504,"&gt;="&amp;$B$3,'Avaliação Semanal'!$A$5:$A$504,"&lt;="&amp;$D$3)=0,"",IFERROR(INDEX('Avaliação Semanal'!$L$5:$L$504,MATCH($A51&amp;"|GP|"&amp;TEXT(_xlfn.MAXIFS('Avaliação Semanal'!$A$5:$A$504,'Avaliação Semanal'!$B$5:$B$504,$A51,'Avaliação Semanal'!$C$5:$C$504,"GP",'Avaliação Semanal'!$A$5:$A$504,"&lt;="&amp;$D$3),"00000"),'Avaliação Semanal'!$M$5:$M$504,0)),"")))</f>
        <v/>
      </c>
      <c r="R51" s="7">
        <f>IF($A51="","",IF(COUNTIFS('Avaliação Semanal'!$B$5:$B$504,$A51,'Avaliação Semanal'!$C$5:$C$504,"Líder Técnico",'Avaliação Semanal'!$A$5:$A$504,"&gt;="&amp;$B$3,'Avaliação Semanal'!$A$5:$A$504,"&lt;="&amp;$D$3)=0,"",IFERROR(INDEX('Avaliação Semanal'!$L$5:$L$504,MATCH($A51&amp;"|Líder Técnico|"&amp;TEXT(_xlfn.MAXIFS('Avaliação Semanal'!$A$5:$A$504,'Avaliação Semanal'!$B$5:$B$504,$A51,'Avaliação Semanal'!$C$5:$C$504,"Líder Técnico",'Avaliação Semanal'!$A$5:$A$504,"&lt;="&amp;$D$3),"00000"),'Avaliação Semanal'!$M$5:$M$504,0)),"")))</f>
        <v/>
      </c>
    </row>
    <row r="52" ht="30" customHeight="1">
      <c r="A52" s="7">
        <f>IF(Cadastro!$A51="","",Cadastro!$A51)</f>
        <v/>
      </c>
      <c r="B52" s="7">
        <f>IF(Cadastro!$A51="","",Cadastro!$B51)</f>
        <v/>
      </c>
      <c r="C52" s="7">
        <f>IF(Cadastro!$A51="","",Cadastro!$C51)</f>
        <v/>
      </c>
      <c r="D52" s="8">
        <f>IF($A52="","",IF(COUNTIFS('Avaliação Semanal'!$B$5:$B$504,$A52,'Avaliação Semanal'!$C$5:$C$504,"GP",'Avaliação Semanal'!$A$5:$A$504,"&gt;="&amp;$B$3,'Avaliação Semanal'!$A$5:$A$504,"&lt;="&amp;$D$3,'Avaliação Semanal'!$J$5:$J$504,"&gt;0")=0,"",ROUND(AVERAGEIFS('Avaliação Semanal'!$J$5:$J$504,'Avaliação Semanal'!$B$5:$B$504,$A52,'Avaliação Semanal'!$C$5:$C$504,"GP",'Avaliação Semanal'!$A$5:$A$504,"&gt;="&amp;$B$3,'Avaliação Semanal'!$A$5:$A$504,"&lt;="&amp;$D$3),2)))</f>
        <v/>
      </c>
      <c r="E52" s="8">
        <f>IF($A52="","",IF(COUNTIFS('Avaliação Semanal'!$B$5:$B$504,$A52,'Avaliação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Semanal'!$B$5:$B$504,$A52,'Avaliação Semanal'!$C$5:$C$504,"Líder Técnico",'Avaliação Semanal'!$A$5:$A$504,"&gt;="&amp;$B$3,'Avaliação Semanal'!$A$5:$A$504,"&lt;="&amp;$D$3),2)))</f>
        <v/>
      </c>
      <c r="F52" s="8">
        <f>IF($A52="","",IF(COUNTIFS('Avaliação Semanal'!$B$5:$B$504,$A52,'Avaliação Semanal'!$A$5:$A$504,"&gt;="&amp;$B$3,'Avaliação Semanal'!$A$5:$A$504,"&lt;="&amp;$D$3,'Avaliação Semanal'!$E$5:$E$504,"&gt;0")=0,"",ROUND(AVERAGEIFS('Avaliação Semanal'!$E$5:$E$504,'Avaliação Semanal'!$B$5:$B$504,$A52,'Avaliação Semanal'!$A$5:$A$504,"&gt;="&amp;$B$3,'Avaliação Semanal'!$A$5:$A$504,"&lt;="&amp;$D$3),2)))</f>
        <v/>
      </c>
      <c r="G52" s="8">
        <f>IF($A52="","",IF(COUNTIFS('Avaliação Semanal'!$B$5:$B$504,$A52,'Avaliação Semanal'!$A$5:$A$504,"&gt;="&amp;$B$3,'Avaliação Semanal'!$A$5:$A$504,"&lt;="&amp;$D$3,'Avaliação Semanal'!$F$5:$F$504,"&gt;0")=0,"",ROUND(AVERAGEIFS('Avaliação Semanal'!$F$5:$F$504,'Avaliação Semanal'!$B$5:$B$504,$A52,'Avaliação Semanal'!$A$5:$A$504,"&gt;="&amp;$B$3,'Avaliação Semanal'!$A$5:$A$504,"&lt;="&amp;$D$3),2)))</f>
        <v/>
      </c>
      <c r="H52" s="8">
        <f>IF($A52="","",IF(COUNTIFS('Avaliação Semanal'!$B$5:$B$504,$A52,'Avaliação Semanal'!$A$5:$A$504,"&gt;="&amp;$B$3,'Avaliação Semanal'!$A$5:$A$504,"&lt;="&amp;$D$3,'Avaliação Semanal'!$G$5:$G$504,"&gt;0")=0,"",ROUND(AVERAGEIFS('Avaliação Semanal'!$G$5:$G$504,'Avaliação Semanal'!$B$5:$B$504,$A52,'Avaliação Semanal'!$A$5:$A$504,"&gt;="&amp;$B$3,'Avaliação Semanal'!$A$5:$A$504,"&lt;="&amp;$D$3),2)))</f>
        <v/>
      </c>
      <c r="I52" s="8">
        <f>IF($A52="","",IF(COUNTIFS('Avaliação Semanal'!$B$5:$B$504,$A52,'Avaliação Semanal'!$A$5:$A$504,"&gt;="&amp;$B$3,'Avaliação Semanal'!$A$5:$A$504,"&lt;="&amp;$D$3,'Avaliação Semanal'!$H$5:$H$504,"&gt;0")=0,"",ROUND(AVERAGEIFS('Avaliação Semanal'!$H$5:$H$504,'Avaliação Semanal'!$B$5:$B$504,$A52,'Avaliação Semanal'!$A$5:$A$504,"&gt;="&amp;$B$3,'Avaliação Semanal'!$A$5:$A$504,"&lt;="&amp;$D$3),2)))</f>
        <v/>
      </c>
      <c r="J52" s="8">
        <f>IF($A52="","",IF(COUNTIFS('Avaliação Semanal'!$B$5:$B$504,$A52,'Avaliação Semanal'!$A$5:$A$504,"&gt;="&amp;$B$3,'Avaliação Semanal'!$A$5:$A$504,"&lt;="&amp;$D$3,'Avaliação Semanal'!$I$5:$I$504,"&gt;0")=0,"",ROUND(AVERAGEIFS('Avaliação Semanal'!$I$5:$I$504,'Avaliação Semanal'!$B$5:$B$504,$A52,'Avaliação Semanal'!$A$5:$A$504,"&gt;="&amp;$B$3,'Avaliação Semanal'!$A$5:$A$504,"&lt;="&amp;$D$3),2)))</f>
        <v/>
      </c>
      <c r="K52" s="9">
        <f>IF(COUNT($F52:$J52)=0,"",ROUND(AVERAGE($F52:$J52),2))</f>
        <v/>
      </c>
      <c r="L52" s="10">
        <f>IF($K52="","",IF($K52&gt;=Cadastro!$H$5,"Verde",IF($K52&gt;=Cadastro!$H$6,"Atenção","Crítico")))</f>
        <v/>
      </c>
      <c r="M52" s="7">
        <f>IF($A52="","",COUNTIFS('Avaliação Semanal'!$B$5:$B$504,$A52,'Avaliação Semanal'!$A$5:$A$504,"&gt;="&amp;$B$3,'Avaliação Semanal'!$A$5:$A$504,"&lt;="&amp;$D$3,'Avaliação Semanal'!$J$5:$J$504,"&gt;0"))</f>
        <v/>
      </c>
      <c r="N52" s="11">
        <f>IF($M52=0,"",_xlfn.MAXIFS('Avaliação Semanal'!$A$5:$A$504,'Avaliação Semanal'!$B$5:$B$504,$A52,'Avaliação Semanal'!$A$5:$A$504,"&lt;="&amp;$D$3))</f>
        <v/>
      </c>
      <c r="O52" s="7">
        <f>IF($A52="","",COUNTIFS('Ocorrências'!$B$5:$B$204,$A52,'Ocorrências'!$A$5:$A$204,"&gt;="&amp;$B$3,'Ocorrências'!$A$5:$A$204,"&lt;="&amp;$D$3))</f>
        <v/>
      </c>
      <c r="P52" s="7">
        <f>IF($A52="","",COUNTIFS('Ocorrências'!$B$5:$B$204,$A52,'Ocorrências'!$C$5:$C$204,"Ponto de atenção",'Ocorrências'!$A$5:$A$204,"&gt;="&amp;$B$3,'Ocorrências'!$A$5:$A$204,"&lt;="&amp;$D$3)+COUNTIFS('Ocorrências'!$B$5:$B$204,$A52,'Ocorrências'!$C$5:$C$204,"Crítica",'Ocorrências'!$A$5:$A$204,"&gt;="&amp;$B$3,'Ocorrências'!$A$5:$A$204,"&lt;="&amp;$D$3))</f>
        <v/>
      </c>
      <c r="Q52" s="7">
        <f>IF($A52="","",IF(COUNTIFS('Avaliação Semanal'!$B$5:$B$504,$A52,'Avaliação Semanal'!$C$5:$C$504,"GP",'Avaliação Semanal'!$A$5:$A$504,"&gt;="&amp;$B$3,'Avaliação Semanal'!$A$5:$A$504,"&lt;="&amp;$D$3)=0,"",IFERROR(INDEX('Avaliação Semanal'!$L$5:$L$504,MATCH($A52&amp;"|GP|"&amp;TEXT(_xlfn.MAXIFS('Avaliação Semanal'!$A$5:$A$504,'Avaliação Semanal'!$B$5:$B$504,$A52,'Avaliação Semanal'!$C$5:$C$504,"GP",'Avaliação Semanal'!$A$5:$A$504,"&lt;="&amp;$D$3),"00000"),'Avaliação Semanal'!$M$5:$M$504,0)),"")))</f>
        <v/>
      </c>
      <c r="R52" s="7">
        <f>IF($A52="","",IF(COUNTIFS('Avaliação Semanal'!$B$5:$B$504,$A52,'Avaliação Semanal'!$C$5:$C$504,"Líder Técnico",'Avaliação Semanal'!$A$5:$A$504,"&gt;="&amp;$B$3,'Avaliação Semanal'!$A$5:$A$504,"&lt;="&amp;$D$3)=0,"",IFERROR(INDEX('Avaliação Semanal'!$L$5:$L$504,MATCH($A52&amp;"|Líder Técnico|"&amp;TEXT(_xlfn.MAXIFS('Avaliação Semanal'!$A$5:$A$504,'Avaliação Semanal'!$B$5:$B$504,$A52,'Avaliação Semanal'!$C$5:$C$504,"Líder Técnico",'Avaliação Semanal'!$A$5:$A$504,"&lt;="&amp;$D$3),"00000"),'Avaliação Semanal'!$M$5:$M$504,0)),"")))</f>
        <v/>
      </c>
    </row>
    <row r="53" ht="30" customHeight="1">
      <c r="A53" s="7">
        <f>IF(Cadastro!$A52="","",Cadastro!$A52)</f>
        <v/>
      </c>
      <c r="B53" s="7">
        <f>IF(Cadastro!$A52="","",Cadastro!$B52)</f>
        <v/>
      </c>
      <c r="C53" s="7">
        <f>IF(Cadastro!$A52="","",Cadastro!$C52)</f>
        <v/>
      </c>
      <c r="D53" s="8">
        <f>IF($A53="","",IF(COUNTIFS('Avaliação Semanal'!$B$5:$B$504,$A53,'Avaliação Semanal'!$C$5:$C$504,"GP",'Avaliação Semanal'!$A$5:$A$504,"&gt;="&amp;$B$3,'Avaliação Semanal'!$A$5:$A$504,"&lt;="&amp;$D$3,'Avaliação Semanal'!$J$5:$J$504,"&gt;0")=0,"",ROUND(AVERAGEIFS('Avaliação Semanal'!$J$5:$J$504,'Avaliação Semanal'!$B$5:$B$504,$A53,'Avaliação Semanal'!$C$5:$C$504,"GP",'Avaliação Semanal'!$A$5:$A$504,"&gt;="&amp;$B$3,'Avaliação Semanal'!$A$5:$A$504,"&lt;="&amp;$D$3),2)))</f>
        <v/>
      </c>
      <c r="E53" s="8">
        <f>IF($A53="","",IF(COUNTIFS('Avaliação Semanal'!$B$5:$B$504,$A53,'Avaliação Semanal'!$C$5:$C$504,"Líder Técnico",'Avaliação Semanal'!$A$5:$A$504,"&gt;="&amp;$B$3,'Avaliação Semanal'!$A$5:$A$504,"&lt;="&amp;$D$3,'Avaliação Semanal'!$J$5:$J$504,"&gt;0")=0,"",ROUND(AVERAGEIFS('Avaliação Semanal'!$J$5:$J$504,'Avaliação Semanal'!$B$5:$B$504,$A53,'Avaliação Semanal'!$C$5:$C$504,"Líder Técnico",'Avaliação Semanal'!$A$5:$A$504,"&gt;="&amp;$B$3,'Avaliação Semanal'!$A$5:$A$504,"&lt;="&amp;$D$3),2)))</f>
        <v/>
      </c>
      <c r="F53" s="8">
        <f>IF($A53="","",IF(COUNTIFS('Avaliação Semanal'!$B$5:$B$504,$A53,'Avaliação Semanal'!$A$5:$A$504,"&gt;="&amp;$B$3,'Avaliação Semanal'!$A$5:$A$504,"&lt;="&amp;$D$3,'Avaliação Semanal'!$E$5:$E$504,"&gt;0")=0,"",ROUND(AVERAGEIFS('Avaliação Semanal'!$E$5:$E$504,'Avaliação Semanal'!$B$5:$B$504,$A53,'Avaliação Semanal'!$A$5:$A$504,"&gt;="&amp;$B$3,'Avaliação Semanal'!$A$5:$A$504,"&lt;="&amp;$D$3),2)))</f>
        <v/>
      </c>
      <c r="G53" s="8">
        <f>IF($A53="","",IF(COUNTIFS('Avaliação Semanal'!$B$5:$B$504,$A53,'Avaliação Semanal'!$A$5:$A$504,"&gt;="&amp;$B$3,'Avaliação Semanal'!$A$5:$A$504,"&lt;="&amp;$D$3,'Avaliação Semanal'!$F$5:$F$504,"&gt;0")=0,"",ROUND(AVERAGEIFS('Avaliação Semanal'!$F$5:$F$504,'Avaliação Semanal'!$B$5:$B$504,$A53,'Avaliação Semanal'!$A$5:$A$504,"&gt;="&amp;$B$3,'Avaliação Semanal'!$A$5:$A$504,"&lt;="&amp;$D$3),2)))</f>
        <v/>
      </c>
      <c r="H53" s="8">
        <f>IF($A53="","",IF(COUNTIFS('Avaliação Semanal'!$B$5:$B$504,$A53,'Avaliação Semanal'!$A$5:$A$504,"&gt;="&amp;$B$3,'Avaliação Semanal'!$A$5:$A$504,"&lt;="&amp;$D$3,'Avaliação Semanal'!$G$5:$G$504,"&gt;0")=0,"",ROUND(AVERAGEIFS('Avaliação Semanal'!$G$5:$G$504,'Avaliação Semanal'!$B$5:$B$504,$A53,'Avaliação Semanal'!$A$5:$A$504,"&gt;="&amp;$B$3,'Avaliação Semanal'!$A$5:$A$504,"&lt;="&amp;$D$3),2)))</f>
        <v/>
      </c>
      <c r="I53" s="8">
        <f>IF($A53="","",IF(COUNTIFS('Avaliação Semanal'!$B$5:$B$504,$A53,'Avaliação Semanal'!$A$5:$A$504,"&gt;="&amp;$B$3,'Avaliação Semanal'!$A$5:$A$504,"&lt;="&amp;$D$3,'Avaliação Semanal'!$H$5:$H$504,"&gt;0")=0,"",ROUND(AVERAGEIFS('Avaliação Semanal'!$H$5:$H$504,'Avaliação Semanal'!$B$5:$B$504,$A53,'Avaliação Semanal'!$A$5:$A$504,"&gt;="&amp;$B$3,'Avaliação Semanal'!$A$5:$A$504,"&lt;="&amp;$D$3),2)))</f>
        <v/>
      </c>
      <c r="J53" s="8">
        <f>IF($A53="","",IF(COUNTIFS('Avaliação Semanal'!$B$5:$B$504,$A53,'Avaliação Semanal'!$A$5:$A$504,"&gt;="&amp;$B$3,'Avaliação Semanal'!$A$5:$A$504,"&lt;="&amp;$D$3,'Avaliação Semanal'!$I$5:$I$504,"&gt;0")=0,"",ROUND(AVERAGEIFS('Avaliação Semanal'!$I$5:$I$504,'Avaliação Semanal'!$B$5:$B$504,$A53,'Avaliação Semanal'!$A$5:$A$504,"&gt;="&amp;$B$3,'Avaliação Semanal'!$A$5:$A$504,"&lt;="&amp;$D$3),2)))</f>
        <v/>
      </c>
      <c r="K53" s="9">
        <f>IF(COUNT($F53:$J53)=0,"",ROUND(AVERAGE($F53:$J53),2))</f>
        <v/>
      </c>
      <c r="L53" s="10">
        <f>IF($K53="","",IF($K53&gt;=Cadastro!$H$5,"Verde",IF($K53&gt;=Cadastro!$H$6,"Atenção","Crítico")))</f>
        <v/>
      </c>
      <c r="M53" s="7">
        <f>IF($A53="","",COUNTIFS('Avaliação Semanal'!$B$5:$B$504,$A53,'Avaliação Semanal'!$A$5:$A$504,"&gt;="&amp;$B$3,'Avaliação Semanal'!$A$5:$A$504,"&lt;="&amp;$D$3,'Avaliação Semanal'!$J$5:$J$504,"&gt;0"))</f>
        <v/>
      </c>
      <c r="N53" s="11">
        <f>IF($M53=0,"",_xlfn.MAXIFS('Avaliação Semanal'!$A$5:$A$504,'Avaliação Semanal'!$B$5:$B$504,$A53,'Avaliação Semanal'!$A$5:$A$504,"&lt;="&amp;$D$3))</f>
        <v/>
      </c>
      <c r="O53" s="7">
        <f>IF($A53="","",COUNTIFS('Ocorrências'!$B$5:$B$204,$A53,'Ocorrências'!$A$5:$A$204,"&gt;="&amp;$B$3,'Ocorrências'!$A$5:$A$204,"&lt;="&amp;$D$3))</f>
        <v/>
      </c>
      <c r="P53" s="7">
        <f>IF($A53="","",COUNTIFS('Ocorrências'!$B$5:$B$204,$A53,'Ocorrências'!$C$5:$C$204,"Ponto de atenção",'Ocorrências'!$A$5:$A$204,"&gt;="&amp;$B$3,'Ocorrências'!$A$5:$A$204,"&lt;="&amp;$D$3)+COUNTIFS('Ocorrências'!$B$5:$B$204,$A53,'Ocorrências'!$C$5:$C$204,"Crítica",'Ocorrências'!$A$5:$A$204,"&gt;="&amp;$B$3,'Ocorrências'!$A$5:$A$204,"&lt;="&amp;$D$3))</f>
        <v/>
      </c>
      <c r="Q53" s="7">
        <f>IF($A53="","",IF(COUNTIFS('Avaliação Semanal'!$B$5:$B$504,$A53,'Avaliação Semanal'!$C$5:$C$504,"GP",'Avaliação Semanal'!$A$5:$A$504,"&gt;="&amp;$B$3,'Avaliação Semanal'!$A$5:$A$504,"&lt;="&amp;$D$3)=0,"",IFERROR(INDEX('Avaliação Semanal'!$L$5:$L$504,MATCH($A53&amp;"|GP|"&amp;TEXT(_xlfn.MAXIFS('Avaliação Semanal'!$A$5:$A$504,'Avaliação Semanal'!$B$5:$B$504,$A53,'Avaliação Semanal'!$C$5:$C$504,"GP",'Avaliação Semanal'!$A$5:$A$504,"&lt;="&amp;$D$3),"00000"),'Avaliação Semanal'!$M$5:$M$504,0)),"")))</f>
        <v/>
      </c>
      <c r="R53" s="7">
        <f>IF($A53="","",IF(COUNTIFS('Avaliação Semanal'!$B$5:$B$504,$A53,'Avaliação Semanal'!$C$5:$C$504,"Líder Técnico",'Avaliação Semanal'!$A$5:$A$504,"&gt;="&amp;$B$3,'Avaliação Semanal'!$A$5:$A$504,"&lt;="&amp;$D$3)=0,"",IFERROR(INDEX('Avaliação Semanal'!$L$5:$L$504,MATCH($A53&amp;"|Líder Técnico|"&amp;TEXT(_xlfn.MAXIFS('Avaliação Semanal'!$A$5:$A$504,'Avaliação Semanal'!$B$5:$B$504,$A53,'Avaliação Semanal'!$C$5:$C$504,"Líder Técnico",'Avaliação Semanal'!$A$5:$A$504,"&lt;="&amp;$D$3),"00000"),'Avaliação Semanal'!$M$5:$M$504,0)),"")))</f>
        <v/>
      </c>
    </row>
  </sheetData>
  <autoFilter ref="A5:R53"/>
  <conditionalFormatting sqref="K6:L53">
    <cfRule type="expression" priority="1" dxfId="0">
      <formula>$L6="Verde"</formula>
    </cfRule>
    <cfRule type="expression" priority="2" dxfId="1">
      <formula>$L6="Atenção"</formula>
    </cfRule>
    <cfRule type="expression" priority="3" dxfId="2">
      <formula>$L6="Crítico"</formula>
    </cfRule>
  </conditionalFormatting>
  <conditionalFormatting sqref="D6:J53">
    <cfRule type="cellIs" priority="4" operator="lessThan" dxfId="3">
      <formula>3</formula>
    </cfRule>
    <cfRule type="cellIs" priority="5" operator="greaterThanOrEqual" dxfId="4">
      <formula>4</formula>
    </cfRule>
  </conditionalFormatting>
  <conditionalFormatting sqref="P6:P53">
    <cfRule type="cellIs" priority="6" operator="greaterThan" dxfId="5">
      <formula>0</formula>
    </cfRule>
  </conditionalFormatting>
  <conditionalFormatting sqref="M6:M53">
    <cfRule type="cellIs" priority="7" operator="equal" dxfId="3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0" customWidth="1" min="5" max="5"/>
    <col width="10" customWidth="1" min="6" max="6"/>
    <col width="13" customWidth="1" min="7" max="7"/>
    <col width="12" customWidth="1" min="8" max="8"/>
    <col width="11" customWidth="1" min="9" max="9"/>
    <col width="9" customWidth="1" min="10" max="10"/>
    <col width="12" customWidth="1" min="11" max="11"/>
    <col width="78" customWidth="1" min="12" max="12"/>
    <col hidden="1" width="26" customWidth="1" min="13" max="13"/>
  </cols>
  <sheetData>
    <row r="1" ht="24" customHeight="1">
      <c r="A1" s="1" t="inlineStr">
        <is>
          <t>Avaliação semanal</t>
        </is>
      </c>
    </row>
    <row r="2">
      <c r="A2" s="2" t="inlineStr">
        <is>
          <t>Sexta-feira, dois minutos por pessoa. GP e Líder Técnico preenchem cada um a sua linha. Notas de 1 a 5 — a legenda está no Cadastro.</t>
        </is>
      </c>
    </row>
    <row r="3">
      <c r="A3" s="12" t="inlineStr">
        <is>
          <t>Não sabe avaliar um indicador nesta semana? Deixe em branco. Em branco sai da média — chutar 3 estraga o balizador.   ·   O comentário da última coluna é o que mais serve ao gestor depois.</t>
        </is>
      </c>
    </row>
    <row r="4" ht="38" customHeight="1">
      <c r="A4" s="6" t="inlineStr">
        <is>
          <t>Semana</t>
        </is>
      </c>
      <c r="B4" s="6" t="inlineStr">
        <is>
          <t>Colaborador</t>
        </is>
      </c>
      <c r="C4" s="6" t="inlineStr">
        <is>
          <t>Avaliador</t>
        </is>
      </c>
      <c r="D4" s="6" t="inlineStr">
        <is>
          <t>Quem avaliou</t>
        </is>
      </c>
      <c r="E4" s="6" t="inlineStr">
        <is>
          <t>Entrega</t>
        </is>
      </c>
      <c r="F4" s="6" t="inlineStr">
        <is>
          <t>Qualidade</t>
        </is>
      </c>
      <c r="G4" s="6" t="inlineStr">
        <is>
          <t>Comunicação</t>
        </is>
      </c>
      <c r="H4" s="6" t="inlineStr">
        <is>
          <t>Colaboração</t>
        </is>
      </c>
      <c r="I4" s="6" t="inlineStr">
        <is>
          <t>Autonomia</t>
        </is>
      </c>
      <c r="J4" s="6" t="inlineStr">
        <is>
          <t>Média</t>
        </is>
      </c>
      <c r="K4" s="6" t="inlineStr">
        <is>
          <t>Farol</t>
        </is>
      </c>
      <c r="L4" s="6" t="inlineStr">
        <is>
          <t>Comentários da semana</t>
        </is>
      </c>
      <c r="M4" s="6" t="inlineStr">
        <is>
          <t>chave</t>
        </is>
      </c>
    </row>
    <row r="5">
      <c r="A5" s="13" t="n">
        <v>46241</v>
      </c>
      <c r="B5" s="14" t="inlineStr">
        <is>
          <t>Ana Ribeiro</t>
        </is>
      </c>
      <c r="C5" s="14" t="inlineStr">
        <is>
          <t>GP</t>
        </is>
      </c>
      <c r="D5" s="14" t="inlineStr">
        <is>
          <t>Marcos Lima</t>
        </is>
      </c>
      <c r="E5" s="14" t="n">
        <v>4</v>
      </c>
      <c r="F5" s="14" t="n">
        <v>4</v>
      </c>
      <c r="G5" s="14" t="n">
        <v>5</v>
      </c>
      <c r="H5" s="14" t="n">
        <v>4</v>
      </c>
      <c r="I5" s="14" t="n">
        <v>4</v>
      </c>
      <c r="J5" s="8">
        <f>IF(COUNT($E5:$I5)=0,"",ROUND(AVERAGE($E5:$I5),2))</f>
        <v/>
      </c>
      <c r="K5" s="7">
        <f>IF($J5="","",IF($J5&gt;=Cadastro!$H$5,"Verde",IF($J5&gt;=Cadastro!$H$6,"Atenção","Crítico")))</f>
        <v/>
      </c>
      <c r="L5" s="14" t="inlineStr">
        <is>
          <t>Semana boa. Avisou na segunda que o card de cupom ia atrasar e já trouxe o replanejamento.</t>
        </is>
      </c>
      <c r="M5" s="7">
        <f>IF($B5="","",$B5&amp;"|"&amp;$C5&amp;"|"&amp;TEXT($A5,"00000"))</f>
        <v/>
      </c>
    </row>
    <row r="6">
      <c r="A6" s="13" t="n">
        <v>46241</v>
      </c>
      <c r="B6" s="14" t="inlineStr">
        <is>
          <t>Ana Ribeiro</t>
        </is>
      </c>
      <c r="C6" s="14" t="inlineStr">
        <is>
          <t>Líder Técnico</t>
        </is>
      </c>
      <c r="D6" s="14" t="inlineStr">
        <is>
          <t>Rafael Souza</t>
        </is>
      </c>
      <c r="E6" s="14" t="n">
        <v>3</v>
      </c>
      <c r="F6" s="14" t="n">
        <v>3</v>
      </c>
      <c r="G6" s="14" t="n">
        <v>4</v>
      </c>
      <c r="H6" s="14" t="n">
        <v>4</v>
      </c>
      <c r="I6" s="14" t="n">
        <v>4</v>
      </c>
      <c r="J6" s="8">
        <f>IF(COUNT($E6:$I6)=0,"",ROUND(AVERAGE($E6:$I6),2))</f>
        <v/>
      </c>
      <c r="K6" s="7">
        <f>IF($J6="","",IF($J6&gt;=Cadastro!$H$5,"Verde",IF($J6&gt;=Cadastro!$H$6,"Atenção","Crítico")))</f>
        <v/>
      </c>
      <c r="L6" s="14" t="inlineStr">
        <is>
          <t>PR #812 excelente na revisão dos outros, mas o dela voltou 2 rodadas por falta de teste de erro.</t>
        </is>
      </c>
      <c r="M6" s="7">
        <f>IF($B6="","",$B6&amp;"|"&amp;$C6&amp;"|"&amp;TEXT($A6,"00000"))</f>
        <v/>
      </c>
    </row>
    <row r="7">
      <c r="A7" s="13" t="n">
        <v>46241</v>
      </c>
      <c r="B7" s="14" t="inlineStr">
        <is>
          <t>Bruno Tavares</t>
        </is>
      </c>
      <c r="C7" s="14" t="inlineStr">
        <is>
          <t>GP</t>
        </is>
      </c>
      <c r="D7" s="14" t="inlineStr">
        <is>
          <t>Marcos Lima</t>
        </is>
      </c>
      <c r="E7" s="14" t="n">
        <v>3</v>
      </c>
      <c r="F7" s="14" t="n">
        <v>3</v>
      </c>
      <c r="G7" s="14" t="n">
        <v>3</v>
      </c>
      <c r="H7" s="14" t="n">
        <v>4</v>
      </c>
      <c r="I7" s="14" t="n">
        <v>2</v>
      </c>
      <c r="J7" s="8">
        <f>IF(COUNT($E7:$I7)=0,"",ROUND(AVERAGE($E7:$I7),2))</f>
        <v/>
      </c>
      <c r="K7" s="7">
        <f>IF($J7="","",IF($J7&gt;=Cadastro!$H$5,"Verde",IF($J7&gt;=Cadastro!$H$6,"Atenção","Crítico")))</f>
        <v/>
      </c>
      <c r="L7" s="14" t="inlineStr">
        <is>
          <t>Ficou 3 dias travado em credencial de homologação sem avisar. Conversei na sexta.</t>
        </is>
      </c>
      <c r="M7" s="7">
        <f>IF($B7="","",$B7&amp;"|"&amp;$C7&amp;"|"&amp;TEXT($A7,"00000"))</f>
        <v/>
      </c>
    </row>
    <row r="8">
      <c r="A8" s="13" t="n">
        <v>46241</v>
      </c>
      <c r="B8" s="14" t="inlineStr">
        <is>
          <t>Bruno Tavares</t>
        </is>
      </c>
      <c r="C8" s="14" t="inlineStr">
        <is>
          <t>Líder Técnico</t>
        </is>
      </c>
      <c r="D8" s="14" t="inlineStr">
        <is>
          <t>Rafael Souza</t>
        </is>
      </c>
      <c r="E8" s="14" t="n">
        <v>2</v>
      </c>
      <c r="F8" s="14" t="n">
        <v>3</v>
      </c>
      <c r="G8" s="14" t="n">
        <v>3</v>
      </c>
      <c r="H8" s="14" t="n">
        <v>4</v>
      </c>
      <c r="I8" s="14" t="n">
        <v>2</v>
      </c>
      <c r="J8" s="8">
        <f>IF(COUNT($E8:$I8)=0,"",ROUND(AVERAGE($E8:$I8),2))</f>
        <v/>
      </c>
      <c r="K8" s="7">
        <f>IF($J8="","",IF($J8&gt;=Cadastro!$H$5,"Verde",IF($J8&gt;=Cadastro!$H$6,"Atenção","Crítico")))</f>
        <v/>
      </c>
      <c r="L8" s="14" t="inlineStr">
        <is>
          <t>Ainda depende de mim para fechar caso de erro. Combinamos pareamento 1h por semana.</t>
        </is>
      </c>
      <c r="M8" s="7">
        <f>IF($B8="","",$B8&amp;"|"&amp;$C8&amp;"|"&amp;TEXT($A8,"00000"))</f>
        <v/>
      </c>
    </row>
    <row r="9">
      <c r="A9" s="13" t="n">
        <v>46241</v>
      </c>
      <c r="B9" s="14" t="inlineStr">
        <is>
          <t>Carla Nunes</t>
        </is>
      </c>
      <c r="C9" s="14" t="inlineStr">
        <is>
          <t>GP</t>
        </is>
      </c>
      <c r="D9" s="14" t="inlineStr">
        <is>
          <t>Marcos Lima</t>
        </is>
      </c>
      <c r="E9" s="14" t="n">
        <v>5</v>
      </c>
      <c r="F9" s="14" t="n">
        <v>5</v>
      </c>
      <c r="G9" s="14" t="n">
        <v>5</v>
      </c>
      <c r="H9" s="14" t="n">
        <v>5</v>
      </c>
      <c r="I9" s="14" t="n">
        <v>5</v>
      </c>
      <c r="J9" s="8">
        <f>IF(COUNT($E9:$I9)=0,"",ROUND(AVERAGE($E9:$I9),2))</f>
        <v/>
      </c>
      <c r="K9" s="7">
        <f>IF($J9="","",IF($J9&gt;=Cadastro!$H$5,"Verde",IF($J9&gt;=Cadastro!$H$6,"Atenção","Crítico")))</f>
        <v/>
      </c>
      <c r="L9" s="14" t="inlineStr">
        <is>
          <t>Segurou o on-call do Contrato B cobrindo férias e ainda entregou a sprint.</t>
        </is>
      </c>
      <c r="M9" s="7">
        <f>IF($B9="","",$B9&amp;"|"&amp;$C9&amp;"|"&amp;TEXT($A9,"00000"))</f>
        <v/>
      </c>
    </row>
    <row r="10">
      <c r="A10" s="13" t="n">
        <v>46241</v>
      </c>
      <c r="B10" s="14" t="inlineStr">
        <is>
          <t>Carla Nunes</t>
        </is>
      </c>
      <c r="C10" s="14" t="inlineStr">
        <is>
          <t>Líder Técnico</t>
        </is>
      </c>
      <c r="D10" s="14" t="inlineStr">
        <is>
          <t>Rafael Souza</t>
        </is>
      </c>
      <c r="E10" s="14" t="n">
        <v>4</v>
      </c>
      <c r="F10" s="14" t="n">
        <v>5</v>
      </c>
      <c r="G10" s="14" t="n">
        <v>4</v>
      </c>
      <c r="H10" s="14" t="n">
        <v>5</v>
      </c>
      <c r="I10" s="14" t="n">
        <v>5</v>
      </c>
      <c r="J10" s="8">
        <f>IF(COUNT($E10:$I10)=0,"",ROUND(AVERAGE($E10:$I10),2))</f>
        <v/>
      </c>
      <c r="K10" s="7">
        <f>IF($J10="","",IF($J10&gt;=Cadastro!$H$5,"Verde",IF($J10&gt;=Cadastro!$H$6,"Atenção","Crítico")))</f>
        <v/>
      </c>
      <c r="L10" s="14" t="inlineStr">
        <is>
          <t>ADR-07 virou padrão em duas squads. Referência técnica do time.</t>
        </is>
      </c>
      <c r="M10" s="7">
        <f>IF($B10="","",$B10&amp;"|"&amp;$C10&amp;"|"&amp;TEXT($A10,"00000"))</f>
        <v/>
      </c>
    </row>
    <row r="11">
      <c r="A11" s="13" t="n">
        <v>46248</v>
      </c>
      <c r="B11" s="14" t="inlineStr">
        <is>
          <t>Ana Ribeiro</t>
        </is>
      </c>
      <c r="C11" s="14" t="inlineStr">
        <is>
          <t>GP</t>
        </is>
      </c>
      <c r="D11" s="14" t="inlineStr">
        <is>
          <t>Marcos Lima</t>
        </is>
      </c>
      <c r="E11" s="14" t="n">
        <v>4</v>
      </c>
      <c r="F11" s="14" t="n">
        <v>4</v>
      </c>
      <c r="G11" s="14" t="n">
        <v>5</v>
      </c>
      <c r="H11" s="14" t="n">
        <v>5</v>
      </c>
      <c r="I11" s="14" t="n">
        <v>4</v>
      </c>
      <c r="J11" s="8">
        <f>IF(COUNT($E11:$I11)=0,"",ROUND(AVERAGE($E11:$I11),2))</f>
        <v/>
      </c>
      <c r="K11" s="7">
        <f>IF($J11="","",IF($J11&gt;=Cadastro!$H$5,"Verde",IF($J11&gt;=Cadastro!$H$6,"Atenção","Crítico")))</f>
        <v/>
      </c>
      <c r="L11" s="14" t="inlineStr">
        <is>
          <t>Conduziu o refinamento sozinha, sem eu precisar entrar.</t>
        </is>
      </c>
      <c r="M11" s="7">
        <f>IF($B11="","",$B11&amp;"|"&amp;$C11&amp;"|"&amp;TEXT($A11,"00000"))</f>
        <v/>
      </c>
    </row>
    <row r="12">
      <c r="A12" s="13" t="n">
        <v>46248</v>
      </c>
      <c r="B12" s="14" t="inlineStr">
        <is>
          <t>Ana Ribeiro</t>
        </is>
      </c>
      <c r="C12" s="14" t="inlineStr">
        <is>
          <t>Líder Técnico</t>
        </is>
      </c>
      <c r="D12" s="14" t="inlineStr">
        <is>
          <t>Rafael Souza</t>
        </is>
      </c>
      <c r="E12" s="14" t="n">
        <v>3</v>
      </c>
      <c r="F12" s="14" t="n">
        <v>2</v>
      </c>
      <c r="G12" s="14" t="n">
        <v>4</v>
      </c>
      <c r="H12" s="14" t="n">
        <v>4</v>
      </c>
      <c r="I12" s="14" t="n">
        <v>4</v>
      </c>
      <c r="J12" s="8">
        <f>IF(COUNT($E12:$I12)=0,"",ROUND(AVERAGE($E12:$I12),2))</f>
        <v/>
      </c>
      <c r="K12" s="7">
        <f>IF($J12="","",IF($J12&gt;=Cadastro!$H$5,"Verde",IF($J12&gt;=Cadastro!$H$6,"Atenção","Crítico")))</f>
        <v/>
      </c>
      <c r="L12" s="14" t="inlineStr">
        <is>
          <t>PR #857 voltou 3 rodadas, de novo por teste de caminho de erro. É padrão, não caso isolado.</t>
        </is>
      </c>
      <c r="M12" s="7">
        <f>IF($B12="","",$B12&amp;"|"&amp;$C12&amp;"|"&amp;TEXT($A12,"00000"))</f>
        <v/>
      </c>
    </row>
    <row r="13">
      <c r="A13" s="13" t="n">
        <v>46248</v>
      </c>
      <c r="B13" s="14" t="inlineStr">
        <is>
          <t>Bruno Tavares</t>
        </is>
      </c>
      <c r="C13" s="14" t="inlineStr">
        <is>
          <t>GP</t>
        </is>
      </c>
      <c r="D13" s="14" t="inlineStr">
        <is>
          <t>Marcos Lima</t>
        </is>
      </c>
      <c r="E13" s="14" t="n">
        <v>3</v>
      </c>
      <c r="F13" s="14" t="n">
        <v>3</v>
      </c>
      <c r="G13" s="14" t="n">
        <v>4</v>
      </c>
      <c r="H13" s="14" t="n">
        <v>4</v>
      </c>
      <c r="I13" s="14" t="n">
        <v>3</v>
      </c>
      <c r="J13" s="8">
        <f>IF(COUNT($E13:$I13)=0,"",ROUND(AVERAGE($E13:$I13),2))</f>
        <v/>
      </c>
      <c r="K13" s="7">
        <f>IF($J13="","",IF($J13&gt;=Cadastro!$H$5,"Verde",IF($J13&gt;=Cadastro!$H$6,"Atenção","Crítico")))</f>
        <v/>
      </c>
      <c r="L13" s="14" t="inlineStr">
        <is>
          <t>Melhorou: avisou o bloqueio na daily do mesmo dia, como combinamos.</t>
        </is>
      </c>
      <c r="M13" s="7">
        <f>IF($B13="","",$B13&amp;"|"&amp;$C13&amp;"|"&amp;TEXT($A13,"00000"))</f>
        <v/>
      </c>
    </row>
    <row r="14">
      <c r="A14" s="13" t="n">
        <v>46248</v>
      </c>
      <c r="B14" s="14" t="inlineStr">
        <is>
          <t>Bruno Tavares</t>
        </is>
      </c>
      <c r="C14" s="14" t="inlineStr">
        <is>
          <t>Líder Técnico</t>
        </is>
      </c>
      <c r="D14" s="14" t="inlineStr">
        <is>
          <t>Rafael Souza</t>
        </is>
      </c>
      <c r="E14" s="14" t="n">
        <v>3</v>
      </c>
      <c r="F14" s="14" t="n">
        <v>3</v>
      </c>
      <c r="G14" s="14" t="n">
        <v>4</v>
      </c>
      <c r="H14" s="14" t="n">
        <v>4</v>
      </c>
      <c r="I14" s="14" t="n">
        <v>3</v>
      </c>
      <c r="J14" s="8">
        <f>IF(COUNT($E14:$I14)=0,"",ROUND(AVERAGE($E14:$I14),2))</f>
        <v/>
      </c>
      <c r="K14" s="7">
        <f>IF($J14="","",IF($J14&gt;=Cadastro!$H$5,"Verde",IF($J14&gt;=Cadastro!$H$6,"Atenção","Crítico")))</f>
        <v/>
      </c>
      <c r="L14" s="14" t="inlineStr">
        <is>
          <t>Evoluiu na comunicação técnica. Autonomia ainda é o ponto.</t>
        </is>
      </c>
      <c r="M14" s="7">
        <f>IF($B14="","",$B14&amp;"|"&amp;$C14&amp;"|"&amp;TEXT($A14,"00000"))</f>
        <v/>
      </c>
    </row>
    <row r="15">
      <c r="A15" s="13" t="n">
        <v>46248</v>
      </c>
      <c r="B15" s="14" t="inlineStr">
        <is>
          <t>Carla Nunes</t>
        </is>
      </c>
      <c r="C15" s="14" t="inlineStr">
        <is>
          <t>GP</t>
        </is>
      </c>
      <c r="D15" s="14" t="inlineStr">
        <is>
          <t>Marcos Lima</t>
        </is>
      </c>
      <c r="E15" s="14" t="n">
        <v>5</v>
      </c>
      <c r="F15" s="14" t="n">
        <v>4</v>
      </c>
      <c r="G15" s="14" t="n">
        <v>5</v>
      </c>
      <c r="H15" s="14" t="n">
        <v>5</v>
      </c>
      <c r="I15" s="14" t="n">
        <v>5</v>
      </c>
      <c r="J15" s="8">
        <f>IF(COUNT($E15:$I15)=0,"",ROUND(AVERAGE($E15:$I15),2))</f>
        <v/>
      </c>
      <c r="K15" s="7">
        <f>IF($J15="","",IF($J15&gt;=Cadastro!$H$5,"Verde",IF($J15&gt;=Cadastro!$H$6,"Atenção","Crítico")))</f>
        <v/>
      </c>
      <c r="L15" s="14" t="inlineStr">
        <is>
          <t>Sem ressalvas. Vale conversar sobre carreira — ela puxou o assunto.</t>
        </is>
      </c>
      <c r="M15" s="7">
        <f>IF($B15="","",$B15&amp;"|"&amp;$C15&amp;"|"&amp;TEXT($A15,"00000"))</f>
        <v/>
      </c>
    </row>
    <row r="16">
      <c r="A16" s="13" t="n">
        <v>46248</v>
      </c>
      <c r="B16" s="14" t="inlineStr">
        <is>
          <t>Carla Nunes</t>
        </is>
      </c>
      <c r="C16" s="14" t="inlineStr">
        <is>
          <t>Líder Técnico</t>
        </is>
      </c>
      <c r="D16" s="14" t="inlineStr">
        <is>
          <t>Rafael Souza</t>
        </is>
      </c>
      <c r="E16" s="14" t="n">
        <v>5</v>
      </c>
      <c r="F16" s="14" t="n">
        <v>5</v>
      </c>
      <c r="G16" s="14" t="n">
        <v>4</v>
      </c>
      <c r="H16" s="14" t="n">
        <v>5</v>
      </c>
      <c r="I16" s="14" t="n">
        <v>5</v>
      </c>
      <c r="J16" s="8">
        <f>IF(COUNT($E16:$I16)=0,"",ROUND(AVERAGE($E16:$I16),2))</f>
        <v/>
      </c>
      <c r="K16" s="7">
        <f>IF($J16="","",IF($J16&gt;=Cadastro!$H$5,"Verde",IF($J16&gt;=Cadastro!$H$6,"Atenção","Crítico")))</f>
        <v/>
      </c>
      <c r="L16" s="14" t="inlineStr">
        <is>
          <t>Conduziu a sessão de arquitetura com Alfa e Beta. Nível de especialista.</t>
        </is>
      </c>
      <c r="M16" s="7">
        <f>IF($B16="","",$B16&amp;"|"&amp;$C16&amp;"|"&amp;TEXT($A16,"00000"))</f>
        <v/>
      </c>
    </row>
    <row r="17">
      <c r="A17" s="13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8">
        <f>IF(COUNT($E17:$I17)=0,"",ROUND(AVERAGE($E17:$I17),2))</f>
        <v/>
      </c>
      <c r="K17" s="7">
        <f>IF($J17="","",IF($J17&gt;=Cadastro!$H$5,"Verde",IF($J17&gt;=Cadastro!$H$6,"Atenção","Crítico")))</f>
        <v/>
      </c>
      <c r="L17" s="14" t="n"/>
      <c r="M17" s="7">
        <f>IF($B17="","",$B17&amp;"|"&amp;$C17&amp;"|"&amp;TEXT($A17,"00000"))</f>
        <v/>
      </c>
    </row>
    <row r="18">
      <c r="A18" s="13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8">
        <f>IF(COUNT($E18:$I18)=0,"",ROUND(AVERAGE($E18:$I18),2))</f>
        <v/>
      </c>
      <c r="K18" s="7">
        <f>IF($J18="","",IF($J18&gt;=Cadastro!$H$5,"Verde",IF($J18&gt;=Cadastro!$H$6,"Atenção","Crítico")))</f>
        <v/>
      </c>
      <c r="L18" s="14" t="n"/>
      <c r="M18" s="7">
        <f>IF($B18="","",$B18&amp;"|"&amp;$C18&amp;"|"&amp;TEXT($A18,"00000"))</f>
        <v/>
      </c>
    </row>
    <row r="19">
      <c r="A19" s="13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8">
        <f>IF(COUNT($E19:$I19)=0,"",ROUND(AVERAGE($E19:$I19),2))</f>
        <v/>
      </c>
      <c r="K19" s="7">
        <f>IF($J19="","",IF($J19&gt;=Cadastro!$H$5,"Verde",IF($J19&gt;=Cadastro!$H$6,"Atenção","Crítico")))</f>
        <v/>
      </c>
      <c r="L19" s="14" t="n"/>
      <c r="M19" s="7">
        <f>IF($B19="","",$B19&amp;"|"&amp;$C19&amp;"|"&amp;TEXT($A19,"00000"))</f>
        <v/>
      </c>
    </row>
    <row r="20">
      <c r="A20" s="13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8">
        <f>IF(COUNT($E20:$I20)=0,"",ROUND(AVERAGE($E20:$I20),2))</f>
        <v/>
      </c>
      <c r="K20" s="7">
        <f>IF($J20="","",IF($J20&gt;=Cadastro!$H$5,"Verde",IF($J20&gt;=Cadastro!$H$6,"Atenção","Crítico")))</f>
        <v/>
      </c>
      <c r="L20" s="14" t="n"/>
      <c r="M20" s="7">
        <f>IF($B20="","",$B20&amp;"|"&amp;$C20&amp;"|"&amp;TEXT($A20,"00000"))</f>
        <v/>
      </c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8">
        <f>IF(COUNT($E21:$I21)=0,"",ROUND(AVERAGE($E21:$I21),2))</f>
        <v/>
      </c>
      <c r="K21" s="7">
        <f>IF($J21="","",IF($J21&gt;=Cadastro!$H$5,"Verde",IF($J21&gt;=Cadastro!$H$6,"Atenção","Crítico")))</f>
        <v/>
      </c>
      <c r="L21" s="14" t="n"/>
      <c r="M21" s="7">
        <f>IF($B21="","",$B21&amp;"|"&amp;$C21&amp;"|"&amp;TEXT($A21,"00000"))</f>
        <v/>
      </c>
    </row>
    <row r="22">
      <c r="A22" s="13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8">
        <f>IF(COUNT($E22:$I22)=0,"",ROUND(AVERAGE($E22:$I22),2))</f>
        <v/>
      </c>
      <c r="K22" s="7">
        <f>IF($J22="","",IF($J22&gt;=Cadastro!$H$5,"Verde",IF($J22&gt;=Cadastro!$H$6,"Atenção","Crítico")))</f>
        <v/>
      </c>
      <c r="L22" s="14" t="n"/>
      <c r="M22" s="7">
        <f>IF($B22="","",$B22&amp;"|"&amp;$C22&amp;"|"&amp;TEXT($A22,"00000"))</f>
        <v/>
      </c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8">
        <f>IF(COUNT($E23:$I23)=0,"",ROUND(AVERAGE($E23:$I23),2))</f>
        <v/>
      </c>
      <c r="K23" s="7">
        <f>IF($J23="","",IF($J23&gt;=Cadastro!$H$5,"Verde",IF($J23&gt;=Cadastro!$H$6,"Atenção","Crítico")))</f>
        <v/>
      </c>
      <c r="L23" s="14" t="n"/>
      <c r="M23" s="7">
        <f>IF($B23="","",$B23&amp;"|"&amp;$C23&amp;"|"&amp;TEXT($A23,"00000"))</f>
        <v/>
      </c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8">
        <f>IF(COUNT($E24:$I24)=0,"",ROUND(AVERAGE($E24:$I24),2))</f>
        <v/>
      </c>
      <c r="K24" s="7">
        <f>IF($J24="","",IF($J24&gt;=Cadastro!$H$5,"Verde",IF($J24&gt;=Cadastro!$H$6,"Atenção","Crítico")))</f>
        <v/>
      </c>
      <c r="L24" s="14" t="n"/>
      <c r="M24" s="7">
        <f>IF($B24="","",$B24&amp;"|"&amp;$C24&amp;"|"&amp;TEXT($A24,"00000"))</f>
        <v/>
      </c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8">
        <f>IF(COUNT($E25:$I25)=0,"",ROUND(AVERAGE($E25:$I25),2))</f>
        <v/>
      </c>
      <c r="K25" s="7">
        <f>IF($J25="","",IF($J25&gt;=Cadastro!$H$5,"Verde",IF($J25&gt;=Cadastro!$H$6,"Atenção","Crítico")))</f>
        <v/>
      </c>
      <c r="L25" s="14" t="n"/>
      <c r="M25" s="7">
        <f>IF($B25="","",$B25&amp;"|"&amp;$C25&amp;"|"&amp;TEXT($A25,"00000"))</f>
        <v/>
      </c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8">
        <f>IF(COUNT($E26:$I26)=0,"",ROUND(AVERAGE($E26:$I26),2))</f>
        <v/>
      </c>
      <c r="K26" s="7">
        <f>IF($J26="","",IF($J26&gt;=Cadastro!$H$5,"Verde",IF($J26&gt;=Cadastro!$H$6,"Atenção","Crítico")))</f>
        <v/>
      </c>
      <c r="L26" s="14" t="n"/>
      <c r="M26" s="7">
        <f>IF($B26="","",$B26&amp;"|"&amp;$C26&amp;"|"&amp;TEXT($A26,"00000"))</f>
        <v/>
      </c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8">
        <f>IF(COUNT($E27:$I27)=0,"",ROUND(AVERAGE($E27:$I27),2))</f>
        <v/>
      </c>
      <c r="K27" s="7">
        <f>IF($J27="","",IF($J27&gt;=Cadastro!$H$5,"Verde",IF($J27&gt;=Cadastro!$H$6,"Atenção","Crítico")))</f>
        <v/>
      </c>
      <c r="L27" s="14" t="n"/>
      <c r="M27" s="7">
        <f>IF($B27="","",$B27&amp;"|"&amp;$C27&amp;"|"&amp;TEXT($A27,"00000"))</f>
        <v/>
      </c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8">
        <f>IF(COUNT($E28:$I28)=0,"",ROUND(AVERAGE($E28:$I28),2))</f>
        <v/>
      </c>
      <c r="K28" s="7">
        <f>IF($J28="","",IF($J28&gt;=Cadastro!$H$5,"Verde",IF($J28&gt;=Cadastro!$H$6,"Atenção","Crítico")))</f>
        <v/>
      </c>
      <c r="L28" s="14" t="n"/>
      <c r="M28" s="7">
        <f>IF($B28="","",$B28&amp;"|"&amp;$C28&amp;"|"&amp;TEXT($A28,"00000"))</f>
        <v/>
      </c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8">
        <f>IF(COUNT($E29:$I29)=0,"",ROUND(AVERAGE($E29:$I29),2))</f>
        <v/>
      </c>
      <c r="K29" s="7">
        <f>IF($J29="","",IF($J29&gt;=Cadastro!$H$5,"Verde",IF($J29&gt;=Cadastro!$H$6,"Atenção","Crítico")))</f>
        <v/>
      </c>
      <c r="L29" s="14" t="n"/>
      <c r="M29" s="7">
        <f>IF($B29="","",$B29&amp;"|"&amp;$C29&amp;"|"&amp;TEXT($A29,"00000"))</f>
        <v/>
      </c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8">
        <f>IF(COUNT($E30:$I30)=0,"",ROUND(AVERAGE($E30:$I30),2))</f>
        <v/>
      </c>
      <c r="K30" s="7">
        <f>IF($J30="","",IF($J30&gt;=Cadastro!$H$5,"Verde",IF($J30&gt;=Cadastro!$H$6,"Atenção","Crítico")))</f>
        <v/>
      </c>
      <c r="L30" s="14" t="n"/>
      <c r="M30" s="7">
        <f>IF($B30="","",$B30&amp;"|"&amp;$C30&amp;"|"&amp;TEXT($A30,"00000"))</f>
        <v/>
      </c>
    </row>
    <row r="3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8">
        <f>IF(COUNT($E31:$I31)=0,"",ROUND(AVERAGE($E31:$I31),2))</f>
        <v/>
      </c>
      <c r="K31" s="7">
        <f>IF($J31="","",IF($J31&gt;=Cadastro!$H$5,"Verde",IF($J31&gt;=Cadastro!$H$6,"Atenção","Crítico")))</f>
        <v/>
      </c>
      <c r="L31" s="14" t="n"/>
      <c r="M31" s="7">
        <f>IF($B31="","",$B31&amp;"|"&amp;$C31&amp;"|"&amp;TEXT($A31,"00000"))</f>
        <v/>
      </c>
    </row>
    <row r="32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8">
        <f>IF(COUNT($E32:$I32)=0,"",ROUND(AVERAGE($E32:$I32),2))</f>
        <v/>
      </c>
      <c r="K32" s="7">
        <f>IF($J32="","",IF($J32&gt;=Cadastro!$H$5,"Verde",IF($J32&gt;=Cadastro!$H$6,"Atenção","Crítico")))</f>
        <v/>
      </c>
      <c r="L32" s="14" t="n"/>
      <c r="M32" s="7">
        <f>IF($B32="","",$B32&amp;"|"&amp;$C32&amp;"|"&amp;TEXT($A32,"00000"))</f>
        <v/>
      </c>
    </row>
    <row r="33">
      <c r="A33" s="13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8">
        <f>IF(COUNT($E33:$I33)=0,"",ROUND(AVERAGE($E33:$I33),2))</f>
        <v/>
      </c>
      <c r="K33" s="7">
        <f>IF($J33="","",IF($J33&gt;=Cadastro!$H$5,"Verde",IF($J33&gt;=Cadastro!$H$6,"Atenção","Crítico")))</f>
        <v/>
      </c>
      <c r="L33" s="14" t="n"/>
      <c r="M33" s="7">
        <f>IF($B33="","",$B33&amp;"|"&amp;$C33&amp;"|"&amp;TEXT($A33,"00000"))</f>
        <v/>
      </c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8">
        <f>IF(COUNT($E34:$I34)=0,"",ROUND(AVERAGE($E34:$I34),2))</f>
        <v/>
      </c>
      <c r="K34" s="7">
        <f>IF($J34="","",IF($J34&gt;=Cadastro!$H$5,"Verde",IF($J34&gt;=Cadastro!$H$6,"Atenção","Crítico")))</f>
        <v/>
      </c>
      <c r="L34" s="14" t="n"/>
      <c r="M34" s="7">
        <f>IF($B34="","",$B34&amp;"|"&amp;$C34&amp;"|"&amp;TEXT($A34,"00000"))</f>
        <v/>
      </c>
    </row>
    <row r="35">
      <c r="A35" s="13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8">
        <f>IF(COUNT($E35:$I35)=0,"",ROUND(AVERAGE($E35:$I35),2))</f>
        <v/>
      </c>
      <c r="K35" s="7">
        <f>IF($J35="","",IF($J35&gt;=Cadastro!$H$5,"Verde",IF($J35&gt;=Cadastro!$H$6,"Atenção","Crítico")))</f>
        <v/>
      </c>
      <c r="L35" s="14" t="n"/>
      <c r="M35" s="7">
        <f>IF($B35="","",$B35&amp;"|"&amp;$C35&amp;"|"&amp;TEXT($A35,"00000"))</f>
        <v/>
      </c>
    </row>
    <row r="36">
      <c r="A36" s="13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8">
        <f>IF(COUNT($E36:$I36)=0,"",ROUND(AVERAGE($E36:$I36),2))</f>
        <v/>
      </c>
      <c r="K36" s="7">
        <f>IF($J36="","",IF($J36&gt;=Cadastro!$H$5,"Verde",IF($J36&gt;=Cadastro!$H$6,"Atenção","Crítico")))</f>
        <v/>
      </c>
      <c r="L36" s="14" t="n"/>
      <c r="M36" s="7">
        <f>IF($B36="","",$B36&amp;"|"&amp;$C36&amp;"|"&amp;TEXT($A36,"00000"))</f>
        <v/>
      </c>
    </row>
    <row r="37">
      <c r="A37" s="13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8">
        <f>IF(COUNT($E37:$I37)=0,"",ROUND(AVERAGE($E37:$I37),2))</f>
        <v/>
      </c>
      <c r="K37" s="7">
        <f>IF($J37="","",IF($J37&gt;=Cadastro!$H$5,"Verde",IF($J37&gt;=Cadastro!$H$6,"Atenção","Crítico")))</f>
        <v/>
      </c>
      <c r="L37" s="14" t="n"/>
      <c r="M37" s="7">
        <f>IF($B37="","",$B37&amp;"|"&amp;$C37&amp;"|"&amp;TEXT($A37,"00000"))</f>
        <v/>
      </c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8">
        <f>IF(COUNT($E38:$I38)=0,"",ROUND(AVERAGE($E38:$I38),2))</f>
        <v/>
      </c>
      <c r="K38" s="7">
        <f>IF($J38="","",IF($J38&gt;=Cadastro!$H$5,"Verde",IF($J38&gt;=Cadastro!$H$6,"Atenção","Crítico")))</f>
        <v/>
      </c>
      <c r="L38" s="14" t="n"/>
      <c r="M38" s="7">
        <f>IF($B38="","",$B38&amp;"|"&amp;$C38&amp;"|"&amp;TEXT($A38,"00000"))</f>
        <v/>
      </c>
    </row>
    <row r="39">
      <c r="A39" s="13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8">
        <f>IF(COUNT($E39:$I39)=0,"",ROUND(AVERAGE($E39:$I39),2))</f>
        <v/>
      </c>
      <c r="K39" s="7">
        <f>IF($J39="","",IF($J39&gt;=Cadastro!$H$5,"Verde",IF($J39&gt;=Cadastro!$H$6,"Atenção","Crítico")))</f>
        <v/>
      </c>
      <c r="L39" s="14" t="n"/>
      <c r="M39" s="7">
        <f>IF($B39="","",$B39&amp;"|"&amp;$C39&amp;"|"&amp;TEXT($A39,"00000"))</f>
        <v/>
      </c>
    </row>
    <row r="40">
      <c r="A40" s="13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8">
        <f>IF(COUNT($E40:$I40)=0,"",ROUND(AVERAGE($E40:$I40),2))</f>
        <v/>
      </c>
      <c r="K40" s="7">
        <f>IF($J40="","",IF($J40&gt;=Cadastro!$H$5,"Verde",IF($J40&gt;=Cadastro!$H$6,"Atenção","Crítico")))</f>
        <v/>
      </c>
      <c r="L40" s="14" t="n"/>
      <c r="M40" s="7">
        <f>IF($B40="","",$B40&amp;"|"&amp;$C40&amp;"|"&amp;TEXT($A40,"00000"))</f>
        <v/>
      </c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8">
        <f>IF(COUNT($E41:$I41)=0,"",ROUND(AVERAGE($E41:$I41),2))</f>
        <v/>
      </c>
      <c r="K41" s="7">
        <f>IF($J41="","",IF($J41&gt;=Cadastro!$H$5,"Verde",IF($J41&gt;=Cadastro!$H$6,"Atenção","Crítico")))</f>
        <v/>
      </c>
      <c r="L41" s="14" t="n"/>
      <c r="M41" s="7">
        <f>IF($B41="","",$B41&amp;"|"&amp;$C41&amp;"|"&amp;TEXT($A41,"00000"))</f>
        <v/>
      </c>
    </row>
    <row r="42">
      <c r="A42" s="13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8">
        <f>IF(COUNT($E42:$I42)=0,"",ROUND(AVERAGE($E42:$I42),2))</f>
        <v/>
      </c>
      <c r="K42" s="7">
        <f>IF($J42="","",IF($J42&gt;=Cadastro!$H$5,"Verde",IF($J42&gt;=Cadastro!$H$6,"Atenção","Crítico")))</f>
        <v/>
      </c>
      <c r="L42" s="14" t="n"/>
      <c r="M42" s="7">
        <f>IF($B42="","",$B42&amp;"|"&amp;$C42&amp;"|"&amp;TEXT($A42,"00000"))</f>
        <v/>
      </c>
    </row>
    <row r="43">
      <c r="A43" s="13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8">
        <f>IF(COUNT($E43:$I43)=0,"",ROUND(AVERAGE($E43:$I43),2))</f>
        <v/>
      </c>
      <c r="K43" s="7">
        <f>IF($J43="","",IF($J43&gt;=Cadastro!$H$5,"Verde",IF($J43&gt;=Cadastro!$H$6,"Atenção","Crítico")))</f>
        <v/>
      </c>
      <c r="L43" s="14" t="n"/>
      <c r="M43" s="7">
        <f>IF($B43="","",$B43&amp;"|"&amp;$C43&amp;"|"&amp;TEXT($A43,"00000"))</f>
        <v/>
      </c>
    </row>
    <row r="44">
      <c r="A44" s="13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8">
        <f>IF(COUNT($E44:$I44)=0,"",ROUND(AVERAGE($E44:$I44),2))</f>
        <v/>
      </c>
      <c r="K44" s="7">
        <f>IF($J44="","",IF($J44&gt;=Cadastro!$H$5,"Verde",IF($J44&gt;=Cadastro!$H$6,"Atenção","Crítico")))</f>
        <v/>
      </c>
      <c r="L44" s="14" t="n"/>
      <c r="M44" s="7">
        <f>IF($B44="","",$B44&amp;"|"&amp;$C44&amp;"|"&amp;TEXT($A44,"00000"))</f>
        <v/>
      </c>
    </row>
    <row r="45">
      <c r="A45" s="13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8">
        <f>IF(COUNT($E45:$I45)=0,"",ROUND(AVERAGE($E45:$I45),2))</f>
        <v/>
      </c>
      <c r="K45" s="7">
        <f>IF($J45="","",IF($J45&gt;=Cadastro!$H$5,"Verde",IF($J45&gt;=Cadastro!$H$6,"Atenção","Crítico")))</f>
        <v/>
      </c>
      <c r="L45" s="14" t="n"/>
      <c r="M45" s="7">
        <f>IF($B45="","",$B45&amp;"|"&amp;$C45&amp;"|"&amp;TEXT($A45,"00000"))</f>
        <v/>
      </c>
    </row>
    <row r="46">
      <c r="A46" s="13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8">
        <f>IF(COUNT($E46:$I46)=0,"",ROUND(AVERAGE($E46:$I46),2))</f>
        <v/>
      </c>
      <c r="K46" s="7">
        <f>IF($J46="","",IF($J46&gt;=Cadastro!$H$5,"Verde",IF($J46&gt;=Cadastro!$H$6,"Atenção","Crítico")))</f>
        <v/>
      </c>
      <c r="L46" s="14" t="n"/>
      <c r="M46" s="7">
        <f>IF($B46="","",$B46&amp;"|"&amp;$C46&amp;"|"&amp;TEXT($A46,"00000"))</f>
        <v/>
      </c>
    </row>
    <row r="47">
      <c r="A47" s="13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8">
        <f>IF(COUNT($E47:$I47)=0,"",ROUND(AVERAGE($E47:$I47),2))</f>
        <v/>
      </c>
      <c r="K47" s="7">
        <f>IF($J47="","",IF($J47&gt;=Cadastro!$H$5,"Verde",IF($J47&gt;=Cadastro!$H$6,"Atenção","Crítico")))</f>
        <v/>
      </c>
      <c r="L47" s="14" t="n"/>
      <c r="M47" s="7">
        <f>IF($B47="","",$B47&amp;"|"&amp;$C47&amp;"|"&amp;TEXT($A47,"00000"))</f>
        <v/>
      </c>
    </row>
    <row r="48">
      <c r="A48" s="13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8">
        <f>IF(COUNT($E48:$I48)=0,"",ROUND(AVERAGE($E48:$I48),2))</f>
        <v/>
      </c>
      <c r="K48" s="7">
        <f>IF($J48="","",IF($J48&gt;=Cadastro!$H$5,"Verde",IF($J48&gt;=Cadastro!$H$6,"Atenção","Crítico")))</f>
        <v/>
      </c>
      <c r="L48" s="14" t="n"/>
      <c r="M48" s="7">
        <f>IF($B48="","",$B48&amp;"|"&amp;$C48&amp;"|"&amp;TEXT($A48,"00000"))</f>
        <v/>
      </c>
    </row>
    <row r="49">
      <c r="A49" s="13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8">
        <f>IF(COUNT($E49:$I49)=0,"",ROUND(AVERAGE($E49:$I49),2))</f>
        <v/>
      </c>
      <c r="K49" s="7">
        <f>IF($J49="","",IF($J49&gt;=Cadastro!$H$5,"Verde",IF($J49&gt;=Cadastro!$H$6,"Atenção","Crítico")))</f>
        <v/>
      </c>
      <c r="L49" s="14" t="n"/>
      <c r="M49" s="7">
        <f>IF($B49="","",$B49&amp;"|"&amp;$C49&amp;"|"&amp;TEXT($A49,"00000"))</f>
        <v/>
      </c>
    </row>
    <row r="50">
      <c r="A50" s="13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8">
        <f>IF(COUNT($E50:$I50)=0,"",ROUND(AVERAGE($E50:$I50),2))</f>
        <v/>
      </c>
      <c r="K50" s="7">
        <f>IF($J50="","",IF($J50&gt;=Cadastro!$H$5,"Verde",IF($J50&gt;=Cadastro!$H$6,"Atenção","Crítico")))</f>
        <v/>
      </c>
      <c r="L50" s="14" t="n"/>
      <c r="M50" s="7">
        <f>IF($B50="","",$B50&amp;"|"&amp;$C50&amp;"|"&amp;TEXT($A50,"00000"))</f>
        <v/>
      </c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8">
        <f>IF(COUNT($E51:$I51)=0,"",ROUND(AVERAGE($E51:$I51),2))</f>
        <v/>
      </c>
      <c r="K51" s="7">
        <f>IF($J51="","",IF($J51&gt;=Cadastro!$H$5,"Verde",IF($J51&gt;=Cadastro!$H$6,"Atenção","Crítico")))</f>
        <v/>
      </c>
      <c r="L51" s="14" t="n"/>
      <c r="M51" s="7">
        <f>IF($B51="","",$B51&amp;"|"&amp;$C51&amp;"|"&amp;TEXT($A51,"00000"))</f>
        <v/>
      </c>
    </row>
    <row r="52">
      <c r="A52" s="13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8">
        <f>IF(COUNT($E52:$I52)=0,"",ROUND(AVERAGE($E52:$I52),2))</f>
        <v/>
      </c>
      <c r="K52" s="7">
        <f>IF($J52="","",IF($J52&gt;=Cadastro!$H$5,"Verde",IF($J52&gt;=Cadastro!$H$6,"Atenção","Crítico")))</f>
        <v/>
      </c>
      <c r="L52" s="14" t="n"/>
      <c r="M52" s="7">
        <f>IF($B52="","",$B52&amp;"|"&amp;$C52&amp;"|"&amp;TEXT($A52,"00000"))</f>
        <v/>
      </c>
    </row>
    <row r="53">
      <c r="A53" s="13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8">
        <f>IF(COUNT($E53:$I53)=0,"",ROUND(AVERAGE($E53:$I53),2))</f>
        <v/>
      </c>
      <c r="K53" s="7">
        <f>IF($J53="","",IF($J53&gt;=Cadastro!$H$5,"Verde",IF($J53&gt;=Cadastro!$H$6,"Atenção","Crítico")))</f>
        <v/>
      </c>
      <c r="L53" s="14" t="n"/>
      <c r="M53" s="7">
        <f>IF($B53="","",$B53&amp;"|"&amp;$C53&amp;"|"&amp;TEXT($A53,"00000"))</f>
        <v/>
      </c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8">
        <f>IF(COUNT($E54:$I54)=0,"",ROUND(AVERAGE($E54:$I54),2))</f>
        <v/>
      </c>
      <c r="K54" s="7">
        <f>IF($J54="","",IF($J54&gt;=Cadastro!$H$5,"Verde",IF($J54&gt;=Cadastro!$H$6,"Atenção","Crítico")))</f>
        <v/>
      </c>
      <c r="L54" s="14" t="n"/>
      <c r="M54" s="7">
        <f>IF($B54="","",$B54&amp;"|"&amp;$C54&amp;"|"&amp;TEXT($A54,"00000"))</f>
        <v/>
      </c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8">
        <f>IF(COUNT($E55:$I55)=0,"",ROUND(AVERAGE($E55:$I55),2))</f>
        <v/>
      </c>
      <c r="K55" s="7">
        <f>IF($J55="","",IF($J55&gt;=Cadastro!$H$5,"Verde",IF($J55&gt;=Cadastro!$H$6,"Atenção","Crítico")))</f>
        <v/>
      </c>
      <c r="L55" s="14" t="n"/>
      <c r="M55" s="7">
        <f>IF($B55="","",$B55&amp;"|"&amp;$C55&amp;"|"&amp;TEXT($A55,"00000"))</f>
        <v/>
      </c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8">
        <f>IF(COUNT($E56:$I56)=0,"",ROUND(AVERAGE($E56:$I56),2))</f>
        <v/>
      </c>
      <c r="K56" s="7">
        <f>IF($J56="","",IF($J56&gt;=Cadastro!$H$5,"Verde",IF($J56&gt;=Cadastro!$H$6,"Atenção","Crítico")))</f>
        <v/>
      </c>
      <c r="L56" s="14" t="n"/>
      <c r="M56" s="7">
        <f>IF($B56="","",$B56&amp;"|"&amp;$C56&amp;"|"&amp;TEXT($A56,"00000"))</f>
        <v/>
      </c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8">
        <f>IF(COUNT($E57:$I57)=0,"",ROUND(AVERAGE($E57:$I57),2))</f>
        <v/>
      </c>
      <c r="K57" s="7">
        <f>IF($J57="","",IF($J57&gt;=Cadastro!$H$5,"Verde",IF($J57&gt;=Cadastro!$H$6,"Atenção","Crítico")))</f>
        <v/>
      </c>
      <c r="L57" s="14" t="n"/>
      <c r="M57" s="7">
        <f>IF($B57="","",$B57&amp;"|"&amp;$C57&amp;"|"&amp;TEXT($A57,"00000"))</f>
        <v/>
      </c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8">
        <f>IF(COUNT($E58:$I58)=0,"",ROUND(AVERAGE($E58:$I58),2))</f>
        <v/>
      </c>
      <c r="K58" s="7">
        <f>IF($J58="","",IF($J58&gt;=Cadastro!$H$5,"Verde",IF($J58&gt;=Cadastro!$H$6,"Atenção","Crítico")))</f>
        <v/>
      </c>
      <c r="L58" s="14" t="n"/>
      <c r="M58" s="7">
        <f>IF($B58="","",$B58&amp;"|"&amp;$C58&amp;"|"&amp;TEXT($A58,"00000"))</f>
        <v/>
      </c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8">
        <f>IF(COUNT($E59:$I59)=0,"",ROUND(AVERAGE($E59:$I59),2))</f>
        <v/>
      </c>
      <c r="K59" s="7">
        <f>IF($J59="","",IF($J59&gt;=Cadastro!$H$5,"Verde",IF($J59&gt;=Cadastro!$H$6,"Atenção","Crítico")))</f>
        <v/>
      </c>
      <c r="L59" s="14" t="n"/>
      <c r="M59" s="7">
        <f>IF($B59="","",$B59&amp;"|"&amp;$C59&amp;"|"&amp;TEXT($A59,"00000"))</f>
        <v/>
      </c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8">
        <f>IF(COUNT($E60:$I60)=0,"",ROUND(AVERAGE($E60:$I60),2))</f>
        <v/>
      </c>
      <c r="K60" s="7">
        <f>IF($J60="","",IF($J60&gt;=Cadastro!$H$5,"Verde",IF($J60&gt;=Cadastro!$H$6,"Atenção","Crítico")))</f>
        <v/>
      </c>
      <c r="L60" s="14" t="n"/>
      <c r="M60" s="7">
        <f>IF($B60="","",$B60&amp;"|"&amp;$C60&amp;"|"&amp;TEXT($A60,"00000"))</f>
        <v/>
      </c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8">
        <f>IF(COUNT($E61:$I61)=0,"",ROUND(AVERAGE($E61:$I61),2))</f>
        <v/>
      </c>
      <c r="K61" s="7">
        <f>IF($J61="","",IF($J61&gt;=Cadastro!$H$5,"Verde",IF($J61&gt;=Cadastro!$H$6,"Atenção","Crítico")))</f>
        <v/>
      </c>
      <c r="L61" s="14" t="n"/>
      <c r="M61" s="7">
        <f>IF($B61="","",$B61&amp;"|"&amp;$C61&amp;"|"&amp;TEXT($A61,"00000"))</f>
        <v/>
      </c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8">
        <f>IF(COUNT($E62:$I62)=0,"",ROUND(AVERAGE($E62:$I62),2))</f>
        <v/>
      </c>
      <c r="K62" s="7">
        <f>IF($J62="","",IF($J62&gt;=Cadastro!$H$5,"Verde",IF($J62&gt;=Cadastro!$H$6,"Atenção","Crítico")))</f>
        <v/>
      </c>
      <c r="L62" s="14" t="n"/>
      <c r="M62" s="7">
        <f>IF($B62="","",$B62&amp;"|"&amp;$C62&amp;"|"&amp;TEXT($A62,"00000"))</f>
        <v/>
      </c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8">
        <f>IF(COUNT($E63:$I63)=0,"",ROUND(AVERAGE($E63:$I63),2))</f>
        <v/>
      </c>
      <c r="K63" s="7">
        <f>IF($J63="","",IF($J63&gt;=Cadastro!$H$5,"Verde",IF($J63&gt;=Cadastro!$H$6,"Atenção","Crítico")))</f>
        <v/>
      </c>
      <c r="L63" s="14" t="n"/>
      <c r="M63" s="7">
        <f>IF($B63="","",$B63&amp;"|"&amp;$C63&amp;"|"&amp;TEXT($A63,"00000"))</f>
        <v/>
      </c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8">
        <f>IF(COUNT($E64:$I64)=0,"",ROUND(AVERAGE($E64:$I64),2))</f>
        <v/>
      </c>
      <c r="K64" s="7">
        <f>IF($J64="","",IF($J64&gt;=Cadastro!$H$5,"Verde",IF($J64&gt;=Cadastro!$H$6,"Atenção","Crítico")))</f>
        <v/>
      </c>
      <c r="L64" s="14" t="n"/>
      <c r="M64" s="7">
        <f>IF($B64="","",$B64&amp;"|"&amp;$C64&amp;"|"&amp;TEXT($A64,"00000"))</f>
        <v/>
      </c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8">
        <f>IF(COUNT($E65:$I65)=0,"",ROUND(AVERAGE($E65:$I65),2))</f>
        <v/>
      </c>
      <c r="K65" s="7">
        <f>IF($J65="","",IF($J65&gt;=Cadastro!$H$5,"Verde",IF($J65&gt;=Cadastro!$H$6,"Atenção","Crítico")))</f>
        <v/>
      </c>
      <c r="L65" s="14" t="n"/>
      <c r="M65" s="7">
        <f>IF($B65="","",$B65&amp;"|"&amp;$C65&amp;"|"&amp;TEXT($A65,"00000"))</f>
        <v/>
      </c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8">
        <f>IF(COUNT($E66:$I66)=0,"",ROUND(AVERAGE($E66:$I66),2))</f>
        <v/>
      </c>
      <c r="K66" s="7">
        <f>IF($J66="","",IF($J66&gt;=Cadastro!$H$5,"Verde",IF($J66&gt;=Cadastro!$H$6,"Atenção","Crítico")))</f>
        <v/>
      </c>
      <c r="L66" s="14" t="n"/>
      <c r="M66" s="7">
        <f>IF($B66="","",$B66&amp;"|"&amp;$C66&amp;"|"&amp;TEXT($A66,"00000"))</f>
        <v/>
      </c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8">
        <f>IF(COUNT($E67:$I67)=0,"",ROUND(AVERAGE($E67:$I67),2))</f>
        <v/>
      </c>
      <c r="K67" s="7">
        <f>IF($J67="","",IF($J67&gt;=Cadastro!$H$5,"Verde",IF($J67&gt;=Cadastro!$H$6,"Atenção","Crítico")))</f>
        <v/>
      </c>
      <c r="L67" s="14" t="n"/>
      <c r="M67" s="7">
        <f>IF($B67="","",$B67&amp;"|"&amp;$C67&amp;"|"&amp;TEXT($A67,"00000"))</f>
        <v/>
      </c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8">
        <f>IF(COUNT($E68:$I68)=0,"",ROUND(AVERAGE($E68:$I68),2))</f>
        <v/>
      </c>
      <c r="K68" s="7">
        <f>IF($J68="","",IF($J68&gt;=Cadastro!$H$5,"Verde",IF($J68&gt;=Cadastro!$H$6,"Atenção","Crítico")))</f>
        <v/>
      </c>
      <c r="L68" s="14" t="n"/>
      <c r="M68" s="7">
        <f>IF($B68="","",$B68&amp;"|"&amp;$C68&amp;"|"&amp;TEXT($A68,"00000"))</f>
        <v/>
      </c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8">
        <f>IF(COUNT($E69:$I69)=0,"",ROUND(AVERAGE($E69:$I69),2))</f>
        <v/>
      </c>
      <c r="K69" s="7">
        <f>IF($J69="","",IF($J69&gt;=Cadastro!$H$5,"Verde",IF($J69&gt;=Cadastro!$H$6,"Atenção","Crítico")))</f>
        <v/>
      </c>
      <c r="L69" s="14" t="n"/>
      <c r="M69" s="7">
        <f>IF($B69="","",$B69&amp;"|"&amp;$C69&amp;"|"&amp;TEXT($A69,"00000"))</f>
        <v/>
      </c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8">
        <f>IF(COUNT($E70:$I70)=0,"",ROUND(AVERAGE($E70:$I70),2))</f>
        <v/>
      </c>
      <c r="K70" s="7">
        <f>IF($J70="","",IF($J70&gt;=Cadastro!$H$5,"Verde",IF($J70&gt;=Cadastro!$H$6,"Atenção","Crítico")))</f>
        <v/>
      </c>
      <c r="L70" s="14" t="n"/>
      <c r="M70" s="7">
        <f>IF($B70="","",$B70&amp;"|"&amp;$C70&amp;"|"&amp;TEXT($A70,"00000"))</f>
        <v/>
      </c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8">
        <f>IF(COUNT($E71:$I71)=0,"",ROUND(AVERAGE($E71:$I71),2))</f>
        <v/>
      </c>
      <c r="K71" s="7">
        <f>IF($J71="","",IF($J71&gt;=Cadastro!$H$5,"Verde",IF($J71&gt;=Cadastro!$H$6,"Atenção","Crítico")))</f>
        <v/>
      </c>
      <c r="L71" s="14" t="n"/>
      <c r="M71" s="7">
        <f>IF($B71="","",$B71&amp;"|"&amp;$C71&amp;"|"&amp;TEXT($A71,"00000"))</f>
        <v/>
      </c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8">
        <f>IF(COUNT($E72:$I72)=0,"",ROUND(AVERAGE($E72:$I72),2))</f>
        <v/>
      </c>
      <c r="K72" s="7">
        <f>IF($J72="","",IF($J72&gt;=Cadastro!$H$5,"Verde",IF($J72&gt;=Cadastro!$H$6,"Atenção","Crítico")))</f>
        <v/>
      </c>
      <c r="L72" s="14" t="n"/>
      <c r="M72" s="7">
        <f>IF($B72="","",$B72&amp;"|"&amp;$C72&amp;"|"&amp;TEXT($A72,"00000"))</f>
        <v/>
      </c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8">
        <f>IF(COUNT($E73:$I73)=0,"",ROUND(AVERAGE($E73:$I73),2))</f>
        <v/>
      </c>
      <c r="K73" s="7">
        <f>IF($J73="","",IF($J73&gt;=Cadastro!$H$5,"Verde",IF($J73&gt;=Cadastro!$H$6,"Atenção","Crítico")))</f>
        <v/>
      </c>
      <c r="L73" s="14" t="n"/>
      <c r="M73" s="7">
        <f>IF($B73="","",$B73&amp;"|"&amp;$C73&amp;"|"&amp;TEXT($A73,"00000"))</f>
        <v/>
      </c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8">
        <f>IF(COUNT($E74:$I74)=0,"",ROUND(AVERAGE($E74:$I74),2))</f>
        <v/>
      </c>
      <c r="K74" s="7">
        <f>IF($J74="","",IF($J74&gt;=Cadastro!$H$5,"Verde",IF($J74&gt;=Cadastro!$H$6,"Atenção","Crítico")))</f>
        <v/>
      </c>
      <c r="L74" s="14" t="n"/>
      <c r="M74" s="7">
        <f>IF($B74="","",$B74&amp;"|"&amp;$C74&amp;"|"&amp;TEXT($A74,"00000"))</f>
        <v/>
      </c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8">
        <f>IF(COUNT($E75:$I75)=0,"",ROUND(AVERAGE($E75:$I75),2))</f>
        <v/>
      </c>
      <c r="K75" s="7">
        <f>IF($J75="","",IF($J75&gt;=Cadastro!$H$5,"Verde",IF($J75&gt;=Cadastro!$H$6,"Atenção","Crítico")))</f>
        <v/>
      </c>
      <c r="L75" s="14" t="n"/>
      <c r="M75" s="7">
        <f>IF($B75="","",$B75&amp;"|"&amp;$C75&amp;"|"&amp;TEXT($A75,"00000"))</f>
        <v/>
      </c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8">
        <f>IF(COUNT($E76:$I76)=0,"",ROUND(AVERAGE($E76:$I76),2))</f>
        <v/>
      </c>
      <c r="K76" s="7">
        <f>IF($J76="","",IF($J76&gt;=Cadastro!$H$5,"Verde",IF($J76&gt;=Cadastro!$H$6,"Atenção","Crítico")))</f>
        <v/>
      </c>
      <c r="L76" s="14" t="n"/>
      <c r="M76" s="7">
        <f>IF($B76="","",$B76&amp;"|"&amp;$C76&amp;"|"&amp;TEXT($A76,"00000"))</f>
        <v/>
      </c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8">
        <f>IF(COUNT($E77:$I77)=0,"",ROUND(AVERAGE($E77:$I77),2))</f>
        <v/>
      </c>
      <c r="K77" s="7">
        <f>IF($J77="","",IF($J77&gt;=Cadastro!$H$5,"Verde",IF($J77&gt;=Cadastro!$H$6,"Atenção","Crítico")))</f>
        <v/>
      </c>
      <c r="L77" s="14" t="n"/>
      <c r="M77" s="7">
        <f>IF($B77="","",$B77&amp;"|"&amp;$C77&amp;"|"&amp;TEXT($A77,"00000"))</f>
        <v/>
      </c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8">
        <f>IF(COUNT($E78:$I78)=0,"",ROUND(AVERAGE($E78:$I78),2))</f>
        <v/>
      </c>
      <c r="K78" s="7">
        <f>IF($J78="","",IF($J78&gt;=Cadastro!$H$5,"Verde",IF($J78&gt;=Cadastro!$H$6,"Atenção","Crítico")))</f>
        <v/>
      </c>
      <c r="L78" s="14" t="n"/>
      <c r="M78" s="7">
        <f>IF($B78="","",$B78&amp;"|"&amp;$C78&amp;"|"&amp;TEXT($A78,"00000"))</f>
        <v/>
      </c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8">
        <f>IF(COUNT($E79:$I79)=0,"",ROUND(AVERAGE($E79:$I79),2))</f>
        <v/>
      </c>
      <c r="K79" s="7">
        <f>IF($J79="","",IF($J79&gt;=Cadastro!$H$5,"Verde",IF($J79&gt;=Cadastro!$H$6,"Atenção","Crítico")))</f>
        <v/>
      </c>
      <c r="L79" s="14" t="n"/>
      <c r="M79" s="7">
        <f>IF($B79="","",$B79&amp;"|"&amp;$C79&amp;"|"&amp;TEXT($A79,"00000"))</f>
        <v/>
      </c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8">
        <f>IF(COUNT($E80:$I80)=0,"",ROUND(AVERAGE($E80:$I80),2))</f>
        <v/>
      </c>
      <c r="K80" s="7">
        <f>IF($J80="","",IF($J80&gt;=Cadastro!$H$5,"Verde",IF($J80&gt;=Cadastro!$H$6,"Atenção","Crítico")))</f>
        <v/>
      </c>
      <c r="L80" s="14" t="n"/>
      <c r="M80" s="7">
        <f>IF($B80="","",$B80&amp;"|"&amp;$C80&amp;"|"&amp;TEXT($A80,"00000"))</f>
        <v/>
      </c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8">
        <f>IF(COUNT($E81:$I81)=0,"",ROUND(AVERAGE($E81:$I81),2))</f>
        <v/>
      </c>
      <c r="K81" s="7">
        <f>IF($J81="","",IF($J81&gt;=Cadastro!$H$5,"Verde",IF($J81&gt;=Cadastro!$H$6,"Atenção","Crítico")))</f>
        <v/>
      </c>
      <c r="L81" s="14" t="n"/>
      <c r="M81" s="7">
        <f>IF($B81="","",$B81&amp;"|"&amp;$C81&amp;"|"&amp;TEXT($A81,"00000"))</f>
        <v/>
      </c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8">
        <f>IF(COUNT($E82:$I82)=0,"",ROUND(AVERAGE($E82:$I82),2))</f>
        <v/>
      </c>
      <c r="K82" s="7">
        <f>IF($J82="","",IF($J82&gt;=Cadastro!$H$5,"Verde",IF($J82&gt;=Cadastro!$H$6,"Atenção","Crítico")))</f>
        <v/>
      </c>
      <c r="L82" s="14" t="n"/>
      <c r="M82" s="7">
        <f>IF($B82="","",$B82&amp;"|"&amp;$C82&amp;"|"&amp;TEXT($A82,"00000"))</f>
        <v/>
      </c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8">
        <f>IF(COUNT($E83:$I83)=0,"",ROUND(AVERAGE($E83:$I83),2))</f>
        <v/>
      </c>
      <c r="K83" s="7">
        <f>IF($J83="","",IF($J83&gt;=Cadastro!$H$5,"Verde",IF($J83&gt;=Cadastro!$H$6,"Atenção","Crítico")))</f>
        <v/>
      </c>
      <c r="L83" s="14" t="n"/>
      <c r="M83" s="7">
        <f>IF($B83="","",$B83&amp;"|"&amp;$C83&amp;"|"&amp;TEXT($A83,"00000"))</f>
        <v/>
      </c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8">
        <f>IF(COUNT($E84:$I84)=0,"",ROUND(AVERAGE($E84:$I84),2))</f>
        <v/>
      </c>
      <c r="K84" s="7">
        <f>IF($J84="","",IF($J84&gt;=Cadastro!$H$5,"Verde",IF($J84&gt;=Cadastro!$H$6,"Atenção","Crítico")))</f>
        <v/>
      </c>
      <c r="L84" s="14" t="n"/>
      <c r="M84" s="7">
        <f>IF($B84="","",$B84&amp;"|"&amp;$C84&amp;"|"&amp;TEXT($A84,"00000"))</f>
        <v/>
      </c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8">
        <f>IF(COUNT($E85:$I85)=0,"",ROUND(AVERAGE($E85:$I85),2))</f>
        <v/>
      </c>
      <c r="K85" s="7">
        <f>IF($J85="","",IF($J85&gt;=Cadastro!$H$5,"Verde",IF($J85&gt;=Cadastro!$H$6,"Atenção","Crítico")))</f>
        <v/>
      </c>
      <c r="L85" s="14" t="n"/>
      <c r="M85" s="7">
        <f>IF($B85="","",$B85&amp;"|"&amp;$C85&amp;"|"&amp;TEXT($A85,"00000"))</f>
        <v/>
      </c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8">
        <f>IF(COUNT($E86:$I86)=0,"",ROUND(AVERAGE($E86:$I86),2))</f>
        <v/>
      </c>
      <c r="K86" s="7">
        <f>IF($J86="","",IF($J86&gt;=Cadastro!$H$5,"Verde",IF($J86&gt;=Cadastro!$H$6,"Atenção","Crítico")))</f>
        <v/>
      </c>
      <c r="L86" s="14" t="n"/>
      <c r="M86" s="7">
        <f>IF($B86="","",$B86&amp;"|"&amp;$C86&amp;"|"&amp;TEXT($A86,"00000"))</f>
        <v/>
      </c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8">
        <f>IF(COUNT($E87:$I87)=0,"",ROUND(AVERAGE($E87:$I87),2))</f>
        <v/>
      </c>
      <c r="K87" s="7">
        <f>IF($J87="","",IF($J87&gt;=Cadastro!$H$5,"Verde",IF($J87&gt;=Cadastro!$H$6,"Atenção","Crítico")))</f>
        <v/>
      </c>
      <c r="L87" s="14" t="n"/>
      <c r="M87" s="7">
        <f>IF($B87="","",$B87&amp;"|"&amp;$C87&amp;"|"&amp;TEXT($A87,"00000"))</f>
        <v/>
      </c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8">
        <f>IF(COUNT($E88:$I88)=0,"",ROUND(AVERAGE($E88:$I88),2))</f>
        <v/>
      </c>
      <c r="K88" s="7">
        <f>IF($J88="","",IF($J88&gt;=Cadastro!$H$5,"Verde",IF($J88&gt;=Cadastro!$H$6,"Atenção","Crítico")))</f>
        <v/>
      </c>
      <c r="L88" s="14" t="n"/>
      <c r="M88" s="7">
        <f>IF($B88="","",$B88&amp;"|"&amp;$C88&amp;"|"&amp;TEXT($A88,"00000"))</f>
        <v/>
      </c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8">
        <f>IF(COUNT($E89:$I89)=0,"",ROUND(AVERAGE($E89:$I89),2))</f>
        <v/>
      </c>
      <c r="K89" s="7">
        <f>IF($J89="","",IF($J89&gt;=Cadastro!$H$5,"Verde",IF($J89&gt;=Cadastro!$H$6,"Atenção","Crítico")))</f>
        <v/>
      </c>
      <c r="L89" s="14" t="n"/>
      <c r="M89" s="7">
        <f>IF($B89="","",$B89&amp;"|"&amp;$C89&amp;"|"&amp;TEXT($A89,"00000"))</f>
        <v/>
      </c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8">
        <f>IF(COUNT($E90:$I90)=0,"",ROUND(AVERAGE($E90:$I90),2))</f>
        <v/>
      </c>
      <c r="K90" s="7">
        <f>IF($J90="","",IF($J90&gt;=Cadastro!$H$5,"Verde",IF($J90&gt;=Cadastro!$H$6,"Atenção","Crítico")))</f>
        <v/>
      </c>
      <c r="L90" s="14" t="n"/>
      <c r="M90" s="7">
        <f>IF($B90="","",$B90&amp;"|"&amp;$C90&amp;"|"&amp;TEXT($A90,"00000"))</f>
        <v/>
      </c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8">
        <f>IF(COUNT($E91:$I91)=0,"",ROUND(AVERAGE($E91:$I91),2))</f>
        <v/>
      </c>
      <c r="K91" s="7">
        <f>IF($J91="","",IF($J91&gt;=Cadastro!$H$5,"Verde",IF($J91&gt;=Cadastro!$H$6,"Atenção","Crítico")))</f>
        <v/>
      </c>
      <c r="L91" s="14" t="n"/>
      <c r="M91" s="7">
        <f>IF($B91="","",$B91&amp;"|"&amp;$C91&amp;"|"&amp;TEXT($A91,"00000"))</f>
        <v/>
      </c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8">
        <f>IF(COUNT($E92:$I92)=0,"",ROUND(AVERAGE($E92:$I92),2))</f>
        <v/>
      </c>
      <c r="K92" s="7">
        <f>IF($J92="","",IF($J92&gt;=Cadastro!$H$5,"Verde",IF($J92&gt;=Cadastro!$H$6,"Atenção","Crítico")))</f>
        <v/>
      </c>
      <c r="L92" s="14" t="n"/>
      <c r="M92" s="7">
        <f>IF($B92="","",$B92&amp;"|"&amp;$C92&amp;"|"&amp;TEXT($A92,"00000"))</f>
        <v/>
      </c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8">
        <f>IF(COUNT($E93:$I93)=0,"",ROUND(AVERAGE($E93:$I93),2))</f>
        <v/>
      </c>
      <c r="K93" s="7">
        <f>IF($J93="","",IF($J93&gt;=Cadastro!$H$5,"Verde",IF($J93&gt;=Cadastro!$H$6,"Atenção","Crítico")))</f>
        <v/>
      </c>
      <c r="L93" s="14" t="n"/>
      <c r="M93" s="7">
        <f>IF($B93="","",$B93&amp;"|"&amp;$C93&amp;"|"&amp;TEXT($A93,"00000"))</f>
        <v/>
      </c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8">
        <f>IF(COUNT($E94:$I94)=0,"",ROUND(AVERAGE($E94:$I94),2))</f>
        <v/>
      </c>
      <c r="K94" s="7">
        <f>IF($J94="","",IF($J94&gt;=Cadastro!$H$5,"Verde",IF($J94&gt;=Cadastro!$H$6,"Atenção","Crítico")))</f>
        <v/>
      </c>
      <c r="L94" s="14" t="n"/>
      <c r="M94" s="7">
        <f>IF($B94="","",$B94&amp;"|"&amp;$C94&amp;"|"&amp;TEXT($A94,"00000"))</f>
        <v/>
      </c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8">
        <f>IF(COUNT($E95:$I95)=0,"",ROUND(AVERAGE($E95:$I95),2))</f>
        <v/>
      </c>
      <c r="K95" s="7">
        <f>IF($J95="","",IF($J95&gt;=Cadastro!$H$5,"Verde",IF($J95&gt;=Cadastro!$H$6,"Atenção","Crítico")))</f>
        <v/>
      </c>
      <c r="L95" s="14" t="n"/>
      <c r="M95" s="7">
        <f>IF($B95="","",$B95&amp;"|"&amp;$C95&amp;"|"&amp;TEXT($A95,"00000"))</f>
        <v/>
      </c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8">
        <f>IF(COUNT($E96:$I96)=0,"",ROUND(AVERAGE($E96:$I96),2))</f>
        <v/>
      </c>
      <c r="K96" s="7">
        <f>IF($J96="","",IF($J96&gt;=Cadastro!$H$5,"Verde",IF($J96&gt;=Cadastro!$H$6,"Atenção","Crítico")))</f>
        <v/>
      </c>
      <c r="L96" s="14" t="n"/>
      <c r="M96" s="7">
        <f>IF($B96="","",$B96&amp;"|"&amp;$C96&amp;"|"&amp;TEXT($A96,"00000"))</f>
        <v/>
      </c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8">
        <f>IF(COUNT($E97:$I97)=0,"",ROUND(AVERAGE($E97:$I97),2))</f>
        <v/>
      </c>
      <c r="K97" s="7">
        <f>IF($J97="","",IF($J97&gt;=Cadastro!$H$5,"Verde",IF($J97&gt;=Cadastro!$H$6,"Atenção","Crítico")))</f>
        <v/>
      </c>
      <c r="L97" s="14" t="n"/>
      <c r="M97" s="7">
        <f>IF($B97="","",$B97&amp;"|"&amp;$C97&amp;"|"&amp;TEXT($A97,"00000"))</f>
        <v/>
      </c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8">
        <f>IF(COUNT($E98:$I98)=0,"",ROUND(AVERAGE($E98:$I98),2))</f>
        <v/>
      </c>
      <c r="K98" s="7">
        <f>IF($J98="","",IF($J98&gt;=Cadastro!$H$5,"Verde",IF($J98&gt;=Cadastro!$H$6,"Atenção","Crítico")))</f>
        <v/>
      </c>
      <c r="L98" s="14" t="n"/>
      <c r="M98" s="7">
        <f>IF($B98="","",$B98&amp;"|"&amp;$C98&amp;"|"&amp;TEXT($A98,"00000"))</f>
        <v/>
      </c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8">
        <f>IF(COUNT($E99:$I99)=0,"",ROUND(AVERAGE($E99:$I99),2))</f>
        <v/>
      </c>
      <c r="K99" s="7">
        <f>IF($J99="","",IF($J99&gt;=Cadastro!$H$5,"Verde",IF($J99&gt;=Cadastro!$H$6,"Atenção","Crítico")))</f>
        <v/>
      </c>
      <c r="L99" s="14" t="n"/>
      <c r="M99" s="7">
        <f>IF($B99="","",$B99&amp;"|"&amp;$C99&amp;"|"&amp;TEXT($A99,"00000"))</f>
        <v/>
      </c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8">
        <f>IF(COUNT($E100:$I100)=0,"",ROUND(AVERAGE($E100:$I100),2))</f>
        <v/>
      </c>
      <c r="K100" s="7">
        <f>IF($J100="","",IF($J100&gt;=Cadastro!$H$5,"Verde",IF($J100&gt;=Cadastro!$H$6,"Atenção","Crítico")))</f>
        <v/>
      </c>
      <c r="L100" s="14" t="n"/>
      <c r="M100" s="7">
        <f>IF($B100="","",$B100&amp;"|"&amp;$C100&amp;"|"&amp;TEXT($A100,"00000"))</f>
        <v/>
      </c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8">
        <f>IF(COUNT($E101:$I101)=0,"",ROUND(AVERAGE($E101:$I101),2))</f>
        <v/>
      </c>
      <c r="K101" s="7">
        <f>IF($J101="","",IF($J101&gt;=Cadastro!$H$5,"Verde",IF($J101&gt;=Cadastro!$H$6,"Atenção","Crítico")))</f>
        <v/>
      </c>
      <c r="L101" s="14" t="n"/>
      <c r="M101" s="7">
        <f>IF($B101="","",$B101&amp;"|"&amp;$C101&amp;"|"&amp;TEXT($A101,"00000"))</f>
        <v/>
      </c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8">
        <f>IF(COUNT($E102:$I102)=0,"",ROUND(AVERAGE($E102:$I102),2))</f>
        <v/>
      </c>
      <c r="K102" s="7">
        <f>IF($J102="","",IF($J102&gt;=Cadastro!$H$5,"Verde",IF($J102&gt;=Cadastro!$H$6,"Atenção","Crítico")))</f>
        <v/>
      </c>
      <c r="L102" s="14" t="n"/>
      <c r="M102" s="7">
        <f>IF($B102="","",$B102&amp;"|"&amp;$C102&amp;"|"&amp;TEXT($A102,"00000"))</f>
        <v/>
      </c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8">
        <f>IF(COUNT($E103:$I103)=0,"",ROUND(AVERAGE($E103:$I103),2))</f>
        <v/>
      </c>
      <c r="K103" s="7">
        <f>IF($J103="","",IF($J103&gt;=Cadastro!$H$5,"Verde",IF($J103&gt;=Cadastro!$H$6,"Atenção","Crítico")))</f>
        <v/>
      </c>
      <c r="L103" s="14" t="n"/>
      <c r="M103" s="7">
        <f>IF($B103="","",$B103&amp;"|"&amp;$C103&amp;"|"&amp;TEXT($A103,"00000"))</f>
        <v/>
      </c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8">
        <f>IF(COUNT($E104:$I104)=0,"",ROUND(AVERAGE($E104:$I104),2))</f>
        <v/>
      </c>
      <c r="K104" s="7">
        <f>IF($J104="","",IF($J104&gt;=Cadastro!$H$5,"Verde",IF($J104&gt;=Cadastro!$H$6,"Atenção","Crítico")))</f>
        <v/>
      </c>
      <c r="L104" s="14" t="n"/>
      <c r="M104" s="7">
        <f>IF($B104="","",$B104&amp;"|"&amp;$C104&amp;"|"&amp;TEXT($A104,"00000"))</f>
        <v/>
      </c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8">
        <f>IF(COUNT($E105:$I105)=0,"",ROUND(AVERAGE($E105:$I105),2))</f>
        <v/>
      </c>
      <c r="K105" s="7">
        <f>IF($J105="","",IF($J105&gt;=Cadastro!$H$5,"Verde",IF($J105&gt;=Cadastro!$H$6,"Atenção","Crítico")))</f>
        <v/>
      </c>
      <c r="L105" s="14" t="n"/>
      <c r="M105" s="7">
        <f>IF($B105="","",$B105&amp;"|"&amp;$C105&amp;"|"&amp;TEXT($A105,"00000"))</f>
        <v/>
      </c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8">
        <f>IF(COUNT($E106:$I106)=0,"",ROUND(AVERAGE($E106:$I106),2))</f>
        <v/>
      </c>
      <c r="K106" s="7">
        <f>IF($J106="","",IF($J106&gt;=Cadastro!$H$5,"Verde",IF($J106&gt;=Cadastro!$H$6,"Atenção","Crítico")))</f>
        <v/>
      </c>
      <c r="L106" s="14" t="n"/>
      <c r="M106" s="7">
        <f>IF($B106="","",$B106&amp;"|"&amp;$C106&amp;"|"&amp;TEXT($A106,"00000"))</f>
        <v/>
      </c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8">
        <f>IF(COUNT($E107:$I107)=0,"",ROUND(AVERAGE($E107:$I107),2))</f>
        <v/>
      </c>
      <c r="K107" s="7">
        <f>IF($J107="","",IF($J107&gt;=Cadastro!$H$5,"Verde",IF($J107&gt;=Cadastro!$H$6,"Atenção","Crítico")))</f>
        <v/>
      </c>
      <c r="L107" s="14" t="n"/>
      <c r="M107" s="7">
        <f>IF($B107="","",$B107&amp;"|"&amp;$C107&amp;"|"&amp;TEXT($A107,"00000"))</f>
        <v/>
      </c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8">
        <f>IF(COUNT($E108:$I108)=0,"",ROUND(AVERAGE($E108:$I108),2))</f>
        <v/>
      </c>
      <c r="K108" s="7">
        <f>IF($J108="","",IF($J108&gt;=Cadastro!$H$5,"Verde",IF($J108&gt;=Cadastro!$H$6,"Atenção","Crítico")))</f>
        <v/>
      </c>
      <c r="L108" s="14" t="n"/>
      <c r="M108" s="7">
        <f>IF($B108="","",$B108&amp;"|"&amp;$C108&amp;"|"&amp;TEXT($A108,"00000"))</f>
        <v/>
      </c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8">
        <f>IF(COUNT($E109:$I109)=0,"",ROUND(AVERAGE($E109:$I109),2))</f>
        <v/>
      </c>
      <c r="K109" s="7">
        <f>IF($J109="","",IF($J109&gt;=Cadastro!$H$5,"Verde",IF($J109&gt;=Cadastro!$H$6,"Atenção","Crítico")))</f>
        <v/>
      </c>
      <c r="L109" s="14" t="n"/>
      <c r="M109" s="7">
        <f>IF($B109="","",$B109&amp;"|"&amp;$C109&amp;"|"&amp;TEXT($A109,"00000"))</f>
        <v/>
      </c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8">
        <f>IF(COUNT($E110:$I110)=0,"",ROUND(AVERAGE($E110:$I110),2))</f>
        <v/>
      </c>
      <c r="K110" s="7">
        <f>IF($J110="","",IF($J110&gt;=Cadastro!$H$5,"Verde",IF($J110&gt;=Cadastro!$H$6,"Atenção","Crítico")))</f>
        <v/>
      </c>
      <c r="L110" s="14" t="n"/>
      <c r="M110" s="7">
        <f>IF($B110="","",$B110&amp;"|"&amp;$C110&amp;"|"&amp;TEXT($A110,"00000"))</f>
        <v/>
      </c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8">
        <f>IF(COUNT($E111:$I111)=0,"",ROUND(AVERAGE($E111:$I111),2))</f>
        <v/>
      </c>
      <c r="K111" s="7">
        <f>IF($J111="","",IF($J111&gt;=Cadastro!$H$5,"Verde",IF($J111&gt;=Cadastro!$H$6,"Atenção","Crítico")))</f>
        <v/>
      </c>
      <c r="L111" s="14" t="n"/>
      <c r="M111" s="7">
        <f>IF($B111="","",$B111&amp;"|"&amp;$C111&amp;"|"&amp;TEXT($A111,"00000"))</f>
        <v/>
      </c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8">
        <f>IF(COUNT($E112:$I112)=0,"",ROUND(AVERAGE($E112:$I112),2))</f>
        <v/>
      </c>
      <c r="K112" s="7">
        <f>IF($J112="","",IF($J112&gt;=Cadastro!$H$5,"Verde",IF($J112&gt;=Cadastro!$H$6,"Atenção","Crítico")))</f>
        <v/>
      </c>
      <c r="L112" s="14" t="n"/>
      <c r="M112" s="7">
        <f>IF($B112="","",$B112&amp;"|"&amp;$C112&amp;"|"&amp;TEXT($A112,"00000"))</f>
        <v/>
      </c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8">
        <f>IF(COUNT($E113:$I113)=0,"",ROUND(AVERAGE($E113:$I113),2))</f>
        <v/>
      </c>
      <c r="K113" s="7">
        <f>IF($J113="","",IF($J113&gt;=Cadastro!$H$5,"Verde",IF($J113&gt;=Cadastro!$H$6,"Atenção","Crítico")))</f>
        <v/>
      </c>
      <c r="L113" s="14" t="n"/>
      <c r="M113" s="7">
        <f>IF($B113="","",$B113&amp;"|"&amp;$C113&amp;"|"&amp;TEXT($A113,"00000"))</f>
        <v/>
      </c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8">
        <f>IF(COUNT($E114:$I114)=0,"",ROUND(AVERAGE($E114:$I114),2))</f>
        <v/>
      </c>
      <c r="K114" s="7">
        <f>IF($J114="","",IF($J114&gt;=Cadastro!$H$5,"Verde",IF($J114&gt;=Cadastro!$H$6,"Atenção","Crítico")))</f>
        <v/>
      </c>
      <c r="L114" s="14" t="n"/>
      <c r="M114" s="7">
        <f>IF($B114="","",$B114&amp;"|"&amp;$C114&amp;"|"&amp;TEXT($A114,"00000"))</f>
        <v/>
      </c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8">
        <f>IF(COUNT($E115:$I115)=0,"",ROUND(AVERAGE($E115:$I115),2))</f>
        <v/>
      </c>
      <c r="K115" s="7">
        <f>IF($J115="","",IF($J115&gt;=Cadastro!$H$5,"Verde",IF($J115&gt;=Cadastro!$H$6,"Atenção","Crítico")))</f>
        <v/>
      </c>
      <c r="L115" s="14" t="n"/>
      <c r="M115" s="7">
        <f>IF($B115="","",$B115&amp;"|"&amp;$C115&amp;"|"&amp;TEXT($A115,"00000"))</f>
        <v/>
      </c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8">
        <f>IF(COUNT($E116:$I116)=0,"",ROUND(AVERAGE($E116:$I116),2))</f>
        <v/>
      </c>
      <c r="K116" s="7">
        <f>IF($J116="","",IF($J116&gt;=Cadastro!$H$5,"Verde",IF($J116&gt;=Cadastro!$H$6,"Atenção","Crítico")))</f>
        <v/>
      </c>
      <c r="L116" s="14" t="n"/>
      <c r="M116" s="7">
        <f>IF($B116="","",$B116&amp;"|"&amp;$C116&amp;"|"&amp;TEXT($A116,"00000"))</f>
        <v/>
      </c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8">
        <f>IF(COUNT($E117:$I117)=0,"",ROUND(AVERAGE($E117:$I117),2))</f>
        <v/>
      </c>
      <c r="K117" s="7">
        <f>IF($J117="","",IF($J117&gt;=Cadastro!$H$5,"Verde",IF($J117&gt;=Cadastro!$H$6,"Atenção","Crítico")))</f>
        <v/>
      </c>
      <c r="L117" s="14" t="n"/>
      <c r="M117" s="7">
        <f>IF($B117="","",$B117&amp;"|"&amp;$C117&amp;"|"&amp;TEXT($A117,"00000"))</f>
        <v/>
      </c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8">
        <f>IF(COUNT($E118:$I118)=0,"",ROUND(AVERAGE($E118:$I118),2))</f>
        <v/>
      </c>
      <c r="K118" s="7">
        <f>IF($J118="","",IF($J118&gt;=Cadastro!$H$5,"Verde",IF($J118&gt;=Cadastro!$H$6,"Atenção","Crítico")))</f>
        <v/>
      </c>
      <c r="L118" s="14" t="n"/>
      <c r="M118" s="7">
        <f>IF($B118="","",$B118&amp;"|"&amp;$C118&amp;"|"&amp;TEXT($A118,"00000"))</f>
        <v/>
      </c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8">
        <f>IF(COUNT($E119:$I119)=0,"",ROUND(AVERAGE($E119:$I119),2))</f>
        <v/>
      </c>
      <c r="K119" s="7">
        <f>IF($J119="","",IF($J119&gt;=Cadastro!$H$5,"Verde",IF($J119&gt;=Cadastro!$H$6,"Atenção","Crítico")))</f>
        <v/>
      </c>
      <c r="L119" s="14" t="n"/>
      <c r="M119" s="7">
        <f>IF($B119="","",$B119&amp;"|"&amp;$C119&amp;"|"&amp;TEXT($A119,"00000"))</f>
        <v/>
      </c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8">
        <f>IF(COUNT($E120:$I120)=0,"",ROUND(AVERAGE($E120:$I120),2))</f>
        <v/>
      </c>
      <c r="K120" s="7">
        <f>IF($J120="","",IF($J120&gt;=Cadastro!$H$5,"Verde",IF($J120&gt;=Cadastro!$H$6,"Atenção","Crítico")))</f>
        <v/>
      </c>
      <c r="L120" s="14" t="n"/>
      <c r="M120" s="7">
        <f>IF($B120="","",$B120&amp;"|"&amp;$C120&amp;"|"&amp;TEXT($A120,"00000"))</f>
        <v/>
      </c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8">
        <f>IF(COUNT($E121:$I121)=0,"",ROUND(AVERAGE($E121:$I121),2))</f>
        <v/>
      </c>
      <c r="K121" s="7">
        <f>IF($J121="","",IF($J121&gt;=Cadastro!$H$5,"Verde",IF($J121&gt;=Cadastro!$H$6,"Atenção","Crítico")))</f>
        <v/>
      </c>
      <c r="L121" s="14" t="n"/>
      <c r="M121" s="7">
        <f>IF($B121="","",$B121&amp;"|"&amp;$C121&amp;"|"&amp;TEXT($A121,"00000"))</f>
        <v/>
      </c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8">
        <f>IF(COUNT($E122:$I122)=0,"",ROUND(AVERAGE($E122:$I122),2))</f>
        <v/>
      </c>
      <c r="K122" s="7">
        <f>IF($J122="","",IF($J122&gt;=Cadastro!$H$5,"Verde",IF($J122&gt;=Cadastro!$H$6,"Atenção","Crítico")))</f>
        <v/>
      </c>
      <c r="L122" s="14" t="n"/>
      <c r="M122" s="7">
        <f>IF($B122="","",$B122&amp;"|"&amp;$C122&amp;"|"&amp;TEXT($A122,"00000"))</f>
        <v/>
      </c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8">
        <f>IF(COUNT($E123:$I123)=0,"",ROUND(AVERAGE($E123:$I123),2))</f>
        <v/>
      </c>
      <c r="K123" s="7">
        <f>IF($J123="","",IF($J123&gt;=Cadastro!$H$5,"Verde",IF($J123&gt;=Cadastro!$H$6,"Atenção","Crítico")))</f>
        <v/>
      </c>
      <c r="L123" s="14" t="n"/>
      <c r="M123" s="7">
        <f>IF($B123="","",$B123&amp;"|"&amp;$C123&amp;"|"&amp;TEXT($A123,"00000"))</f>
        <v/>
      </c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8">
        <f>IF(COUNT($E124:$I124)=0,"",ROUND(AVERAGE($E124:$I124),2))</f>
        <v/>
      </c>
      <c r="K124" s="7">
        <f>IF($J124="","",IF($J124&gt;=Cadastro!$H$5,"Verde",IF($J124&gt;=Cadastro!$H$6,"Atenção","Crítico")))</f>
        <v/>
      </c>
      <c r="L124" s="14" t="n"/>
      <c r="M124" s="7">
        <f>IF($B124="","",$B124&amp;"|"&amp;$C124&amp;"|"&amp;TEXT($A124,"00000"))</f>
        <v/>
      </c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8">
        <f>IF(COUNT($E125:$I125)=0,"",ROUND(AVERAGE($E125:$I125),2))</f>
        <v/>
      </c>
      <c r="K125" s="7">
        <f>IF($J125="","",IF($J125&gt;=Cadastro!$H$5,"Verde",IF($J125&gt;=Cadastro!$H$6,"Atenção","Crítico")))</f>
        <v/>
      </c>
      <c r="L125" s="14" t="n"/>
      <c r="M125" s="7">
        <f>IF($B125="","",$B125&amp;"|"&amp;$C125&amp;"|"&amp;TEXT($A125,"00000"))</f>
        <v/>
      </c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8">
        <f>IF(COUNT($E126:$I126)=0,"",ROUND(AVERAGE($E126:$I126),2))</f>
        <v/>
      </c>
      <c r="K126" s="7">
        <f>IF($J126="","",IF($J126&gt;=Cadastro!$H$5,"Verde",IF($J126&gt;=Cadastro!$H$6,"Atenção","Crítico")))</f>
        <v/>
      </c>
      <c r="L126" s="14" t="n"/>
      <c r="M126" s="7">
        <f>IF($B126="","",$B126&amp;"|"&amp;$C126&amp;"|"&amp;TEXT($A126,"00000"))</f>
        <v/>
      </c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8">
        <f>IF(COUNT($E127:$I127)=0,"",ROUND(AVERAGE($E127:$I127),2))</f>
        <v/>
      </c>
      <c r="K127" s="7">
        <f>IF($J127="","",IF($J127&gt;=Cadastro!$H$5,"Verde",IF($J127&gt;=Cadastro!$H$6,"Atenção","Crítico")))</f>
        <v/>
      </c>
      <c r="L127" s="14" t="n"/>
      <c r="M127" s="7">
        <f>IF($B127="","",$B127&amp;"|"&amp;$C127&amp;"|"&amp;TEXT($A127,"00000"))</f>
        <v/>
      </c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8">
        <f>IF(COUNT($E128:$I128)=0,"",ROUND(AVERAGE($E128:$I128),2))</f>
        <v/>
      </c>
      <c r="K128" s="7">
        <f>IF($J128="","",IF($J128&gt;=Cadastro!$H$5,"Verde",IF($J128&gt;=Cadastro!$H$6,"Atenção","Crítico")))</f>
        <v/>
      </c>
      <c r="L128" s="14" t="n"/>
      <c r="M128" s="7">
        <f>IF($B128="","",$B128&amp;"|"&amp;$C128&amp;"|"&amp;TEXT($A128,"00000"))</f>
        <v/>
      </c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8">
        <f>IF(COUNT($E129:$I129)=0,"",ROUND(AVERAGE($E129:$I129),2))</f>
        <v/>
      </c>
      <c r="K129" s="7">
        <f>IF($J129="","",IF($J129&gt;=Cadastro!$H$5,"Verde",IF($J129&gt;=Cadastro!$H$6,"Atenção","Crítico")))</f>
        <v/>
      </c>
      <c r="L129" s="14" t="n"/>
      <c r="M129" s="7">
        <f>IF($B129="","",$B129&amp;"|"&amp;$C129&amp;"|"&amp;TEXT($A129,"00000"))</f>
        <v/>
      </c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8">
        <f>IF(COUNT($E130:$I130)=0,"",ROUND(AVERAGE($E130:$I130),2))</f>
        <v/>
      </c>
      <c r="K130" s="7">
        <f>IF($J130="","",IF($J130&gt;=Cadastro!$H$5,"Verde",IF($J130&gt;=Cadastro!$H$6,"Atenção","Crítico")))</f>
        <v/>
      </c>
      <c r="L130" s="14" t="n"/>
      <c r="M130" s="7">
        <f>IF($B130="","",$B130&amp;"|"&amp;$C130&amp;"|"&amp;TEXT($A130,"00000"))</f>
        <v/>
      </c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8">
        <f>IF(COUNT($E131:$I131)=0,"",ROUND(AVERAGE($E131:$I131),2))</f>
        <v/>
      </c>
      <c r="K131" s="7">
        <f>IF($J131="","",IF($J131&gt;=Cadastro!$H$5,"Verde",IF($J131&gt;=Cadastro!$H$6,"Atenção","Crítico")))</f>
        <v/>
      </c>
      <c r="L131" s="14" t="n"/>
      <c r="M131" s="7">
        <f>IF($B131="","",$B131&amp;"|"&amp;$C131&amp;"|"&amp;TEXT($A131,"00000"))</f>
        <v/>
      </c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8">
        <f>IF(COUNT($E132:$I132)=0,"",ROUND(AVERAGE($E132:$I132),2))</f>
        <v/>
      </c>
      <c r="K132" s="7">
        <f>IF($J132="","",IF($J132&gt;=Cadastro!$H$5,"Verde",IF($J132&gt;=Cadastro!$H$6,"Atenção","Crítico")))</f>
        <v/>
      </c>
      <c r="L132" s="14" t="n"/>
      <c r="M132" s="7">
        <f>IF($B132="","",$B132&amp;"|"&amp;$C132&amp;"|"&amp;TEXT($A132,"00000"))</f>
        <v/>
      </c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8">
        <f>IF(COUNT($E133:$I133)=0,"",ROUND(AVERAGE($E133:$I133),2))</f>
        <v/>
      </c>
      <c r="K133" s="7">
        <f>IF($J133="","",IF($J133&gt;=Cadastro!$H$5,"Verde",IF($J133&gt;=Cadastro!$H$6,"Atenção","Crítico")))</f>
        <v/>
      </c>
      <c r="L133" s="14" t="n"/>
      <c r="M133" s="7">
        <f>IF($B133="","",$B133&amp;"|"&amp;$C133&amp;"|"&amp;TEXT($A133,"00000"))</f>
        <v/>
      </c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8">
        <f>IF(COUNT($E134:$I134)=0,"",ROUND(AVERAGE($E134:$I134),2))</f>
        <v/>
      </c>
      <c r="K134" s="7">
        <f>IF($J134="","",IF($J134&gt;=Cadastro!$H$5,"Verde",IF($J134&gt;=Cadastro!$H$6,"Atenção","Crítico")))</f>
        <v/>
      </c>
      <c r="L134" s="14" t="n"/>
      <c r="M134" s="7">
        <f>IF($B134="","",$B134&amp;"|"&amp;$C134&amp;"|"&amp;TEXT($A134,"00000"))</f>
        <v/>
      </c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8">
        <f>IF(COUNT($E135:$I135)=0,"",ROUND(AVERAGE($E135:$I135),2))</f>
        <v/>
      </c>
      <c r="K135" s="7">
        <f>IF($J135="","",IF($J135&gt;=Cadastro!$H$5,"Verde",IF($J135&gt;=Cadastro!$H$6,"Atenção","Crítico")))</f>
        <v/>
      </c>
      <c r="L135" s="14" t="n"/>
      <c r="M135" s="7">
        <f>IF($B135="","",$B135&amp;"|"&amp;$C135&amp;"|"&amp;TEXT($A135,"00000"))</f>
        <v/>
      </c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8">
        <f>IF(COUNT($E136:$I136)=0,"",ROUND(AVERAGE($E136:$I136),2))</f>
        <v/>
      </c>
      <c r="K136" s="7">
        <f>IF($J136="","",IF($J136&gt;=Cadastro!$H$5,"Verde",IF($J136&gt;=Cadastro!$H$6,"Atenção","Crítico")))</f>
        <v/>
      </c>
      <c r="L136" s="14" t="n"/>
      <c r="M136" s="7">
        <f>IF($B136="","",$B136&amp;"|"&amp;$C136&amp;"|"&amp;TEXT($A136,"00000"))</f>
        <v/>
      </c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8">
        <f>IF(COUNT($E137:$I137)=0,"",ROUND(AVERAGE($E137:$I137),2))</f>
        <v/>
      </c>
      <c r="K137" s="7">
        <f>IF($J137="","",IF($J137&gt;=Cadastro!$H$5,"Verde",IF($J137&gt;=Cadastro!$H$6,"Atenção","Crítico")))</f>
        <v/>
      </c>
      <c r="L137" s="14" t="n"/>
      <c r="M137" s="7">
        <f>IF($B137="","",$B137&amp;"|"&amp;$C137&amp;"|"&amp;TEXT($A137,"00000"))</f>
        <v/>
      </c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8">
        <f>IF(COUNT($E138:$I138)=0,"",ROUND(AVERAGE($E138:$I138),2))</f>
        <v/>
      </c>
      <c r="K138" s="7">
        <f>IF($J138="","",IF($J138&gt;=Cadastro!$H$5,"Verde",IF($J138&gt;=Cadastro!$H$6,"Atenção","Crítico")))</f>
        <v/>
      </c>
      <c r="L138" s="14" t="n"/>
      <c r="M138" s="7">
        <f>IF($B138="","",$B138&amp;"|"&amp;$C138&amp;"|"&amp;TEXT($A138,"00000"))</f>
        <v/>
      </c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8">
        <f>IF(COUNT($E139:$I139)=0,"",ROUND(AVERAGE($E139:$I139),2))</f>
        <v/>
      </c>
      <c r="K139" s="7">
        <f>IF($J139="","",IF($J139&gt;=Cadastro!$H$5,"Verde",IF($J139&gt;=Cadastro!$H$6,"Atenção","Crítico")))</f>
        <v/>
      </c>
      <c r="L139" s="14" t="n"/>
      <c r="M139" s="7">
        <f>IF($B139="","",$B139&amp;"|"&amp;$C139&amp;"|"&amp;TEXT($A139,"00000"))</f>
        <v/>
      </c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8">
        <f>IF(COUNT($E140:$I140)=0,"",ROUND(AVERAGE($E140:$I140),2))</f>
        <v/>
      </c>
      <c r="K140" s="7">
        <f>IF($J140="","",IF($J140&gt;=Cadastro!$H$5,"Verde",IF($J140&gt;=Cadastro!$H$6,"Atenção","Crítico")))</f>
        <v/>
      </c>
      <c r="L140" s="14" t="n"/>
      <c r="M140" s="7">
        <f>IF($B140="","",$B140&amp;"|"&amp;$C140&amp;"|"&amp;TEXT($A140,"00000"))</f>
        <v/>
      </c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8">
        <f>IF(COUNT($E141:$I141)=0,"",ROUND(AVERAGE($E141:$I141),2))</f>
        <v/>
      </c>
      <c r="K141" s="7">
        <f>IF($J141="","",IF($J141&gt;=Cadastro!$H$5,"Verde",IF($J141&gt;=Cadastro!$H$6,"Atenção","Crítico")))</f>
        <v/>
      </c>
      <c r="L141" s="14" t="n"/>
      <c r="M141" s="7">
        <f>IF($B141="","",$B141&amp;"|"&amp;$C141&amp;"|"&amp;TEXT($A141,"00000"))</f>
        <v/>
      </c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8">
        <f>IF(COUNT($E142:$I142)=0,"",ROUND(AVERAGE($E142:$I142),2))</f>
        <v/>
      </c>
      <c r="K142" s="7">
        <f>IF($J142="","",IF($J142&gt;=Cadastro!$H$5,"Verde",IF($J142&gt;=Cadastro!$H$6,"Atenção","Crítico")))</f>
        <v/>
      </c>
      <c r="L142" s="14" t="n"/>
      <c r="M142" s="7">
        <f>IF($B142="","",$B142&amp;"|"&amp;$C142&amp;"|"&amp;TEXT($A142,"00000"))</f>
        <v/>
      </c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8">
        <f>IF(COUNT($E143:$I143)=0,"",ROUND(AVERAGE($E143:$I143),2))</f>
        <v/>
      </c>
      <c r="K143" s="7">
        <f>IF($J143="","",IF($J143&gt;=Cadastro!$H$5,"Verde",IF($J143&gt;=Cadastro!$H$6,"Atenção","Crítico")))</f>
        <v/>
      </c>
      <c r="L143" s="14" t="n"/>
      <c r="M143" s="7">
        <f>IF($B143="","",$B143&amp;"|"&amp;$C143&amp;"|"&amp;TEXT($A143,"00000"))</f>
        <v/>
      </c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8">
        <f>IF(COUNT($E144:$I144)=0,"",ROUND(AVERAGE($E144:$I144),2))</f>
        <v/>
      </c>
      <c r="K144" s="7">
        <f>IF($J144="","",IF($J144&gt;=Cadastro!$H$5,"Verde",IF($J144&gt;=Cadastro!$H$6,"Atenção","Crítico")))</f>
        <v/>
      </c>
      <c r="L144" s="14" t="n"/>
      <c r="M144" s="7">
        <f>IF($B144="","",$B144&amp;"|"&amp;$C144&amp;"|"&amp;TEXT($A144,"00000"))</f>
        <v/>
      </c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8">
        <f>IF(COUNT($E145:$I145)=0,"",ROUND(AVERAGE($E145:$I145),2))</f>
        <v/>
      </c>
      <c r="K145" s="7">
        <f>IF($J145="","",IF($J145&gt;=Cadastro!$H$5,"Verde",IF($J145&gt;=Cadastro!$H$6,"Atenção","Crítico")))</f>
        <v/>
      </c>
      <c r="L145" s="14" t="n"/>
      <c r="M145" s="7">
        <f>IF($B145="","",$B145&amp;"|"&amp;$C145&amp;"|"&amp;TEXT($A145,"00000"))</f>
        <v/>
      </c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8">
        <f>IF(COUNT($E146:$I146)=0,"",ROUND(AVERAGE($E146:$I146),2))</f>
        <v/>
      </c>
      <c r="K146" s="7">
        <f>IF($J146="","",IF($J146&gt;=Cadastro!$H$5,"Verde",IF($J146&gt;=Cadastro!$H$6,"Atenção","Crítico")))</f>
        <v/>
      </c>
      <c r="L146" s="14" t="n"/>
      <c r="M146" s="7">
        <f>IF($B146="","",$B146&amp;"|"&amp;$C146&amp;"|"&amp;TEXT($A146,"00000"))</f>
        <v/>
      </c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8">
        <f>IF(COUNT($E147:$I147)=0,"",ROUND(AVERAGE($E147:$I147),2))</f>
        <v/>
      </c>
      <c r="K147" s="7">
        <f>IF($J147="","",IF($J147&gt;=Cadastro!$H$5,"Verde",IF($J147&gt;=Cadastro!$H$6,"Atenção","Crítico")))</f>
        <v/>
      </c>
      <c r="L147" s="14" t="n"/>
      <c r="M147" s="7">
        <f>IF($B147="","",$B147&amp;"|"&amp;$C147&amp;"|"&amp;TEXT($A147,"00000"))</f>
        <v/>
      </c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8">
        <f>IF(COUNT($E148:$I148)=0,"",ROUND(AVERAGE($E148:$I148),2))</f>
        <v/>
      </c>
      <c r="K148" s="7">
        <f>IF($J148="","",IF($J148&gt;=Cadastro!$H$5,"Verde",IF($J148&gt;=Cadastro!$H$6,"Atenção","Crítico")))</f>
        <v/>
      </c>
      <c r="L148" s="14" t="n"/>
      <c r="M148" s="7">
        <f>IF($B148="","",$B148&amp;"|"&amp;$C148&amp;"|"&amp;TEXT($A148,"00000"))</f>
        <v/>
      </c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8">
        <f>IF(COUNT($E149:$I149)=0,"",ROUND(AVERAGE($E149:$I149),2))</f>
        <v/>
      </c>
      <c r="K149" s="7">
        <f>IF($J149="","",IF($J149&gt;=Cadastro!$H$5,"Verde",IF($J149&gt;=Cadastro!$H$6,"Atenção","Crítico")))</f>
        <v/>
      </c>
      <c r="L149" s="14" t="n"/>
      <c r="M149" s="7">
        <f>IF($B149="","",$B149&amp;"|"&amp;$C149&amp;"|"&amp;TEXT($A149,"00000"))</f>
        <v/>
      </c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8">
        <f>IF(COUNT($E150:$I150)=0,"",ROUND(AVERAGE($E150:$I150),2))</f>
        <v/>
      </c>
      <c r="K150" s="7">
        <f>IF($J150="","",IF($J150&gt;=Cadastro!$H$5,"Verde",IF($J150&gt;=Cadastro!$H$6,"Atenção","Crítico")))</f>
        <v/>
      </c>
      <c r="L150" s="14" t="n"/>
      <c r="M150" s="7">
        <f>IF($B150="","",$B150&amp;"|"&amp;$C150&amp;"|"&amp;TEXT($A150,"00000"))</f>
        <v/>
      </c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8">
        <f>IF(COUNT($E151:$I151)=0,"",ROUND(AVERAGE($E151:$I151),2))</f>
        <v/>
      </c>
      <c r="K151" s="7">
        <f>IF($J151="","",IF($J151&gt;=Cadastro!$H$5,"Verde",IF($J151&gt;=Cadastro!$H$6,"Atenção","Crítico")))</f>
        <v/>
      </c>
      <c r="L151" s="14" t="n"/>
      <c r="M151" s="7">
        <f>IF($B151="","",$B151&amp;"|"&amp;$C151&amp;"|"&amp;TEXT($A151,"00000"))</f>
        <v/>
      </c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8">
        <f>IF(COUNT($E152:$I152)=0,"",ROUND(AVERAGE($E152:$I152),2))</f>
        <v/>
      </c>
      <c r="K152" s="7">
        <f>IF($J152="","",IF($J152&gt;=Cadastro!$H$5,"Verde",IF($J152&gt;=Cadastro!$H$6,"Atenção","Crítico")))</f>
        <v/>
      </c>
      <c r="L152" s="14" t="n"/>
      <c r="M152" s="7">
        <f>IF($B152="","",$B152&amp;"|"&amp;$C152&amp;"|"&amp;TEXT($A152,"00000"))</f>
        <v/>
      </c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8">
        <f>IF(COUNT($E153:$I153)=0,"",ROUND(AVERAGE($E153:$I153),2))</f>
        <v/>
      </c>
      <c r="K153" s="7">
        <f>IF($J153="","",IF($J153&gt;=Cadastro!$H$5,"Verde",IF($J153&gt;=Cadastro!$H$6,"Atenção","Crítico")))</f>
        <v/>
      </c>
      <c r="L153" s="14" t="n"/>
      <c r="M153" s="7">
        <f>IF($B153="","",$B153&amp;"|"&amp;$C153&amp;"|"&amp;TEXT($A153,"00000"))</f>
        <v/>
      </c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8">
        <f>IF(COUNT($E154:$I154)=0,"",ROUND(AVERAGE($E154:$I154),2))</f>
        <v/>
      </c>
      <c r="K154" s="7">
        <f>IF($J154="","",IF($J154&gt;=Cadastro!$H$5,"Verde",IF($J154&gt;=Cadastro!$H$6,"Atenção","Crítico")))</f>
        <v/>
      </c>
      <c r="L154" s="14" t="n"/>
      <c r="M154" s="7">
        <f>IF($B154="","",$B154&amp;"|"&amp;$C154&amp;"|"&amp;TEXT($A154,"00000"))</f>
        <v/>
      </c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8">
        <f>IF(COUNT($E155:$I155)=0,"",ROUND(AVERAGE($E155:$I155),2))</f>
        <v/>
      </c>
      <c r="K155" s="7">
        <f>IF($J155="","",IF($J155&gt;=Cadastro!$H$5,"Verde",IF($J155&gt;=Cadastro!$H$6,"Atenção","Crítico")))</f>
        <v/>
      </c>
      <c r="L155" s="14" t="n"/>
      <c r="M155" s="7">
        <f>IF($B155="","",$B155&amp;"|"&amp;$C155&amp;"|"&amp;TEXT($A155,"00000"))</f>
        <v/>
      </c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8">
        <f>IF(COUNT($E156:$I156)=0,"",ROUND(AVERAGE($E156:$I156),2))</f>
        <v/>
      </c>
      <c r="K156" s="7">
        <f>IF($J156="","",IF($J156&gt;=Cadastro!$H$5,"Verde",IF($J156&gt;=Cadastro!$H$6,"Atenção","Crítico")))</f>
        <v/>
      </c>
      <c r="L156" s="14" t="n"/>
      <c r="M156" s="7">
        <f>IF($B156="","",$B156&amp;"|"&amp;$C156&amp;"|"&amp;TEXT($A156,"00000"))</f>
        <v/>
      </c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8">
        <f>IF(COUNT($E157:$I157)=0,"",ROUND(AVERAGE($E157:$I157),2))</f>
        <v/>
      </c>
      <c r="K157" s="7">
        <f>IF($J157="","",IF($J157&gt;=Cadastro!$H$5,"Verde",IF($J157&gt;=Cadastro!$H$6,"Atenção","Crítico")))</f>
        <v/>
      </c>
      <c r="L157" s="14" t="n"/>
      <c r="M157" s="7">
        <f>IF($B157="","",$B157&amp;"|"&amp;$C157&amp;"|"&amp;TEXT($A157,"00000"))</f>
        <v/>
      </c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8">
        <f>IF(COUNT($E158:$I158)=0,"",ROUND(AVERAGE($E158:$I158),2))</f>
        <v/>
      </c>
      <c r="K158" s="7">
        <f>IF($J158="","",IF($J158&gt;=Cadastro!$H$5,"Verde",IF($J158&gt;=Cadastro!$H$6,"Atenção","Crítico")))</f>
        <v/>
      </c>
      <c r="L158" s="14" t="n"/>
      <c r="M158" s="7">
        <f>IF($B158="","",$B158&amp;"|"&amp;$C158&amp;"|"&amp;TEXT($A158,"00000"))</f>
        <v/>
      </c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8">
        <f>IF(COUNT($E159:$I159)=0,"",ROUND(AVERAGE($E159:$I159),2))</f>
        <v/>
      </c>
      <c r="K159" s="7">
        <f>IF($J159="","",IF($J159&gt;=Cadastro!$H$5,"Verde",IF($J159&gt;=Cadastro!$H$6,"Atenção","Crítico")))</f>
        <v/>
      </c>
      <c r="L159" s="14" t="n"/>
      <c r="M159" s="7">
        <f>IF($B159="","",$B159&amp;"|"&amp;$C159&amp;"|"&amp;TEXT($A159,"00000"))</f>
        <v/>
      </c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8">
        <f>IF(COUNT($E160:$I160)=0,"",ROUND(AVERAGE($E160:$I160),2))</f>
        <v/>
      </c>
      <c r="K160" s="7">
        <f>IF($J160="","",IF($J160&gt;=Cadastro!$H$5,"Verde",IF($J160&gt;=Cadastro!$H$6,"Atenção","Crítico")))</f>
        <v/>
      </c>
      <c r="L160" s="14" t="n"/>
      <c r="M160" s="7">
        <f>IF($B160="","",$B160&amp;"|"&amp;$C160&amp;"|"&amp;TEXT($A160,"00000"))</f>
        <v/>
      </c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8">
        <f>IF(COUNT($E161:$I161)=0,"",ROUND(AVERAGE($E161:$I161),2))</f>
        <v/>
      </c>
      <c r="K161" s="7">
        <f>IF($J161="","",IF($J161&gt;=Cadastro!$H$5,"Verde",IF($J161&gt;=Cadastro!$H$6,"Atenção","Crítico")))</f>
        <v/>
      </c>
      <c r="L161" s="14" t="n"/>
      <c r="M161" s="7">
        <f>IF($B161="","",$B161&amp;"|"&amp;$C161&amp;"|"&amp;TEXT($A161,"00000"))</f>
        <v/>
      </c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8">
        <f>IF(COUNT($E162:$I162)=0,"",ROUND(AVERAGE($E162:$I162),2))</f>
        <v/>
      </c>
      <c r="K162" s="7">
        <f>IF($J162="","",IF($J162&gt;=Cadastro!$H$5,"Verde",IF($J162&gt;=Cadastro!$H$6,"Atenção","Crítico")))</f>
        <v/>
      </c>
      <c r="L162" s="14" t="n"/>
      <c r="M162" s="7">
        <f>IF($B162="","",$B162&amp;"|"&amp;$C162&amp;"|"&amp;TEXT($A162,"00000"))</f>
        <v/>
      </c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8">
        <f>IF(COUNT($E163:$I163)=0,"",ROUND(AVERAGE($E163:$I163),2))</f>
        <v/>
      </c>
      <c r="K163" s="7">
        <f>IF($J163="","",IF($J163&gt;=Cadastro!$H$5,"Verde",IF($J163&gt;=Cadastro!$H$6,"Atenção","Crítico")))</f>
        <v/>
      </c>
      <c r="L163" s="14" t="n"/>
      <c r="M163" s="7">
        <f>IF($B163="","",$B163&amp;"|"&amp;$C163&amp;"|"&amp;TEXT($A163,"00000"))</f>
        <v/>
      </c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8">
        <f>IF(COUNT($E164:$I164)=0,"",ROUND(AVERAGE($E164:$I164),2))</f>
        <v/>
      </c>
      <c r="K164" s="7">
        <f>IF($J164="","",IF($J164&gt;=Cadastro!$H$5,"Verde",IF($J164&gt;=Cadastro!$H$6,"Atenção","Crítico")))</f>
        <v/>
      </c>
      <c r="L164" s="14" t="n"/>
      <c r="M164" s="7">
        <f>IF($B164="","",$B164&amp;"|"&amp;$C164&amp;"|"&amp;TEXT($A164,"00000"))</f>
        <v/>
      </c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8">
        <f>IF(COUNT($E165:$I165)=0,"",ROUND(AVERAGE($E165:$I165),2))</f>
        <v/>
      </c>
      <c r="K165" s="7">
        <f>IF($J165="","",IF($J165&gt;=Cadastro!$H$5,"Verde",IF($J165&gt;=Cadastro!$H$6,"Atenção","Crítico")))</f>
        <v/>
      </c>
      <c r="L165" s="14" t="n"/>
      <c r="M165" s="7">
        <f>IF($B165="","",$B165&amp;"|"&amp;$C165&amp;"|"&amp;TEXT($A165,"00000"))</f>
        <v/>
      </c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8">
        <f>IF(COUNT($E166:$I166)=0,"",ROUND(AVERAGE($E166:$I166),2))</f>
        <v/>
      </c>
      <c r="K166" s="7">
        <f>IF($J166="","",IF($J166&gt;=Cadastro!$H$5,"Verde",IF($J166&gt;=Cadastro!$H$6,"Atenção","Crítico")))</f>
        <v/>
      </c>
      <c r="L166" s="14" t="n"/>
      <c r="M166" s="7">
        <f>IF($B166="","",$B166&amp;"|"&amp;$C166&amp;"|"&amp;TEXT($A166,"00000"))</f>
        <v/>
      </c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8">
        <f>IF(COUNT($E167:$I167)=0,"",ROUND(AVERAGE($E167:$I167),2))</f>
        <v/>
      </c>
      <c r="K167" s="7">
        <f>IF($J167="","",IF($J167&gt;=Cadastro!$H$5,"Verde",IF($J167&gt;=Cadastro!$H$6,"Atenção","Crítico")))</f>
        <v/>
      </c>
      <c r="L167" s="14" t="n"/>
      <c r="M167" s="7">
        <f>IF($B167="","",$B167&amp;"|"&amp;$C167&amp;"|"&amp;TEXT($A167,"00000"))</f>
        <v/>
      </c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8">
        <f>IF(COUNT($E168:$I168)=0,"",ROUND(AVERAGE($E168:$I168),2))</f>
        <v/>
      </c>
      <c r="K168" s="7">
        <f>IF($J168="","",IF($J168&gt;=Cadastro!$H$5,"Verde",IF($J168&gt;=Cadastro!$H$6,"Atenção","Crítico")))</f>
        <v/>
      </c>
      <c r="L168" s="14" t="n"/>
      <c r="M168" s="7">
        <f>IF($B168="","",$B168&amp;"|"&amp;$C168&amp;"|"&amp;TEXT($A168,"00000"))</f>
        <v/>
      </c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8">
        <f>IF(COUNT($E169:$I169)=0,"",ROUND(AVERAGE($E169:$I169),2))</f>
        <v/>
      </c>
      <c r="K169" s="7">
        <f>IF($J169="","",IF($J169&gt;=Cadastro!$H$5,"Verde",IF($J169&gt;=Cadastro!$H$6,"Atenção","Crítico")))</f>
        <v/>
      </c>
      <c r="L169" s="14" t="n"/>
      <c r="M169" s="7">
        <f>IF($B169="","",$B169&amp;"|"&amp;$C169&amp;"|"&amp;TEXT($A169,"00000"))</f>
        <v/>
      </c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8">
        <f>IF(COUNT($E170:$I170)=0,"",ROUND(AVERAGE($E170:$I170),2))</f>
        <v/>
      </c>
      <c r="K170" s="7">
        <f>IF($J170="","",IF($J170&gt;=Cadastro!$H$5,"Verde",IF($J170&gt;=Cadastro!$H$6,"Atenção","Crítico")))</f>
        <v/>
      </c>
      <c r="L170" s="14" t="n"/>
      <c r="M170" s="7">
        <f>IF($B170="","",$B170&amp;"|"&amp;$C170&amp;"|"&amp;TEXT($A170,"00000"))</f>
        <v/>
      </c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8">
        <f>IF(COUNT($E171:$I171)=0,"",ROUND(AVERAGE($E171:$I171),2))</f>
        <v/>
      </c>
      <c r="K171" s="7">
        <f>IF($J171="","",IF($J171&gt;=Cadastro!$H$5,"Verde",IF($J171&gt;=Cadastro!$H$6,"Atenção","Crítico")))</f>
        <v/>
      </c>
      <c r="L171" s="14" t="n"/>
      <c r="M171" s="7">
        <f>IF($B171="","",$B171&amp;"|"&amp;$C171&amp;"|"&amp;TEXT($A171,"00000"))</f>
        <v/>
      </c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8">
        <f>IF(COUNT($E172:$I172)=0,"",ROUND(AVERAGE($E172:$I172),2))</f>
        <v/>
      </c>
      <c r="K172" s="7">
        <f>IF($J172="","",IF($J172&gt;=Cadastro!$H$5,"Verde",IF($J172&gt;=Cadastro!$H$6,"Atenção","Crítico")))</f>
        <v/>
      </c>
      <c r="L172" s="14" t="n"/>
      <c r="M172" s="7">
        <f>IF($B172="","",$B172&amp;"|"&amp;$C172&amp;"|"&amp;TEXT($A172,"00000"))</f>
        <v/>
      </c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8">
        <f>IF(COUNT($E173:$I173)=0,"",ROUND(AVERAGE($E173:$I173),2))</f>
        <v/>
      </c>
      <c r="K173" s="7">
        <f>IF($J173="","",IF($J173&gt;=Cadastro!$H$5,"Verde",IF($J173&gt;=Cadastro!$H$6,"Atenção","Crítico")))</f>
        <v/>
      </c>
      <c r="L173" s="14" t="n"/>
      <c r="M173" s="7">
        <f>IF($B173="","",$B173&amp;"|"&amp;$C173&amp;"|"&amp;TEXT($A173,"00000"))</f>
        <v/>
      </c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8">
        <f>IF(COUNT($E174:$I174)=0,"",ROUND(AVERAGE($E174:$I174),2))</f>
        <v/>
      </c>
      <c r="K174" s="7">
        <f>IF($J174="","",IF($J174&gt;=Cadastro!$H$5,"Verde",IF($J174&gt;=Cadastro!$H$6,"Atenção","Crítico")))</f>
        <v/>
      </c>
      <c r="L174" s="14" t="n"/>
      <c r="M174" s="7">
        <f>IF($B174="","",$B174&amp;"|"&amp;$C174&amp;"|"&amp;TEXT($A174,"00000"))</f>
        <v/>
      </c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8">
        <f>IF(COUNT($E175:$I175)=0,"",ROUND(AVERAGE($E175:$I175),2))</f>
        <v/>
      </c>
      <c r="K175" s="7">
        <f>IF($J175="","",IF($J175&gt;=Cadastro!$H$5,"Verde",IF($J175&gt;=Cadastro!$H$6,"Atenção","Crítico")))</f>
        <v/>
      </c>
      <c r="L175" s="14" t="n"/>
      <c r="M175" s="7">
        <f>IF($B175="","",$B175&amp;"|"&amp;$C175&amp;"|"&amp;TEXT($A175,"00000"))</f>
        <v/>
      </c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8">
        <f>IF(COUNT($E176:$I176)=0,"",ROUND(AVERAGE($E176:$I176),2))</f>
        <v/>
      </c>
      <c r="K176" s="7">
        <f>IF($J176="","",IF($J176&gt;=Cadastro!$H$5,"Verde",IF($J176&gt;=Cadastro!$H$6,"Atenção","Crítico")))</f>
        <v/>
      </c>
      <c r="L176" s="14" t="n"/>
      <c r="M176" s="7">
        <f>IF($B176="","",$B176&amp;"|"&amp;$C176&amp;"|"&amp;TEXT($A176,"00000"))</f>
        <v/>
      </c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8">
        <f>IF(COUNT($E177:$I177)=0,"",ROUND(AVERAGE($E177:$I177),2))</f>
        <v/>
      </c>
      <c r="K177" s="7">
        <f>IF($J177="","",IF($J177&gt;=Cadastro!$H$5,"Verde",IF($J177&gt;=Cadastro!$H$6,"Atenção","Crítico")))</f>
        <v/>
      </c>
      <c r="L177" s="14" t="n"/>
      <c r="M177" s="7">
        <f>IF($B177="","",$B177&amp;"|"&amp;$C177&amp;"|"&amp;TEXT($A177,"00000"))</f>
        <v/>
      </c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8">
        <f>IF(COUNT($E178:$I178)=0,"",ROUND(AVERAGE($E178:$I178),2))</f>
        <v/>
      </c>
      <c r="K178" s="7">
        <f>IF($J178="","",IF($J178&gt;=Cadastro!$H$5,"Verde",IF($J178&gt;=Cadastro!$H$6,"Atenção","Crítico")))</f>
        <v/>
      </c>
      <c r="L178" s="14" t="n"/>
      <c r="M178" s="7">
        <f>IF($B178="","",$B178&amp;"|"&amp;$C178&amp;"|"&amp;TEXT($A178,"00000"))</f>
        <v/>
      </c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8">
        <f>IF(COUNT($E179:$I179)=0,"",ROUND(AVERAGE($E179:$I179),2))</f>
        <v/>
      </c>
      <c r="K179" s="7">
        <f>IF($J179="","",IF($J179&gt;=Cadastro!$H$5,"Verde",IF($J179&gt;=Cadastro!$H$6,"Atenção","Crítico")))</f>
        <v/>
      </c>
      <c r="L179" s="14" t="n"/>
      <c r="M179" s="7">
        <f>IF($B179="","",$B179&amp;"|"&amp;$C179&amp;"|"&amp;TEXT($A179,"00000"))</f>
        <v/>
      </c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8">
        <f>IF(COUNT($E180:$I180)=0,"",ROUND(AVERAGE($E180:$I180),2))</f>
        <v/>
      </c>
      <c r="K180" s="7">
        <f>IF($J180="","",IF($J180&gt;=Cadastro!$H$5,"Verde",IF($J180&gt;=Cadastro!$H$6,"Atenção","Crítico")))</f>
        <v/>
      </c>
      <c r="L180" s="14" t="n"/>
      <c r="M180" s="7">
        <f>IF($B180="","",$B180&amp;"|"&amp;$C180&amp;"|"&amp;TEXT($A180,"00000"))</f>
        <v/>
      </c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8">
        <f>IF(COUNT($E181:$I181)=0,"",ROUND(AVERAGE($E181:$I181),2))</f>
        <v/>
      </c>
      <c r="K181" s="7">
        <f>IF($J181="","",IF($J181&gt;=Cadastro!$H$5,"Verde",IF($J181&gt;=Cadastro!$H$6,"Atenção","Crítico")))</f>
        <v/>
      </c>
      <c r="L181" s="14" t="n"/>
      <c r="M181" s="7">
        <f>IF($B181="","",$B181&amp;"|"&amp;$C181&amp;"|"&amp;TEXT($A181,"00000"))</f>
        <v/>
      </c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8">
        <f>IF(COUNT($E182:$I182)=0,"",ROUND(AVERAGE($E182:$I182),2))</f>
        <v/>
      </c>
      <c r="K182" s="7">
        <f>IF($J182="","",IF($J182&gt;=Cadastro!$H$5,"Verde",IF($J182&gt;=Cadastro!$H$6,"Atenção","Crítico")))</f>
        <v/>
      </c>
      <c r="L182" s="14" t="n"/>
      <c r="M182" s="7">
        <f>IF($B182="","",$B182&amp;"|"&amp;$C182&amp;"|"&amp;TEXT($A182,"00000"))</f>
        <v/>
      </c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8">
        <f>IF(COUNT($E183:$I183)=0,"",ROUND(AVERAGE($E183:$I183),2))</f>
        <v/>
      </c>
      <c r="K183" s="7">
        <f>IF($J183="","",IF($J183&gt;=Cadastro!$H$5,"Verde",IF($J183&gt;=Cadastro!$H$6,"Atenção","Crítico")))</f>
        <v/>
      </c>
      <c r="L183" s="14" t="n"/>
      <c r="M183" s="7">
        <f>IF($B183="","",$B183&amp;"|"&amp;$C183&amp;"|"&amp;TEXT($A183,"00000"))</f>
        <v/>
      </c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8">
        <f>IF(COUNT($E184:$I184)=0,"",ROUND(AVERAGE($E184:$I184),2))</f>
        <v/>
      </c>
      <c r="K184" s="7">
        <f>IF($J184="","",IF($J184&gt;=Cadastro!$H$5,"Verde",IF($J184&gt;=Cadastro!$H$6,"Atenção","Crítico")))</f>
        <v/>
      </c>
      <c r="L184" s="14" t="n"/>
      <c r="M184" s="7">
        <f>IF($B184="","",$B184&amp;"|"&amp;$C184&amp;"|"&amp;TEXT($A184,"00000"))</f>
        <v/>
      </c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8">
        <f>IF(COUNT($E185:$I185)=0,"",ROUND(AVERAGE($E185:$I185),2))</f>
        <v/>
      </c>
      <c r="K185" s="7">
        <f>IF($J185="","",IF($J185&gt;=Cadastro!$H$5,"Verde",IF($J185&gt;=Cadastro!$H$6,"Atenção","Crítico")))</f>
        <v/>
      </c>
      <c r="L185" s="14" t="n"/>
      <c r="M185" s="7">
        <f>IF($B185="","",$B185&amp;"|"&amp;$C185&amp;"|"&amp;TEXT($A185,"00000"))</f>
        <v/>
      </c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8">
        <f>IF(COUNT($E186:$I186)=0,"",ROUND(AVERAGE($E186:$I186),2))</f>
        <v/>
      </c>
      <c r="K186" s="7">
        <f>IF($J186="","",IF($J186&gt;=Cadastro!$H$5,"Verde",IF($J186&gt;=Cadastro!$H$6,"Atenção","Crítico")))</f>
        <v/>
      </c>
      <c r="L186" s="14" t="n"/>
      <c r="M186" s="7">
        <f>IF($B186="","",$B186&amp;"|"&amp;$C186&amp;"|"&amp;TEXT($A186,"00000"))</f>
        <v/>
      </c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8">
        <f>IF(COUNT($E187:$I187)=0,"",ROUND(AVERAGE($E187:$I187),2))</f>
        <v/>
      </c>
      <c r="K187" s="7">
        <f>IF($J187="","",IF($J187&gt;=Cadastro!$H$5,"Verde",IF($J187&gt;=Cadastro!$H$6,"Atenção","Crítico")))</f>
        <v/>
      </c>
      <c r="L187" s="14" t="n"/>
      <c r="M187" s="7">
        <f>IF($B187="","",$B187&amp;"|"&amp;$C187&amp;"|"&amp;TEXT($A187,"00000"))</f>
        <v/>
      </c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8">
        <f>IF(COUNT($E188:$I188)=0,"",ROUND(AVERAGE($E188:$I188),2))</f>
        <v/>
      </c>
      <c r="K188" s="7">
        <f>IF($J188="","",IF($J188&gt;=Cadastro!$H$5,"Verde",IF($J188&gt;=Cadastro!$H$6,"Atenção","Crítico")))</f>
        <v/>
      </c>
      <c r="L188" s="14" t="n"/>
      <c r="M188" s="7">
        <f>IF($B188="","",$B188&amp;"|"&amp;$C188&amp;"|"&amp;TEXT($A188,"00000"))</f>
        <v/>
      </c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8">
        <f>IF(COUNT($E189:$I189)=0,"",ROUND(AVERAGE($E189:$I189),2))</f>
        <v/>
      </c>
      <c r="K189" s="7">
        <f>IF($J189="","",IF($J189&gt;=Cadastro!$H$5,"Verde",IF($J189&gt;=Cadastro!$H$6,"Atenção","Crítico")))</f>
        <v/>
      </c>
      <c r="L189" s="14" t="n"/>
      <c r="M189" s="7">
        <f>IF($B189="","",$B189&amp;"|"&amp;$C189&amp;"|"&amp;TEXT($A189,"00000"))</f>
        <v/>
      </c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8">
        <f>IF(COUNT($E190:$I190)=0,"",ROUND(AVERAGE($E190:$I190),2))</f>
        <v/>
      </c>
      <c r="K190" s="7">
        <f>IF($J190="","",IF($J190&gt;=Cadastro!$H$5,"Verde",IF($J190&gt;=Cadastro!$H$6,"Atenção","Crítico")))</f>
        <v/>
      </c>
      <c r="L190" s="14" t="n"/>
      <c r="M190" s="7">
        <f>IF($B190="","",$B190&amp;"|"&amp;$C190&amp;"|"&amp;TEXT($A190,"00000"))</f>
        <v/>
      </c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8">
        <f>IF(COUNT($E191:$I191)=0,"",ROUND(AVERAGE($E191:$I191),2))</f>
        <v/>
      </c>
      <c r="K191" s="7">
        <f>IF($J191="","",IF($J191&gt;=Cadastro!$H$5,"Verde",IF($J191&gt;=Cadastro!$H$6,"Atenção","Crítico")))</f>
        <v/>
      </c>
      <c r="L191" s="14" t="n"/>
      <c r="M191" s="7">
        <f>IF($B191="","",$B191&amp;"|"&amp;$C191&amp;"|"&amp;TEXT($A191,"00000"))</f>
        <v/>
      </c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8">
        <f>IF(COUNT($E192:$I192)=0,"",ROUND(AVERAGE($E192:$I192),2))</f>
        <v/>
      </c>
      <c r="K192" s="7">
        <f>IF($J192="","",IF($J192&gt;=Cadastro!$H$5,"Verde",IF($J192&gt;=Cadastro!$H$6,"Atenção","Crítico")))</f>
        <v/>
      </c>
      <c r="L192" s="14" t="n"/>
      <c r="M192" s="7">
        <f>IF($B192="","",$B192&amp;"|"&amp;$C192&amp;"|"&amp;TEXT($A192,"00000"))</f>
        <v/>
      </c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8">
        <f>IF(COUNT($E193:$I193)=0,"",ROUND(AVERAGE($E193:$I193),2))</f>
        <v/>
      </c>
      <c r="K193" s="7">
        <f>IF($J193="","",IF($J193&gt;=Cadastro!$H$5,"Verde",IF($J193&gt;=Cadastro!$H$6,"Atenção","Crítico")))</f>
        <v/>
      </c>
      <c r="L193" s="14" t="n"/>
      <c r="M193" s="7">
        <f>IF($B193="","",$B193&amp;"|"&amp;$C193&amp;"|"&amp;TEXT($A193,"00000"))</f>
        <v/>
      </c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8">
        <f>IF(COUNT($E194:$I194)=0,"",ROUND(AVERAGE($E194:$I194),2))</f>
        <v/>
      </c>
      <c r="K194" s="7">
        <f>IF($J194="","",IF($J194&gt;=Cadastro!$H$5,"Verde",IF($J194&gt;=Cadastro!$H$6,"Atenção","Crítico")))</f>
        <v/>
      </c>
      <c r="L194" s="14" t="n"/>
      <c r="M194" s="7">
        <f>IF($B194="","",$B194&amp;"|"&amp;$C194&amp;"|"&amp;TEXT($A194,"00000"))</f>
        <v/>
      </c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8">
        <f>IF(COUNT($E195:$I195)=0,"",ROUND(AVERAGE($E195:$I195),2))</f>
        <v/>
      </c>
      <c r="K195" s="7">
        <f>IF($J195="","",IF($J195&gt;=Cadastro!$H$5,"Verde",IF($J195&gt;=Cadastro!$H$6,"Atenção","Crítico")))</f>
        <v/>
      </c>
      <c r="L195" s="14" t="n"/>
      <c r="M195" s="7">
        <f>IF($B195="","",$B195&amp;"|"&amp;$C195&amp;"|"&amp;TEXT($A195,"00000"))</f>
        <v/>
      </c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8">
        <f>IF(COUNT($E196:$I196)=0,"",ROUND(AVERAGE($E196:$I196),2))</f>
        <v/>
      </c>
      <c r="K196" s="7">
        <f>IF($J196="","",IF($J196&gt;=Cadastro!$H$5,"Verde",IF($J196&gt;=Cadastro!$H$6,"Atenção","Crítico")))</f>
        <v/>
      </c>
      <c r="L196" s="14" t="n"/>
      <c r="M196" s="7">
        <f>IF($B196="","",$B196&amp;"|"&amp;$C196&amp;"|"&amp;TEXT($A196,"00000"))</f>
        <v/>
      </c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8">
        <f>IF(COUNT($E197:$I197)=0,"",ROUND(AVERAGE($E197:$I197),2))</f>
        <v/>
      </c>
      <c r="K197" s="7">
        <f>IF($J197="","",IF($J197&gt;=Cadastro!$H$5,"Verde",IF($J197&gt;=Cadastro!$H$6,"Atenção","Crítico")))</f>
        <v/>
      </c>
      <c r="L197" s="14" t="n"/>
      <c r="M197" s="7">
        <f>IF($B197="","",$B197&amp;"|"&amp;$C197&amp;"|"&amp;TEXT($A197,"00000"))</f>
        <v/>
      </c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8">
        <f>IF(COUNT($E198:$I198)=0,"",ROUND(AVERAGE($E198:$I198),2))</f>
        <v/>
      </c>
      <c r="K198" s="7">
        <f>IF($J198="","",IF($J198&gt;=Cadastro!$H$5,"Verde",IF($J198&gt;=Cadastro!$H$6,"Atenção","Crítico")))</f>
        <v/>
      </c>
      <c r="L198" s="14" t="n"/>
      <c r="M198" s="7">
        <f>IF($B198="","",$B198&amp;"|"&amp;$C198&amp;"|"&amp;TEXT($A198,"00000"))</f>
        <v/>
      </c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8">
        <f>IF(COUNT($E199:$I199)=0,"",ROUND(AVERAGE($E199:$I199),2))</f>
        <v/>
      </c>
      <c r="K199" s="7">
        <f>IF($J199="","",IF($J199&gt;=Cadastro!$H$5,"Verde",IF($J199&gt;=Cadastro!$H$6,"Atenção","Crítico")))</f>
        <v/>
      </c>
      <c r="L199" s="14" t="n"/>
      <c r="M199" s="7">
        <f>IF($B199="","",$B199&amp;"|"&amp;$C199&amp;"|"&amp;TEXT($A199,"00000"))</f>
        <v/>
      </c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8">
        <f>IF(COUNT($E200:$I200)=0,"",ROUND(AVERAGE($E200:$I200),2))</f>
        <v/>
      </c>
      <c r="K200" s="7">
        <f>IF($J200="","",IF($J200&gt;=Cadastro!$H$5,"Verde",IF($J200&gt;=Cadastro!$H$6,"Atenção","Crítico")))</f>
        <v/>
      </c>
      <c r="L200" s="14" t="n"/>
      <c r="M200" s="7">
        <f>IF($B200="","",$B200&amp;"|"&amp;$C200&amp;"|"&amp;TEXT($A200,"00000"))</f>
        <v/>
      </c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8">
        <f>IF(COUNT($E201:$I201)=0,"",ROUND(AVERAGE($E201:$I201),2))</f>
        <v/>
      </c>
      <c r="K201" s="7">
        <f>IF($J201="","",IF($J201&gt;=Cadastro!$H$5,"Verde",IF($J201&gt;=Cadastro!$H$6,"Atenção","Crítico")))</f>
        <v/>
      </c>
      <c r="L201" s="14" t="n"/>
      <c r="M201" s="7">
        <f>IF($B201="","",$B201&amp;"|"&amp;$C201&amp;"|"&amp;TEXT($A201,"00000"))</f>
        <v/>
      </c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8">
        <f>IF(COUNT($E202:$I202)=0,"",ROUND(AVERAGE($E202:$I202),2))</f>
        <v/>
      </c>
      <c r="K202" s="7">
        <f>IF($J202="","",IF($J202&gt;=Cadastro!$H$5,"Verde",IF($J202&gt;=Cadastro!$H$6,"Atenção","Crítico")))</f>
        <v/>
      </c>
      <c r="L202" s="14" t="n"/>
      <c r="M202" s="7">
        <f>IF($B202="","",$B202&amp;"|"&amp;$C202&amp;"|"&amp;TEXT($A202,"00000"))</f>
        <v/>
      </c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8">
        <f>IF(COUNT($E203:$I203)=0,"",ROUND(AVERAGE($E203:$I203),2))</f>
        <v/>
      </c>
      <c r="K203" s="7">
        <f>IF($J203="","",IF($J203&gt;=Cadastro!$H$5,"Verde",IF($J203&gt;=Cadastro!$H$6,"Atenção","Crítico")))</f>
        <v/>
      </c>
      <c r="L203" s="14" t="n"/>
      <c r="M203" s="7">
        <f>IF($B203="","",$B203&amp;"|"&amp;$C203&amp;"|"&amp;TEXT($A203,"00000"))</f>
        <v/>
      </c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8">
        <f>IF(COUNT($E204:$I204)=0,"",ROUND(AVERAGE($E204:$I204),2))</f>
        <v/>
      </c>
      <c r="K204" s="7">
        <f>IF($J204="","",IF($J204&gt;=Cadastro!$H$5,"Verde",IF($J204&gt;=Cadastro!$H$6,"Atenção","Crítico")))</f>
        <v/>
      </c>
      <c r="L204" s="14" t="n"/>
      <c r="M204" s="7">
        <f>IF($B204="","",$B204&amp;"|"&amp;$C204&amp;"|"&amp;TEXT($A204,"00000"))</f>
        <v/>
      </c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8">
        <f>IF(COUNT($E205:$I205)=0,"",ROUND(AVERAGE($E205:$I205),2))</f>
        <v/>
      </c>
      <c r="K205" s="7">
        <f>IF($J205="","",IF($J205&gt;=Cadastro!$H$5,"Verde",IF($J205&gt;=Cadastro!$H$6,"Atenção","Crítico")))</f>
        <v/>
      </c>
      <c r="L205" s="14" t="n"/>
      <c r="M205" s="7">
        <f>IF($B205="","",$B205&amp;"|"&amp;$C205&amp;"|"&amp;TEXT($A205,"00000"))</f>
        <v/>
      </c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8">
        <f>IF(COUNT($E206:$I206)=0,"",ROUND(AVERAGE($E206:$I206),2))</f>
        <v/>
      </c>
      <c r="K206" s="7">
        <f>IF($J206="","",IF($J206&gt;=Cadastro!$H$5,"Verde",IF($J206&gt;=Cadastro!$H$6,"Atenção","Crítico")))</f>
        <v/>
      </c>
      <c r="L206" s="14" t="n"/>
      <c r="M206" s="7">
        <f>IF($B206="","",$B206&amp;"|"&amp;$C206&amp;"|"&amp;TEXT($A206,"00000"))</f>
        <v/>
      </c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8">
        <f>IF(COUNT($E207:$I207)=0,"",ROUND(AVERAGE($E207:$I207),2))</f>
        <v/>
      </c>
      <c r="K207" s="7">
        <f>IF($J207="","",IF($J207&gt;=Cadastro!$H$5,"Verde",IF($J207&gt;=Cadastro!$H$6,"Atenção","Crítico")))</f>
        <v/>
      </c>
      <c r="L207" s="14" t="n"/>
      <c r="M207" s="7">
        <f>IF($B207="","",$B207&amp;"|"&amp;$C207&amp;"|"&amp;TEXT($A207,"00000"))</f>
        <v/>
      </c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8">
        <f>IF(COUNT($E208:$I208)=0,"",ROUND(AVERAGE($E208:$I208),2))</f>
        <v/>
      </c>
      <c r="K208" s="7">
        <f>IF($J208="","",IF($J208&gt;=Cadastro!$H$5,"Verde",IF($J208&gt;=Cadastro!$H$6,"Atenção","Crítico")))</f>
        <v/>
      </c>
      <c r="L208" s="14" t="n"/>
      <c r="M208" s="7">
        <f>IF($B208="","",$B208&amp;"|"&amp;$C208&amp;"|"&amp;TEXT($A208,"00000"))</f>
        <v/>
      </c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8">
        <f>IF(COUNT($E209:$I209)=0,"",ROUND(AVERAGE($E209:$I209),2))</f>
        <v/>
      </c>
      <c r="K209" s="7">
        <f>IF($J209="","",IF($J209&gt;=Cadastro!$H$5,"Verde",IF($J209&gt;=Cadastro!$H$6,"Atenção","Crítico")))</f>
        <v/>
      </c>
      <c r="L209" s="14" t="n"/>
      <c r="M209" s="7">
        <f>IF($B209="","",$B209&amp;"|"&amp;$C209&amp;"|"&amp;TEXT($A209,"00000"))</f>
        <v/>
      </c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8">
        <f>IF(COUNT($E210:$I210)=0,"",ROUND(AVERAGE($E210:$I210),2))</f>
        <v/>
      </c>
      <c r="K210" s="7">
        <f>IF($J210="","",IF($J210&gt;=Cadastro!$H$5,"Verde",IF($J210&gt;=Cadastro!$H$6,"Atenção","Crítico")))</f>
        <v/>
      </c>
      <c r="L210" s="14" t="n"/>
      <c r="M210" s="7">
        <f>IF($B210="","",$B210&amp;"|"&amp;$C210&amp;"|"&amp;TEXT($A210,"00000"))</f>
        <v/>
      </c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8">
        <f>IF(COUNT($E211:$I211)=0,"",ROUND(AVERAGE($E211:$I211),2))</f>
        <v/>
      </c>
      <c r="K211" s="7">
        <f>IF($J211="","",IF($J211&gt;=Cadastro!$H$5,"Verde",IF($J211&gt;=Cadastro!$H$6,"Atenção","Crítico")))</f>
        <v/>
      </c>
      <c r="L211" s="14" t="n"/>
      <c r="M211" s="7">
        <f>IF($B211="","",$B211&amp;"|"&amp;$C211&amp;"|"&amp;TEXT($A211,"00000"))</f>
        <v/>
      </c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8">
        <f>IF(COUNT($E212:$I212)=0,"",ROUND(AVERAGE($E212:$I212),2))</f>
        <v/>
      </c>
      <c r="K212" s="7">
        <f>IF($J212="","",IF($J212&gt;=Cadastro!$H$5,"Verde",IF($J212&gt;=Cadastro!$H$6,"Atenção","Crítico")))</f>
        <v/>
      </c>
      <c r="L212" s="14" t="n"/>
      <c r="M212" s="7">
        <f>IF($B212="","",$B212&amp;"|"&amp;$C212&amp;"|"&amp;TEXT($A212,"00000"))</f>
        <v/>
      </c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8">
        <f>IF(COUNT($E213:$I213)=0,"",ROUND(AVERAGE($E213:$I213),2))</f>
        <v/>
      </c>
      <c r="K213" s="7">
        <f>IF($J213="","",IF($J213&gt;=Cadastro!$H$5,"Verde",IF($J213&gt;=Cadastro!$H$6,"Atenção","Crítico")))</f>
        <v/>
      </c>
      <c r="L213" s="14" t="n"/>
      <c r="M213" s="7">
        <f>IF($B213="","",$B213&amp;"|"&amp;$C213&amp;"|"&amp;TEXT($A213,"00000"))</f>
        <v/>
      </c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8">
        <f>IF(COUNT($E214:$I214)=0,"",ROUND(AVERAGE($E214:$I214),2))</f>
        <v/>
      </c>
      <c r="K214" s="7">
        <f>IF($J214="","",IF($J214&gt;=Cadastro!$H$5,"Verde",IF($J214&gt;=Cadastro!$H$6,"Atenção","Crítico")))</f>
        <v/>
      </c>
      <c r="L214" s="14" t="n"/>
      <c r="M214" s="7">
        <f>IF($B214="","",$B214&amp;"|"&amp;$C214&amp;"|"&amp;TEXT($A214,"00000"))</f>
        <v/>
      </c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8">
        <f>IF(COUNT($E215:$I215)=0,"",ROUND(AVERAGE($E215:$I215),2))</f>
        <v/>
      </c>
      <c r="K215" s="7">
        <f>IF($J215="","",IF($J215&gt;=Cadastro!$H$5,"Verde",IF($J215&gt;=Cadastro!$H$6,"Atenção","Crítico")))</f>
        <v/>
      </c>
      <c r="L215" s="14" t="n"/>
      <c r="M215" s="7">
        <f>IF($B215="","",$B215&amp;"|"&amp;$C215&amp;"|"&amp;TEXT($A215,"00000"))</f>
        <v/>
      </c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8">
        <f>IF(COUNT($E216:$I216)=0,"",ROUND(AVERAGE($E216:$I216),2))</f>
        <v/>
      </c>
      <c r="K216" s="7">
        <f>IF($J216="","",IF($J216&gt;=Cadastro!$H$5,"Verde",IF($J216&gt;=Cadastro!$H$6,"Atenção","Crítico")))</f>
        <v/>
      </c>
      <c r="L216" s="14" t="n"/>
      <c r="M216" s="7">
        <f>IF($B216="","",$B216&amp;"|"&amp;$C216&amp;"|"&amp;TEXT($A216,"00000"))</f>
        <v/>
      </c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8">
        <f>IF(COUNT($E217:$I217)=0,"",ROUND(AVERAGE($E217:$I217),2))</f>
        <v/>
      </c>
      <c r="K217" s="7">
        <f>IF($J217="","",IF($J217&gt;=Cadastro!$H$5,"Verde",IF($J217&gt;=Cadastro!$H$6,"Atenção","Crítico")))</f>
        <v/>
      </c>
      <c r="L217" s="14" t="n"/>
      <c r="M217" s="7">
        <f>IF($B217="","",$B217&amp;"|"&amp;$C217&amp;"|"&amp;TEXT($A217,"00000"))</f>
        <v/>
      </c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8">
        <f>IF(COUNT($E218:$I218)=0,"",ROUND(AVERAGE($E218:$I218),2))</f>
        <v/>
      </c>
      <c r="K218" s="7">
        <f>IF($J218="","",IF($J218&gt;=Cadastro!$H$5,"Verde",IF($J218&gt;=Cadastro!$H$6,"Atenção","Crítico")))</f>
        <v/>
      </c>
      <c r="L218" s="14" t="n"/>
      <c r="M218" s="7">
        <f>IF($B218="","",$B218&amp;"|"&amp;$C218&amp;"|"&amp;TEXT($A218,"00000"))</f>
        <v/>
      </c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8">
        <f>IF(COUNT($E219:$I219)=0,"",ROUND(AVERAGE($E219:$I219),2))</f>
        <v/>
      </c>
      <c r="K219" s="7">
        <f>IF($J219="","",IF($J219&gt;=Cadastro!$H$5,"Verde",IF($J219&gt;=Cadastro!$H$6,"Atenção","Crítico")))</f>
        <v/>
      </c>
      <c r="L219" s="14" t="n"/>
      <c r="M219" s="7">
        <f>IF($B219="","",$B219&amp;"|"&amp;$C219&amp;"|"&amp;TEXT($A219,"00000"))</f>
        <v/>
      </c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8">
        <f>IF(COUNT($E220:$I220)=0,"",ROUND(AVERAGE($E220:$I220),2))</f>
        <v/>
      </c>
      <c r="K220" s="7">
        <f>IF($J220="","",IF($J220&gt;=Cadastro!$H$5,"Verde",IF($J220&gt;=Cadastro!$H$6,"Atenção","Crítico")))</f>
        <v/>
      </c>
      <c r="L220" s="14" t="n"/>
      <c r="M220" s="7">
        <f>IF($B220="","",$B220&amp;"|"&amp;$C220&amp;"|"&amp;TEXT($A220,"00000"))</f>
        <v/>
      </c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8">
        <f>IF(COUNT($E221:$I221)=0,"",ROUND(AVERAGE($E221:$I221),2))</f>
        <v/>
      </c>
      <c r="K221" s="7">
        <f>IF($J221="","",IF($J221&gt;=Cadastro!$H$5,"Verde",IF($J221&gt;=Cadastro!$H$6,"Atenção","Crítico")))</f>
        <v/>
      </c>
      <c r="L221" s="14" t="n"/>
      <c r="M221" s="7">
        <f>IF($B221="","",$B221&amp;"|"&amp;$C221&amp;"|"&amp;TEXT($A221,"00000"))</f>
        <v/>
      </c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8">
        <f>IF(COUNT($E222:$I222)=0,"",ROUND(AVERAGE($E222:$I222),2))</f>
        <v/>
      </c>
      <c r="K222" s="7">
        <f>IF($J222="","",IF($J222&gt;=Cadastro!$H$5,"Verde",IF($J222&gt;=Cadastro!$H$6,"Atenção","Crítico")))</f>
        <v/>
      </c>
      <c r="L222" s="14" t="n"/>
      <c r="M222" s="7">
        <f>IF($B222="","",$B222&amp;"|"&amp;$C222&amp;"|"&amp;TEXT($A222,"00000"))</f>
        <v/>
      </c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8">
        <f>IF(COUNT($E223:$I223)=0,"",ROUND(AVERAGE($E223:$I223),2))</f>
        <v/>
      </c>
      <c r="K223" s="7">
        <f>IF($J223="","",IF($J223&gt;=Cadastro!$H$5,"Verde",IF($J223&gt;=Cadastro!$H$6,"Atenção","Crítico")))</f>
        <v/>
      </c>
      <c r="L223" s="14" t="n"/>
      <c r="M223" s="7">
        <f>IF($B223="","",$B223&amp;"|"&amp;$C223&amp;"|"&amp;TEXT($A223,"00000"))</f>
        <v/>
      </c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8">
        <f>IF(COUNT($E224:$I224)=0,"",ROUND(AVERAGE($E224:$I224),2))</f>
        <v/>
      </c>
      <c r="K224" s="7">
        <f>IF($J224="","",IF($J224&gt;=Cadastro!$H$5,"Verde",IF($J224&gt;=Cadastro!$H$6,"Atenção","Crítico")))</f>
        <v/>
      </c>
      <c r="L224" s="14" t="n"/>
      <c r="M224" s="7">
        <f>IF($B224="","",$B224&amp;"|"&amp;$C224&amp;"|"&amp;TEXT($A224,"00000"))</f>
        <v/>
      </c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8">
        <f>IF(COUNT($E225:$I225)=0,"",ROUND(AVERAGE($E225:$I225),2))</f>
        <v/>
      </c>
      <c r="K225" s="7">
        <f>IF($J225="","",IF($J225&gt;=Cadastro!$H$5,"Verde",IF($J225&gt;=Cadastro!$H$6,"Atenção","Crítico")))</f>
        <v/>
      </c>
      <c r="L225" s="14" t="n"/>
      <c r="M225" s="7">
        <f>IF($B225="","",$B225&amp;"|"&amp;$C225&amp;"|"&amp;TEXT($A225,"00000"))</f>
        <v/>
      </c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8">
        <f>IF(COUNT($E226:$I226)=0,"",ROUND(AVERAGE($E226:$I226),2))</f>
        <v/>
      </c>
      <c r="K226" s="7">
        <f>IF($J226="","",IF($J226&gt;=Cadastro!$H$5,"Verde",IF($J226&gt;=Cadastro!$H$6,"Atenção","Crítico")))</f>
        <v/>
      </c>
      <c r="L226" s="14" t="n"/>
      <c r="M226" s="7">
        <f>IF($B226="","",$B226&amp;"|"&amp;$C226&amp;"|"&amp;TEXT($A226,"00000"))</f>
        <v/>
      </c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8">
        <f>IF(COUNT($E227:$I227)=0,"",ROUND(AVERAGE($E227:$I227),2))</f>
        <v/>
      </c>
      <c r="K227" s="7">
        <f>IF($J227="","",IF($J227&gt;=Cadastro!$H$5,"Verde",IF($J227&gt;=Cadastro!$H$6,"Atenção","Crítico")))</f>
        <v/>
      </c>
      <c r="L227" s="14" t="n"/>
      <c r="M227" s="7">
        <f>IF($B227="","",$B227&amp;"|"&amp;$C227&amp;"|"&amp;TEXT($A227,"00000"))</f>
        <v/>
      </c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8">
        <f>IF(COUNT($E228:$I228)=0,"",ROUND(AVERAGE($E228:$I228),2))</f>
        <v/>
      </c>
      <c r="K228" s="7">
        <f>IF($J228="","",IF($J228&gt;=Cadastro!$H$5,"Verde",IF($J228&gt;=Cadastro!$H$6,"Atenção","Crítico")))</f>
        <v/>
      </c>
      <c r="L228" s="14" t="n"/>
      <c r="M228" s="7">
        <f>IF($B228="","",$B228&amp;"|"&amp;$C228&amp;"|"&amp;TEXT($A228,"00000"))</f>
        <v/>
      </c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8">
        <f>IF(COUNT($E229:$I229)=0,"",ROUND(AVERAGE($E229:$I229),2))</f>
        <v/>
      </c>
      <c r="K229" s="7">
        <f>IF($J229="","",IF($J229&gt;=Cadastro!$H$5,"Verde",IF($J229&gt;=Cadastro!$H$6,"Atenção","Crítico")))</f>
        <v/>
      </c>
      <c r="L229" s="14" t="n"/>
      <c r="M229" s="7">
        <f>IF($B229="","",$B229&amp;"|"&amp;$C229&amp;"|"&amp;TEXT($A229,"00000"))</f>
        <v/>
      </c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8">
        <f>IF(COUNT($E230:$I230)=0,"",ROUND(AVERAGE($E230:$I230),2))</f>
        <v/>
      </c>
      <c r="K230" s="7">
        <f>IF($J230="","",IF($J230&gt;=Cadastro!$H$5,"Verde",IF($J230&gt;=Cadastro!$H$6,"Atenção","Crítico")))</f>
        <v/>
      </c>
      <c r="L230" s="14" t="n"/>
      <c r="M230" s="7">
        <f>IF($B230="","",$B230&amp;"|"&amp;$C230&amp;"|"&amp;TEXT($A230,"00000"))</f>
        <v/>
      </c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8">
        <f>IF(COUNT($E231:$I231)=0,"",ROUND(AVERAGE($E231:$I231),2))</f>
        <v/>
      </c>
      <c r="K231" s="7">
        <f>IF($J231="","",IF($J231&gt;=Cadastro!$H$5,"Verde",IF($J231&gt;=Cadastro!$H$6,"Atenção","Crítico")))</f>
        <v/>
      </c>
      <c r="L231" s="14" t="n"/>
      <c r="M231" s="7">
        <f>IF($B231="","",$B231&amp;"|"&amp;$C231&amp;"|"&amp;TEXT($A231,"00000"))</f>
        <v/>
      </c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8">
        <f>IF(COUNT($E232:$I232)=0,"",ROUND(AVERAGE($E232:$I232),2))</f>
        <v/>
      </c>
      <c r="K232" s="7">
        <f>IF($J232="","",IF($J232&gt;=Cadastro!$H$5,"Verde",IF($J232&gt;=Cadastro!$H$6,"Atenção","Crítico")))</f>
        <v/>
      </c>
      <c r="L232" s="14" t="n"/>
      <c r="M232" s="7">
        <f>IF($B232="","",$B232&amp;"|"&amp;$C232&amp;"|"&amp;TEXT($A232,"00000"))</f>
        <v/>
      </c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8">
        <f>IF(COUNT($E233:$I233)=0,"",ROUND(AVERAGE($E233:$I233),2))</f>
        <v/>
      </c>
      <c r="K233" s="7">
        <f>IF($J233="","",IF($J233&gt;=Cadastro!$H$5,"Verde",IF($J233&gt;=Cadastro!$H$6,"Atenção","Crítico")))</f>
        <v/>
      </c>
      <c r="L233" s="14" t="n"/>
      <c r="M233" s="7">
        <f>IF($B233="","",$B233&amp;"|"&amp;$C233&amp;"|"&amp;TEXT($A233,"00000"))</f>
        <v/>
      </c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8">
        <f>IF(COUNT($E234:$I234)=0,"",ROUND(AVERAGE($E234:$I234),2))</f>
        <v/>
      </c>
      <c r="K234" s="7">
        <f>IF($J234="","",IF($J234&gt;=Cadastro!$H$5,"Verde",IF($J234&gt;=Cadastro!$H$6,"Atenção","Crítico")))</f>
        <v/>
      </c>
      <c r="L234" s="14" t="n"/>
      <c r="M234" s="7">
        <f>IF($B234="","",$B234&amp;"|"&amp;$C234&amp;"|"&amp;TEXT($A234,"00000"))</f>
        <v/>
      </c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8">
        <f>IF(COUNT($E235:$I235)=0,"",ROUND(AVERAGE($E235:$I235),2))</f>
        <v/>
      </c>
      <c r="K235" s="7">
        <f>IF($J235="","",IF($J235&gt;=Cadastro!$H$5,"Verde",IF($J235&gt;=Cadastro!$H$6,"Atenção","Crítico")))</f>
        <v/>
      </c>
      <c r="L235" s="14" t="n"/>
      <c r="M235" s="7">
        <f>IF($B235="","",$B235&amp;"|"&amp;$C235&amp;"|"&amp;TEXT($A235,"00000"))</f>
        <v/>
      </c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8">
        <f>IF(COUNT($E236:$I236)=0,"",ROUND(AVERAGE($E236:$I236),2))</f>
        <v/>
      </c>
      <c r="K236" s="7">
        <f>IF($J236="","",IF($J236&gt;=Cadastro!$H$5,"Verde",IF($J236&gt;=Cadastro!$H$6,"Atenção","Crítico")))</f>
        <v/>
      </c>
      <c r="L236" s="14" t="n"/>
      <c r="M236" s="7">
        <f>IF($B236="","",$B236&amp;"|"&amp;$C236&amp;"|"&amp;TEXT($A236,"00000"))</f>
        <v/>
      </c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8">
        <f>IF(COUNT($E237:$I237)=0,"",ROUND(AVERAGE($E237:$I237),2))</f>
        <v/>
      </c>
      <c r="K237" s="7">
        <f>IF($J237="","",IF($J237&gt;=Cadastro!$H$5,"Verde",IF($J237&gt;=Cadastro!$H$6,"Atenção","Crítico")))</f>
        <v/>
      </c>
      <c r="L237" s="14" t="n"/>
      <c r="M237" s="7">
        <f>IF($B237="","",$B237&amp;"|"&amp;$C237&amp;"|"&amp;TEXT($A237,"00000"))</f>
        <v/>
      </c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8">
        <f>IF(COUNT($E238:$I238)=0,"",ROUND(AVERAGE($E238:$I238),2))</f>
        <v/>
      </c>
      <c r="K238" s="7">
        <f>IF($J238="","",IF($J238&gt;=Cadastro!$H$5,"Verde",IF($J238&gt;=Cadastro!$H$6,"Atenção","Crítico")))</f>
        <v/>
      </c>
      <c r="L238" s="14" t="n"/>
      <c r="M238" s="7">
        <f>IF($B238="","",$B238&amp;"|"&amp;$C238&amp;"|"&amp;TEXT($A238,"00000"))</f>
        <v/>
      </c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8">
        <f>IF(COUNT($E239:$I239)=0,"",ROUND(AVERAGE($E239:$I239),2))</f>
        <v/>
      </c>
      <c r="K239" s="7">
        <f>IF($J239="","",IF($J239&gt;=Cadastro!$H$5,"Verde",IF($J239&gt;=Cadastro!$H$6,"Atenção","Crítico")))</f>
        <v/>
      </c>
      <c r="L239" s="14" t="n"/>
      <c r="M239" s="7">
        <f>IF($B239="","",$B239&amp;"|"&amp;$C239&amp;"|"&amp;TEXT($A239,"00000"))</f>
        <v/>
      </c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8">
        <f>IF(COUNT($E240:$I240)=0,"",ROUND(AVERAGE($E240:$I240),2))</f>
        <v/>
      </c>
      <c r="K240" s="7">
        <f>IF($J240="","",IF($J240&gt;=Cadastro!$H$5,"Verde",IF($J240&gt;=Cadastro!$H$6,"Atenção","Crítico")))</f>
        <v/>
      </c>
      <c r="L240" s="14" t="n"/>
      <c r="M240" s="7">
        <f>IF($B240="","",$B240&amp;"|"&amp;$C240&amp;"|"&amp;TEXT($A240,"00000"))</f>
        <v/>
      </c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8">
        <f>IF(COUNT($E241:$I241)=0,"",ROUND(AVERAGE($E241:$I241),2))</f>
        <v/>
      </c>
      <c r="K241" s="7">
        <f>IF($J241="","",IF($J241&gt;=Cadastro!$H$5,"Verde",IF($J241&gt;=Cadastro!$H$6,"Atenção","Crítico")))</f>
        <v/>
      </c>
      <c r="L241" s="14" t="n"/>
      <c r="M241" s="7">
        <f>IF($B241="","",$B241&amp;"|"&amp;$C241&amp;"|"&amp;TEXT($A241,"00000"))</f>
        <v/>
      </c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8">
        <f>IF(COUNT($E242:$I242)=0,"",ROUND(AVERAGE($E242:$I242),2))</f>
        <v/>
      </c>
      <c r="K242" s="7">
        <f>IF($J242="","",IF($J242&gt;=Cadastro!$H$5,"Verde",IF($J242&gt;=Cadastro!$H$6,"Atenção","Crítico")))</f>
        <v/>
      </c>
      <c r="L242" s="14" t="n"/>
      <c r="M242" s="7">
        <f>IF($B242="","",$B242&amp;"|"&amp;$C242&amp;"|"&amp;TEXT($A242,"00000"))</f>
        <v/>
      </c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8">
        <f>IF(COUNT($E243:$I243)=0,"",ROUND(AVERAGE($E243:$I243),2))</f>
        <v/>
      </c>
      <c r="K243" s="7">
        <f>IF($J243="","",IF($J243&gt;=Cadastro!$H$5,"Verde",IF($J243&gt;=Cadastro!$H$6,"Atenção","Crítico")))</f>
        <v/>
      </c>
      <c r="L243" s="14" t="n"/>
      <c r="M243" s="7">
        <f>IF($B243="","",$B243&amp;"|"&amp;$C243&amp;"|"&amp;TEXT($A243,"00000"))</f>
        <v/>
      </c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8">
        <f>IF(COUNT($E244:$I244)=0,"",ROUND(AVERAGE($E244:$I244),2))</f>
        <v/>
      </c>
      <c r="K244" s="7">
        <f>IF($J244="","",IF($J244&gt;=Cadastro!$H$5,"Verde",IF($J244&gt;=Cadastro!$H$6,"Atenção","Crítico")))</f>
        <v/>
      </c>
      <c r="L244" s="14" t="n"/>
      <c r="M244" s="7">
        <f>IF($B244="","",$B244&amp;"|"&amp;$C244&amp;"|"&amp;TEXT($A244,"00000"))</f>
        <v/>
      </c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8">
        <f>IF(COUNT($E245:$I245)=0,"",ROUND(AVERAGE($E245:$I245),2))</f>
        <v/>
      </c>
      <c r="K245" s="7">
        <f>IF($J245="","",IF($J245&gt;=Cadastro!$H$5,"Verde",IF($J245&gt;=Cadastro!$H$6,"Atenção","Crítico")))</f>
        <v/>
      </c>
      <c r="L245" s="14" t="n"/>
      <c r="M245" s="7">
        <f>IF($B245="","",$B245&amp;"|"&amp;$C245&amp;"|"&amp;TEXT($A245,"00000"))</f>
        <v/>
      </c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8">
        <f>IF(COUNT($E246:$I246)=0,"",ROUND(AVERAGE($E246:$I246),2))</f>
        <v/>
      </c>
      <c r="K246" s="7">
        <f>IF($J246="","",IF($J246&gt;=Cadastro!$H$5,"Verde",IF($J246&gt;=Cadastro!$H$6,"Atenção","Crítico")))</f>
        <v/>
      </c>
      <c r="L246" s="14" t="n"/>
      <c r="M246" s="7">
        <f>IF($B246="","",$B246&amp;"|"&amp;$C246&amp;"|"&amp;TEXT($A246,"00000"))</f>
        <v/>
      </c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8">
        <f>IF(COUNT($E247:$I247)=0,"",ROUND(AVERAGE($E247:$I247),2))</f>
        <v/>
      </c>
      <c r="K247" s="7">
        <f>IF($J247="","",IF($J247&gt;=Cadastro!$H$5,"Verde",IF($J247&gt;=Cadastro!$H$6,"Atenção","Crítico")))</f>
        <v/>
      </c>
      <c r="L247" s="14" t="n"/>
      <c r="M247" s="7">
        <f>IF($B247="","",$B247&amp;"|"&amp;$C247&amp;"|"&amp;TEXT($A247,"00000"))</f>
        <v/>
      </c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8">
        <f>IF(COUNT($E248:$I248)=0,"",ROUND(AVERAGE($E248:$I248),2))</f>
        <v/>
      </c>
      <c r="K248" s="7">
        <f>IF($J248="","",IF($J248&gt;=Cadastro!$H$5,"Verde",IF($J248&gt;=Cadastro!$H$6,"Atenção","Crítico")))</f>
        <v/>
      </c>
      <c r="L248" s="14" t="n"/>
      <c r="M248" s="7">
        <f>IF($B248="","",$B248&amp;"|"&amp;$C248&amp;"|"&amp;TEXT($A248,"00000"))</f>
        <v/>
      </c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8">
        <f>IF(COUNT($E249:$I249)=0,"",ROUND(AVERAGE($E249:$I249),2))</f>
        <v/>
      </c>
      <c r="K249" s="7">
        <f>IF($J249="","",IF($J249&gt;=Cadastro!$H$5,"Verde",IF($J249&gt;=Cadastro!$H$6,"Atenção","Crítico")))</f>
        <v/>
      </c>
      <c r="L249" s="14" t="n"/>
      <c r="M249" s="7">
        <f>IF($B249="","",$B249&amp;"|"&amp;$C249&amp;"|"&amp;TEXT($A249,"00000"))</f>
        <v/>
      </c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8">
        <f>IF(COUNT($E250:$I250)=0,"",ROUND(AVERAGE($E250:$I250),2))</f>
        <v/>
      </c>
      <c r="K250" s="7">
        <f>IF($J250="","",IF($J250&gt;=Cadastro!$H$5,"Verde",IF($J250&gt;=Cadastro!$H$6,"Atenção","Crítico")))</f>
        <v/>
      </c>
      <c r="L250" s="14" t="n"/>
      <c r="M250" s="7">
        <f>IF($B250="","",$B250&amp;"|"&amp;$C250&amp;"|"&amp;TEXT($A250,"00000"))</f>
        <v/>
      </c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8">
        <f>IF(COUNT($E251:$I251)=0,"",ROUND(AVERAGE($E251:$I251),2))</f>
        <v/>
      </c>
      <c r="K251" s="7">
        <f>IF($J251="","",IF($J251&gt;=Cadastro!$H$5,"Verde",IF($J251&gt;=Cadastro!$H$6,"Atenção","Crítico")))</f>
        <v/>
      </c>
      <c r="L251" s="14" t="n"/>
      <c r="M251" s="7">
        <f>IF($B251="","",$B251&amp;"|"&amp;$C251&amp;"|"&amp;TEXT($A251,"00000"))</f>
        <v/>
      </c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8">
        <f>IF(COUNT($E252:$I252)=0,"",ROUND(AVERAGE($E252:$I252),2))</f>
        <v/>
      </c>
      <c r="K252" s="7">
        <f>IF($J252="","",IF($J252&gt;=Cadastro!$H$5,"Verde",IF($J252&gt;=Cadastro!$H$6,"Atenção","Crítico")))</f>
        <v/>
      </c>
      <c r="L252" s="14" t="n"/>
      <c r="M252" s="7">
        <f>IF($B252="","",$B252&amp;"|"&amp;$C252&amp;"|"&amp;TEXT($A252,"00000"))</f>
        <v/>
      </c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8">
        <f>IF(COUNT($E253:$I253)=0,"",ROUND(AVERAGE($E253:$I253),2))</f>
        <v/>
      </c>
      <c r="K253" s="7">
        <f>IF($J253="","",IF($J253&gt;=Cadastro!$H$5,"Verde",IF($J253&gt;=Cadastro!$H$6,"Atenção","Crítico")))</f>
        <v/>
      </c>
      <c r="L253" s="14" t="n"/>
      <c r="M253" s="7">
        <f>IF($B253="","",$B253&amp;"|"&amp;$C253&amp;"|"&amp;TEXT($A253,"00000"))</f>
        <v/>
      </c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8">
        <f>IF(COUNT($E254:$I254)=0,"",ROUND(AVERAGE($E254:$I254),2))</f>
        <v/>
      </c>
      <c r="K254" s="7">
        <f>IF($J254="","",IF($J254&gt;=Cadastro!$H$5,"Verde",IF($J254&gt;=Cadastro!$H$6,"Atenção","Crítico")))</f>
        <v/>
      </c>
      <c r="L254" s="14" t="n"/>
      <c r="M254" s="7">
        <f>IF($B254="","",$B254&amp;"|"&amp;$C254&amp;"|"&amp;TEXT($A254,"00000"))</f>
        <v/>
      </c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8">
        <f>IF(COUNT($E255:$I255)=0,"",ROUND(AVERAGE($E255:$I255),2))</f>
        <v/>
      </c>
      <c r="K255" s="7">
        <f>IF($J255="","",IF($J255&gt;=Cadastro!$H$5,"Verde",IF($J255&gt;=Cadastro!$H$6,"Atenção","Crítico")))</f>
        <v/>
      </c>
      <c r="L255" s="14" t="n"/>
      <c r="M255" s="7">
        <f>IF($B255="","",$B255&amp;"|"&amp;$C255&amp;"|"&amp;TEXT($A255,"00000"))</f>
        <v/>
      </c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8">
        <f>IF(COUNT($E256:$I256)=0,"",ROUND(AVERAGE($E256:$I256),2))</f>
        <v/>
      </c>
      <c r="K256" s="7">
        <f>IF($J256="","",IF($J256&gt;=Cadastro!$H$5,"Verde",IF($J256&gt;=Cadastro!$H$6,"Atenção","Crítico")))</f>
        <v/>
      </c>
      <c r="L256" s="14" t="n"/>
      <c r="M256" s="7">
        <f>IF($B256="","",$B256&amp;"|"&amp;$C256&amp;"|"&amp;TEXT($A256,"00000"))</f>
        <v/>
      </c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8">
        <f>IF(COUNT($E257:$I257)=0,"",ROUND(AVERAGE($E257:$I257),2))</f>
        <v/>
      </c>
      <c r="K257" s="7">
        <f>IF($J257="","",IF($J257&gt;=Cadastro!$H$5,"Verde",IF($J257&gt;=Cadastro!$H$6,"Atenção","Crítico")))</f>
        <v/>
      </c>
      <c r="L257" s="14" t="n"/>
      <c r="M257" s="7">
        <f>IF($B257="","",$B257&amp;"|"&amp;$C257&amp;"|"&amp;TEXT($A257,"00000"))</f>
        <v/>
      </c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8">
        <f>IF(COUNT($E258:$I258)=0,"",ROUND(AVERAGE($E258:$I258),2))</f>
        <v/>
      </c>
      <c r="K258" s="7">
        <f>IF($J258="","",IF($J258&gt;=Cadastro!$H$5,"Verde",IF($J258&gt;=Cadastro!$H$6,"Atenção","Crítico")))</f>
        <v/>
      </c>
      <c r="L258" s="14" t="n"/>
      <c r="M258" s="7">
        <f>IF($B258="","",$B258&amp;"|"&amp;$C258&amp;"|"&amp;TEXT($A258,"00000"))</f>
        <v/>
      </c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8">
        <f>IF(COUNT($E259:$I259)=0,"",ROUND(AVERAGE($E259:$I259),2))</f>
        <v/>
      </c>
      <c r="K259" s="7">
        <f>IF($J259="","",IF($J259&gt;=Cadastro!$H$5,"Verde",IF($J259&gt;=Cadastro!$H$6,"Atenção","Crítico")))</f>
        <v/>
      </c>
      <c r="L259" s="14" t="n"/>
      <c r="M259" s="7">
        <f>IF($B259="","",$B259&amp;"|"&amp;$C259&amp;"|"&amp;TEXT($A259,"00000"))</f>
        <v/>
      </c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8">
        <f>IF(COUNT($E260:$I260)=0,"",ROUND(AVERAGE($E260:$I260),2))</f>
        <v/>
      </c>
      <c r="K260" s="7">
        <f>IF($J260="","",IF($J260&gt;=Cadastro!$H$5,"Verde",IF($J260&gt;=Cadastro!$H$6,"Atenção","Crítico")))</f>
        <v/>
      </c>
      <c r="L260" s="14" t="n"/>
      <c r="M260" s="7">
        <f>IF($B260="","",$B260&amp;"|"&amp;$C260&amp;"|"&amp;TEXT($A260,"00000"))</f>
        <v/>
      </c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8">
        <f>IF(COUNT($E261:$I261)=0,"",ROUND(AVERAGE($E261:$I261),2))</f>
        <v/>
      </c>
      <c r="K261" s="7">
        <f>IF($J261="","",IF($J261&gt;=Cadastro!$H$5,"Verde",IF($J261&gt;=Cadastro!$H$6,"Atenção","Crítico")))</f>
        <v/>
      </c>
      <c r="L261" s="14" t="n"/>
      <c r="M261" s="7">
        <f>IF($B261="","",$B261&amp;"|"&amp;$C261&amp;"|"&amp;TEXT($A261,"00000"))</f>
        <v/>
      </c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8">
        <f>IF(COUNT($E262:$I262)=0,"",ROUND(AVERAGE($E262:$I262),2))</f>
        <v/>
      </c>
      <c r="K262" s="7">
        <f>IF($J262="","",IF($J262&gt;=Cadastro!$H$5,"Verde",IF($J262&gt;=Cadastro!$H$6,"Atenção","Crítico")))</f>
        <v/>
      </c>
      <c r="L262" s="14" t="n"/>
      <c r="M262" s="7">
        <f>IF($B262="","",$B262&amp;"|"&amp;$C262&amp;"|"&amp;TEXT($A262,"00000"))</f>
        <v/>
      </c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8">
        <f>IF(COUNT($E263:$I263)=0,"",ROUND(AVERAGE($E263:$I263),2))</f>
        <v/>
      </c>
      <c r="K263" s="7">
        <f>IF($J263="","",IF($J263&gt;=Cadastro!$H$5,"Verde",IF($J263&gt;=Cadastro!$H$6,"Atenção","Crítico")))</f>
        <v/>
      </c>
      <c r="L263" s="14" t="n"/>
      <c r="M263" s="7">
        <f>IF($B263="","",$B263&amp;"|"&amp;$C263&amp;"|"&amp;TEXT($A263,"00000"))</f>
        <v/>
      </c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8">
        <f>IF(COUNT($E264:$I264)=0,"",ROUND(AVERAGE($E264:$I264),2))</f>
        <v/>
      </c>
      <c r="K264" s="7">
        <f>IF($J264="","",IF($J264&gt;=Cadastro!$H$5,"Verde",IF($J264&gt;=Cadastro!$H$6,"Atenção","Crítico")))</f>
        <v/>
      </c>
      <c r="L264" s="14" t="n"/>
      <c r="M264" s="7">
        <f>IF($B264="","",$B264&amp;"|"&amp;$C264&amp;"|"&amp;TEXT($A264,"00000"))</f>
        <v/>
      </c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8">
        <f>IF(COUNT($E265:$I265)=0,"",ROUND(AVERAGE($E265:$I265),2))</f>
        <v/>
      </c>
      <c r="K265" s="7">
        <f>IF($J265="","",IF($J265&gt;=Cadastro!$H$5,"Verde",IF($J265&gt;=Cadastro!$H$6,"Atenção","Crítico")))</f>
        <v/>
      </c>
      <c r="L265" s="14" t="n"/>
      <c r="M265" s="7">
        <f>IF($B265="","",$B265&amp;"|"&amp;$C265&amp;"|"&amp;TEXT($A265,"00000"))</f>
        <v/>
      </c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8">
        <f>IF(COUNT($E266:$I266)=0,"",ROUND(AVERAGE($E266:$I266),2))</f>
        <v/>
      </c>
      <c r="K266" s="7">
        <f>IF($J266="","",IF($J266&gt;=Cadastro!$H$5,"Verde",IF($J266&gt;=Cadastro!$H$6,"Atenção","Crítico")))</f>
        <v/>
      </c>
      <c r="L266" s="14" t="n"/>
      <c r="M266" s="7">
        <f>IF($B266="","",$B266&amp;"|"&amp;$C266&amp;"|"&amp;TEXT($A266,"00000"))</f>
        <v/>
      </c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8">
        <f>IF(COUNT($E267:$I267)=0,"",ROUND(AVERAGE($E267:$I267),2))</f>
        <v/>
      </c>
      <c r="K267" s="7">
        <f>IF($J267="","",IF($J267&gt;=Cadastro!$H$5,"Verde",IF($J267&gt;=Cadastro!$H$6,"Atenção","Crítico")))</f>
        <v/>
      </c>
      <c r="L267" s="14" t="n"/>
      <c r="M267" s="7">
        <f>IF($B267="","",$B267&amp;"|"&amp;$C267&amp;"|"&amp;TEXT($A267,"00000"))</f>
        <v/>
      </c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8">
        <f>IF(COUNT($E268:$I268)=0,"",ROUND(AVERAGE($E268:$I268),2))</f>
        <v/>
      </c>
      <c r="K268" s="7">
        <f>IF($J268="","",IF($J268&gt;=Cadastro!$H$5,"Verde",IF($J268&gt;=Cadastro!$H$6,"Atenção","Crítico")))</f>
        <v/>
      </c>
      <c r="L268" s="14" t="n"/>
      <c r="M268" s="7">
        <f>IF($B268="","",$B268&amp;"|"&amp;$C268&amp;"|"&amp;TEXT($A268,"00000"))</f>
        <v/>
      </c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8">
        <f>IF(COUNT($E269:$I269)=0,"",ROUND(AVERAGE($E269:$I269),2))</f>
        <v/>
      </c>
      <c r="K269" s="7">
        <f>IF($J269="","",IF($J269&gt;=Cadastro!$H$5,"Verde",IF($J269&gt;=Cadastro!$H$6,"Atenção","Crítico")))</f>
        <v/>
      </c>
      <c r="L269" s="14" t="n"/>
      <c r="M269" s="7">
        <f>IF($B269="","",$B269&amp;"|"&amp;$C269&amp;"|"&amp;TEXT($A269,"00000"))</f>
        <v/>
      </c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8">
        <f>IF(COUNT($E270:$I270)=0,"",ROUND(AVERAGE($E270:$I270),2))</f>
        <v/>
      </c>
      <c r="K270" s="7">
        <f>IF($J270="","",IF($J270&gt;=Cadastro!$H$5,"Verde",IF($J270&gt;=Cadastro!$H$6,"Atenção","Crítico")))</f>
        <v/>
      </c>
      <c r="L270" s="14" t="n"/>
      <c r="M270" s="7">
        <f>IF($B270="","",$B270&amp;"|"&amp;$C270&amp;"|"&amp;TEXT($A270,"00000"))</f>
        <v/>
      </c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8">
        <f>IF(COUNT($E271:$I271)=0,"",ROUND(AVERAGE($E271:$I271),2))</f>
        <v/>
      </c>
      <c r="K271" s="7">
        <f>IF($J271="","",IF($J271&gt;=Cadastro!$H$5,"Verde",IF($J271&gt;=Cadastro!$H$6,"Atenção","Crítico")))</f>
        <v/>
      </c>
      <c r="L271" s="14" t="n"/>
      <c r="M271" s="7">
        <f>IF($B271="","",$B271&amp;"|"&amp;$C271&amp;"|"&amp;TEXT($A271,"00000"))</f>
        <v/>
      </c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8">
        <f>IF(COUNT($E272:$I272)=0,"",ROUND(AVERAGE($E272:$I272),2))</f>
        <v/>
      </c>
      <c r="K272" s="7">
        <f>IF($J272="","",IF($J272&gt;=Cadastro!$H$5,"Verde",IF($J272&gt;=Cadastro!$H$6,"Atenção","Crítico")))</f>
        <v/>
      </c>
      <c r="L272" s="14" t="n"/>
      <c r="M272" s="7">
        <f>IF($B272="","",$B272&amp;"|"&amp;$C272&amp;"|"&amp;TEXT($A272,"00000"))</f>
        <v/>
      </c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8">
        <f>IF(COUNT($E273:$I273)=0,"",ROUND(AVERAGE($E273:$I273),2))</f>
        <v/>
      </c>
      <c r="K273" s="7">
        <f>IF($J273="","",IF($J273&gt;=Cadastro!$H$5,"Verde",IF($J273&gt;=Cadastro!$H$6,"Atenção","Crítico")))</f>
        <v/>
      </c>
      <c r="L273" s="14" t="n"/>
      <c r="M273" s="7">
        <f>IF($B273="","",$B273&amp;"|"&amp;$C273&amp;"|"&amp;TEXT($A273,"00000"))</f>
        <v/>
      </c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8">
        <f>IF(COUNT($E274:$I274)=0,"",ROUND(AVERAGE($E274:$I274),2))</f>
        <v/>
      </c>
      <c r="K274" s="7">
        <f>IF($J274="","",IF($J274&gt;=Cadastro!$H$5,"Verde",IF($J274&gt;=Cadastro!$H$6,"Atenção","Crítico")))</f>
        <v/>
      </c>
      <c r="L274" s="14" t="n"/>
      <c r="M274" s="7">
        <f>IF($B274="","",$B274&amp;"|"&amp;$C274&amp;"|"&amp;TEXT($A274,"00000"))</f>
        <v/>
      </c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8">
        <f>IF(COUNT($E275:$I275)=0,"",ROUND(AVERAGE($E275:$I275),2))</f>
        <v/>
      </c>
      <c r="K275" s="7">
        <f>IF($J275="","",IF($J275&gt;=Cadastro!$H$5,"Verde",IF($J275&gt;=Cadastro!$H$6,"Atenção","Crítico")))</f>
        <v/>
      </c>
      <c r="L275" s="14" t="n"/>
      <c r="M275" s="7">
        <f>IF($B275="","",$B275&amp;"|"&amp;$C275&amp;"|"&amp;TEXT($A275,"00000"))</f>
        <v/>
      </c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8">
        <f>IF(COUNT($E276:$I276)=0,"",ROUND(AVERAGE($E276:$I276),2))</f>
        <v/>
      </c>
      <c r="K276" s="7">
        <f>IF($J276="","",IF($J276&gt;=Cadastro!$H$5,"Verde",IF($J276&gt;=Cadastro!$H$6,"Atenção","Crítico")))</f>
        <v/>
      </c>
      <c r="L276" s="14" t="n"/>
      <c r="M276" s="7">
        <f>IF($B276="","",$B276&amp;"|"&amp;$C276&amp;"|"&amp;TEXT($A276,"00000"))</f>
        <v/>
      </c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8">
        <f>IF(COUNT($E277:$I277)=0,"",ROUND(AVERAGE($E277:$I277),2))</f>
        <v/>
      </c>
      <c r="K277" s="7">
        <f>IF($J277="","",IF($J277&gt;=Cadastro!$H$5,"Verde",IF($J277&gt;=Cadastro!$H$6,"Atenção","Crítico")))</f>
        <v/>
      </c>
      <c r="L277" s="14" t="n"/>
      <c r="M277" s="7">
        <f>IF($B277="","",$B277&amp;"|"&amp;$C277&amp;"|"&amp;TEXT($A277,"00000"))</f>
        <v/>
      </c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8">
        <f>IF(COUNT($E278:$I278)=0,"",ROUND(AVERAGE($E278:$I278),2))</f>
        <v/>
      </c>
      <c r="K278" s="7">
        <f>IF($J278="","",IF($J278&gt;=Cadastro!$H$5,"Verde",IF($J278&gt;=Cadastro!$H$6,"Atenção","Crítico")))</f>
        <v/>
      </c>
      <c r="L278" s="14" t="n"/>
      <c r="M278" s="7">
        <f>IF($B278="","",$B278&amp;"|"&amp;$C278&amp;"|"&amp;TEXT($A278,"00000"))</f>
        <v/>
      </c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8">
        <f>IF(COUNT($E279:$I279)=0,"",ROUND(AVERAGE($E279:$I279),2))</f>
        <v/>
      </c>
      <c r="K279" s="7">
        <f>IF($J279="","",IF($J279&gt;=Cadastro!$H$5,"Verde",IF($J279&gt;=Cadastro!$H$6,"Atenção","Crítico")))</f>
        <v/>
      </c>
      <c r="L279" s="14" t="n"/>
      <c r="M279" s="7">
        <f>IF($B279="","",$B279&amp;"|"&amp;$C279&amp;"|"&amp;TEXT($A279,"00000"))</f>
        <v/>
      </c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8">
        <f>IF(COUNT($E280:$I280)=0,"",ROUND(AVERAGE($E280:$I280),2))</f>
        <v/>
      </c>
      <c r="K280" s="7">
        <f>IF($J280="","",IF($J280&gt;=Cadastro!$H$5,"Verde",IF($J280&gt;=Cadastro!$H$6,"Atenção","Crítico")))</f>
        <v/>
      </c>
      <c r="L280" s="14" t="n"/>
      <c r="M280" s="7">
        <f>IF($B280="","",$B280&amp;"|"&amp;$C280&amp;"|"&amp;TEXT($A280,"00000"))</f>
        <v/>
      </c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8">
        <f>IF(COUNT($E281:$I281)=0,"",ROUND(AVERAGE($E281:$I281),2))</f>
        <v/>
      </c>
      <c r="K281" s="7">
        <f>IF($J281="","",IF($J281&gt;=Cadastro!$H$5,"Verde",IF($J281&gt;=Cadastro!$H$6,"Atenção","Crítico")))</f>
        <v/>
      </c>
      <c r="L281" s="14" t="n"/>
      <c r="M281" s="7">
        <f>IF($B281="","",$B281&amp;"|"&amp;$C281&amp;"|"&amp;TEXT($A281,"00000"))</f>
        <v/>
      </c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8">
        <f>IF(COUNT($E282:$I282)=0,"",ROUND(AVERAGE($E282:$I282),2))</f>
        <v/>
      </c>
      <c r="K282" s="7">
        <f>IF($J282="","",IF($J282&gt;=Cadastro!$H$5,"Verde",IF($J282&gt;=Cadastro!$H$6,"Atenção","Crítico")))</f>
        <v/>
      </c>
      <c r="L282" s="14" t="n"/>
      <c r="M282" s="7">
        <f>IF($B282="","",$B282&amp;"|"&amp;$C282&amp;"|"&amp;TEXT($A282,"00000"))</f>
        <v/>
      </c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8">
        <f>IF(COUNT($E283:$I283)=0,"",ROUND(AVERAGE($E283:$I283),2))</f>
        <v/>
      </c>
      <c r="K283" s="7">
        <f>IF($J283="","",IF($J283&gt;=Cadastro!$H$5,"Verde",IF($J283&gt;=Cadastro!$H$6,"Atenção","Crítico")))</f>
        <v/>
      </c>
      <c r="L283" s="14" t="n"/>
      <c r="M283" s="7">
        <f>IF($B283="","",$B283&amp;"|"&amp;$C283&amp;"|"&amp;TEXT($A283,"00000"))</f>
        <v/>
      </c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8">
        <f>IF(COUNT($E284:$I284)=0,"",ROUND(AVERAGE($E284:$I284),2))</f>
        <v/>
      </c>
      <c r="K284" s="7">
        <f>IF($J284="","",IF($J284&gt;=Cadastro!$H$5,"Verde",IF($J284&gt;=Cadastro!$H$6,"Atenção","Crítico")))</f>
        <v/>
      </c>
      <c r="L284" s="14" t="n"/>
      <c r="M284" s="7">
        <f>IF($B284="","",$B284&amp;"|"&amp;$C284&amp;"|"&amp;TEXT($A284,"00000"))</f>
        <v/>
      </c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8">
        <f>IF(COUNT($E285:$I285)=0,"",ROUND(AVERAGE($E285:$I285),2))</f>
        <v/>
      </c>
      <c r="K285" s="7">
        <f>IF($J285="","",IF($J285&gt;=Cadastro!$H$5,"Verde",IF($J285&gt;=Cadastro!$H$6,"Atenção","Crítico")))</f>
        <v/>
      </c>
      <c r="L285" s="14" t="n"/>
      <c r="M285" s="7">
        <f>IF($B285="","",$B285&amp;"|"&amp;$C285&amp;"|"&amp;TEXT($A285,"00000"))</f>
        <v/>
      </c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8">
        <f>IF(COUNT($E286:$I286)=0,"",ROUND(AVERAGE($E286:$I286),2))</f>
        <v/>
      </c>
      <c r="K286" s="7">
        <f>IF($J286="","",IF($J286&gt;=Cadastro!$H$5,"Verde",IF($J286&gt;=Cadastro!$H$6,"Atenção","Crítico")))</f>
        <v/>
      </c>
      <c r="L286" s="14" t="n"/>
      <c r="M286" s="7">
        <f>IF($B286="","",$B286&amp;"|"&amp;$C286&amp;"|"&amp;TEXT($A286,"00000"))</f>
        <v/>
      </c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8">
        <f>IF(COUNT($E287:$I287)=0,"",ROUND(AVERAGE($E287:$I287),2))</f>
        <v/>
      </c>
      <c r="K287" s="7">
        <f>IF($J287="","",IF($J287&gt;=Cadastro!$H$5,"Verde",IF($J287&gt;=Cadastro!$H$6,"Atenção","Crítico")))</f>
        <v/>
      </c>
      <c r="L287" s="14" t="n"/>
      <c r="M287" s="7">
        <f>IF($B287="","",$B287&amp;"|"&amp;$C287&amp;"|"&amp;TEXT($A287,"00000"))</f>
        <v/>
      </c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8">
        <f>IF(COUNT($E288:$I288)=0,"",ROUND(AVERAGE($E288:$I288),2))</f>
        <v/>
      </c>
      <c r="K288" s="7">
        <f>IF($J288="","",IF($J288&gt;=Cadastro!$H$5,"Verde",IF($J288&gt;=Cadastro!$H$6,"Atenção","Crítico")))</f>
        <v/>
      </c>
      <c r="L288" s="14" t="n"/>
      <c r="M288" s="7">
        <f>IF($B288="","",$B288&amp;"|"&amp;$C288&amp;"|"&amp;TEXT($A288,"00000"))</f>
        <v/>
      </c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8">
        <f>IF(COUNT($E289:$I289)=0,"",ROUND(AVERAGE($E289:$I289),2))</f>
        <v/>
      </c>
      <c r="K289" s="7">
        <f>IF($J289="","",IF($J289&gt;=Cadastro!$H$5,"Verde",IF($J289&gt;=Cadastro!$H$6,"Atenção","Crítico")))</f>
        <v/>
      </c>
      <c r="L289" s="14" t="n"/>
      <c r="M289" s="7">
        <f>IF($B289="","",$B289&amp;"|"&amp;$C289&amp;"|"&amp;TEXT($A289,"00000"))</f>
        <v/>
      </c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8">
        <f>IF(COUNT($E290:$I290)=0,"",ROUND(AVERAGE($E290:$I290),2))</f>
        <v/>
      </c>
      <c r="K290" s="7">
        <f>IF($J290="","",IF($J290&gt;=Cadastro!$H$5,"Verde",IF($J290&gt;=Cadastro!$H$6,"Atenção","Crítico")))</f>
        <v/>
      </c>
      <c r="L290" s="14" t="n"/>
      <c r="M290" s="7">
        <f>IF($B290="","",$B290&amp;"|"&amp;$C290&amp;"|"&amp;TEXT($A290,"00000"))</f>
        <v/>
      </c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8">
        <f>IF(COUNT($E291:$I291)=0,"",ROUND(AVERAGE($E291:$I291),2))</f>
        <v/>
      </c>
      <c r="K291" s="7">
        <f>IF($J291="","",IF($J291&gt;=Cadastro!$H$5,"Verde",IF($J291&gt;=Cadastro!$H$6,"Atenção","Crítico")))</f>
        <v/>
      </c>
      <c r="L291" s="14" t="n"/>
      <c r="M291" s="7">
        <f>IF($B291="","",$B291&amp;"|"&amp;$C291&amp;"|"&amp;TEXT($A291,"00000"))</f>
        <v/>
      </c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8">
        <f>IF(COUNT($E292:$I292)=0,"",ROUND(AVERAGE($E292:$I292),2))</f>
        <v/>
      </c>
      <c r="K292" s="7">
        <f>IF($J292="","",IF($J292&gt;=Cadastro!$H$5,"Verde",IF($J292&gt;=Cadastro!$H$6,"Atenção","Crítico")))</f>
        <v/>
      </c>
      <c r="L292" s="14" t="n"/>
      <c r="M292" s="7">
        <f>IF($B292="","",$B292&amp;"|"&amp;$C292&amp;"|"&amp;TEXT($A292,"00000"))</f>
        <v/>
      </c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8">
        <f>IF(COUNT($E293:$I293)=0,"",ROUND(AVERAGE($E293:$I293),2))</f>
        <v/>
      </c>
      <c r="K293" s="7">
        <f>IF($J293="","",IF($J293&gt;=Cadastro!$H$5,"Verde",IF($J293&gt;=Cadastro!$H$6,"Atenção","Crítico")))</f>
        <v/>
      </c>
      <c r="L293" s="14" t="n"/>
      <c r="M293" s="7">
        <f>IF($B293="","",$B293&amp;"|"&amp;$C293&amp;"|"&amp;TEXT($A293,"00000"))</f>
        <v/>
      </c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8">
        <f>IF(COUNT($E294:$I294)=0,"",ROUND(AVERAGE($E294:$I294),2))</f>
        <v/>
      </c>
      <c r="K294" s="7">
        <f>IF($J294="","",IF($J294&gt;=Cadastro!$H$5,"Verde",IF($J294&gt;=Cadastro!$H$6,"Atenção","Crítico")))</f>
        <v/>
      </c>
      <c r="L294" s="14" t="n"/>
      <c r="M294" s="7">
        <f>IF($B294="","",$B294&amp;"|"&amp;$C294&amp;"|"&amp;TEXT($A294,"00000"))</f>
        <v/>
      </c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8">
        <f>IF(COUNT($E295:$I295)=0,"",ROUND(AVERAGE($E295:$I295),2))</f>
        <v/>
      </c>
      <c r="K295" s="7">
        <f>IF($J295="","",IF($J295&gt;=Cadastro!$H$5,"Verde",IF($J295&gt;=Cadastro!$H$6,"Atenção","Crítico")))</f>
        <v/>
      </c>
      <c r="L295" s="14" t="n"/>
      <c r="M295" s="7">
        <f>IF($B295="","",$B295&amp;"|"&amp;$C295&amp;"|"&amp;TEXT($A295,"00000"))</f>
        <v/>
      </c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8">
        <f>IF(COUNT($E296:$I296)=0,"",ROUND(AVERAGE($E296:$I296),2))</f>
        <v/>
      </c>
      <c r="K296" s="7">
        <f>IF($J296="","",IF($J296&gt;=Cadastro!$H$5,"Verde",IF($J296&gt;=Cadastro!$H$6,"Atenção","Crítico")))</f>
        <v/>
      </c>
      <c r="L296" s="14" t="n"/>
      <c r="M296" s="7">
        <f>IF($B296="","",$B296&amp;"|"&amp;$C296&amp;"|"&amp;TEXT($A296,"00000"))</f>
        <v/>
      </c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8">
        <f>IF(COUNT($E297:$I297)=0,"",ROUND(AVERAGE($E297:$I297),2))</f>
        <v/>
      </c>
      <c r="K297" s="7">
        <f>IF($J297="","",IF($J297&gt;=Cadastro!$H$5,"Verde",IF($J297&gt;=Cadastro!$H$6,"Atenção","Crítico")))</f>
        <v/>
      </c>
      <c r="L297" s="14" t="n"/>
      <c r="M297" s="7">
        <f>IF($B297="","",$B297&amp;"|"&amp;$C297&amp;"|"&amp;TEXT($A297,"00000"))</f>
        <v/>
      </c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8">
        <f>IF(COUNT($E298:$I298)=0,"",ROUND(AVERAGE($E298:$I298),2))</f>
        <v/>
      </c>
      <c r="K298" s="7">
        <f>IF($J298="","",IF($J298&gt;=Cadastro!$H$5,"Verde",IF($J298&gt;=Cadastro!$H$6,"Atenção","Crítico")))</f>
        <v/>
      </c>
      <c r="L298" s="14" t="n"/>
      <c r="M298" s="7">
        <f>IF($B298="","",$B298&amp;"|"&amp;$C298&amp;"|"&amp;TEXT($A298,"00000"))</f>
        <v/>
      </c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8">
        <f>IF(COUNT($E299:$I299)=0,"",ROUND(AVERAGE($E299:$I299),2))</f>
        <v/>
      </c>
      <c r="K299" s="7">
        <f>IF($J299="","",IF($J299&gt;=Cadastro!$H$5,"Verde",IF($J299&gt;=Cadastro!$H$6,"Atenção","Crítico")))</f>
        <v/>
      </c>
      <c r="L299" s="14" t="n"/>
      <c r="M299" s="7">
        <f>IF($B299="","",$B299&amp;"|"&amp;$C299&amp;"|"&amp;TEXT($A299,"00000"))</f>
        <v/>
      </c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8">
        <f>IF(COUNT($E300:$I300)=0,"",ROUND(AVERAGE($E300:$I300),2))</f>
        <v/>
      </c>
      <c r="K300" s="7">
        <f>IF($J300="","",IF($J300&gt;=Cadastro!$H$5,"Verde",IF($J300&gt;=Cadastro!$H$6,"Atenção","Crítico")))</f>
        <v/>
      </c>
      <c r="L300" s="14" t="n"/>
      <c r="M300" s="7">
        <f>IF($B300="","",$B300&amp;"|"&amp;$C300&amp;"|"&amp;TEXT($A300,"00000"))</f>
        <v/>
      </c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8">
        <f>IF(COUNT($E301:$I301)=0,"",ROUND(AVERAGE($E301:$I301),2))</f>
        <v/>
      </c>
      <c r="K301" s="7">
        <f>IF($J301="","",IF($J301&gt;=Cadastro!$H$5,"Verde",IF($J301&gt;=Cadastro!$H$6,"Atenção","Crítico")))</f>
        <v/>
      </c>
      <c r="L301" s="14" t="n"/>
      <c r="M301" s="7">
        <f>IF($B301="","",$B301&amp;"|"&amp;$C301&amp;"|"&amp;TEXT($A301,"00000"))</f>
        <v/>
      </c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8">
        <f>IF(COUNT($E302:$I302)=0,"",ROUND(AVERAGE($E302:$I302),2))</f>
        <v/>
      </c>
      <c r="K302" s="7">
        <f>IF($J302="","",IF($J302&gt;=Cadastro!$H$5,"Verde",IF($J302&gt;=Cadastro!$H$6,"Atenção","Crítico")))</f>
        <v/>
      </c>
      <c r="L302" s="14" t="n"/>
      <c r="M302" s="7">
        <f>IF($B302="","",$B302&amp;"|"&amp;$C302&amp;"|"&amp;TEXT($A302,"00000"))</f>
        <v/>
      </c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8">
        <f>IF(COUNT($E303:$I303)=0,"",ROUND(AVERAGE($E303:$I303),2))</f>
        <v/>
      </c>
      <c r="K303" s="7">
        <f>IF($J303="","",IF($J303&gt;=Cadastro!$H$5,"Verde",IF($J303&gt;=Cadastro!$H$6,"Atenção","Crítico")))</f>
        <v/>
      </c>
      <c r="L303" s="14" t="n"/>
      <c r="M303" s="7">
        <f>IF($B303="","",$B303&amp;"|"&amp;$C303&amp;"|"&amp;TEXT($A303,"00000"))</f>
        <v/>
      </c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8">
        <f>IF(COUNT($E304:$I304)=0,"",ROUND(AVERAGE($E304:$I304),2))</f>
        <v/>
      </c>
      <c r="K304" s="7">
        <f>IF($J304="","",IF($J304&gt;=Cadastro!$H$5,"Verde",IF($J304&gt;=Cadastro!$H$6,"Atenção","Crítico")))</f>
        <v/>
      </c>
      <c r="L304" s="14" t="n"/>
      <c r="M304" s="7">
        <f>IF($B304="","",$B304&amp;"|"&amp;$C304&amp;"|"&amp;TEXT($A304,"00000"))</f>
        <v/>
      </c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8">
        <f>IF(COUNT($E305:$I305)=0,"",ROUND(AVERAGE($E305:$I305),2))</f>
        <v/>
      </c>
      <c r="K305" s="7">
        <f>IF($J305="","",IF($J305&gt;=Cadastro!$H$5,"Verde",IF($J305&gt;=Cadastro!$H$6,"Atenção","Crítico")))</f>
        <v/>
      </c>
      <c r="L305" s="14" t="n"/>
      <c r="M305" s="7">
        <f>IF($B305="","",$B305&amp;"|"&amp;$C305&amp;"|"&amp;TEXT($A305,"00000"))</f>
        <v/>
      </c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8">
        <f>IF(COUNT($E306:$I306)=0,"",ROUND(AVERAGE($E306:$I306),2))</f>
        <v/>
      </c>
      <c r="K306" s="7">
        <f>IF($J306="","",IF($J306&gt;=Cadastro!$H$5,"Verde",IF($J306&gt;=Cadastro!$H$6,"Atenção","Crítico")))</f>
        <v/>
      </c>
      <c r="L306" s="14" t="n"/>
      <c r="M306" s="7">
        <f>IF($B306="","",$B306&amp;"|"&amp;$C306&amp;"|"&amp;TEXT($A306,"00000"))</f>
        <v/>
      </c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8">
        <f>IF(COUNT($E307:$I307)=0,"",ROUND(AVERAGE($E307:$I307),2))</f>
        <v/>
      </c>
      <c r="K307" s="7">
        <f>IF($J307="","",IF($J307&gt;=Cadastro!$H$5,"Verde",IF($J307&gt;=Cadastro!$H$6,"Atenção","Crítico")))</f>
        <v/>
      </c>
      <c r="L307" s="14" t="n"/>
      <c r="M307" s="7">
        <f>IF($B307="","",$B307&amp;"|"&amp;$C307&amp;"|"&amp;TEXT($A307,"00000"))</f>
        <v/>
      </c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8">
        <f>IF(COUNT($E308:$I308)=0,"",ROUND(AVERAGE($E308:$I308),2))</f>
        <v/>
      </c>
      <c r="K308" s="7">
        <f>IF($J308="","",IF($J308&gt;=Cadastro!$H$5,"Verde",IF($J308&gt;=Cadastro!$H$6,"Atenção","Crítico")))</f>
        <v/>
      </c>
      <c r="L308" s="14" t="n"/>
      <c r="M308" s="7">
        <f>IF($B308="","",$B308&amp;"|"&amp;$C308&amp;"|"&amp;TEXT($A308,"00000"))</f>
        <v/>
      </c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8">
        <f>IF(COUNT($E309:$I309)=0,"",ROUND(AVERAGE($E309:$I309),2))</f>
        <v/>
      </c>
      <c r="K309" s="7">
        <f>IF($J309="","",IF($J309&gt;=Cadastro!$H$5,"Verde",IF($J309&gt;=Cadastro!$H$6,"Atenção","Crítico")))</f>
        <v/>
      </c>
      <c r="L309" s="14" t="n"/>
      <c r="M309" s="7">
        <f>IF($B309="","",$B309&amp;"|"&amp;$C309&amp;"|"&amp;TEXT($A309,"00000"))</f>
        <v/>
      </c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8">
        <f>IF(COUNT($E310:$I310)=0,"",ROUND(AVERAGE($E310:$I310),2))</f>
        <v/>
      </c>
      <c r="K310" s="7">
        <f>IF($J310="","",IF($J310&gt;=Cadastro!$H$5,"Verde",IF($J310&gt;=Cadastro!$H$6,"Atenção","Crítico")))</f>
        <v/>
      </c>
      <c r="L310" s="14" t="n"/>
      <c r="M310" s="7">
        <f>IF($B310="","",$B310&amp;"|"&amp;$C310&amp;"|"&amp;TEXT($A310,"00000"))</f>
        <v/>
      </c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8">
        <f>IF(COUNT($E311:$I311)=0,"",ROUND(AVERAGE($E311:$I311),2))</f>
        <v/>
      </c>
      <c r="K311" s="7">
        <f>IF($J311="","",IF($J311&gt;=Cadastro!$H$5,"Verde",IF($J311&gt;=Cadastro!$H$6,"Atenção","Crítico")))</f>
        <v/>
      </c>
      <c r="L311" s="14" t="n"/>
      <c r="M311" s="7">
        <f>IF($B311="","",$B311&amp;"|"&amp;$C311&amp;"|"&amp;TEXT($A311,"00000"))</f>
        <v/>
      </c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8">
        <f>IF(COUNT($E312:$I312)=0,"",ROUND(AVERAGE($E312:$I312),2))</f>
        <v/>
      </c>
      <c r="K312" s="7">
        <f>IF($J312="","",IF($J312&gt;=Cadastro!$H$5,"Verde",IF($J312&gt;=Cadastro!$H$6,"Atenção","Crítico")))</f>
        <v/>
      </c>
      <c r="L312" s="14" t="n"/>
      <c r="M312" s="7">
        <f>IF($B312="","",$B312&amp;"|"&amp;$C312&amp;"|"&amp;TEXT($A312,"00000"))</f>
        <v/>
      </c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8">
        <f>IF(COUNT($E313:$I313)=0,"",ROUND(AVERAGE($E313:$I313),2))</f>
        <v/>
      </c>
      <c r="K313" s="7">
        <f>IF($J313="","",IF($J313&gt;=Cadastro!$H$5,"Verde",IF($J313&gt;=Cadastro!$H$6,"Atenção","Crítico")))</f>
        <v/>
      </c>
      <c r="L313" s="14" t="n"/>
      <c r="M313" s="7">
        <f>IF($B313="","",$B313&amp;"|"&amp;$C313&amp;"|"&amp;TEXT($A313,"00000"))</f>
        <v/>
      </c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8">
        <f>IF(COUNT($E314:$I314)=0,"",ROUND(AVERAGE($E314:$I314),2))</f>
        <v/>
      </c>
      <c r="K314" s="7">
        <f>IF($J314="","",IF($J314&gt;=Cadastro!$H$5,"Verde",IF($J314&gt;=Cadastro!$H$6,"Atenção","Crítico")))</f>
        <v/>
      </c>
      <c r="L314" s="14" t="n"/>
      <c r="M314" s="7">
        <f>IF($B314="","",$B314&amp;"|"&amp;$C314&amp;"|"&amp;TEXT($A314,"00000"))</f>
        <v/>
      </c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8">
        <f>IF(COUNT($E315:$I315)=0,"",ROUND(AVERAGE($E315:$I315),2))</f>
        <v/>
      </c>
      <c r="K315" s="7">
        <f>IF($J315="","",IF($J315&gt;=Cadastro!$H$5,"Verde",IF($J315&gt;=Cadastro!$H$6,"Atenção","Crítico")))</f>
        <v/>
      </c>
      <c r="L315" s="14" t="n"/>
      <c r="M315" s="7">
        <f>IF($B315="","",$B315&amp;"|"&amp;$C315&amp;"|"&amp;TEXT($A315,"00000"))</f>
        <v/>
      </c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8">
        <f>IF(COUNT($E316:$I316)=0,"",ROUND(AVERAGE($E316:$I316),2))</f>
        <v/>
      </c>
      <c r="K316" s="7">
        <f>IF($J316="","",IF($J316&gt;=Cadastro!$H$5,"Verde",IF($J316&gt;=Cadastro!$H$6,"Atenção","Crítico")))</f>
        <v/>
      </c>
      <c r="L316" s="14" t="n"/>
      <c r="M316" s="7">
        <f>IF($B316="","",$B316&amp;"|"&amp;$C316&amp;"|"&amp;TEXT($A316,"00000"))</f>
        <v/>
      </c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8">
        <f>IF(COUNT($E317:$I317)=0,"",ROUND(AVERAGE($E317:$I317),2))</f>
        <v/>
      </c>
      <c r="K317" s="7">
        <f>IF($J317="","",IF($J317&gt;=Cadastro!$H$5,"Verde",IF($J317&gt;=Cadastro!$H$6,"Atenção","Crítico")))</f>
        <v/>
      </c>
      <c r="L317" s="14" t="n"/>
      <c r="M317" s="7">
        <f>IF($B317="","",$B317&amp;"|"&amp;$C317&amp;"|"&amp;TEXT($A317,"00000"))</f>
        <v/>
      </c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8">
        <f>IF(COUNT($E318:$I318)=0,"",ROUND(AVERAGE($E318:$I318),2))</f>
        <v/>
      </c>
      <c r="K318" s="7">
        <f>IF($J318="","",IF($J318&gt;=Cadastro!$H$5,"Verde",IF($J318&gt;=Cadastro!$H$6,"Atenção","Crítico")))</f>
        <v/>
      </c>
      <c r="L318" s="14" t="n"/>
      <c r="M318" s="7">
        <f>IF($B318="","",$B318&amp;"|"&amp;$C318&amp;"|"&amp;TEXT($A318,"00000"))</f>
        <v/>
      </c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8">
        <f>IF(COUNT($E319:$I319)=0,"",ROUND(AVERAGE($E319:$I319),2))</f>
        <v/>
      </c>
      <c r="K319" s="7">
        <f>IF($J319="","",IF($J319&gt;=Cadastro!$H$5,"Verde",IF($J319&gt;=Cadastro!$H$6,"Atenção","Crítico")))</f>
        <v/>
      </c>
      <c r="L319" s="14" t="n"/>
      <c r="M319" s="7">
        <f>IF($B319="","",$B319&amp;"|"&amp;$C319&amp;"|"&amp;TEXT($A319,"00000"))</f>
        <v/>
      </c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8">
        <f>IF(COUNT($E320:$I320)=0,"",ROUND(AVERAGE($E320:$I320),2))</f>
        <v/>
      </c>
      <c r="K320" s="7">
        <f>IF($J320="","",IF($J320&gt;=Cadastro!$H$5,"Verde",IF($J320&gt;=Cadastro!$H$6,"Atenção","Crítico")))</f>
        <v/>
      </c>
      <c r="L320" s="14" t="n"/>
      <c r="M320" s="7">
        <f>IF($B320="","",$B320&amp;"|"&amp;$C320&amp;"|"&amp;TEXT($A320,"00000"))</f>
        <v/>
      </c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8">
        <f>IF(COUNT($E321:$I321)=0,"",ROUND(AVERAGE($E321:$I321),2))</f>
        <v/>
      </c>
      <c r="K321" s="7">
        <f>IF($J321="","",IF($J321&gt;=Cadastro!$H$5,"Verde",IF($J321&gt;=Cadastro!$H$6,"Atenção","Crítico")))</f>
        <v/>
      </c>
      <c r="L321" s="14" t="n"/>
      <c r="M321" s="7">
        <f>IF($B321="","",$B321&amp;"|"&amp;$C321&amp;"|"&amp;TEXT($A321,"00000"))</f>
        <v/>
      </c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8">
        <f>IF(COUNT($E322:$I322)=0,"",ROUND(AVERAGE($E322:$I322),2))</f>
        <v/>
      </c>
      <c r="K322" s="7">
        <f>IF($J322="","",IF($J322&gt;=Cadastro!$H$5,"Verde",IF($J322&gt;=Cadastro!$H$6,"Atenção","Crítico")))</f>
        <v/>
      </c>
      <c r="L322" s="14" t="n"/>
      <c r="M322" s="7">
        <f>IF($B322="","",$B322&amp;"|"&amp;$C322&amp;"|"&amp;TEXT($A322,"00000"))</f>
        <v/>
      </c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8">
        <f>IF(COUNT($E323:$I323)=0,"",ROUND(AVERAGE($E323:$I323),2))</f>
        <v/>
      </c>
      <c r="K323" s="7">
        <f>IF($J323="","",IF($J323&gt;=Cadastro!$H$5,"Verde",IF($J323&gt;=Cadastro!$H$6,"Atenção","Crítico")))</f>
        <v/>
      </c>
      <c r="L323" s="14" t="n"/>
      <c r="M323" s="7">
        <f>IF($B323="","",$B323&amp;"|"&amp;$C323&amp;"|"&amp;TEXT($A323,"00000"))</f>
        <v/>
      </c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8">
        <f>IF(COUNT($E324:$I324)=0,"",ROUND(AVERAGE($E324:$I324),2))</f>
        <v/>
      </c>
      <c r="K324" s="7">
        <f>IF($J324="","",IF($J324&gt;=Cadastro!$H$5,"Verde",IF($J324&gt;=Cadastro!$H$6,"Atenção","Crítico")))</f>
        <v/>
      </c>
      <c r="L324" s="14" t="n"/>
      <c r="M324" s="7">
        <f>IF($B324="","",$B324&amp;"|"&amp;$C324&amp;"|"&amp;TEXT($A324,"00000"))</f>
        <v/>
      </c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8">
        <f>IF(COUNT($E325:$I325)=0,"",ROUND(AVERAGE($E325:$I325),2))</f>
        <v/>
      </c>
      <c r="K325" s="7">
        <f>IF($J325="","",IF($J325&gt;=Cadastro!$H$5,"Verde",IF($J325&gt;=Cadastro!$H$6,"Atenção","Crítico")))</f>
        <v/>
      </c>
      <c r="L325" s="14" t="n"/>
      <c r="M325" s="7">
        <f>IF($B325="","",$B325&amp;"|"&amp;$C325&amp;"|"&amp;TEXT($A325,"00000"))</f>
        <v/>
      </c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8">
        <f>IF(COUNT($E326:$I326)=0,"",ROUND(AVERAGE($E326:$I326),2))</f>
        <v/>
      </c>
      <c r="K326" s="7">
        <f>IF($J326="","",IF($J326&gt;=Cadastro!$H$5,"Verde",IF($J326&gt;=Cadastro!$H$6,"Atenção","Crítico")))</f>
        <v/>
      </c>
      <c r="L326" s="14" t="n"/>
      <c r="M326" s="7">
        <f>IF($B326="","",$B326&amp;"|"&amp;$C326&amp;"|"&amp;TEXT($A326,"00000"))</f>
        <v/>
      </c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8">
        <f>IF(COUNT($E327:$I327)=0,"",ROUND(AVERAGE($E327:$I327),2))</f>
        <v/>
      </c>
      <c r="K327" s="7">
        <f>IF($J327="","",IF($J327&gt;=Cadastro!$H$5,"Verde",IF($J327&gt;=Cadastro!$H$6,"Atenção","Crítico")))</f>
        <v/>
      </c>
      <c r="L327" s="14" t="n"/>
      <c r="M327" s="7">
        <f>IF($B327="","",$B327&amp;"|"&amp;$C327&amp;"|"&amp;TEXT($A327,"00000"))</f>
        <v/>
      </c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8">
        <f>IF(COUNT($E328:$I328)=0,"",ROUND(AVERAGE($E328:$I328),2))</f>
        <v/>
      </c>
      <c r="K328" s="7">
        <f>IF($J328="","",IF($J328&gt;=Cadastro!$H$5,"Verde",IF($J328&gt;=Cadastro!$H$6,"Atenção","Crítico")))</f>
        <v/>
      </c>
      <c r="L328" s="14" t="n"/>
      <c r="M328" s="7">
        <f>IF($B328="","",$B328&amp;"|"&amp;$C328&amp;"|"&amp;TEXT($A328,"00000"))</f>
        <v/>
      </c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8">
        <f>IF(COUNT($E329:$I329)=0,"",ROUND(AVERAGE($E329:$I329),2))</f>
        <v/>
      </c>
      <c r="K329" s="7">
        <f>IF($J329="","",IF($J329&gt;=Cadastro!$H$5,"Verde",IF($J329&gt;=Cadastro!$H$6,"Atenção","Crítico")))</f>
        <v/>
      </c>
      <c r="L329" s="14" t="n"/>
      <c r="M329" s="7">
        <f>IF($B329="","",$B329&amp;"|"&amp;$C329&amp;"|"&amp;TEXT($A329,"00000"))</f>
        <v/>
      </c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8">
        <f>IF(COUNT($E330:$I330)=0,"",ROUND(AVERAGE($E330:$I330),2))</f>
        <v/>
      </c>
      <c r="K330" s="7">
        <f>IF($J330="","",IF($J330&gt;=Cadastro!$H$5,"Verde",IF($J330&gt;=Cadastro!$H$6,"Atenção","Crítico")))</f>
        <v/>
      </c>
      <c r="L330" s="14" t="n"/>
      <c r="M330" s="7">
        <f>IF($B330="","",$B330&amp;"|"&amp;$C330&amp;"|"&amp;TEXT($A330,"00000"))</f>
        <v/>
      </c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8">
        <f>IF(COUNT($E331:$I331)=0,"",ROUND(AVERAGE($E331:$I331),2))</f>
        <v/>
      </c>
      <c r="K331" s="7">
        <f>IF($J331="","",IF($J331&gt;=Cadastro!$H$5,"Verde",IF($J331&gt;=Cadastro!$H$6,"Atenção","Crítico")))</f>
        <v/>
      </c>
      <c r="L331" s="14" t="n"/>
      <c r="M331" s="7">
        <f>IF($B331="","",$B331&amp;"|"&amp;$C331&amp;"|"&amp;TEXT($A331,"00000"))</f>
        <v/>
      </c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8">
        <f>IF(COUNT($E332:$I332)=0,"",ROUND(AVERAGE($E332:$I332),2))</f>
        <v/>
      </c>
      <c r="K332" s="7">
        <f>IF($J332="","",IF($J332&gt;=Cadastro!$H$5,"Verde",IF($J332&gt;=Cadastro!$H$6,"Atenção","Crítico")))</f>
        <v/>
      </c>
      <c r="L332" s="14" t="n"/>
      <c r="M332" s="7">
        <f>IF($B332="","",$B332&amp;"|"&amp;$C332&amp;"|"&amp;TEXT($A332,"00000"))</f>
        <v/>
      </c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8">
        <f>IF(COUNT($E333:$I333)=0,"",ROUND(AVERAGE($E333:$I333),2))</f>
        <v/>
      </c>
      <c r="K333" s="7">
        <f>IF($J333="","",IF($J333&gt;=Cadastro!$H$5,"Verde",IF($J333&gt;=Cadastro!$H$6,"Atenção","Crítico")))</f>
        <v/>
      </c>
      <c r="L333" s="14" t="n"/>
      <c r="M333" s="7">
        <f>IF($B333="","",$B333&amp;"|"&amp;$C333&amp;"|"&amp;TEXT($A333,"00000"))</f>
        <v/>
      </c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8">
        <f>IF(COUNT($E334:$I334)=0,"",ROUND(AVERAGE($E334:$I334),2))</f>
        <v/>
      </c>
      <c r="K334" s="7">
        <f>IF($J334="","",IF($J334&gt;=Cadastro!$H$5,"Verde",IF($J334&gt;=Cadastro!$H$6,"Atenção","Crítico")))</f>
        <v/>
      </c>
      <c r="L334" s="14" t="n"/>
      <c r="M334" s="7">
        <f>IF($B334="","",$B334&amp;"|"&amp;$C334&amp;"|"&amp;TEXT($A334,"00000"))</f>
        <v/>
      </c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8">
        <f>IF(COUNT($E335:$I335)=0,"",ROUND(AVERAGE($E335:$I335),2))</f>
        <v/>
      </c>
      <c r="K335" s="7">
        <f>IF($J335="","",IF($J335&gt;=Cadastro!$H$5,"Verde",IF($J335&gt;=Cadastro!$H$6,"Atenção","Crítico")))</f>
        <v/>
      </c>
      <c r="L335" s="14" t="n"/>
      <c r="M335" s="7">
        <f>IF($B335="","",$B335&amp;"|"&amp;$C335&amp;"|"&amp;TEXT($A335,"00000"))</f>
        <v/>
      </c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8">
        <f>IF(COUNT($E336:$I336)=0,"",ROUND(AVERAGE($E336:$I336),2))</f>
        <v/>
      </c>
      <c r="K336" s="7">
        <f>IF($J336="","",IF($J336&gt;=Cadastro!$H$5,"Verde",IF($J336&gt;=Cadastro!$H$6,"Atenção","Crítico")))</f>
        <v/>
      </c>
      <c r="L336" s="14" t="n"/>
      <c r="M336" s="7">
        <f>IF($B336="","",$B336&amp;"|"&amp;$C336&amp;"|"&amp;TEXT($A336,"00000"))</f>
        <v/>
      </c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8">
        <f>IF(COUNT($E337:$I337)=0,"",ROUND(AVERAGE($E337:$I337),2))</f>
        <v/>
      </c>
      <c r="K337" s="7">
        <f>IF($J337="","",IF($J337&gt;=Cadastro!$H$5,"Verde",IF($J337&gt;=Cadastro!$H$6,"Atenção","Crítico")))</f>
        <v/>
      </c>
      <c r="L337" s="14" t="n"/>
      <c r="M337" s="7">
        <f>IF($B337="","",$B337&amp;"|"&amp;$C337&amp;"|"&amp;TEXT($A337,"00000"))</f>
        <v/>
      </c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8">
        <f>IF(COUNT($E338:$I338)=0,"",ROUND(AVERAGE($E338:$I338),2))</f>
        <v/>
      </c>
      <c r="K338" s="7">
        <f>IF($J338="","",IF($J338&gt;=Cadastro!$H$5,"Verde",IF($J338&gt;=Cadastro!$H$6,"Atenção","Crítico")))</f>
        <v/>
      </c>
      <c r="L338" s="14" t="n"/>
      <c r="M338" s="7">
        <f>IF($B338="","",$B338&amp;"|"&amp;$C338&amp;"|"&amp;TEXT($A338,"00000"))</f>
        <v/>
      </c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8">
        <f>IF(COUNT($E339:$I339)=0,"",ROUND(AVERAGE($E339:$I339),2))</f>
        <v/>
      </c>
      <c r="K339" s="7">
        <f>IF($J339="","",IF($J339&gt;=Cadastro!$H$5,"Verde",IF($J339&gt;=Cadastro!$H$6,"Atenção","Crítico")))</f>
        <v/>
      </c>
      <c r="L339" s="14" t="n"/>
      <c r="M339" s="7">
        <f>IF($B339="","",$B339&amp;"|"&amp;$C339&amp;"|"&amp;TEXT($A339,"00000"))</f>
        <v/>
      </c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8">
        <f>IF(COUNT($E340:$I340)=0,"",ROUND(AVERAGE($E340:$I340),2))</f>
        <v/>
      </c>
      <c r="K340" s="7">
        <f>IF($J340="","",IF($J340&gt;=Cadastro!$H$5,"Verde",IF($J340&gt;=Cadastro!$H$6,"Atenção","Crítico")))</f>
        <v/>
      </c>
      <c r="L340" s="14" t="n"/>
      <c r="M340" s="7">
        <f>IF($B340="","",$B340&amp;"|"&amp;$C340&amp;"|"&amp;TEXT($A340,"00000"))</f>
        <v/>
      </c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8">
        <f>IF(COUNT($E341:$I341)=0,"",ROUND(AVERAGE($E341:$I341),2))</f>
        <v/>
      </c>
      <c r="K341" s="7">
        <f>IF($J341="","",IF($J341&gt;=Cadastro!$H$5,"Verde",IF($J341&gt;=Cadastro!$H$6,"Atenção","Crítico")))</f>
        <v/>
      </c>
      <c r="L341" s="14" t="n"/>
      <c r="M341" s="7">
        <f>IF($B341="","",$B341&amp;"|"&amp;$C341&amp;"|"&amp;TEXT($A341,"00000"))</f>
        <v/>
      </c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8">
        <f>IF(COUNT($E342:$I342)=0,"",ROUND(AVERAGE($E342:$I342),2))</f>
        <v/>
      </c>
      <c r="K342" s="7">
        <f>IF($J342="","",IF($J342&gt;=Cadastro!$H$5,"Verde",IF($J342&gt;=Cadastro!$H$6,"Atenção","Crítico")))</f>
        <v/>
      </c>
      <c r="L342" s="14" t="n"/>
      <c r="M342" s="7">
        <f>IF($B342="","",$B342&amp;"|"&amp;$C342&amp;"|"&amp;TEXT($A342,"00000"))</f>
        <v/>
      </c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8">
        <f>IF(COUNT($E343:$I343)=0,"",ROUND(AVERAGE($E343:$I343),2))</f>
        <v/>
      </c>
      <c r="K343" s="7">
        <f>IF($J343="","",IF($J343&gt;=Cadastro!$H$5,"Verde",IF($J343&gt;=Cadastro!$H$6,"Atenção","Crítico")))</f>
        <v/>
      </c>
      <c r="L343" s="14" t="n"/>
      <c r="M343" s="7">
        <f>IF($B343="","",$B343&amp;"|"&amp;$C343&amp;"|"&amp;TEXT($A343,"00000"))</f>
        <v/>
      </c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8">
        <f>IF(COUNT($E344:$I344)=0,"",ROUND(AVERAGE($E344:$I344),2))</f>
        <v/>
      </c>
      <c r="K344" s="7">
        <f>IF($J344="","",IF($J344&gt;=Cadastro!$H$5,"Verde",IF($J344&gt;=Cadastro!$H$6,"Atenção","Crítico")))</f>
        <v/>
      </c>
      <c r="L344" s="14" t="n"/>
      <c r="M344" s="7">
        <f>IF($B344="","",$B344&amp;"|"&amp;$C344&amp;"|"&amp;TEXT($A344,"00000"))</f>
        <v/>
      </c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8">
        <f>IF(COUNT($E345:$I345)=0,"",ROUND(AVERAGE($E345:$I345),2))</f>
        <v/>
      </c>
      <c r="K345" s="7">
        <f>IF($J345="","",IF($J345&gt;=Cadastro!$H$5,"Verde",IF($J345&gt;=Cadastro!$H$6,"Atenção","Crítico")))</f>
        <v/>
      </c>
      <c r="L345" s="14" t="n"/>
      <c r="M345" s="7">
        <f>IF($B345="","",$B345&amp;"|"&amp;$C345&amp;"|"&amp;TEXT($A345,"00000"))</f>
        <v/>
      </c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8">
        <f>IF(COUNT($E346:$I346)=0,"",ROUND(AVERAGE($E346:$I346),2))</f>
        <v/>
      </c>
      <c r="K346" s="7">
        <f>IF($J346="","",IF($J346&gt;=Cadastro!$H$5,"Verde",IF($J346&gt;=Cadastro!$H$6,"Atenção","Crítico")))</f>
        <v/>
      </c>
      <c r="L346" s="14" t="n"/>
      <c r="M346" s="7">
        <f>IF($B346="","",$B346&amp;"|"&amp;$C346&amp;"|"&amp;TEXT($A346,"00000"))</f>
        <v/>
      </c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8">
        <f>IF(COUNT($E347:$I347)=0,"",ROUND(AVERAGE($E347:$I347),2))</f>
        <v/>
      </c>
      <c r="K347" s="7">
        <f>IF($J347="","",IF($J347&gt;=Cadastro!$H$5,"Verde",IF($J347&gt;=Cadastro!$H$6,"Atenção","Crítico")))</f>
        <v/>
      </c>
      <c r="L347" s="14" t="n"/>
      <c r="M347" s="7">
        <f>IF($B347="","",$B347&amp;"|"&amp;$C347&amp;"|"&amp;TEXT($A347,"00000"))</f>
        <v/>
      </c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8">
        <f>IF(COUNT($E348:$I348)=0,"",ROUND(AVERAGE($E348:$I348),2))</f>
        <v/>
      </c>
      <c r="K348" s="7">
        <f>IF($J348="","",IF($J348&gt;=Cadastro!$H$5,"Verde",IF($J348&gt;=Cadastro!$H$6,"Atenção","Crítico")))</f>
        <v/>
      </c>
      <c r="L348" s="14" t="n"/>
      <c r="M348" s="7">
        <f>IF($B348="","",$B348&amp;"|"&amp;$C348&amp;"|"&amp;TEXT($A348,"00000"))</f>
        <v/>
      </c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8">
        <f>IF(COUNT($E349:$I349)=0,"",ROUND(AVERAGE($E349:$I349),2))</f>
        <v/>
      </c>
      <c r="K349" s="7">
        <f>IF($J349="","",IF($J349&gt;=Cadastro!$H$5,"Verde",IF($J349&gt;=Cadastro!$H$6,"Atenção","Crítico")))</f>
        <v/>
      </c>
      <c r="L349" s="14" t="n"/>
      <c r="M349" s="7">
        <f>IF($B349="","",$B349&amp;"|"&amp;$C349&amp;"|"&amp;TEXT($A349,"00000"))</f>
        <v/>
      </c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8">
        <f>IF(COUNT($E350:$I350)=0,"",ROUND(AVERAGE($E350:$I350),2))</f>
        <v/>
      </c>
      <c r="K350" s="7">
        <f>IF($J350="","",IF($J350&gt;=Cadastro!$H$5,"Verde",IF($J350&gt;=Cadastro!$H$6,"Atenção","Crítico")))</f>
        <v/>
      </c>
      <c r="L350" s="14" t="n"/>
      <c r="M350" s="7">
        <f>IF($B350="","",$B350&amp;"|"&amp;$C350&amp;"|"&amp;TEXT($A350,"00000"))</f>
        <v/>
      </c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8">
        <f>IF(COUNT($E351:$I351)=0,"",ROUND(AVERAGE($E351:$I351),2))</f>
        <v/>
      </c>
      <c r="K351" s="7">
        <f>IF($J351="","",IF($J351&gt;=Cadastro!$H$5,"Verde",IF($J351&gt;=Cadastro!$H$6,"Atenção","Crítico")))</f>
        <v/>
      </c>
      <c r="L351" s="14" t="n"/>
      <c r="M351" s="7">
        <f>IF($B351="","",$B351&amp;"|"&amp;$C351&amp;"|"&amp;TEXT($A351,"00000"))</f>
        <v/>
      </c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8">
        <f>IF(COUNT($E352:$I352)=0,"",ROUND(AVERAGE($E352:$I352),2))</f>
        <v/>
      </c>
      <c r="K352" s="7">
        <f>IF($J352="","",IF($J352&gt;=Cadastro!$H$5,"Verde",IF($J352&gt;=Cadastro!$H$6,"Atenção","Crítico")))</f>
        <v/>
      </c>
      <c r="L352" s="14" t="n"/>
      <c r="M352" s="7">
        <f>IF($B352="","",$B352&amp;"|"&amp;$C352&amp;"|"&amp;TEXT($A352,"00000"))</f>
        <v/>
      </c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8">
        <f>IF(COUNT($E353:$I353)=0,"",ROUND(AVERAGE($E353:$I353),2))</f>
        <v/>
      </c>
      <c r="K353" s="7">
        <f>IF($J353="","",IF($J353&gt;=Cadastro!$H$5,"Verde",IF($J353&gt;=Cadastro!$H$6,"Atenção","Crítico")))</f>
        <v/>
      </c>
      <c r="L353" s="14" t="n"/>
      <c r="M353" s="7">
        <f>IF($B353="","",$B353&amp;"|"&amp;$C353&amp;"|"&amp;TEXT($A353,"00000"))</f>
        <v/>
      </c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8">
        <f>IF(COUNT($E354:$I354)=0,"",ROUND(AVERAGE($E354:$I354),2))</f>
        <v/>
      </c>
      <c r="K354" s="7">
        <f>IF($J354="","",IF($J354&gt;=Cadastro!$H$5,"Verde",IF($J354&gt;=Cadastro!$H$6,"Atenção","Crítico")))</f>
        <v/>
      </c>
      <c r="L354" s="14" t="n"/>
      <c r="M354" s="7">
        <f>IF($B354="","",$B354&amp;"|"&amp;$C354&amp;"|"&amp;TEXT($A354,"00000"))</f>
        <v/>
      </c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8">
        <f>IF(COUNT($E355:$I355)=0,"",ROUND(AVERAGE($E355:$I355),2))</f>
        <v/>
      </c>
      <c r="K355" s="7">
        <f>IF($J355="","",IF($J355&gt;=Cadastro!$H$5,"Verde",IF($J355&gt;=Cadastro!$H$6,"Atenção","Crítico")))</f>
        <v/>
      </c>
      <c r="L355" s="14" t="n"/>
      <c r="M355" s="7">
        <f>IF($B355="","",$B355&amp;"|"&amp;$C355&amp;"|"&amp;TEXT($A355,"00000"))</f>
        <v/>
      </c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8">
        <f>IF(COUNT($E356:$I356)=0,"",ROUND(AVERAGE($E356:$I356),2))</f>
        <v/>
      </c>
      <c r="K356" s="7">
        <f>IF($J356="","",IF($J356&gt;=Cadastro!$H$5,"Verde",IF($J356&gt;=Cadastro!$H$6,"Atenção","Crítico")))</f>
        <v/>
      </c>
      <c r="L356" s="14" t="n"/>
      <c r="M356" s="7">
        <f>IF($B356="","",$B356&amp;"|"&amp;$C356&amp;"|"&amp;TEXT($A356,"00000"))</f>
        <v/>
      </c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8">
        <f>IF(COUNT($E357:$I357)=0,"",ROUND(AVERAGE($E357:$I357),2))</f>
        <v/>
      </c>
      <c r="K357" s="7">
        <f>IF($J357="","",IF($J357&gt;=Cadastro!$H$5,"Verde",IF($J357&gt;=Cadastro!$H$6,"Atenção","Crítico")))</f>
        <v/>
      </c>
      <c r="L357" s="14" t="n"/>
      <c r="M357" s="7">
        <f>IF($B357="","",$B357&amp;"|"&amp;$C357&amp;"|"&amp;TEXT($A357,"00000"))</f>
        <v/>
      </c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8">
        <f>IF(COUNT($E358:$I358)=0,"",ROUND(AVERAGE($E358:$I358),2))</f>
        <v/>
      </c>
      <c r="K358" s="7">
        <f>IF($J358="","",IF($J358&gt;=Cadastro!$H$5,"Verde",IF($J358&gt;=Cadastro!$H$6,"Atenção","Crítico")))</f>
        <v/>
      </c>
      <c r="L358" s="14" t="n"/>
      <c r="M358" s="7">
        <f>IF($B358="","",$B358&amp;"|"&amp;$C358&amp;"|"&amp;TEXT($A358,"00000"))</f>
        <v/>
      </c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8">
        <f>IF(COUNT($E359:$I359)=0,"",ROUND(AVERAGE($E359:$I359),2))</f>
        <v/>
      </c>
      <c r="K359" s="7">
        <f>IF($J359="","",IF($J359&gt;=Cadastro!$H$5,"Verde",IF($J359&gt;=Cadastro!$H$6,"Atenção","Crítico")))</f>
        <v/>
      </c>
      <c r="L359" s="14" t="n"/>
      <c r="M359" s="7">
        <f>IF($B359="","",$B359&amp;"|"&amp;$C359&amp;"|"&amp;TEXT($A359,"00000"))</f>
        <v/>
      </c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8">
        <f>IF(COUNT($E360:$I360)=0,"",ROUND(AVERAGE($E360:$I360),2))</f>
        <v/>
      </c>
      <c r="K360" s="7">
        <f>IF($J360="","",IF($J360&gt;=Cadastro!$H$5,"Verde",IF($J360&gt;=Cadastro!$H$6,"Atenção","Crítico")))</f>
        <v/>
      </c>
      <c r="L360" s="14" t="n"/>
      <c r="M360" s="7">
        <f>IF($B360="","",$B360&amp;"|"&amp;$C360&amp;"|"&amp;TEXT($A360,"00000"))</f>
        <v/>
      </c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8">
        <f>IF(COUNT($E361:$I361)=0,"",ROUND(AVERAGE($E361:$I361),2))</f>
        <v/>
      </c>
      <c r="K361" s="7">
        <f>IF($J361="","",IF($J361&gt;=Cadastro!$H$5,"Verde",IF($J361&gt;=Cadastro!$H$6,"Atenção","Crítico")))</f>
        <v/>
      </c>
      <c r="L361" s="14" t="n"/>
      <c r="M361" s="7">
        <f>IF($B361="","",$B361&amp;"|"&amp;$C361&amp;"|"&amp;TEXT($A361,"00000"))</f>
        <v/>
      </c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8">
        <f>IF(COUNT($E362:$I362)=0,"",ROUND(AVERAGE($E362:$I362),2))</f>
        <v/>
      </c>
      <c r="K362" s="7">
        <f>IF($J362="","",IF($J362&gt;=Cadastro!$H$5,"Verde",IF($J362&gt;=Cadastro!$H$6,"Atenção","Crítico")))</f>
        <v/>
      </c>
      <c r="L362" s="14" t="n"/>
      <c r="M362" s="7">
        <f>IF($B362="","",$B362&amp;"|"&amp;$C362&amp;"|"&amp;TEXT($A362,"00000"))</f>
        <v/>
      </c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8">
        <f>IF(COUNT($E363:$I363)=0,"",ROUND(AVERAGE($E363:$I363),2))</f>
        <v/>
      </c>
      <c r="K363" s="7">
        <f>IF($J363="","",IF($J363&gt;=Cadastro!$H$5,"Verde",IF($J363&gt;=Cadastro!$H$6,"Atenção","Crítico")))</f>
        <v/>
      </c>
      <c r="L363" s="14" t="n"/>
      <c r="M363" s="7">
        <f>IF($B363="","",$B363&amp;"|"&amp;$C363&amp;"|"&amp;TEXT($A363,"00000"))</f>
        <v/>
      </c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8">
        <f>IF(COUNT($E364:$I364)=0,"",ROUND(AVERAGE($E364:$I364),2))</f>
        <v/>
      </c>
      <c r="K364" s="7">
        <f>IF($J364="","",IF($J364&gt;=Cadastro!$H$5,"Verde",IF($J364&gt;=Cadastro!$H$6,"Atenção","Crítico")))</f>
        <v/>
      </c>
      <c r="L364" s="14" t="n"/>
      <c r="M364" s="7">
        <f>IF($B364="","",$B364&amp;"|"&amp;$C364&amp;"|"&amp;TEXT($A364,"00000"))</f>
        <v/>
      </c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8">
        <f>IF(COUNT($E365:$I365)=0,"",ROUND(AVERAGE($E365:$I365),2))</f>
        <v/>
      </c>
      <c r="K365" s="7">
        <f>IF($J365="","",IF($J365&gt;=Cadastro!$H$5,"Verde",IF($J365&gt;=Cadastro!$H$6,"Atenção","Crítico")))</f>
        <v/>
      </c>
      <c r="L365" s="14" t="n"/>
      <c r="M365" s="7">
        <f>IF($B365="","",$B365&amp;"|"&amp;$C365&amp;"|"&amp;TEXT($A365,"00000"))</f>
        <v/>
      </c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8">
        <f>IF(COUNT($E366:$I366)=0,"",ROUND(AVERAGE($E366:$I366),2))</f>
        <v/>
      </c>
      <c r="K366" s="7">
        <f>IF($J366="","",IF($J366&gt;=Cadastro!$H$5,"Verde",IF($J366&gt;=Cadastro!$H$6,"Atenção","Crítico")))</f>
        <v/>
      </c>
      <c r="L366" s="14" t="n"/>
      <c r="M366" s="7">
        <f>IF($B366="","",$B366&amp;"|"&amp;$C366&amp;"|"&amp;TEXT($A366,"00000"))</f>
        <v/>
      </c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8">
        <f>IF(COUNT($E367:$I367)=0,"",ROUND(AVERAGE($E367:$I367),2))</f>
        <v/>
      </c>
      <c r="K367" s="7">
        <f>IF($J367="","",IF($J367&gt;=Cadastro!$H$5,"Verde",IF($J367&gt;=Cadastro!$H$6,"Atenção","Crítico")))</f>
        <v/>
      </c>
      <c r="L367" s="14" t="n"/>
      <c r="M367" s="7">
        <f>IF($B367="","",$B367&amp;"|"&amp;$C367&amp;"|"&amp;TEXT($A367,"00000"))</f>
        <v/>
      </c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8">
        <f>IF(COUNT($E368:$I368)=0,"",ROUND(AVERAGE($E368:$I368),2))</f>
        <v/>
      </c>
      <c r="K368" s="7">
        <f>IF($J368="","",IF($J368&gt;=Cadastro!$H$5,"Verde",IF($J368&gt;=Cadastro!$H$6,"Atenção","Crítico")))</f>
        <v/>
      </c>
      <c r="L368" s="14" t="n"/>
      <c r="M368" s="7">
        <f>IF($B368="","",$B368&amp;"|"&amp;$C368&amp;"|"&amp;TEXT($A368,"00000"))</f>
        <v/>
      </c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8">
        <f>IF(COUNT($E369:$I369)=0,"",ROUND(AVERAGE($E369:$I369),2))</f>
        <v/>
      </c>
      <c r="K369" s="7">
        <f>IF($J369="","",IF($J369&gt;=Cadastro!$H$5,"Verde",IF($J369&gt;=Cadastro!$H$6,"Atenção","Crítico")))</f>
        <v/>
      </c>
      <c r="L369" s="14" t="n"/>
      <c r="M369" s="7">
        <f>IF($B369="","",$B369&amp;"|"&amp;$C369&amp;"|"&amp;TEXT($A369,"00000"))</f>
        <v/>
      </c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8">
        <f>IF(COUNT($E370:$I370)=0,"",ROUND(AVERAGE($E370:$I370),2))</f>
        <v/>
      </c>
      <c r="K370" s="7">
        <f>IF($J370="","",IF($J370&gt;=Cadastro!$H$5,"Verde",IF($J370&gt;=Cadastro!$H$6,"Atenção","Crítico")))</f>
        <v/>
      </c>
      <c r="L370" s="14" t="n"/>
      <c r="M370" s="7">
        <f>IF($B370="","",$B370&amp;"|"&amp;$C370&amp;"|"&amp;TEXT($A370,"00000"))</f>
        <v/>
      </c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8">
        <f>IF(COUNT($E371:$I371)=0,"",ROUND(AVERAGE($E371:$I371),2))</f>
        <v/>
      </c>
      <c r="K371" s="7">
        <f>IF($J371="","",IF($J371&gt;=Cadastro!$H$5,"Verde",IF($J371&gt;=Cadastro!$H$6,"Atenção","Crítico")))</f>
        <v/>
      </c>
      <c r="L371" s="14" t="n"/>
      <c r="M371" s="7">
        <f>IF($B371="","",$B371&amp;"|"&amp;$C371&amp;"|"&amp;TEXT($A371,"00000"))</f>
        <v/>
      </c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8">
        <f>IF(COUNT($E372:$I372)=0,"",ROUND(AVERAGE($E372:$I372),2))</f>
        <v/>
      </c>
      <c r="K372" s="7">
        <f>IF($J372="","",IF($J372&gt;=Cadastro!$H$5,"Verde",IF($J372&gt;=Cadastro!$H$6,"Atenção","Crítico")))</f>
        <v/>
      </c>
      <c r="L372" s="14" t="n"/>
      <c r="M372" s="7">
        <f>IF($B372="","",$B372&amp;"|"&amp;$C372&amp;"|"&amp;TEXT($A372,"00000"))</f>
        <v/>
      </c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8">
        <f>IF(COUNT($E373:$I373)=0,"",ROUND(AVERAGE($E373:$I373),2))</f>
        <v/>
      </c>
      <c r="K373" s="7">
        <f>IF($J373="","",IF($J373&gt;=Cadastro!$H$5,"Verde",IF($J373&gt;=Cadastro!$H$6,"Atenção","Crítico")))</f>
        <v/>
      </c>
      <c r="L373" s="14" t="n"/>
      <c r="M373" s="7">
        <f>IF($B373="","",$B373&amp;"|"&amp;$C373&amp;"|"&amp;TEXT($A373,"00000"))</f>
        <v/>
      </c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8">
        <f>IF(COUNT($E374:$I374)=0,"",ROUND(AVERAGE($E374:$I374),2))</f>
        <v/>
      </c>
      <c r="K374" s="7">
        <f>IF($J374="","",IF($J374&gt;=Cadastro!$H$5,"Verde",IF($J374&gt;=Cadastro!$H$6,"Atenção","Crítico")))</f>
        <v/>
      </c>
      <c r="L374" s="14" t="n"/>
      <c r="M374" s="7">
        <f>IF($B374="","",$B374&amp;"|"&amp;$C374&amp;"|"&amp;TEXT($A374,"00000"))</f>
        <v/>
      </c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8">
        <f>IF(COUNT($E375:$I375)=0,"",ROUND(AVERAGE($E375:$I375),2))</f>
        <v/>
      </c>
      <c r="K375" s="7">
        <f>IF($J375="","",IF($J375&gt;=Cadastro!$H$5,"Verde",IF($J375&gt;=Cadastro!$H$6,"Atenção","Crítico")))</f>
        <v/>
      </c>
      <c r="L375" s="14" t="n"/>
      <c r="M375" s="7">
        <f>IF($B375="","",$B375&amp;"|"&amp;$C375&amp;"|"&amp;TEXT($A375,"00000"))</f>
        <v/>
      </c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8">
        <f>IF(COUNT($E376:$I376)=0,"",ROUND(AVERAGE($E376:$I376),2))</f>
        <v/>
      </c>
      <c r="K376" s="7">
        <f>IF($J376="","",IF($J376&gt;=Cadastro!$H$5,"Verde",IF($J376&gt;=Cadastro!$H$6,"Atenção","Crítico")))</f>
        <v/>
      </c>
      <c r="L376" s="14" t="n"/>
      <c r="M376" s="7">
        <f>IF($B376="","",$B376&amp;"|"&amp;$C376&amp;"|"&amp;TEXT($A376,"00000"))</f>
        <v/>
      </c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8">
        <f>IF(COUNT($E377:$I377)=0,"",ROUND(AVERAGE($E377:$I377),2))</f>
        <v/>
      </c>
      <c r="K377" s="7">
        <f>IF($J377="","",IF($J377&gt;=Cadastro!$H$5,"Verde",IF($J377&gt;=Cadastro!$H$6,"Atenção","Crítico")))</f>
        <v/>
      </c>
      <c r="L377" s="14" t="n"/>
      <c r="M377" s="7">
        <f>IF($B377="","",$B377&amp;"|"&amp;$C377&amp;"|"&amp;TEXT($A377,"00000"))</f>
        <v/>
      </c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8">
        <f>IF(COUNT($E378:$I378)=0,"",ROUND(AVERAGE($E378:$I378),2))</f>
        <v/>
      </c>
      <c r="K378" s="7">
        <f>IF($J378="","",IF($J378&gt;=Cadastro!$H$5,"Verde",IF($J378&gt;=Cadastro!$H$6,"Atenção","Crítico")))</f>
        <v/>
      </c>
      <c r="L378" s="14" t="n"/>
      <c r="M378" s="7">
        <f>IF($B378="","",$B378&amp;"|"&amp;$C378&amp;"|"&amp;TEXT($A378,"00000"))</f>
        <v/>
      </c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8">
        <f>IF(COUNT($E379:$I379)=0,"",ROUND(AVERAGE($E379:$I379),2))</f>
        <v/>
      </c>
      <c r="K379" s="7">
        <f>IF($J379="","",IF($J379&gt;=Cadastro!$H$5,"Verde",IF($J379&gt;=Cadastro!$H$6,"Atenção","Crítico")))</f>
        <v/>
      </c>
      <c r="L379" s="14" t="n"/>
      <c r="M379" s="7">
        <f>IF($B379="","",$B379&amp;"|"&amp;$C379&amp;"|"&amp;TEXT($A379,"00000"))</f>
        <v/>
      </c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8">
        <f>IF(COUNT($E380:$I380)=0,"",ROUND(AVERAGE($E380:$I380),2))</f>
        <v/>
      </c>
      <c r="K380" s="7">
        <f>IF($J380="","",IF($J380&gt;=Cadastro!$H$5,"Verde",IF($J380&gt;=Cadastro!$H$6,"Atenção","Crítico")))</f>
        <v/>
      </c>
      <c r="L380" s="14" t="n"/>
      <c r="M380" s="7">
        <f>IF($B380="","",$B380&amp;"|"&amp;$C380&amp;"|"&amp;TEXT($A380,"00000"))</f>
        <v/>
      </c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8">
        <f>IF(COUNT($E381:$I381)=0,"",ROUND(AVERAGE($E381:$I381),2))</f>
        <v/>
      </c>
      <c r="K381" s="7">
        <f>IF($J381="","",IF($J381&gt;=Cadastro!$H$5,"Verde",IF($J381&gt;=Cadastro!$H$6,"Atenção","Crítico")))</f>
        <v/>
      </c>
      <c r="L381" s="14" t="n"/>
      <c r="M381" s="7">
        <f>IF($B381="","",$B381&amp;"|"&amp;$C381&amp;"|"&amp;TEXT($A381,"00000"))</f>
        <v/>
      </c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8">
        <f>IF(COUNT($E382:$I382)=0,"",ROUND(AVERAGE($E382:$I382),2))</f>
        <v/>
      </c>
      <c r="K382" s="7">
        <f>IF($J382="","",IF($J382&gt;=Cadastro!$H$5,"Verde",IF($J382&gt;=Cadastro!$H$6,"Atenção","Crítico")))</f>
        <v/>
      </c>
      <c r="L382" s="14" t="n"/>
      <c r="M382" s="7">
        <f>IF($B382="","",$B382&amp;"|"&amp;$C382&amp;"|"&amp;TEXT($A382,"00000"))</f>
        <v/>
      </c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8">
        <f>IF(COUNT($E383:$I383)=0,"",ROUND(AVERAGE($E383:$I383),2))</f>
        <v/>
      </c>
      <c r="K383" s="7">
        <f>IF($J383="","",IF($J383&gt;=Cadastro!$H$5,"Verde",IF($J383&gt;=Cadastro!$H$6,"Atenção","Crítico")))</f>
        <v/>
      </c>
      <c r="L383" s="14" t="n"/>
      <c r="M383" s="7">
        <f>IF($B383="","",$B383&amp;"|"&amp;$C383&amp;"|"&amp;TEXT($A383,"00000"))</f>
        <v/>
      </c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8">
        <f>IF(COUNT($E384:$I384)=0,"",ROUND(AVERAGE($E384:$I384),2))</f>
        <v/>
      </c>
      <c r="K384" s="7">
        <f>IF($J384="","",IF($J384&gt;=Cadastro!$H$5,"Verde",IF($J384&gt;=Cadastro!$H$6,"Atenção","Crítico")))</f>
        <v/>
      </c>
      <c r="L384" s="14" t="n"/>
      <c r="M384" s="7">
        <f>IF($B384="","",$B384&amp;"|"&amp;$C384&amp;"|"&amp;TEXT($A384,"00000"))</f>
        <v/>
      </c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8">
        <f>IF(COUNT($E385:$I385)=0,"",ROUND(AVERAGE($E385:$I385),2))</f>
        <v/>
      </c>
      <c r="K385" s="7">
        <f>IF($J385="","",IF($J385&gt;=Cadastro!$H$5,"Verde",IF($J385&gt;=Cadastro!$H$6,"Atenção","Crítico")))</f>
        <v/>
      </c>
      <c r="L385" s="14" t="n"/>
      <c r="M385" s="7">
        <f>IF($B385="","",$B385&amp;"|"&amp;$C385&amp;"|"&amp;TEXT($A385,"00000"))</f>
        <v/>
      </c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8">
        <f>IF(COUNT($E386:$I386)=0,"",ROUND(AVERAGE($E386:$I386),2))</f>
        <v/>
      </c>
      <c r="K386" s="7">
        <f>IF($J386="","",IF($J386&gt;=Cadastro!$H$5,"Verde",IF($J386&gt;=Cadastro!$H$6,"Atenção","Crítico")))</f>
        <v/>
      </c>
      <c r="L386" s="14" t="n"/>
      <c r="M386" s="7">
        <f>IF($B386="","",$B386&amp;"|"&amp;$C386&amp;"|"&amp;TEXT($A386,"00000"))</f>
        <v/>
      </c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8">
        <f>IF(COUNT($E387:$I387)=0,"",ROUND(AVERAGE($E387:$I387),2))</f>
        <v/>
      </c>
      <c r="K387" s="7">
        <f>IF($J387="","",IF($J387&gt;=Cadastro!$H$5,"Verde",IF($J387&gt;=Cadastro!$H$6,"Atenção","Crítico")))</f>
        <v/>
      </c>
      <c r="L387" s="14" t="n"/>
      <c r="M387" s="7">
        <f>IF($B387="","",$B387&amp;"|"&amp;$C387&amp;"|"&amp;TEXT($A387,"00000"))</f>
        <v/>
      </c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8">
        <f>IF(COUNT($E388:$I388)=0,"",ROUND(AVERAGE($E388:$I388),2))</f>
        <v/>
      </c>
      <c r="K388" s="7">
        <f>IF($J388="","",IF($J388&gt;=Cadastro!$H$5,"Verde",IF($J388&gt;=Cadastro!$H$6,"Atenção","Crítico")))</f>
        <v/>
      </c>
      <c r="L388" s="14" t="n"/>
      <c r="M388" s="7">
        <f>IF($B388="","",$B388&amp;"|"&amp;$C388&amp;"|"&amp;TEXT($A388,"00000"))</f>
        <v/>
      </c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8">
        <f>IF(COUNT($E389:$I389)=0,"",ROUND(AVERAGE($E389:$I389),2))</f>
        <v/>
      </c>
      <c r="K389" s="7">
        <f>IF($J389="","",IF($J389&gt;=Cadastro!$H$5,"Verde",IF($J389&gt;=Cadastro!$H$6,"Atenção","Crítico")))</f>
        <v/>
      </c>
      <c r="L389" s="14" t="n"/>
      <c r="M389" s="7">
        <f>IF($B389="","",$B389&amp;"|"&amp;$C389&amp;"|"&amp;TEXT($A389,"00000"))</f>
        <v/>
      </c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8">
        <f>IF(COUNT($E390:$I390)=0,"",ROUND(AVERAGE($E390:$I390),2))</f>
        <v/>
      </c>
      <c r="K390" s="7">
        <f>IF($J390="","",IF($J390&gt;=Cadastro!$H$5,"Verde",IF($J390&gt;=Cadastro!$H$6,"Atenção","Crítico")))</f>
        <v/>
      </c>
      <c r="L390" s="14" t="n"/>
      <c r="M390" s="7">
        <f>IF($B390="","",$B390&amp;"|"&amp;$C390&amp;"|"&amp;TEXT($A390,"00000"))</f>
        <v/>
      </c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8">
        <f>IF(COUNT($E391:$I391)=0,"",ROUND(AVERAGE($E391:$I391),2))</f>
        <v/>
      </c>
      <c r="K391" s="7">
        <f>IF($J391="","",IF($J391&gt;=Cadastro!$H$5,"Verde",IF($J391&gt;=Cadastro!$H$6,"Atenção","Crítico")))</f>
        <v/>
      </c>
      <c r="L391" s="14" t="n"/>
      <c r="M391" s="7">
        <f>IF($B391="","",$B391&amp;"|"&amp;$C391&amp;"|"&amp;TEXT($A391,"00000"))</f>
        <v/>
      </c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8">
        <f>IF(COUNT($E392:$I392)=0,"",ROUND(AVERAGE($E392:$I392),2))</f>
        <v/>
      </c>
      <c r="K392" s="7">
        <f>IF($J392="","",IF($J392&gt;=Cadastro!$H$5,"Verde",IF($J392&gt;=Cadastro!$H$6,"Atenção","Crítico")))</f>
        <v/>
      </c>
      <c r="L392" s="14" t="n"/>
      <c r="M392" s="7">
        <f>IF($B392="","",$B392&amp;"|"&amp;$C392&amp;"|"&amp;TEXT($A392,"00000"))</f>
        <v/>
      </c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8">
        <f>IF(COUNT($E393:$I393)=0,"",ROUND(AVERAGE($E393:$I393),2))</f>
        <v/>
      </c>
      <c r="K393" s="7">
        <f>IF($J393="","",IF($J393&gt;=Cadastro!$H$5,"Verde",IF($J393&gt;=Cadastro!$H$6,"Atenção","Crítico")))</f>
        <v/>
      </c>
      <c r="L393" s="14" t="n"/>
      <c r="M393" s="7">
        <f>IF($B393="","",$B393&amp;"|"&amp;$C393&amp;"|"&amp;TEXT($A393,"00000"))</f>
        <v/>
      </c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8">
        <f>IF(COUNT($E394:$I394)=0,"",ROUND(AVERAGE($E394:$I394),2))</f>
        <v/>
      </c>
      <c r="K394" s="7">
        <f>IF($J394="","",IF($J394&gt;=Cadastro!$H$5,"Verde",IF($J394&gt;=Cadastro!$H$6,"Atenção","Crítico")))</f>
        <v/>
      </c>
      <c r="L394" s="14" t="n"/>
      <c r="M394" s="7">
        <f>IF($B394="","",$B394&amp;"|"&amp;$C394&amp;"|"&amp;TEXT($A394,"00000"))</f>
        <v/>
      </c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8">
        <f>IF(COUNT($E395:$I395)=0,"",ROUND(AVERAGE($E395:$I395),2))</f>
        <v/>
      </c>
      <c r="K395" s="7">
        <f>IF($J395="","",IF($J395&gt;=Cadastro!$H$5,"Verde",IF($J395&gt;=Cadastro!$H$6,"Atenção","Crítico")))</f>
        <v/>
      </c>
      <c r="L395" s="14" t="n"/>
      <c r="M395" s="7">
        <f>IF($B395="","",$B395&amp;"|"&amp;$C395&amp;"|"&amp;TEXT($A395,"00000"))</f>
        <v/>
      </c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8">
        <f>IF(COUNT($E396:$I396)=0,"",ROUND(AVERAGE($E396:$I396),2))</f>
        <v/>
      </c>
      <c r="K396" s="7">
        <f>IF($J396="","",IF($J396&gt;=Cadastro!$H$5,"Verde",IF($J396&gt;=Cadastro!$H$6,"Atenção","Crítico")))</f>
        <v/>
      </c>
      <c r="L396" s="14" t="n"/>
      <c r="M396" s="7">
        <f>IF($B396="","",$B396&amp;"|"&amp;$C396&amp;"|"&amp;TEXT($A396,"00000"))</f>
        <v/>
      </c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8">
        <f>IF(COUNT($E397:$I397)=0,"",ROUND(AVERAGE($E397:$I397),2))</f>
        <v/>
      </c>
      <c r="K397" s="7">
        <f>IF($J397="","",IF($J397&gt;=Cadastro!$H$5,"Verde",IF($J397&gt;=Cadastro!$H$6,"Atenção","Crítico")))</f>
        <v/>
      </c>
      <c r="L397" s="14" t="n"/>
      <c r="M397" s="7">
        <f>IF($B397="","",$B397&amp;"|"&amp;$C397&amp;"|"&amp;TEXT($A397,"00000"))</f>
        <v/>
      </c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8">
        <f>IF(COUNT($E398:$I398)=0,"",ROUND(AVERAGE($E398:$I398),2))</f>
        <v/>
      </c>
      <c r="K398" s="7">
        <f>IF($J398="","",IF($J398&gt;=Cadastro!$H$5,"Verde",IF($J398&gt;=Cadastro!$H$6,"Atenção","Crítico")))</f>
        <v/>
      </c>
      <c r="L398" s="14" t="n"/>
      <c r="M398" s="7">
        <f>IF($B398="","",$B398&amp;"|"&amp;$C398&amp;"|"&amp;TEXT($A398,"00000"))</f>
        <v/>
      </c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8">
        <f>IF(COUNT($E399:$I399)=0,"",ROUND(AVERAGE($E399:$I399),2))</f>
        <v/>
      </c>
      <c r="K399" s="7">
        <f>IF($J399="","",IF($J399&gt;=Cadastro!$H$5,"Verde",IF($J399&gt;=Cadastro!$H$6,"Atenção","Crítico")))</f>
        <v/>
      </c>
      <c r="L399" s="14" t="n"/>
      <c r="M399" s="7">
        <f>IF($B399="","",$B399&amp;"|"&amp;$C399&amp;"|"&amp;TEXT($A399,"00000"))</f>
        <v/>
      </c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8">
        <f>IF(COUNT($E400:$I400)=0,"",ROUND(AVERAGE($E400:$I400),2))</f>
        <v/>
      </c>
      <c r="K400" s="7">
        <f>IF($J400="","",IF($J400&gt;=Cadastro!$H$5,"Verde",IF($J400&gt;=Cadastro!$H$6,"Atenção","Crítico")))</f>
        <v/>
      </c>
      <c r="L400" s="14" t="n"/>
      <c r="M400" s="7">
        <f>IF($B400="","",$B400&amp;"|"&amp;$C400&amp;"|"&amp;TEXT($A400,"00000"))</f>
        <v/>
      </c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8">
        <f>IF(COUNT($E401:$I401)=0,"",ROUND(AVERAGE($E401:$I401),2))</f>
        <v/>
      </c>
      <c r="K401" s="7">
        <f>IF($J401="","",IF($J401&gt;=Cadastro!$H$5,"Verde",IF($J401&gt;=Cadastro!$H$6,"Atenção","Crítico")))</f>
        <v/>
      </c>
      <c r="L401" s="14" t="n"/>
      <c r="M401" s="7">
        <f>IF($B401="","",$B401&amp;"|"&amp;$C401&amp;"|"&amp;TEXT($A401,"00000"))</f>
        <v/>
      </c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8">
        <f>IF(COUNT($E402:$I402)=0,"",ROUND(AVERAGE($E402:$I402),2))</f>
        <v/>
      </c>
      <c r="K402" s="7">
        <f>IF($J402="","",IF($J402&gt;=Cadastro!$H$5,"Verde",IF($J402&gt;=Cadastro!$H$6,"Atenção","Crítico")))</f>
        <v/>
      </c>
      <c r="L402" s="14" t="n"/>
      <c r="M402" s="7">
        <f>IF($B402="","",$B402&amp;"|"&amp;$C402&amp;"|"&amp;TEXT($A402,"00000"))</f>
        <v/>
      </c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8">
        <f>IF(COUNT($E403:$I403)=0,"",ROUND(AVERAGE($E403:$I403),2))</f>
        <v/>
      </c>
      <c r="K403" s="7">
        <f>IF($J403="","",IF($J403&gt;=Cadastro!$H$5,"Verde",IF($J403&gt;=Cadastro!$H$6,"Atenção","Crítico")))</f>
        <v/>
      </c>
      <c r="L403" s="14" t="n"/>
      <c r="M403" s="7">
        <f>IF($B403="","",$B403&amp;"|"&amp;$C403&amp;"|"&amp;TEXT($A403,"00000"))</f>
        <v/>
      </c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8">
        <f>IF(COUNT($E404:$I404)=0,"",ROUND(AVERAGE($E404:$I404),2))</f>
        <v/>
      </c>
      <c r="K404" s="7">
        <f>IF($J404="","",IF($J404&gt;=Cadastro!$H$5,"Verde",IF($J404&gt;=Cadastro!$H$6,"Atenção","Crítico")))</f>
        <v/>
      </c>
      <c r="L404" s="14" t="n"/>
      <c r="M404" s="7">
        <f>IF($B404="","",$B404&amp;"|"&amp;$C404&amp;"|"&amp;TEXT($A404,"00000"))</f>
        <v/>
      </c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8">
        <f>IF(COUNT($E405:$I405)=0,"",ROUND(AVERAGE($E405:$I405),2))</f>
        <v/>
      </c>
      <c r="K405" s="7">
        <f>IF($J405="","",IF($J405&gt;=Cadastro!$H$5,"Verde",IF($J405&gt;=Cadastro!$H$6,"Atenção","Crítico")))</f>
        <v/>
      </c>
      <c r="L405" s="14" t="n"/>
      <c r="M405" s="7">
        <f>IF($B405="","",$B405&amp;"|"&amp;$C405&amp;"|"&amp;TEXT($A405,"00000"))</f>
        <v/>
      </c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8">
        <f>IF(COUNT($E406:$I406)=0,"",ROUND(AVERAGE($E406:$I406),2))</f>
        <v/>
      </c>
      <c r="K406" s="7">
        <f>IF($J406="","",IF($J406&gt;=Cadastro!$H$5,"Verde",IF($J406&gt;=Cadastro!$H$6,"Atenção","Crítico")))</f>
        <v/>
      </c>
      <c r="L406" s="14" t="n"/>
      <c r="M406" s="7">
        <f>IF($B406="","",$B406&amp;"|"&amp;$C406&amp;"|"&amp;TEXT($A406,"00000"))</f>
        <v/>
      </c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8">
        <f>IF(COUNT($E407:$I407)=0,"",ROUND(AVERAGE($E407:$I407),2))</f>
        <v/>
      </c>
      <c r="K407" s="7">
        <f>IF($J407="","",IF($J407&gt;=Cadastro!$H$5,"Verde",IF($J407&gt;=Cadastro!$H$6,"Atenção","Crítico")))</f>
        <v/>
      </c>
      <c r="L407" s="14" t="n"/>
      <c r="M407" s="7">
        <f>IF($B407="","",$B407&amp;"|"&amp;$C407&amp;"|"&amp;TEXT($A407,"00000"))</f>
        <v/>
      </c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8">
        <f>IF(COUNT($E408:$I408)=0,"",ROUND(AVERAGE($E408:$I408),2))</f>
        <v/>
      </c>
      <c r="K408" s="7">
        <f>IF($J408="","",IF($J408&gt;=Cadastro!$H$5,"Verde",IF($J408&gt;=Cadastro!$H$6,"Atenção","Crítico")))</f>
        <v/>
      </c>
      <c r="L408" s="14" t="n"/>
      <c r="M408" s="7">
        <f>IF($B408="","",$B408&amp;"|"&amp;$C408&amp;"|"&amp;TEXT($A408,"00000"))</f>
        <v/>
      </c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8">
        <f>IF(COUNT($E409:$I409)=0,"",ROUND(AVERAGE($E409:$I409),2))</f>
        <v/>
      </c>
      <c r="K409" s="7">
        <f>IF($J409="","",IF($J409&gt;=Cadastro!$H$5,"Verde",IF($J409&gt;=Cadastro!$H$6,"Atenção","Crítico")))</f>
        <v/>
      </c>
      <c r="L409" s="14" t="n"/>
      <c r="M409" s="7">
        <f>IF($B409="","",$B409&amp;"|"&amp;$C409&amp;"|"&amp;TEXT($A409,"00000"))</f>
        <v/>
      </c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8">
        <f>IF(COUNT($E410:$I410)=0,"",ROUND(AVERAGE($E410:$I410),2))</f>
        <v/>
      </c>
      <c r="K410" s="7">
        <f>IF($J410="","",IF($J410&gt;=Cadastro!$H$5,"Verde",IF($J410&gt;=Cadastro!$H$6,"Atenção","Crítico")))</f>
        <v/>
      </c>
      <c r="L410" s="14" t="n"/>
      <c r="M410" s="7">
        <f>IF($B410="","",$B410&amp;"|"&amp;$C410&amp;"|"&amp;TEXT($A410,"00000"))</f>
        <v/>
      </c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8">
        <f>IF(COUNT($E411:$I411)=0,"",ROUND(AVERAGE($E411:$I411),2))</f>
        <v/>
      </c>
      <c r="K411" s="7">
        <f>IF($J411="","",IF($J411&gt;=Cadastro!$H$5,"Verde",IF($J411&gt;=Cadastro!$H$6,"Atenção","Crítico")))</f>
        <v/>
      </c>
      <c r="L411" s="14" t="n"/>
      <c r="M411" s="7">
        <f>IF($B411="","",$B411&amp;"|"&amp;$C411&amp;"|"&amp;TEXT($A411,"00000"))</f>
        <v/>
      </c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8">
        <f>IF(COUNT($E412:$I412)=0,"",ROUND(AVERAGE($E412:$I412),2))</f>
        <v/>
      </c>
      <c r="K412" s="7">
        <f>IF($J412="","",IF($J412&gt;=Cadastro!$H$5,"Verde",IF($J412&gt;=Cadastro!$H$6,"Atenção","Crítico")))</f>
        <v/>
      </c>
      <c r="L412" s="14" t="n"/>
      <c r="M412" s="7">
        <f>IF($B412="","",$B412&amp;"|"&amp;$C412&amp;"|"&amp;TEXT($A412,"00000"))</f>
        <v/>
      </c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8">
        <f>IF(COUNT($E413:$I413)=0,"",ROUND(AVERAGE($E413:$I413),2))</f>
        <v/>
      </c>
      <c r="K413" s="7">
        <f>IF($J413="","",IF($J413&gt;=Cadastro!$H$5,"Verde",IF($J413&gt;=Cadastro!$H$6,"Atenção","Crítico")))</f>
        <v/>
      </c>
      <c r="L413" s="14" t="n"/>
      <c r="M413" s="7">
        <f>IF($B413="","",$B413&amp;"|"&amp;$C413&amp;"|"&amp;TEXT($A413,"00000"))</f>
        <v/>
      </c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8">
        <f>IF(COUNT($E414:$I414)=0,"",ROUND(AVERAGE($E414:$I414),2))</f>
        <v/>
      </c>
      <c r="K414" s="7">
        <f>IF($J414="","",IF($J414&gt;=Cadastro!$H$5,"Verde",IF($J414&gt;=Cadastro!$H$6,"Atenção","Crítico")))</f>
        <v/>
      </c>
      <c r="L414" s="14" t="n"/>
      <c r="M414" s="7">
        <f>IF($B414="","",$B414&amp;"|"&amp;$C414&amp;"|"&amp;TEXT($A414,"00000"))</f>
        <v/>
      </c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8">
        <f>IF(COUNT($E415:$I415)=0,"",ROUND(AVERAGE($E415:$I415),2))</f>
        <v/>
      </c>
      <c r="K415" s="7">
        <f>IF($J415="","",IF($J415&gt;=Cadastro!$H$5,"Verde",IF($J415&gt;=Cadastro!$H$6,"Atenção","Crítico")))</f>
        <v/>
      </c>
      <c r="L415" s="14" t="n"/>
      <c r="M415" s="7">
        <f>IF($B415="","",$B415&amp;"|"&amp;$C415&amp;"|"&amp;TEXT($A415,"00000"))</f>
        <v/>
      </c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8">
        <f>IF(COUNT($E416:$I416)=0,"",ROUND(AVERAGE($E416:$I416),2))</f>
        <v/>
      </c>
      <c r="K416" s="7">
        <f>IF($J416="","",IF($J416&gt;=Cadastro!$H$5,"Verde",IF($J416&gt;=Cadastro!$H$6,"Atenção","Crítico")))</f>
        <v/>
      </c>
      <c r="L416" s="14" t="n"/>
      <c r="M416" s="7">
        <f>IF($B416="","",$B416&amp;"|"&amp;$C416&amp;"|"&amp;TEXT($A416,"00000"))</f>
        <v/>
      </c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8">
        <f>IF(COUNT($E417:$I417)=0,"",ROUND(AVERAGE($E417:$I417),2))</f>
        <v/>
      </c>
      <c r="K417" s="7">
        <f>IF($J417="","",IF($J417&gt;=Cadastro!$H$5,"Verde",IF($J417&gt;=Cadastro!$H$6,"Atenção","Crítico")))</f>
        <v/>
      </c>
      <c r="L417" s="14" t="n"/>
      <c r="M417" s="7">
        <f>IF($B417="","",$B417&amp;"|"&amp;$C417&amp;"|"&amp;TEXT($A417,"00000"))</f>
        <v/>
      </c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8">
        <f>IF(COUNT($E418:$I418)=0,"",ROUND(AVERAGE($E418:$I418),2))</f>
        <v/>
      </c>
      <c r="K418" s="7">
        <f>IF($J418="","",IF($J418&gt;=Cadastro!$H$5,"Verde",IF($J418&gt;=Cadastro!$H$6,"Atenção","Crítico")))</f>
        <v/>
      </c>
      <c r="L418" s="14" t="n"/>
      <c r="M418" s="7">
        <f>IF($B418="","",$B418&amp;"|"&amp;$C418&amp;"|"&amp;TEXT($A418,"00000"))</f>
        <v/>
      </c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8">
        <f>IF(COUNT($E419:$I419)=0,"",ROUND(AVERAGE($E419:$I419),2))</f>
        <v/>
      </c>
      <c r="K419" s="7">
        <f>IF($J419="","",IF($J419&gt;=Cadastro!$H$5,"Verde",IF($J419&gt;=Cadastro!$H$6,"Atenção","Crítico")))</f>
        <v/>
      </c>
      <c r="L419" s="14" t="n"/>
      <c r="M419" s="7">
        <f>IF($B419="","",$B419&amp;"|"&amp;$C419&amp;"|"&amp;TEXT($A419,"00000"))</f>
        <v/>
      </c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8">
        <f>IF(COUNT($E420:$I420)=0,"",ROUND(AVERAGE($E420:$I420),2))</f>
        <v/>
      </c>
      <c r="K420" s="7">
        <f>IF($J420="","",IF($J420&gt;=Cadastro!$H$5,"Verde",IF($J420&gt;=Cadastro!$H$6,"Atenção","Crítico")))</f>
        <v/>
      </c>
      <c r="L420" s="14" t="n"/>
      <c r="M420" s="7">
        <f>IF($B420="","",$B420&amp;"|"&amp;$C420&amp;"|"&amp;TEXT($A420,"00000"))</f>
        <v/>
      </c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8">
        <f>IF(COUNT($E421:$I421)=0,"",ROUND(AVERAGE($E421:$I421),2))</f>
        <v/>
      </c>
      <c r="K421" s="7">
        <f>IF($J421="","",IF($J421&gt;=Cadastro!$H$5,"Verde",IF($J421&gt;=Cadastro!$H$6,"Atenção","Crítico")))</f>
        <v/>
      </c>
      <c r="L421" s="14" t="n"/>
      <c r="M421" s="7">
        <f>IF($B421="","",$B421&amp;"|"&amp;$C421&amp;"|"&amp;TEXT($A421,"00000"))</f>
        <v/>
      </c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8">
        <f>IF(COUNT($E422:$I422)=0,"",ROUND(AVERAGE($E422:$I422),2))</f>
        <v/>
      </c>
      <c r="K422" s="7">
        <f>IF($J422="","",IF($J422&gt;=Cadastro!$H$5,"Verde",IF($J422&gt;=Cadastro!$H$6,"Atenção","Crítico")))</f>
        <v/>
      </c>
      <c r="L422" s="14" t="n"/>
      <c r="M422" s="7">
        <f>IF($B422="","",$B422&amp;"|"&amp;$C422&amp;"|"&amp;TEXT($A422,"00000"))</f>
        <v/>
      </c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8">
        <f>IF(COUNT($E423:$I423)=0,"",ROUND(AVERAGE($E423:$I423),2))</f>
        <v/>
      </c>
      <c r="K423" s="7">
        <f>IF($J423="","",IF($J423&gt;=Cadastro!$H$5,"Verde",IF($J423&gt;=Cadastro!$H$6,"Atenção","Crítico")))</f>
        <v/>
      </c>
      <c r="L423" s="14" t="n"/>
      <c r="M423" s="7">
        <f>IF($B423="","",$B423&amp;"|"&amp;$C423&amp;"|"&amp;TEXT($A423,"00000"))</f>
        <v/>
      </c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8">
        <f>IF(COUNT($E424:$I424)=0,"",ROUND(AVERAGE($E424:$I424),2))</f>
        <v/>
      </c>
      <c r="K424" s="7">
        <f>IF($J424="","",IF($J424&gt;=Cadastro!$H$5,"Verde",IF($J424&gt;=Cadastro!$H$6,"Atenção","Crítico")))</f>
        <v/>
      </c>
      <c r="L424" s="14" t="n"/>
      <c r="M424" s="7">
        <f>IF($B424="","",$B424&amp;"|"&amp;$C424&amp;"|"&amp;TEXT($A424,"00000"))</f>
        <v/>
      </c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8">
        <f>IF(COUNT($E425:$I425)=0,"",ROUND(AVERAGE($E425:$I425),2))</f>
        <v/>
      </c>
      <c r="K425" s="7">
        <f>IF($J425="","",IF($J425&gt;=Cadastro!$H$5,"Verde",IF($J425&gt;=Cadastro!$H$6,"Atenção","Crítico")))</f>
        <v/>
      </c>
      <c r="L425" s="14" t="n"/>
      <c r="M425" s="7">
        <f>IF($B425="","",$B425&amp;"|"&amp;$C425&amp;"|"&amp;TEXT($A425,"00000"))</f>
        <v/>
      </c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8">
        <f>IF(COUNT($E426:$I426)=0,"",ROUND(AVERAGE($E426:$I426),2))</f>
        <v/>
      </c>
      <c r="K426" s="7">
        <f>IF($J426="","",IF($J426&gt;=Cadastro!$H$5,"Verde",IF($J426&gt;=Cadastro!$H$6,"Atenção","Crítico")))</f>
        <v/>
      </c>
      <c r="L426" s="14" t="n"/>
      <c r="M426" s="7">
        <f>IF($B426="","",$B426&amp;"|"&amp;$C426&amp;"|"&amp;TEXT($A426,"00000"))</f>
        <v/>
      </c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8">
        <f>IF(COUNT($E427:$I427)=0,"",ROUND(AVERAGE($E427:$I427),2))</f>
        <v/>
      </c>
      <c r="K427" s="7">
        <f>IF($J427="","",IF($J427&gt;=Cadastro!$H$5,"Verde",IF($J427&gt;=Cadastro!$H$6,"Atenção","Crítico")))</f>
        <v/>
      </c>
      <c r="L427" s="14" t="n"/>
      <c r="M427" s="7">
        <f>IF($B427="","",$B427&amp;"|"&amp;$C427&amp;"|"&amp;TEXT($A427,"00000"))</f>
        <v/>
      </c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8">
        <f>IF(COUNT($E428:$I428)=0,"",ROUND(AVERAGE($E428:$I428),2))</f>
        <v/>
      </c>
      <c r="K428" s="7">
        <f>IF($J428="","",IF($J428&gt;=Cadastro!$H$5,"Verde",IF($J428&gt;=Cadastro!$H$6,"Atenção","Crítico")))</f>
        <v/>
      </c>
      <c r="L428" s="14" t="n"/>
      <c r="M428" s="7">
        <f>IF($B428="","",$B428&amp;"|"&amp;$C428&amp;"|"&amp;TEXT($A428,"00000"))</f>
        <v/>
      </c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8">
        <f>IF(COUNT($E429:$I429)=0,"",ROUND(AVERAGE($E429:$I429),2))</f>
        <v/>
      </c>
      <c r="K429" s="7">
        <f>IF($J429="","",IF($J429&gt;=Cadastro!$H$5,"Verde",IF($J429&gt;=Cadastro!$H$6,"Atenção","Crítico")))</f>
        <v/>
      </c>
      <c r="L429" s="14" t="n"/>
      <c r="M429" s="7">
        <f>IF($B429="","",$B429&amp;"|"&amp;$C429&amp;"|"&amp;TEXT($A429,"00000"))</f>
        <v/>
      </c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8">
        <f>IF(COUNT($E430:$I430)=0,"",ROUND(AVERAGE($E430:$I430),2))</f>
        <v/>
      </c>
      <c r="K430" s="7">
        <f>IF($J430="","",IF($J430&gt;=Cadastro!$H$5,"Verde",IF($J430&gt;=Cadastro!$H$6,"Atenção","Crítico")))</f>
        <v/>
      </c>
      <c r="L430" s="14" t="n"/>
      <c r="M430" s="7">
        <f>IF($B430="","",$B430&amp;"|"&amp;$C430&amp;"|"&amp;TEXT($A430,"00000"))</f>
        <v/>
      </c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8">
        <f>IF(COUNT($E431:$I431)=0,"",ROUND(AVERAGE($E431:$I431),2))</f>
        <v/>
      </c>
      <c r="K431" s="7">
        <f>IF($J431="","",IF($J431&gt;=Cadastro!$H$5,"Verde",IF($J431&gt;=Cadastro!$H$6,"Atenção","Crítico")))</f>
        <v/>
      </c>
      <c r="L431" s="14" t="n"/>
      <c r="M431" s="7">
        <f>IF($B431="","",$B431&amp;"|"&amp;$C431&amp;"|"&amp;TEXT($A431,"00000"))</f>
        <v/>
      </c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8">
        <f>IF(COUNT($E432:$I432)=0,"",ROUND(AVERAGE($E432:$I432),2))</f>
        <v/>
      </c>
      <c r="K432" s="7">
        <f>IF($J432="","",IF($J432&gt;=Cadastro!$H$5,"Verde",IF($J432&gt;=Cadastro!$H$6,"Atenção","Crítico")))</f>
        <v/>
      </c>
      <c r="L432" s="14" t="n"/>
      <c r="M432" s="7">
        <f>IF($B432="","",$B432&amp;"|"&amp;$C432&amp;"|"&amp;TEXT($A432,"00000"))</f>
        <v/>
      </c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8">
        <f>IF(COUNT($E433:$I433)=0,"",ROUND(AVERAGE($E433:$I433),2))</f>
        <v/>
      </c>
      <c r="K433" s="7">
        <f>IF($J433="","",IF($J433&gt;=Cadastro!$H$5,"Verde",IF($J433&gt;=Cadastro!$H$6,"Atenção","Crítico")))</f>
        <v/>
      </c>
      <c r="L433" s="14" t="n"/>
      <c r="M433" s="7">
        <f>IF($B433="","",$B433&amp;"|"&amp;$C433&amp;"|"&amp;TEXT($A433,"00000"))</f>
        <v/>
      </c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8">
        <f>IF(COUNT($E434:$I434)=0,"",ROUND(AVERAGE($E434:$I434),2))</f>
        <v/>
      </c>
      <c r="K434" s="7">
        <f>IF($J434="","",IF($J434&gt;=Cadastro!$H$5,"Verde",IF($J434&gt;=Cadastro!$H$6,"Atenção","Crítico")))</f>
        <v/>
      </c>
      <c r="L434" s="14" t="n"/>
      <c r="M434" s="7">
        <f>IF($B434="","",$B434&amp;"|"&amp;$C434&amp;"|"&amp;TEXT($A434,"00000"))</f>
        <v/>
      </c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8">
        <f>IF(COUNT($E435:$I435)=0,"",ROUND(AVERAGE($E435:$I435),2))</f>
        <v/>
      </c>
      <c r="K435" s="7">
        <f>IF($J435="","",IF($J435&gt;=Cadastro!$H$5,"Verde",IF($J435&gt;=Cadastro!$H$6,"Atenção","Crítico")))</f>
        <v/>
      </c>
      <c r="L435" s="14" t="n"/>
      <c r="M435" s="7">
        <f>IF($B435="","",$B435&amp;"|"&amp;$C435&amp;"|"&amp;TEXT($A435,"00000"))</f>
        <v/>
      </c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8">
        <f>IF(COUNT($E436:$I436)=0,"",ROUND(AVERAGE($E436:$I436),2))</f>
        <v/>
      </c>
      <c r="K436" s="7">
        <f>IF($J436="","",IF($J436&gt;=Cadastro!$H$5,"Verde",IF($J436&gt;=Cadastro!$H$6,"Atenção","Crítico")))</f>
        <v/>
      </c>
      <c r="L436" s="14" t="n"/>
      <c r="M436" s="7">
        <f>IF($B436="","",$B436&amp;"|"&amp;$C436&amp;"|"&amp;TEXT($A436,"00000"))</f>
        <v/>
      </c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8">
        <f>IF(COUNT($E437:$I437)=0,"",ROUND(AVERAGE($E437:$I437),2))</f>
        <v/>
      </c>
      <c r="K437" s="7">
        <f>IF($J437="","",IF($J437&gt;=Cadastro!$H$5,"Verde",IF($J437&gt;=Cadastro!$H$6,"Atenção","Crítico")))</f>
        <v/>
      </c>
      <c r="L437" s="14" t="n"/>
      <c r="M437" s="7">
        <f>IF($B437="","",$B437&amp;"|"&amp;$C437&amp;"|"&amp;TEXT($A437,"00000"))</f>
        <v/>
      </c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8">
        <f>IF(COUNT($E438:$I438)=0,"",ROUND(AVERAGE($E438:$I438),2))</f>
        <v/>
      </c>
      <c r="K438" s="7">
        <f>IF($J438="","",IF($J438&gt;=Cadastro!$H$5,"Verde",IF($J438&gt;=Cadastro!$H$6,"Atenção","Crítico")))</f>
        <v/>
      </c>
      <c r="L438" s="14" t="n"/>
      <c r="M438" s="7">
        <f>IF($B438="","",$B438&amp;"|"&amp;$C438&amp;"|"&amp;TEXT($A438,"00000"))</f>
        <v/>
      </c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8">
        <f>IF(COUNT($E439:$I439)=0,"",ROUND(AVERAGE($E439:$I439),2))</f>
        <v/>
      </c>
      <c r="K439" s="7">
        <f>IF($J439="","",IF($J439&gt;=Cadastro!$H$5,"Verde",IF($J439&gt;=Cadastro!$H$6,"Atenção","Crítico")))</f>
        <v/>
      </c>
      <c r="L439" s="14" t="n"/>
      <c r="M439" s="7">
        <f>IF($B439="","",$B439&amp;"|"&amp;$C439&amp;"|"&amp;TEXT($A439,"00000"))</f>
        <v/>
      </c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8">
        <f>IF(COUNT($E440:$I440)=0,"",ROUND(AVERAGE($E440:$I440),2))</f>
        <v/>
      </c>
      <c r="K440" s="7">
        <f>IF($J440="","",IF($J440&gt;=Cadastro!$H$5,"Verde",IF($J440&gt;=Cadastro!$H$6,"Atenção","Crítico")))</f>
        <v/>
      </c>
      <c r="L440" s="14" t="n"/>
      <c r="M440" s="7">
        <f>IF($B440="","",$B440&amp;"|"&amp;$C440&amp;"|"&amp;TEXT($A440,"00000"))</f>
        <v/>
      </c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8">
        <f>IF(COUNT($E441:$I441)=0,"",ROUND(AVERAGE($E441:$I441),2))</f>
        <v/>
      </c>
      <c r="K441" s="7">
        <f>IF($J441="","",IF($J441&gt;=Cadastro!$H$5,"Verde",IF($J441&gt;=Cadastro!$H$6,"Atenção","Crítico")))</f>
        <v/>
      </c>
      <c r="L441" s="14" t="n"/>
      <c r="M441" s="7">
        <f>IF($B441="","",$B441&amp;"|"&amp;$C441&amp;"|"&amp;TEXT($A441,"00000"))</f>
        <v/>
      </c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8">
        <f>IF(COUNT($E442:$I442)=0,"",ROUND(AVERAGE($E442:$I442),2))</f>
        <v/>
      </c>
      <c r="K442" s="7">
        <f>IF($J442="","",IF($J442&gt;=Cadastro!$H$5,"Verde",IF($J442&gt;=Cadastro!$H$6,"Atenção","Crítico")))</f>
        <v/>
      </c>
      <c r="L442" s="14" t="n"/>
      <c r="M442" s="7">
        <f>IF($B442="","",$B442&amp;"|"&amp;$C442&amp;"|"&amp;TEXT($A442,"00000"))</f>
        <v/>
      </c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8">
        <f>IF(COUNT($E443:$I443)=0,"",ROUND(AVERAGE($E443:$I443),2))</f>
        <v/>
      </c>
      <c r="K443" s="7">
        <f>IF($J443="","",IF($J443&gt;=Cadastro!$H$5,"Verde",IF($J443&gt;=Cadastro!$H$6,"Atenção","Crítico")))</f>
        <v/>
      </c>
      <c r="L443" s="14" t="n"/>
      <c r="M443" s="7">
        <f>IF($B443="","",$B443&amp;"|"&amp;$C443&amp;"|"&amp;TEXT($A443,"00000"))</f>
        <v/>
      </c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8">
        <f>IF(COUNT($E444:$I444)=0,"",ROUND(AVERAGE($E444:$I444),2))</f>
        <v/>
      </c>
      <c r="K444" s="7">
        <f>IF($J444="","",IF($J444&gt;=Cadastro!$H$5,"Verde",IF($J444&gt;=Cadastro!$H$6,"Atenção","Crítico")))</f>
        <v/>
      </c>
      <c r="L444" s="14" t="n"/>
      <c r="M444" s="7">
        <f>IF($B444="","",$B444&amp;"|"&amp;$C444&amp;"|"&amp;TEXT($A444,"00000"))</f>
        <v/>
      </c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8">
        <f>IF(COUNT($E445:$I445)=0,"",ROUND(AVERAGE($E445:$I445),2))</f>
        <v/>
      </c>
      <c r="K445" s="7">
        <f>IF($J445="","",IF($J445&gt;=Cadastro!$H$5,"Verde",IF($J445&gt;=Cadastro!$H$6,"Atenção","Crítico")))</f>
        <v/>
      </c>
      <c r="L445" s="14" t="n"/>
      <c r="M445" s="7">
        <f>IF($B445="","",$B445&amp;"|"&amp;$C445&amp;"|"&amp;TEXT($A445,"00000"))</f>
        <v/>
      </c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8">
        <f>IF(COUNT($E446:$I446)=0,"",ROUND(AVERAGE($E446:$I446),2))</f>
        <v/>
      </c>
      <c r="K446" s="7">
        <f>IF($J446="","",IF($J446&gt;=Cadastro!$H$5,"Verde",IF($J446&gt;=Cadastro!$H$6,"Atenção","Crítico")))</f>
        <v/>
      </c>
      <c r="L446" s="14" t="n"/>
      <c r="M446" s="7">
        <f>IF($B446="","",$B446&amp;"|"&amp;$C446&amp;"|"&amp;TEXT($A446,"00000"))</f>
        <v/>
      </c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8">
        <f>IF(COUNT($E447:$I447)=0,"",ROUND(AVERAGE($E447:$I447),2))</f>
        <v/>
      </c>
      <c r="K447" s="7">
        <f>IF($J447="","",IF($J447&gt;=Cadastro!$H$5,"Verde",IF($J447&gt;=Cadastro!$H$6,"Atenção","Crítico")))</f>
        <v/>
      </c>
      <c r="L447" s="14" t="n"/>
      <c r="M447" s="7">
        <f>IF($B447="","",$B447&amp;"|"&amp;$C447&amp;"|"&amp;TEXT($A447,"00000"))</f>
        <v/>
      </c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8">
        <f>IF(COUNT($E448:$I448)=0,"",ROUND(AVERAGE($E448:$I448),2))</f>
        <v/>
      </c>
      <c r="K448" s="7">
        <f>IF($J448="","",IF($J448&gt;=Cadastro!$H$5,"Verde",IF($J448&gt;=Cadastro!$H$6,"Atenção","Crítico")))</f>
        <v/>
      </c>
      <c r="L448" s="14" t="n"/>
      <c r="M448" s="7">
        <f>IF($B448="","",$B448&amp;"|"&amp;$C448&amp;"|"&amp;TEXT($A448,"00000"))</f>
        <v/>
      </c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8">
        <f>IF(COUNT($E449:$I449)=0,"",ROUND(AVERAGE($E449:$I449),2))</f>
        <v/>
      </c>
      <c r="K449" s="7">
        <f>IF($J449="","",IF($J449&gt;=Cadastro!$H$5,"Verde",IF($J449&gt;=Cadastro!$H$6,"Atenção","Crítico")))</f>
        <v/>
      </c>
      <c r="L449" s="14" t="n"/>
      <c r="M449" s="7">
        <f>IF($B449="","",$B449&amp;"|"&amp;$C449&amp;"|"&amp;TEXT($A449,"00000"))</f>
        <v/>
      </c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8">
        <f>IF(COUNT($E450:$I450)=0,"",ROUND(AVERAGE($E450:$I450),2))</f>
        <v/>
      </c>
      <c r="K450" s="7">
        <f>IF($J450="","",IF($J450&gt;=Cadastro!$H$5,"Verde",IF($J450&gt;=Cadastro!$H$6,"Atenção","Crítico")))</f>
        <v/>
      </c>
      <c r="L450" s="14" t="n"/>
      <c r="M450" s="7">
        <f>IF($B450="","",$B450&amp;"|"&amp;$C450&amp;"|"&amp;TEXT($A450,"00000"))</f>
        <v/>
      </c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8">
        <f>IF(COUNT($E451:$I451)=0,"",ROUND(AVERAGE($E451:$I451),2))</f>
        <v/>
      </c>
      <c r="K451" s="7">
        <f>IF($J451="","",IF($J451&gt;=Cadastro!$H$5,"Verde",IF($J451&gt;=Cadastro!$H$6,"Atenção","Crítico")))</f>
        <v/>
      </c>
      <c r="L451" s="14" t="n"/>
      <c r="M451" s="7">
        <f>IF($B451="","",$B451&amp;"|"&amp;$C451&amp;"|"&amp;TEXT($A451,"00000"))</f>
        <v/>
      </c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8">
        <f>IF(COUNT($E452:$I452)=0,"",ROUND(AVERAGE($E452:$I452),2))</f>
        <v/>
      </c>
      <c r="K452" s="7">
        <f>IF($J452="","",IF($J452&gt;=Cadastro!$H$5,"Verde",IF($J452&gt;=Cadastro!$H$6,"Atenção","Crítico")))</f>
        <v/>
      </c>
      <c r="L452" s="14" t="n"/>
      <c r="M452" s="7">
        <f>IF($B452="","",$B452&amp;"|"&amp;$C452&amp;"|"&amp;TEXT($A452,"00000"))</f>
        <v/>
      </c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8">
        <f>IF(COUNT($E453:$I453)=0,"",ROUND(AVERAGE($E453:$I453),2))</f>
        <v/>
      </c>
      <c r="K453" s="7">
        <f>IF($J453="","",IF($J453&gt;=Cadastro!$H$5,"Verde",IF($J453&gt;=Cadastro!$H$6,"Atenção","Crítico")))</f>
        <v/>
      </c>
      <c r="L453" s="14" t="n"/>
      <c r="M453" s="7">
        <f>IF($B453="","",$B453&amp;"|"&amp;$C453&amp;"|"&amp;TEXT($A453,"00000"))</f>
        <v/>
      </c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8">
        <f>IF(COUNT($E454:$I454)=0,"",ROUND(AVERAGE($E454:$I454),2))</f>
        <v/>
      </c>
      <c r="K454" s="7">
        <f>IF($J454="","",IF($J454&gt;=Cadastro!$H$5,"Verde",IF($J454&gt;=Cadastro!$H$6,"Atenção","Crítico")))</f>
        <v/>
      </c>
      <c r="L454" s="14" t="n"/>
      <c r="M454" s="7">
        <f>IF($B454="","",$B454&amp;"|"&amp;$C454&amp;"|"&amp;TEXT($A454,"00000"))</f>
        <v/>
      </c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8">
        <f>IF(COUNT($E455:$I455)=0,"",ROUND(AVERAGE($E455:$I455),2))</f>
        <v/>
      </c>
      <c r="K455" s="7">
        <f>IF($J455="","",IF($J455&gt;=Cadastro!$H$5,"Verde",IF($J455&gt;=Cadastro!$H$6,"Atenção","Crítico")))</f>
        <v/>
      </c>
      <c r="L455" s="14" t="n"/>
      <c r="M455" s="7">
        <f>IF($B455="","",$B455&amp;"|"&amp;$C455&amp;"|"&amp;TEXT($A455,"00000"))</f>
        <v/>
      </c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8">
        <f>IF(COUNT($E456:$I456)=0,"",ROUND(AVERAGE($E456:$I456),2))</f>
        <v/>
      </c>
      <c r="K456" s="7">
        <f>IF($J456="","",IF($J456&gt;=Cadastro!$H$5,"Verde",IF($J456&gt;=Cadastro!$H$6,"Atenção","Crítico")))</f>
        <v/>
      </c>
      <c r="L456" s="14" t="n"/>
      <c r="M456" s="7">
        <f>IF($B456="","",$B456&amp;"|"&amp;$C456&amp;"|"&amp;TEXT($A456,"00000"))</f>
        <v/>
      </c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8">
        <f>IF(COUNT($E457:$I457)=0,"",ROUND(AVERAGE($E457:$I457),2))</f>
        <v/>
      </c>
      <c r="K457" s="7">
        <f>IF($J457="","",IF($J457&gt;=Cadastro!$H$5,"Verde",IF($J457&gt;=Cadastro!$H$6,"Atenção","Crítico")))</f>
        <v/>
      </c>
      <c r="L457" s="14" t="n"/>
      <c r="M457" s="7">
        <f>IF($B457="","",$B457&amp;"|"&amp;$C457&amp;"|"&amp;TEXT($A457,"00000"))</f>
        <v/>
      </c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8">
        <f>IF(COUNT($E458:$I458)=0,"",ROUND(AVERAGE($E458:$I458),2))</f>
        <v/>
      </c>
      <c r="K458" s="7">
        <f>IF($J458="","",IF($J458&gt;=Cadastro!$H$5,"Verde",IF($J458&gt;=Cadastro!$H$6,"Atenção","Crítico")))</f>
        <v/>
      </c>
      <c r="L458" s="14" t="n"/>
      <c r="M458" s="7">
        <f>IF($B458="","",$B458&amp;"|"&amp;$C458&amp;"|"&amp;TEXT($A458,"00000"))</f>
        <v/>
      </c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8">
        <f>IF(COUNT($E459:$I459)=0,"",ROUND(AVERAGE($E459:$I459),2))</f>
        <v/>
      </c>
      <c r="K459" s="7">
        <f>IF($J459="","",IF($J459&gt;=Cadastro!$H$5,"Verde",IF($J459&gt;=Cadastro!$H$6,"Atenção","Crítico")))</f>
        <v/>
      </c>
      <c r="L459" s="14" t="n"/>
      <c r="M459" s="7">
        <f>IF($B459="","",$B459&amp;"|"&amp;$C459&amp;"|"&amp;TEXT($A459,"00000"))</f>
        <v/>
      </c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8">
        <f>IF(COUNT($E460:$I460)=0,"",ROUND(AVERAGE($E460:$I460),2))</f>
        <v/>
      </c>
      <c r="K460" s="7">
        <f>IF($J460="","",IF($J460&gt;=Cadastro!$H$5,"Verde",IF($J460&gt;=Cadastro!$H$6,"Atenção","Crítico")))</f>
        <v/>
      </c>
      <c r="L460" s="14" t="n"/>
      <c r="M460" s="7">
        <f>IF($B460="","",$B460&amp;"|"&amp;$C460&amp;"|"&amp;TEXT($A460,"00000"))</f>
        <v/>
      </c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8">
        <f>IF(COUNT($E461:$I461)=0,"",ROUND(AVERAGE($E461:$I461),2))</f>
        <v/>
      </c>
      <c r="K461" s="7">
        <f>IF($J461="","",IF($J461&gt;=Cadastro!$H$5,"Verde",IF($J461&gt;=Cadastro!$H$6,"Atenção","Crítico")))</f>
        <v/>
      </c>
      <c r="L461" s="14" t="n"/>
      <c r="M461" s="7">
        <f>IF($B461="","",$B461&amp;"|"&amp;$C461&amp;"|"&amp;TEXT($A461,"00000"))</f>
        <v/>
      </c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8">
        <f>IF(COUNT($E462:$I462)=0,"",ROUND(AVERAGE($E462:$I462),2))</f>
        <v/>
      </c>
      <c r="K462" s="7">
        <f>IF($J462="","",IF($J462&gt;=Cadastro!$H$5,"Verde",IF($J462&gt;=Cadastro!$H$6,"Atenção","Crítico")))</f>
        <v/>
      </c>
      <c r="L462" s="14" t="n"/>
      <c r="M462" s="7">
        <f>IF($B462="","",$B462&amp;"|"&amp;$C462&amp;"|"&amp;TEXT($A462,"00000"))</f>
        <v/>
      </c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8">
        <f>IF(COUNT($E463:$I463)=0,"",ROUND(AVERAGE($E463:$I463),2))</f>
        <v/>
      </c>
      <c r="K463" s="7">
        <f>IF($J463="","",IF($J463&gt;=Cadastro!$H$5,"Verde",IF($J463&gt;=Cadastro!$H$6,"Atenção","Crítico")))</f>
        <v/>
      </c>
      <c r="L463" s="14" t="n"/>
      <c r="M463" s="7">
        <f>IF($B463="","",$B463&amp;"|"&amp;$C463&amp;"|"&amp;TEXT($A463,"00000"))</f>
        <v/>
      </c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8">
        <f>IF(COUNT($E464:$I464)=0,"",ROUND(AVERAGE($E464:$I464),2))</f>
        <v/>
      </c>
      <c r="K464" s="7">
        <f>IF($J464="","",IF($J464&gt;=Cadastro!$H$5,"Verde",IF($J464&gt;=Cadastro!$H$6,"Atenção","Crítico")))</f>
        <v/>
      </c>
      <c r="L464" s="14" t="n"/>
      <c r="M464" s="7">
        <f>IF($B464="","",$B464&amp;"|"&amp;$C464&amp;"|"&amp;TEXT($A464,"00000"))</f>
        <v/>
      </c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8">
        <f>IF(COUNT($E465:$I465)=0,"",ROUND(AVERAGE($E465:$I465),2))</f>
        <v/>
      </c>
      <c r="K465" s="7">
        <f>IF($J465="","",IF($J465&gt;=Cadastro!$H$5,"Verde",IF($J465&gt;=Cadastro!$H$6,"Atenção","Crítico")))</f>
        <v/>
      </c>
      <c r="L465" s="14" t="n"/>
      <c r="M465" s="7">
        <f>IF($B465="","",$B465&amp;"|"&amp;$C465&amp;"|"&amp;TEXT($A465,"00000"))</f>
        <v/>
      </c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8">
        <f>IF(COUNT($E466:$I466)=0,"",ROUND(AVERAGE($E466:$I466),2))</f>
        <v/>
      </c>
      <c r="K466" s="7">
        <f>IF($J466="","",IF($J466&gt;=Cadastro!$H$5,"Verde",IF($J466&gt;=Cadastro!$H$6,"Atenção","Crítico")))</f>
        <v/>
      </c>
      <c r="L466" s="14" t="n"/>
      <c r="M466" s="7">
        <f>IF($B466="","",$B466&amp;"|"&amp;$C466&amp;"|"&amp;TEXT($A466,"00000"))</f>
        <v/>
      </c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8">
        <f>IF(COUNT($E467:$I467)=0,"",ROUND(AVERAGE($E467:$I467),2))</f>
        <v/>
      </c>
      <c r="K467" s="7">
        <f>IF($J467="","",IF($J467&gt;=Cadastro!$H$5,"Verde",IF($J467&gt;=Cadastro!$H$6,"Atenção","Crítico")))</f>
        <v/>
      </c>
      <c r="L467" s="14" t="n"/>
      <c r="M467" s="7">
        <f>IF($B467="","",$B467&amp;"|"&amp;$C467&amp;"|"&amp;TEXT($A467,"00000"))</f>
        <v/>
      </c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8">
        <f>IF(COUNT($E468:$I468)=0,"",ROUND(AVERAGE($E468:$I468),2))</f>
        <v/>
      </c>
      <c r="K468" s="7">
        <f>IF($J468="","",IF($J468&gt;=Cadastro!$H$5,"Verde",IF($J468&gt;=Cadastro!$H$6,"Atenção","Crítico")))</f>
        <v/>
      </c>
      <c r="L468" s="14" t="n"/>
      <c r="M468" s="7">
        <f>IF($B468="","",$B468&amp;"|"&amp;$C468&amp;"|"&amp;TEXT($A468,"00000"))</f>
        <v/>
      </c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8">
        <f>IF(COUNT($E469:$I469)=0,"",ROUND(AVERAGE($E469:$I469),2))</f>
        <v/>
      </c>
      <c r="K469" s="7">
        <f>IF($J469="","",IF($J469&gt;=Cadastro!$H$5,"Verde",IF($J469&gt;=Cadastro!$H$6,"Atenção","Crítico")))</f>
        <v/>
      </c>
      <c r="L469" s="14" t="n"/>
      <c r="M469" s="7">
        <f>IF($B469="","",$B469&amp;"|"&amp;$C469&amp;"|"&amp;TEXT($A469,"00000"))</f>
        <v/>
      </c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8">
        <f>IF(COUNT($E470:$I470)=0,"",ROUND(AVERAGE($E470:$I470),2))</f>
        <v/>
      </c>
      <c r="K470" s="7">
        <f>IF($J470="","",IF($J470&gt;=Cadastro!$H$5,"Verde",IF($J470&gt;=Cadastro!$H$6,"Atenção","Crítico")))</f>
        <v/>
      </c>
      <c r="L470" s="14" t="n"/>
      <c r="M470" s="7">
        <f>IF($B470="","",$B470&amp;"|"&amp;$C470&amp;"|"&amp;TEXT($A470,"00000"))</f>
        <v/>
      </c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8">
        <f>IF(COUNT($E471:$I471)=0,"",ROUND(AVERAGE($E471:$I471),2))</f>
        <v/>
      </c>
      <c r="K471" s="7">
        <f>IF($J471="","",IF($J471&gt;=Cadastro!$H$5,"Verde",IF($J471&gt;=Cadastro!$H$6,"Atenção","Crítico")))</f>
        <v/>
      </c>
      <c r="L471" s="14" t="n"/>
      <c r="M471" s="7">
        <f>IF($B471="","",$B471&amp;"|"&amp;$C471&amp;"|"&amp;TEXT($A471,"00000"))</f>
        <v/>
      </c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8">
        <f>IF(COUNT($E472:$I472)=0,"",ROUND(AVERAGE($E472:$I472),2))</f>
        <v/>
      </c>
      <c r="K472" s="7">
        <f>IF($J472="","",IF($J472&gt;=Cadastro!$H$5,"Verde",IF($J472&gt;=Cadastro!$H$6,"Atenção","Crítico")))</f>
        <v/>
      </c>
      <c r="L472" s="14" t="n"/>
      <c r="M472" s="7">
        <f>IF($B472="","",$B472&amp;"|"&amp;$C472&amp;"|"&amp;TEXT($A472,"00000"))</f>
        <v/>
      </c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8">
        <f>IF(COUNT($E473:$I473)=0,"",ROUND(AVERAGE($E473:$I473),2))</f>
        <v/>
      </c>
      <c r="K473" s="7">
        <f>IF($J473="","",IF($J473&gt;=Cadastro!$H$5,"Verde",IF($J473&gt;=Cadastro!$H$6,"Atenção","Crítico")))</f>
        <v/>
      </c>
      <c r="L473" s="14" t="n"/>
      <c r="M473" s="7">
        <f>IF($B473="","",$B473&amp;"|"&amp;$C473&amp;"|"&amp;TEXT($A473,"00000"))</f>
        <v/>
      </c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8">
        <f>IF(COUNT($E474:$I474)=0,"",ROUND(AVERAGE($E474:$I474),2))</f>
        <v/>
      </c>
      <c r="K474" s="7">
        <f>IF($J474="","",IF($J474&gt;=Cadastro!$H$5,"Verde",IF($J474&gt;=Cadastro!$H$6,"Atenção","Crítico")))</f>
        <v/>
      </c>
      <c r="L474" s="14" t="n"/>
      <c r="M474" s="7">
        <f>IF($B474="","",$B474&amp;"|"&amp;$C474&amp;"|"&amp;TEXT($A474,"00000"))</f>
        <v/>
      </c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8">
        <f>IF(COUNT($E475:$I475)=0,"",ROUND(AVERAGE($E475:$I475),2))</f>
        <v/>
      </c>
      <c r="K475" s="7">
        <f>IF($J475="","",IF($J475&gt;=Cadastro!$H$5,"Verde",IF($J475&gt;=Cadastro!$H$6,"Atenção","Crítico")))</f>
        <v/>
      </c>
      <c r="L475" s="14" t="n"/>
      <c r="M475" s="7">
        <f>IF($B475="","",$B475&amp;"|"&amp;$C475&amp;"|"&amp;TEXT($A475,"00000"))</f>
        <v/>
      </c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8">
        <f>IF(COUNT($E476:$I476)=0,"",ROUND(AVERAGE($E476:$I476),2))</f>
        <v/>
      </c>
      <c r="K476" s="7">
        <f>IF($J476="","",IF($J476&gt;=Cadastro!$H$5,"Verde",IF($J476&gt;=Cadastro!$H$6,"Atenção","Crítico")))</f>
        <v/>
      </c>
      <c r="L476" s="14" t="n"/>
      <c r="M476" s="7">
        <f>IF($B476="","",$B476&amp;"|"&amp;$C476&amp;"|"&amp;TEXT($A476,"00000"))</f>
        <v/>
      </c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8">
        <f>IF(COUNT($E477:$I477)=0,"",ROUND(AVERAGE($E477:$I477),2))</f>
        <v/>
      </c>
      <c r="K477" s="7">
        <f>IF($J477="","",IF($J477&gt;=Cadastro!$H$5,"Verde",IF($J477&gt;=Cadastro!$H$6,"Atenção","Crítico")))</f>
        <v/>
      </c>
      <c r="L477" s="14" t="n"/>
      <c r="M477" s="7">
        <f>IF($B477="","",$B477&amp;"|"&amp;$C477&amp;"|"&amp;TEXT($A477,"00000"))</f>
        <v/>
      </c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8">
        <f>IF(COUNT($E478:$I478)=0,"",ROUND(AVERAGE($E478:$I478),2))</f>
        <v/>
      </c>
      <c r="K478" s="7">
        <f>IF($J478="","",IF($J478&gt;=Cadastro!$H$5,"Verde",IF($J478&gt;=Cadastro!$H$6,"Atenção","Crítico")))</f>
        <v/>
      </c>
      <c r="L478" s="14" t="n"/>
      <c r="M478" s="7">
        <f>IF($B478="","",$B478&amp;"|"&amp;$C478&amp;"|"&amp;TEXT($A478,"00000"))</f>
        <v/>
      </c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8">
        <f>IF(COUNT($E479:$I479)=0,"",ROUND(AVERAGE($E479:$I479),2))</f>
        <v/>
      </c>
      <c r="K479" s="7">
        <f>IF($J479="","",IF($J479&gt;=Cadastro!$H$5,"Verde",IF($J479&gt;=Cadastro!$H$6,"Atenção","Crítico")))</f>
        <v/>
      </c>
      <c r="L479" s="14" t="n"/>
      <c r="M479" s="7">
        <f>IF($B479="","",$B479&amp;"|"&amp;$C479&amp;"|"&amp;TEXT($A479,"00000"))</f>
        <v/>
      </c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8">
        <f>IF(COUNT($E480:$I480)=0,"",ROUND(AVERAGE($E480:$I480),2))</f>
        <v/>
      </c>
      <c r="K480" s="7">
        <f>IF($J480="","",IF($J480&gt;=Cadastro!$H$5,"Verde",IF($J480&gt;=Cadastro!$H$6,"Atenção","Crítico")))</f>
        <v/>
      </c>
      <c r="L480" s="14" t="n"/>
      <c r="M480" s="7">
        <f>IF($B480="","",$B480&amp;"|"&amp;$C480&amp;"|"&amp;TEXT($A480,"00000"))</f>
        <v/>
      </c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8">
        <f>IF(COUNT($E481:$I481)=0,"",ROUND(AVERAGE($E481:$I481),2))</f>
        <v/>
      </c>
      <c r="K481" s="7">
        <f>IF($J481="","",IF($J481&gt;=Cadastro!$H$5,"Verde",IF($J481&gt;=Cadastro!$H$6,"Atenção","Crítico")))</f>
        <v/>
      </c>
      <c r="L481" s="14" t="n"/>
      <c r="M481" s="7">
        <f>IF($B481="","",$B481&amp;"|"&amp;$C481&amp;"|"&amp;TEXT($A481,"00000"))</f>
        <v/>
      </c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8">
        <f>IF(COUNT($E482:$I482)=0,"",ROUND(AVERAGE($E482:$I482),2))</f>
        <v/>
      </c>
      <c r="K482" s="7">
        <f>IF($J482="","",IF($J482&gt;=Cadastro!$H$5,"Verde",IF($J482&gt;=Cadastro!$H$6,"Atenção","Crítico")))</f>
        <v/>
      </c>
      <c r="L482" s="14" t="n"/>
      <c r="M482" s="7">
        <f>IF($B482="","",$B482&amp;"|"&amp;$C482&amp;"|"&amp;TEXT($A482,"00000"))</f>
        <v/>
      </c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8">
        <f>IF(COUNT($E483:$I483)=0,"",ROUND(AVERAGE($E483:$I483),2))</f>
        <v/>
      </c>
      <c r="K483" s="7">
        <f>IF($J483="","",IF($J483&gt;=Cadastro!$H$5,"Verde",IF($J483&gt;=Cadastro!$H$6,"Atenção","Crítico")))</f>
        <v/>
      </c>
      <c r="L483" s="14" t="n"/>
      <c r="M483" s="7">
        <f>IF($B483="","",$B483&amp;"|"&amp;$C483&amp;"|"&amp;TEXT($A483,"00000"))</f>
        <v/>
      </c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8">
        <f>IF(COUNT($E484:$I484)=0,"",ROUND(AVERAGE($E484:$I484),2))</f>
        <v/>
      </c>
      <c r="K484" s="7">
        <f>IF($J484="","",IF($J484&gt;=Cadastro!$H$5,"Verde",IF($J484&gt;=Cadastro!$H$6,"Atenção","Crítico")))</f>
        <v/>
      </c>
      <c r="L484" s="14" t="n"/>
      <c r="M484" s="7">
        <f>IF($B484="","",$B484&amp;"|"&amp;$C484&amp;"|"&amp;TEXT($A484,"00000"))</f>
        <v/>
      </c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8">
        <f>IF(COUNT($E485:$I485)=0,"",ROUND(AVERAGE($E485:$I485),2))</f>
        <v/>
      </c>
      <c r="K485" s="7">
        <f>IF($J485="","",IF($J485&gt;=Cadastro!$H$5,"Verde",IF($J485&gt;=Cadastro!$H$6,"Atenção","Crítico")))</f>
        <v/>
      </c>
      <c r="L485" s="14" t="n"/>
      <c r="M485" s="7">
        <f>IF($B485="","",$B485&amp;"|"&amp;$C485&amp;"|"&amp;TEXT($A485,"00000"))</f>
        <v/>
      </c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8">
        <f>IF(COUNT($E486:$I486)=0,"",ROUND(AVERAGE($E486:$I486),2))</f>
        <v/>
      </c>
      <c r="K486" s="7">
        <f>IF($J486="","",IF($J486&gt;=Cadastro!$H$5,"Verde",IF($J486&gt;=Cadastro!$H$6,"Atenção","Crítico")))</f>
        <v/>
      </c>
      <c r="L486" s="14" t="n"/>
      <c r="M486" s="7">
        <f>IF($B486="","",$B486&amp;"|"&amp;$C486&amp;"|"&amp;TEXT($A486,"00000"))</f>
        <v/>
      </c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8">
        <f>IF(COUNT($E487:$I487)=0,"",ROUND(AVERAGE($E487:$I487),2))</f>
        <v/>
      </c>
      <c r="K487" s="7">
        <f>IF($J487="","",IF($J487&gt;=Cadastro!$H$5,"Verde",IF($J487&gt;=Cadastro!$H$6,"Atenção","Crítico")))</f>
        <v/>
      </c>
      <c r="L487" s="14" t="n"/>
      <c r="M487" s="7">
        <f>IF($B487="","",$B487&amp;"|"&amp;$C487&amp;"|"&amp;TEXT($A487,"00000"))</f>
        <v/>
      </c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8">
        <f>IF(COUNT($E488:$I488)=0,"",ROUND(AVERAGE($E488:$I488),2))</f>
        <v/>
      </c>
      <c r="K488" s="7">
        <f>IF($J488="","",IF($J488&gt;=Cadastro!$H$5,"Verde",IF($J488&gt;=Cadastro!$H$6,"Atenção","Crítico")))</f>
        <v/>
      </c>
      <c r="L488" s="14" t="n"/>
      <c r="M488" s="7">
        <f>IF($B488="","",$B488&amp;"|"&amp;$C488&amp;"|"&amp;TEXT($A488,"00000"))</f>
        <v/>
      </c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8">
        <f>IF(COUNT($E489:$I489)=0,"",ROUND(AVERAGE($E489:$I489),2))</f>
        <v/>
      </c>
      <c r="K489" s="7">
        <f>IF($J489="","",IF($J489&gt;=Cadastro!$H$5,"Verde",IF($J489&gt;=Cadastro!$H$6,"Atenção","Crítico")))</f>
        <v/>
      </c>
      <c r="L489" s="14" t="n"/>
      <c r="M489" s="7">
        <f>IF($B489="","",$B489&amp;"|"&amp;$C489&amp;"|"&amp;TEXT($A489,"00000"))</f>
        <v/>
      </c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8">
        <f>IF(COUNT($E490:$I490)=0,"",ROUND(AVERAGE($E490:$I490),2))</f>
        <v/>
      </c>
      <c r="K490" s="7">
        <f>IF($J490="","",IF($J490&gt;=Cadastro!$H$5,"Verde",IF($J490&gt;=Cadastro!$H$6,"Atenção","Crítico")))</f>
        <v/>
      </c>
      <c r="L490" s="14" t="n"/>
      <c r="M490" s="7">
        <f>IF($B490="","",$B490&amp;"|"&amp;$C490&amp;"|"&amp;TEXT($A490,"00000"))</f>
        <v/>
      </c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8">
        <f>IF(COUNT($E491:$I491)=0,"",ROUND(AVERAGE($E491:$I491),2))</f>
        <v/>
      </c>
      <c r="K491" s="7">
        <f>IF($J491="","",IF($J491&gt;=Cadastro!$H$5,"Verde",IF($J491&gt;=Cadastro!$H$6,"Atenção","Crítico")))</f>
        <v/>
      </c>
      <c r="L491" s="14" t="n"/>
      <c r="M491" s="7">
        <f>IF($B491="","",$B491&amp;"|"&amp;$C491&amp;"|"&amp;TEXT($A491,"00000"))</f>
        <v/>
      </c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8">
        <f>IF(COUNT($E492:$I492)=0,"",ROUND(AVERAGE($E492:$I492),2))</f>
        <v/>
      </c>
      <c r="K492" s="7">
        <f>IF($J492="","",IF($J492&gt;=Cadastro!$H$5,"Verde",IF($J492&gt;=Cadastro!$H$6,"Atenção","Crítico")))</f>
        <v/>
      </c>
      <c r="L492" s="14" t="n"/>
      <c r="M492" s="7">
        <f>IF($B492="","",$B492&amp;"|"&amp;$C492&amp;"|"&amp;TEXT($A492,"00000"))</f>
        <v/>
      </c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8">
        <f>IF(COUNT($E493:$I493)=0,"",ROUND(AVERAGE($E493:$I493),2))</f>
        <v/>
      </c>
      <c r="K493" s="7">
        <f>IF($J493="","",IF($J493&gt;=Cadastro!$H$5,"Verde",IF($J493&gt;=Cadastro!$H$6,"Atenção","Crítico")))</f>
        <v/>
      </c>
      <c r="L493" s="14" t="n"/>
      <c r="M493" s="7">
        <f>IF($B493="","",$B493&amp;"|"&amp;$C493&amp;"|"&amp;TEXT($A493,"00000"))</f>
        <v/>
      </c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8">
        <f>IF(COUNT($E494:$I494)=0,"",ROUND(AVERAGE($E494:$I494),2))</f>
        <v/>
      </c>
      <c r="K494" s="7">
        <f>IF($J494="","",IF($J494&gt;=Cadastro!$H$5,"Verde",IF($J494&gt;=Cadastro!$H$6,"Atenção","Crítico")))</f>
        <v/>
      </c>
      <c r="L494" s="14" t="n"/>
      <c r="M494" s="7">
        <f>IF($B494="","",$B494&amp;"|"&amp;$C494&amp;"|"&amp;TEXT($A494,"00000"))</f>
        <v/>
      </c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8">
        <f>IF(COUNT($E495:$I495)=0,"",ROUND(AVERAGE($E495:$I495),2))</f>
        <v/>
      </c>
      <c r="K495" s="7">
        <f>IF($J495="","",IF($J495&gt;=Cadastro!$H$5,"Verde",IF($J495&gt;=Cadastro!$H$6,"Atenção","Crítico")))</f>
        <v/>
      </c>
      <c r="L495" s="14" t="n"/>
      <c r="M495" s="7">
        <f>IF($B495="","",$B495&amp;"|"&amp;$C495&amp;"|"&amp;TEXT($A495,"00000"))</f>
        <v/>
      </c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8">
        <f>IF(COUNT($E496:$I496)=0,"",ROUND(AVERAGE($E496:$I496),2))</f>
        <v/>
      </c>
      <c r="K496" s="7">
        <f>IF($J496="","",IF($J496&gt;=Cadastro!$H$5,"Verde",IF($J496&gt;=Cadastro!$H$6,"Atenção","Crítico")))</f>
        <v/>
      </c>
      <c r="L496" s="14" t="n"/>
      <c r="M496" s="7">
        <f>IF($B496="","",$B496&amp;"|"&amp;$C496&amp;"|"&amp;TEXT($A496,"00000"))</f>
        <v/>
      </c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8">
        <f>IF(COUNT($E497:$I497)=0,"",ROUND(AVERAGE($E497:$I497),2))</f>
        <v/>
      </c>
      <c r="K497" s="7">
        <f>IF($J497="","",IF($J497&gt;=Cadastro!$H$5,"Verde",IF($J497&gt;=Cadastro!$H$6,"Atenção","Crítico")))</f>
        <v/>
      </c>
      <c r="L497" s="14" t="n"/>
      <c r="M497" s="7">
        <f>IF($B497="","",$B497&amp;"|"&amp;$C497&amp;"|"&amp;TEXT($A497,"00000"))</f>
        <v/>
      </c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8">
        <f>IF(COUNT($E498:$I498)=0,"",ROUND(AVERAGE($E498:$I498),2))</f>
        <v/>
      </c>
      <c r="K498" s="7">
        <f>IF($J498="","",IF($J498&gt;=Cadastro!$H$5,"Verde",IF($J498&gt;=Cadastro!$H$6,"Atenção","Crítico")))</f>
        <v/>
      </c>
      <c r="L498" s="14" t="n"/>
      <c r="M498" s="7">
        <f>IF($B498="","",$B498&amp;"|"&amp;$C498&amp;"|"&amp;TEXT($A498,"00000"))</f>
        <v/>
      </c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8">
        <f>IF(COUNT($E499:$I499)=0,"",ROUND(AVERAGE($E499:$I499),2))</f>
        <v/>
      </c>
      <c r="K499" s="7">
        <f>IF($J499="","",IF($J499&gt;=Cadastro!$H$5,"Verde",IF($J499&gt;=Cadastro!$H$6,"Atenção","Crítico")))</f>
        <v/>
      </c>
      <c r="L499" s="14" t="n"/>
      <c r="M499" s="7">
        <f>IF($B499="","",$B499&amp;"|"&amp;$C499&amp;"|"&amp;TEXT($A499,"00000"))</f>
        <v/>
      </c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8">
        <f>IF(COUNT($E500:$I500)=0,"",ROUND(AVERAGE($E500:$I500),2))</f>
        <v/>
      </c>
      <c r="K500" s="7">
        <f>IF($J500="","",IF($J500&gt;=Cadastro!$H$5,"Verde",IF($J500&gt;=Cadastro!$H$6,"Atenção","Crítico")))</f>
        <v/>
      </c>
      <c r="L500" s="14" t="n"/>
      <c r="M500" s="7">
        <f>IF($B500="","",$B500&amp;"|"&amp;$C500&amp;"|"&amp;TEXT($A500,"00000"))</f>
        <v/>
      </c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8">
        <f>IF(COUNT($E501:$I501)=0,"",ROUND(AVERAGE($E501:$I501),2))</f>
        <v/>
      </c>
      <c r="K501" s="7">
        <f>IF($J501="","",IF($J501&gt;=Cadastro!$H$5,"Verde",IF($J501&gt;=Cadastro!$H$6,"Atenção","Crítico")))</f>
        <v/>
      </c>
      <c r="L501" s="14" t="n"/>
      <c r="M501" s="7">
        <f>IF($B501="","",$B501&amp;"|"&amp;$C501&amp;"|"&amp;TEXT($A501,"00000"))</f>
        <v/>
      </c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8">
        <f>IF(COUNT($E502:$I502)=0,"",ROUND(AVERAGE($E502:$I502),2))</f>
        <v/>
      </c>
      <c r="K502" s="7">
        <f>IF($J502="","",IF($J502&gt;=Cadastro!$H$5,"Verde",IF($J502&gt;=Cadastro!$H$6,"Atenção","Crítico")))</f>
        <v/>
      </c>
      <c r="L502" s="14" t="n"/>
      <c r="M502" s="7">
        <f>IF($B502="","",$B502&amp;"|"&amp;$C502&amp;"|"&amp;TEXT($A502,"00000"))</f>
        <v/>
      </c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8">
        <f>IF(COUNT($E503:$I503)=0,"",ROUND(AVERAGE($E503:$I503),2))</f>
        <v/>
      </c>
      <c r="K503" s="7">
        <f>IF($J503="","",IF($J503&gt;=Cadastro!$H$5,"Verde",IF($J503&gt;=Cadastro!$H$6,"Atenção","Crítico")))</f>
        <v/>
      </c>
      <c r="L503" s="14" t="n"/>
      <c r="M503" s="7">
        <f>IF($B503="","",$B503&amp;"|"&amp;$C503&amp;"|"&amp;TEXT($A503,"00000"))</f>
        <v/>
      </c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8">
        <f>IF(COUNT($E504:$I504)=0,"",ROUND(AVERAGE($E504:$I504),2))</f>
        <v/>
      </c>
      <c r="K504" s="7">
        <f>IF($J504="","",IF($J504&gt;=Cadastro!$H$5,"Verde",IF($J504&gt;=Cadastro!$H$6,"Atenção","Crítico")))</f>
        <v/>
      </c>
      <c r="L504" s="14" t="n"/>
      <c r="M504" s="7">
        <f>IF($B504="","",$B504&amp;"|"&amp;$C504&amp;"|"&amp;TEXT($A504,"00000"))</f>
        <v/>
      </c>
    </row>
  </sheetData>
  <autoFilter ref="A4:L504"/>
  <conditionalFormatting sqref="K5:K504">
    <cfRule type="cellIs" priority="1" operator="equal" dxfId="6">
      <formula>"Verde"</formula>
    </cfRule>
    <cfRule type="cellIs" priority="2" operator="equal" dxfId="5">
      <formula>"Atenção"</formula>
    </cfRule>
    <cfRule type="cellIs" priority="3" operator="equal" dxfId="3">
      <formula>"Crítico"</formula>
    </cfRule>
  </conditionalFormatting>
  <conditionalFormatting sqref="E5:I504">
    <cfRule type="cellIs" priority="4" operator="lessThanOrEqual" dxfId="3">
      <formula>2</formula>
    </cfRule>
    <cfRule type="cellIs" priority="5" operator="greaterThanOrEqual" dxfId="6">
      <formula>5</formula>
    </cfRule>
  </conditionalFormatting>
  <dataValidations count="7">
    <dataValidation sqref="B5:B504" showDropDown="0" showInputMessage="0" showErrorMessage="0" allowBlank="1" type="list">
      <formula1>=Cadastro!$A$5:$A$53</formula1>
    </dataValidation>
    <dataValidation sqref="C5:C504" showDropDown="0" showInputMessage="0" showErrorMessage="0" allowBlank="1" type="list">
      <formula1>=Cadastro!$J$6:$J$7</formula1>
    </dataValidation>
    <dataValidation sqref="E5:E504" showDropDown="0" showInputMessage="0" showErrorMessage="0" allowBlank="1" type="list">
      <formula1>=Cadastro!$L$6:$L$10</formula1>
    </dataValidation>
    <dataValidation sqref="F5:F504" showDropDown="0" showInputMessage="0" showErrorMessage="0" allowBlank="1" type="list">
      <formula1>=Cadastro!$L$6:$L$10</formula1>
    </dataValidation>
    <dataValidation sqref="G5:G504" showDropDown="0" showInputMessage="0" showErrorMessage="0" allowBlank="1" type="list">
      <formula1>=Cadastro!$L$6:$L$10</formula1>
    </dataValidation>
    <dataValidation sqref="H5:H504" showDropDown="0" showInputMessage="0" showErrorMessage="0" allowBlank="1" type="list">
      <formula1>=Cadastro!$L$6:$L$10</formula1>
    </dataValidation>
    <dataValidation sqref="I5:I504" showDropDown="0" showInputMessage="0" showErrorMessage="0" allowBlank="1" type="list">
      <formula1>=Cadastro!$L$6:$L$10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96" customWidth="1" min="5" max="5"/>
  </cols>
  <sheetData>
    <row r="1" ht="24" customHeight="1">
      <c r="A1" s="1" t="inlineStr">
        <is>
          <t>Ocorrências</t>
        </is>
      </c>
    </row>
    <row r="2">
      <c r="A2" s="2" t="inlineStr">
        <is>
          <t>O que aconteceu no dia a dia e vale registrar. Não é só o negativo — registre o que foi bom também.</t>
        </is>
      </c>
    </row>
    <row r="3">
      <c r="A3" s="12" t="inlineStr">
        <is>
          <t>Escreva o FATO, não o julgamento: "subiu hotfix sem aprovação na sexta 18h", não "é descuidado".   ·   Nada de saúde, vida pessoal ou conduta — conduta vai direto para o RH.</t>
        </is>
      </c>
    </row>
    <row r="4" ht="34" customHeight="1">
      <c r="A4" s="6" t="inlineStr">
        <is>
          <t>Data</t>
        </is>
      </c>
      <c r="B4" s="6" t="inlineStr">
        <is>
          <t>Colaborador</t>
        </is>
      </c>
      <c r="C4" s="6" t="inlineStr">
        <is>
          <t>Tipo</t>
        </is>
      </c>
      <c r="D4" s="6" t="inlineStr">
        <is>
          <t>Registrado por</t>
        </is>
      </c>
      <c r="E4" s="6" t="inlineStr">
        <is>
          <t>O que aconteceu</t>
        </is>
      </c>
    </row>
    <row r="5">
      <c r="A5" s="13" t="n">
        <v>46245</v>
      </c>
      <c r="B5" s="14" t="inlineStr">
        <is>
          <t>Ana Ribeiro</t>
        </is>
      </c>
      <c r="C5" s="14" t="inlineStr">
        <is>
          <t>Positiva</t>
        </is>
      </c>
      <c r="D5" s="14" t="inlineStr">
        <is>
          <t>Rafael Souza</t>
        </is>
      </c>
      <c r="E5" s="14" t="inlineStr">
        <is>
          <t>No PR #812 pegou uma condição de corrida no resgate de cupom antes do merge. Evitou bug de duplicidade em produção.</t>
        </is>
      </c>
    </row>
    <row r="6">
      <c r="A6" s="13" t="n">
        <v>46246</v>
      </c>
      <c r="B6" s="14" t="inlineStr">
        <is>
          <t>Bruno Tavares</t>
        </is>
      </c>
      <c r="C6" s="14" t="inlineStr">
        <is>
          <t>Ponto de atenção</t>
        </is>
      </c>
      <c r="D6" s="14" t="inlineStr">
        <is>
          <t>Marcos Lima</t>
        </is>
      </c>
      <c r="E6" s="14" t="inlineStr">
        <is>
          <t>Card CB-118 ficou 4 dias sem atualização; o bloqueio só apareceu na review. Conversado na 1:1 de 13/08.</t>
        </is>
      </c>
    </row>
    <row r="7">
      <c r="A7" s="13" t="n">
        <v>46259</v>
      </c>
      <c r="B7" s="14" t="inlineStr">
        <is>
          <t>Carla Nunes</t>
        </is>
      </c>
      <c r="C7" s="14" t="inlineStr">
        <is>
          <t>Positiva</t>
        </is>
      </c>
      <c r="D7" s="14" t="inlineStr">
        <is>
          <t>Rafael Souza</t>
        </is>
      </c>
      <c r="E7" s="14" t="inlineStr">
        <is>
          <t>Escreveu a ADR-07 do advisory lock e conduziu a sessão de 40 min com as squads Alfa e Beta.</t>
        </is>
      </c>
    </row>
    <row r="8">
      <c r="A8" s="13" t="n">
        <v>46260</v>
      </c>
      <c r="B8" s="14" t="inlineStr">
        <is>
          <t>Carla Nunes</t>
        </is>
      </c>
      <c r="C8" s="14" t="inlineStr">
        <is>
          <t>Ponto de atenção</t>
        </is>
      </c>
      <c r="D8" s="14" t="inlineStr">
        <is>
          <t>Marcos Lima</t>
        </is>
      </c>
      <c r="E8" s="14" t="inlineStr">
        <is>
          <t>Disse que quer trilha técnica e não gestão. Aceitou o papel de LT por falta de alternativa.</t>
        </is>
      </c>
    </row>
    <row r="9">
      <c r="A9" s="13" t="n"/>
      <c r="B9" s="14" t="n"/>
      <c r="C9" s="14" t="n"/>
      <c r="D9" s="14" t="n"/>
      <c r="E9" s="14" t="n"/>
    </row>
    <row r="10">
      <c r="A10" s="13" t="n"/>
      <c r="B10" s="14" t="n"/>
      <c r="C10" s="14" t="n"/>
      <c r="D10" s="14" t="n"/>
      <c r="E10" s="14" t="n"/>
    </row>
    <row r="11">
      <c r="A11" s="13" t="n"/>
      <c r="B11" s="14" t="n"/>
      <c r="C11" s="14" t="n"/>
      <c r="D11" s="14" t="n"/>
      <c r="E11" s="14" t="n"/>
    </row>
    <row r="12">
      <c r="A12" s="13" t="n"/>
      <c r="B12" s="14" t="n"/>
      <c r="C12" s="14" t="n"/>
      <c r="D12" s="14" t="n"/>
      <c r="E12" s="14" t="n"/>
    </row>
    <row r="13">
      <c r="A13" s="13" t="n"/>
      <c r="B13" s="14" t="n"/>
      <c r="C13" s="14" t="n"/>
      <c r="D13" s="14" t="n"/>
      <c r="E13" s="14" t="n"/>
    </row>
    <row r="14">
      <c r="A14" s="13" t="n"/>
      <c r="B14" s="14" t="n"/>
      <c r="C14" s="14" t="n"/>
      <c r="D14" s="14" t="n"/>
      <c r="E14" s="14" t="n"/>
    </row>
    <row r="15">
      <c r="A15" s="13" t="n"/>
      <c r="B15" s="14" t="n"/>
      <c r="C15" s="14" t="n"/>
      <c r="D15" s="14" t="n"/>
      <c r="E15" s="14" t="n"/>
    </row>
    <row r="16">
      <c r="A16" s="13" t="n"/>
      <c r="B16" s="14" t="n"/>
      <c r="C16" s="14" t="n"/>
      <c r="D16" s="14" t="n"/>
      <c r="E16" s="14" t="n"/>
    </row>
    <row r="17">
      <c r="A17" s="13" t="n"/>
      <c r="B17" s="14" t="n"/>
      <c r="C17" s="14" t="n"/>
      <c r="D17" s="14" t="n"/>
      <c r="E17" s="14" t="n"/>
    </row>
    <row r="18">
      <c r="A18" s="13" t="n"/>
      <c r="B18" s="14" t="n"/>
      <c r="C18" s="14" t="n"/>
      <c r="D18" s="14" t="n"/>
      <c r="E18" s="14" t="n"/>
    </row>
    <row r="19">
      <c r="A19" s="13" t="n"/>
      <c r="B19" s="14" t="n"/>
      <c r="C19" s="14" t="n"/>
      <c r="D19" s="14" t="n"/>
      <c r="E19" s="14" t="n"/>
    </row>
    <row r="20">
      <c r="A20" s="13" t="n"/>
      <c r="B20" s="14" t="n"/>
      <c r="C20" s="14" t="n"/>
      <c r="D20" s="14" t="n"/>
      <c r="E20" s="14" t="n"/>
    </row>
    <row r="21">
      <c r="A21" s="13" t="n"/>
      <c r="B21" s="14" t="n"/>
      <c r="C21" s="14" t="n"/>
      <c r="D21" s="14" t="n"/>
      <c r="E21" s="14" t="n"/>
    </row>
    <row r="22">
      <c r="A22" s="13" t="n"/>
      <c r="B22" s="14" t="n"/>
      <c r="C22" s="14" t="n"/>
      <c r="D22" s="14" t="n"/>
      <c r="E22" s="14" t="n"/>
    </row>
    <row r="23">
      <c r="A23" s="13" t="n"/>
      <c r="B23" s="14" t="n"/>
      <c r="C23" s="14" t="n"/>
      <c r="D23" s="14" t="n"/>
      <c r="E23" s="14" t="n"/>
    </row>
    <row r="24">
      <c r="A24" s="13" t="n"/>
      <c r="B24" s="14" t="n"/>
      <c r="C24" s="14" t="n"/>
      <c r="D24" s="14" t="n"/>
      <c r="E24" s="14" t="n"/>
    </row>
    <row r="25">
      <c r="A25" s="13" t="n"/>
      <c r="B25" s="14" t="n"/>
      <c r="C25" s="14" t="n"/>
      <c r="D25" s="14" t="n"/>
      <c r="E25" s="14" t="n"/>
    </row>
    <row r="26">
      <c r="A26" s="13" t="n"/>
      <c r="B26" s="14" t="n"/>
      <c r="C26" s="14" t="n"/>
      <c r="D26" s="14" t="n"/>
      <c r="E26" s="14" t="n"/>
    </row>
    <row r="27">
      <c r="A27" s="13" t="n"/>
      <c r="B27" s="14" t="n"/>
      <c r="C27" s="14" t="n"/>
      <c r="D27" s="14" t="n"/>
      <c r="E27" s="14" t="n"/>
    </row>
    <row r="28">
      <c r="A28" s="13" t="n"/>
      <c r="B28" s="14" t="n"/>
      <c r="C28" s="14" t="n"/>
      <c r="D28" s="14" t="n"/>
      <c r="E28" s="14" t="n"/>
    </row>
    <row r="29">
      <c r="A29" s="13" t="n"/>
      <c r="B29" s="14" t="n"/>
      <c r="C29" s="14" t="n"/>
      <c r="D29" s="14" t="n"/>
      <c r="E29" s="14" t="n"/>
    </row>
    <row r="30">
      <c r="A30" s="13" t="n"/>
      <c r="B30" s="14" t="n"/>
      <c r="C30" s="14" t="n"/>
      <c r="D30" s="14" t="n"/>
      <c r="E30" s="14" t="n"/>
    </row>
    <row r="31">
      <c r="A31" s="13" t="n"/>
      <c r="B31" s="14" t="n"/>
      <c r="C31" s="14" t="n"/>
      <c r="D31" s="14" t="n"/>
      <c r="E31" s="14" t="n"/>
    </row>
    <row r="32">
      <c r="A32" s="13" t="n"/>
      <c r="B32" s="14" t="n"/>
      <c r="C32" s="14" t="n"/>
      <c r="D32" s="14" t="n"/>
      <c r="E32" s="14" t="n"/>
    </row>
    <row r="33">
      <c r="A33" s="13" t="n"/>
      <c r="B33" s="14" t="n"/>
      <c r="C33" s="14" t="n"/>
      <c r="D33" s="14" t="n"/>
      <c r="E33" s="14" t="n"/>
    </row>
    <row r="34">
      <c r="A34" s="13" t="n"/>
      <c r="B34" s="14" t="n"/>
      <c r="C34" s="14" t="n"/>
      <c r="D34" s="14" t="n"/>
      <c r="E34" s="14" t="n"/>
    </row>
    <row r="35">
      <c r="A35" s="13" t="n"/>
      <c r="B35" s="14" t="n"/>
      <c r="C35" s="14" t="n"/>
      <c r="D35" s="14" t="n"/>
      <c r="E35" s="14" t="n"/>
    </row>
    <row r="36">
      <c r="A36" s="13" t="n"/>
      <c r="B36" s="14" t="n"/>
      <c r="C36" s="14" t="n"/>
      <c r="D36" s="14" t="n"/>
      <c r="E36" s="14" t="n"/>
    </row>
    <row r="37">
      <c r="A37" s="13" t="n"/>
      <c r="B37" s="14" t="n"/>
      <c r="C37" s="14" t="n"/>
      <c r="D37" s="14" t="n"/>
      <c r="E37" s="14" t="n"/>
    </row>
    <row r="38">
      <c r="A38" s="13" t="n"/>
      <c r="B38" s="14" t="n"/>
      <c r="C38" s="14" t="n"/>
      <c r="D38" s="14" t="n"/>
      <c r="E38" s="14" t="n"/>
    </row>
    <row r="39">
      <c r="A39" s="13" t="n"/>
      <c r="B39" s="14" t="n"/>
      <c r="C39" s="14" t="n"/>
      <c r="D39" s="14" t="n"/>
      <c r="E39" s="14" t="n"/>
    </row>
    <row r="40">
      <c r="A40" s="13" t="n"/>
      <c r="B40" s="14" t="n"/>
      <c r="C40" s="14" t="n"/>
      <c r="D40" s="14" t="n"/>
      <c r="E40" s="14" t="n"/>
    </row>
    <row r="41">
      <c r="A41" s="13" t="n"/>
      <c r="B41" s="14" t="n"/>
      <c r="C41" s="14" t="n"/>
      <c r="D41" s="14" t="n"/>
      <c r="E41" s="14" t="n"/>
    </row>
    <row r="42">
      <c r="A42" s="13" t="n"/>
      <c r="B42" s="14" t="n"/>
      <c r="C42" s="14" t="n"/>
      <c r="D42" s="14" t="n"/>
      <c r="E42" s="14" t="n"/>
    </row>
    <row r="43">
      <c r="A43" s="13" t="n"/>
      <c r="B43" s="14" t="n"/>
      <c r="C43" s="14" t="n"/>
      <c r="D43" s="14" t="n"/>
      <c r="E43" s="14" t="n"/>
    </row>
    <row r="44">
      <c r="A44" s="13" t="n"/>
      <c r="B44" s="14" t="n"/>
      <c r="C44" s="14" t="n"/>
      <c r="D44" s="14" t="n"/>
      <c r="E44" s="14" t="n"/>
    </row>
    <row r="45">
      <c r="A45" s="13" t="n"/>
      <c r="B45" s="14" t="n"/>
      <c r="C45" s="14" t="n"/>
      <c r="D45" s="14" t="n"/>
      <c r="E45" s="14" t="n"/>
    </row>
    <row r="46">
      <c r="A46" s="13" t="n"/>
      <c r="B46" s="14" t="n"/>
      <c r="C46" s="14" t="n"/>
      <c r="D46" s="14" t="n"/>
      <c r="E46" s="14" t="n"/>
    </row>
    <row r="47">
      <c r="A47" s="13" t="n"/>
      <c r="B47" s="14" t="n"/>
      <c r="C47" s="14" t="n"/>
      <c r="D47" s="14" t="n"/>
      <c r="E47" s="14" t="n"/>
    </row>
    <row r="48">
      <c r="A48" s="13" t="n"/>
      <c r="B48" s="14" t="n"/>
      <c r="C48" s="14" t="n"/>
      <c r="D48" s="14" t="n"/>
      <c r="E48" s="14" t="n"/>
    </row>
    <row r="49">
      <c r="A49" s="13" t="n"/>
      <c r="B49" s="14" t="n"/>
      <c r="C49" s="14" t="n"/>
      <c r="D49" s="14" t="n"/>
      <c r="E49" s="14" t="n"/>
    </row>
    <row r="50">
      <c r="A50" s="13" t="n"/>
      <c r="B50" s="14" t="n"/>
      <c r="C50" s="14" t="n"/>
      <c r="D50" s="14" t="n"/>
      <c r="E50" s="14" t="n"/>
    </row>
    <row r="51">
      <c r="A51" s="13" t="n"/>
      <c r="B51" s="14" t="n"/>
      <c r="C51" s="14" t="n"/>
      <c r="D51" s="14" t="n"/>
      <c r="E51" s="14" t="n"/>
    </row>
    <row r="52">
      <c r="A52" s="13" t="n"/>
      <c r="B52" s="14" t="n"/>
      <c r="C52" s="14" t="n"/>
      <c r="D52" s="14" t="n"/>
      <c r="E52" s="14" t="n"/>
    </row>
    <row r="53">
      <c r="A53" s="13" t="n"/>
      <c r="B53" s="14" t="n"/>
      <c r="C53" s="14" t="n"/>
      <c r="D53" s="14" t="n"/>
      <c r="E53" s="14" t="n"/>
    </row>
    <row r="54">
      <c r="A54" s="13" t="n"/>
      <c r="B54" s="14" t="n"/>
      <c r="C54" s="14" t="n"/>
      <c r="D54" s="14" t="n"/>
      <c r="E54" s="14" t="n"/>
    </row>
    <row r="55">
      <c r="A55" s="13" t="n"/>
      <c r="B55" s="14" t="n"/>
      <c r="C55" s="14" t="n"/>
      <c r="D55" s="14" t="n"/>
      <c r="E55" s="14" t="n"/>
    </row>
    <row r="56">
      <c r="A56" s="13" t="n"/>
      <c r="B56" s="14" t="n"/>
      <c r="C56" s="14" t="n"/>
      <c r="D56" s="14" t="n"/>
      <c r="E56" s="14" t="n"/>
    </row>
    <row r="57">
      <c r="A57" s="13" t="n"/>
      <c r="B57" s="14" t="n"/>
      <c r="C57" s="14" t="n"/>
      <c r="D57" s="14" t="n"/>
      <c r="E57" s="14" t="n"/>
    </row>
    <row r="58">
      <c r="A58" s="13" t="n"/>
      <c r="B58" s="14" t="n"/>
      <c r="C58" s="14" t="n"/>
      <c r="D58" s="14" t="n"/>
      <c r="E58" s="14" t="n"/>
    </row>
    <row r="59">
      <c r="A59" s="13" t="n"/>
      <c r="B59" s="14" t="n"/>
      <c r="C59" s="14" t="n"/>
      <c r="D59" s="14" t="n"/>
      <c r="E59" s="14" t="n"/>
    </row>
    <row r="60">
      <c r="A60" s="13" t="n"/>
      <c r="B60" s="14" t="n"/>
      <c r="C60" s="14" t="n"/>
      <c r="D60" s="14" t="n"/>
      <c r="E60" s="14" t="n"/>
    </row>
    <row r="61">
      <c r="A61" s="13" t="n"/>
      <c r="B61" s="14" t="n"/>
      <c r="C61" s="14" t="n"/>
      <c r="D61" s="14" t="n"/>
      <c r="E61" s="14" t="n"/>
    </row>
    <row r="62">
      <c r="A62" s="13" t="n"/>
      <c r="B62" s="14" t="n"/>
      <c r="C62" s="14" t="n"/>
      <c r="D62" s="14" t="n"/>
      <c r="E62" s="14" t="n"/>
    </row>
    <row r="63">
      <c r="A63" s="13" t="n"/>
      <c r="B63" s="14" t="n"/>
      <c r="C63" s="14" t="n"/>
      <c r="D63" s="14" t="n"/>
      <c r="E63" s="14" t="n"/>
    </row>
    <row r="64">
      <c r="A64" s="13" t="n"/>
      <c r="B64" s="14" t="n"/>
      <c r="C64" s="14" t="n"/>
      <c r="D64" s="14" t="n"/>
      <c r="E64" s="14" t="n"/>
    </row>
    <row r="65">
      <c r="A65" s="13" t="n"/>
      <c r="B65" s="14" t="n"/>
      <c r="C65" s="14" t="n"/>
      <c r="D65" s="14" t="n"/>
      <c r="E65" s="14" t="n"/>
    </row>
    <row r="66">
      <c r="A66" s="13" t="n"/>
      <c r="B66" s="14" t="n"/>
      <c r="C66" s="14" t="n"/>
      <c r="D66" s="14" t="n"/>
      <c r="E66" s="14" t="n"/>
    </row>
    <row r="67">
      <c r="A67" s="13" t="n"/>
      <c r="B67" s="14" t="n"/>
      <c r="C67" s="14" t="n"/>
      <c r="D67" s="14" t="n"/>
      <c r="E67" s="14" t="n"/>
    </row>
    <row r="68">
      <c r="A68" s="13" t="n"/>
      <c r="B68" s="14" t="n"/>
      <c r="C68" s="14" t="n"/>
      <c r="D68" s="14" t="n"/>
      <c r="E68" s="14" t="n"/>
    </row>
    <row r="69">
      <c r="A69" s="13" t="n"/>
      <c r="B69" s="14" t="n"/>
      <c r="C69" s="14" t="n"/>
      <c r="D69" s="14" t="n"/>
      <c r="E69" s="14" t="n"/>
    </row>
    <row r="70">
      <c r="A70" s="13" t="n"/>
      <c r="B70" s="14" t="n"/>
      <c r="C70" s="14" t="n"/>
      <c r="D70" s="14" t="n"/>
      <c r="E70" s="14" t="n"/>
    </row>
    <row r="71">
      <c r="A71" s="13" t="n"/>
      <c r="B71" s="14" t="n"/>
      <c r="C71" s="14" t="n"/>
      <c r="D71" s="14" t="n"/>
      <c r="E71" s="14" t="n"/>
    </row>
    <row r="72">
      <c r="A72" s="13" t="n"/>
      <c r="B72" s="14" t="n"/>
      <c r="C72" s="14" t="n"/>
      <c r="D72" s="14" t="n"/>
      <c r="E72" s="14" t="n"/>
    </row>
    <row r="73">
      <c r="A73" s="13" t="n"/>
      <c r="B73" s="14" t="n"/>
      <c r="C73" s="14" t="n"/>
      <c r="D73" s="14" t="n"/>
      <c r="E73" s="14" t="n"/>
    </row>
    <row r="74">
      <c r="A74" s="13" t="n"/>
      <c r="B74" s="14" t="n"/>
      <c r="C74" s="14" t="n"/>
      <c r="D74" s="14" t="n"/>
      <c r="E74" s="14" t="n"/>
    </row>
    <row r="75">
      <c r="A75" s="13" t="n"/>
      <c r="B75" s="14" t="n"/>
      <c r="C75" s="14" t="n"/>
      <c r="D75" s="14" t="n"/>
      <c r="E75" s="14" t="n"/>
    </row>
    <row r="76">
      <c r="A76" s="13" t="n"/>
      <c r="B76" s="14" t="n"/>
      <c r="C76" s="14" t="n"/>
      <c r="D76" s="14" t="n"/>
      <c r="E76" s="14" t="n"/>
    </row>
    <row r="77">
      <c r="A77" s="13" t="n"/>
      <c r="B77" s="14" t="n"/>
      <c r="C77" s="14" t="n"/>
      <c r="D77" s="14" t="n"/>
      <c r="E77" s="14" t="n"/>
    </row>
    <row r="78">
      <c r="A78" s="13" t="n"/>
      <c r="B78" s="14" t="n"/>
      <c r="C78" s="14" t="n"/>
      <c r="D78" s="14" t="n"/>
      <c r="E78" s="14" t="n"/>
    </row>
    <row r="79">
      <c r="A79" s="13" t="n"/>
      <c r="B79" s="14" t="n"/>
      <c r="C79" s="14" t="n"/>
      <c r="D79" s="14" t="n"/>
      <c r="E79" s="14" t="n"/>
    </row>
    <row r="80">
      <c r="A80" s="13" t="n"/>
      <c r="B80" s="14" t="n"/>
      <c r="C80" s="14" t="n"/>
      <c r="D80" s="14" t="n"/>
      <c r="E80" s="14" t="n"/>
    </row>
    <row r="81">
      <c r="A81" s="13" t="n"/>
      <c r="B81" s="14" t="n"/>
      <c r="C81" s="14" t="n"/>
      <c r="D81" s="14" t="n"/>
      <c r="E81" s="14" t="n"/>
    </row>
    <row r="82">
      <c r="A82" s="13" t="n"/>
      <c r="B82" s="14" t="n"/>
      <c r="C82" s="14" t="n"/>
      <c r="D82" s="14" t="n"/>
      <c r="E82" s="14" t="n"/>
    </row>
    <row r="83">
      <c r="A83" s="13" t="n"/>
      <c r="B83" s="14" t="n"/>
      <c r="C83" s="14" t="n"/>
      <c r="D83" s="14" t="n"/>
      <c r="E83" s="14" t="n"/>
    </row>
    <row r="84">
      <c r="A84" s="13" t="n"/>
      <c r="B84" s="14" t="n"/>
      <c r="C84" s="14" t="n"/>
      <c r="D84" s="14" t="n"/>
      <c r="E84" s="14" t="n"/>
    </row>
    <row r="85">
      <c r="A85" s="13" t="n"/>
      <c r="B85" s="14" t="n"/>
      <c r="C85" s="14" t="n"/>
      <c r="D85" s="14" t="n"/>
      <c r="E85" s="14" t="n"/>
    </row>
    <row r="86">
      <c r="A86" s="13" t="n"/>
      <c r="B86" s="14" t="n"/>
      <c r="C86" s="14" t="n"/>
      <c r="D86" s="14" t="n"/>
      <c r="E86" s="14" t="n"/>
    </row>
    <row r="87">
      <c r="A87" s="13" t="n"/>
      <c r="B87" s="14" t="n"/>
      <c r="C87" s="14" t="n"/>
      <c r="D87" s="14" t="n"/>
      <c r="E87" s="14" t="n"/>
    </row>
    <row r="88">
      <c r="A88" s="13" t="n"/>
      <c r="B88" s="14" t="n"/>
      <c r="C88" s="14" t="n"/>
      <c r="D88" s="14" t="n"/>
      <c r="E88" s="14" t="n"/>
    </row>
    <row r="89">
      <c r="A89" s="13" t="n"/>
      <c r="B89" s="14" t="n"/>
      <c r="C89" s="14" t="n"/>
      <c r="D89" s="14" t="n"/>
      <c r="E89" s="14" t="n"/>
    </row>
    <row r="90">
      <c r="A90" s="13" t="n"/>
      <c r="B90" s="14" t="n"/>
      <c r="C90" s="14" t="n"/>
      <c r="D90" s="14" t="n"/>
      <c r="E90" s="14" t="n"/>
    </row>
    <row r="91">
      <c r="A91" s="13" t="n"/>
      <c r="B91" s="14" t="n"/>
      <c r="C91" s="14" t="n"/>
      <c r="D91" s="14" t="n"/>
      <c r="E91" s="14" t="n"/>
    </row>
    <row r="92">
      <c r="A92" s="13" t="n"/>
      <c r="B92" s="14" t="n"/>
      <c r="C92" s="14" t="n"/>
      <c r="D92" s="14" t="n"/>
      <c r="E92" s="14" t="n"/>
    </row>
    <row r="93">
      <c r="A93" s="13" t="n"/>
      <c r="B93" s="14" t="n"/>
      <c r="C93" s="14" t="n"/>
      <c r="D93" s="14" t="n"/>
      <c r="E93" s="14" t="n"/>
    </row>
    <row r="94">
      <c r="A94" s="13" t="n"/>
      <c r="B94" s="14" t="n"/>
      <c r="C94" s="14" t="n"/>
      <c r="D94" s="14" t="n"/>
      <c r="E94" s="14" t="n"/>
    </row>
    <row r="95">
      <c r="A95" s="13" t="n"/>
      <c r="B95" s="14" t="n"/>
      <c r="C95" s="14" t="n"/>
      <c r="D95" s="14" t="n"/>
      <c r="E95" s="14" t="n"/>
    </row>
    <row r="96">
      <c r="A96" s="13" t="n"/>
      <c r="B96" s="14" t="n"/>
      <c r="C96" s="14" t="n"/>
      <c r="D96" s="14" t="n"/>
      <c r="E96" s="14" t="n"/>
    </row>
    <row r="97">
      <c r="A97" s="13" t="n"/>
      <c r="B97" s="14" t="n"/>
      <c r="C97" s="14" t="n"/>
      <c r="D97" s="14" t="n"/>
      <c r="E97" s="14" t="n"/>
    </row>
    <row r="98">
      <c r="A98" s="13" t="n"/>
      <c r="B98" s="14" t="n"/>
      <c r="C98" s="14" t="n"/>
      <c r="D98" s="14" t="n"/>
      <c r="E98" s="14" t="n"/>
    </row>
    <row r="99">
      <c r="A99" s="13" t="n"/>
      <c r="B99" s="14" t="n"/>
      <c r="C99" s="14" t="n"/>
      <c r="D99" s="14" t="n"/>
      <c r="E99" s="14" t="n"/>
    </row>
    <row r="100">
      <c r="A100" s="13" t="n"/>
      <c r="B100" s="14" t="n"/>
      <c r="C100" s="14" t="n"/>
      <c r="D100" s="14" t="n"/>
      <c r="E100" s="14" t="n"/>
    </row>
    <row r="101">
      <c r="A101" s="13" t="n"/>
      <c r="B101" s="14" t="n"/>
      <c r="C101" s="14" t="n"/>
      <c r="D101" s="14" t="n"/>
      <c r="E101" s="14" t="n"/>
    </row>
    <row r="102">
      <c r="A102" s="13" t="n"/>
      <c r="B102" s="14" t="n"/>
      <c r="C102" s="14" t="n"/>
      <c r="D102" s="14" t="n"/>
      <c r="E102" s="14" t="n"/>
    </row>
    <row r="103">
      <c r="A103" s="13" t="n"/>
      <c r="B103" s="14" t="n"/>
      <c r="C103" s="14" t="n"/>
      <c r="D103" s="14" t="n"/>
      <c r="E103" s="14" t="n"/>
    </row>
    <row r="104">
      <c r="A104" s="13" t="n"/>
      <c r="B104" s="14" t="n"/>
      <c r="C104" s="14" t="n"/>
      <c r="D104" s="14" t="n"/>
      <c r="E104" s="14" t="n"/>
    </row>
    <row r="105">
      <c r="A105" s="13" t="n"/>
      <c r="B105" s="14" t="n"/>
      <c r="C105" s="14" t="n"/>
      <c r="D105" s="14" t="n"/>
      <c r="E105" s="14" t="n"/>
    </row>
    <row r="106">
      <c r="A106" s="13" t="n"/>
      <c r="B106" s="14" t="n"/>
      <c r="C106" s="14" t="n"/>
      <c r="D106" s="14" t="n"/>
      <c r="E106" s="14" t="n"/>
    </row>
    <row r="107">
      <c r="A107" s="13" t="n"/>
      <c r="B107" s="14" t="n"/>
      <c r="C107" s="14" t="n"/>
      <c r="D107" s="14" t="n"/>
      <c r="E107" s="14" t="n"/>
    </row>
    <row r="108">
      <c r="A108" s="13" t="n"/>
      <c r="B108" s="14" t="n"/>
      <c r="C108" s="14" t="n"/>
      <c r="D108" s="14" t="n"/>
      <c r="E108" s="14" t="n"/>
    </row>
    <row r="109">
      <c r="A109" s="13" t="n"/>
      <c r="B109" s="14" t="n"/>
      <c r="C109" s="14" t="n"/>
      <c r="D109" s="14" t="n"/>
      <c r="E109" s="14" t="n"/>
    </row>
    <row r="110">
      <c r="A110" s="13" t="n"/>
      <c r="B110" s="14" t="n"/>
      <c r="C110" s="14" t="n"/>
      <c r="D110" s="14" t="n"/>
      <c r="E110" s="14" t="n"/>
    </row>
    <row r="111">
      <c r="A111" s="13" t="n"/>
      <c r="B111" s="14" t="n"/>
      <c r="C111" s="14" t="n"/>
      <c r="D111" s="14" t="n"/>
      <c r="E111" s="14" t="n"/>
    </row>
    <row r="112">
      <c r="A112" s="13" t="n"/>
      <c r="B112" s="14" t="n"/>
      <c r="C112" s="14" t="n"/>
      <c r="D112" s="14" t="n"/>
      <c r="E112" s="14" t="n"/>
    </row>
    <row r="113">
      <c r="A113" s="13" t="n"/>
      <c r="B113" s="14" t="n"/>
      <c r="C113" s="14" t="n"/>
      <c r="D113" s="14" t="n"/>
      <c r="E113" s="14" t="n"/>
    </row>
    <row r="114">
      <c r="A114" s="13" t="n"/>
      <c r="B114" s="14" t="n"/>
      <c r="C114" s="14" t="n"/>
      <c r="D114" s="14" t="n"/>
      <c r="E114" s="14" t="n"/>
    </row>
    <row r="115">
      <c r="A115" s="13" t="n"/>
      <c r="B115" s="14" t="n"/>
      <c r="C115" s="14" t="n"/>
      <c r="D115" s="14" t="n"/>
      <c r="E115" s="14" t="n"/>
    </row>
    <row r="116">
      <c r="A116" s="13" t="n"/>
      <c r="B116" s="14" t="n"/>
      <c r="C116" s="14" t="n"/>
      <c r="D116" s="14" t="n"/>
      <c r="E116" s="14" t="n"/>
    </row>
    <row r="117">
      <c r="A117" s="13" t="n"/>
      <c r="B117" s="14" t="n"/>
      <c r="C117" s="14" t="n"/>
      <c r="D117" s="14" t="n"/>
      <c r="E117" s="14" t="n"/>
    </row>
    <row r="118">
      <c r="A118" s="13" t="n"/>
      <c r="B118" s="14" t="n"/>
      <c r="C118" s="14" t="n"/>
      <c r="D118" s="14" t="n"/>
      <c r="E118" s="14" t="n"/>
    </row>
    <row r="119">
      <c r="A119" s="13" t="n"/>
      <c r="B119" s="14" t="n"/>
      <c r="C119" s="14" t="n"/>
      <c r="D119" s="14" t="n"/>
      <c r="E119" s="14" t="n"/>
    </row>
    <row r="120">
      <c r="A120" s="13" t="n"/>
      <c r="B120" s="14" t="n"/>
      <c r="C120" s="14" t="n"/>
      <c r="D120" s="14" t="n"/>
      <c r="E120" s="14" t="n"/>
    </row>
    <row r="121">
      <c r="A121" s="13" t="n"/>
      <c r="B121" s="14" t="n"/>
      <c r="C121" s="14" t="n"/>
      <c r="D121" s="14" t="n"/>
      <c r="E121" s="14" t="n"/>
    </row>
    <row r="122">
      <c r="A122" s="13" t="n"/>
      <c r="B122" s="14" t="n"/>
      <c r="C122" s="14" t="n"/>
      <c r="D122" s="14" t="n"/>
      <c r="E122" s="14" t="n"/>
    </row>
    <row r="123">
      <c r="A123" s="13" t="n"/>
      <c r="B123" s="14" t="n"/>
      <c r="C123" s="14" t="n"/>
      <c r="D123" s="14" t="n"/>
      <c r="E123" s="14" t="n"/>
    </row>
    <row r="124">
      <c r="A124" s="13" t="n"/>
      <c r="B124" s="14" t="n"/>
      <c r="C124" s="14" t="n"/>
      <c r="D124" s="14" t="n"/>
      <c r="E124" s="14" t="n"/>
    </row>
    <row r="125">
      <c r="A125" s="13" t="n"/>
      <c r="B125" s="14" t="n"/>
      <c r="C125" s="14" t="n"/>
      <c r="D125" s="14" t="n"/>
      <c r="E125" s="14" t="n"/>
    </row>
    <row r="126">
      <c r="A126" s="13" t="n"/>
      <c r="B126" s="14" t="n"/>
      <c r="C126" s="14" t="n"/>
      <c r="D126" s="14" t="n"/>
      <c r="E126" s="14" t="n"/>
    </row>
    <row r="127">
      <c r="A127" s="13" t="n"/>
      <c r="B127" s="14" t="n"/>
      <c r="C127" s="14" t="n"/>
      <c r="D127" s="14" t="n"/>
      <c r="E127" s="14" t="n"/>
    </row>
    <row r="128">
      <c r="A128" s="13" t="n"/>
      <c r="B128" s="14" t="n"/>
      <c r="C128" s="14" t="n"/>
      <c r="D128" s="14" t="n"/>
      <c r="E128" s="14" t="n"/>
    </row>
    <row r="129">
      <c r="A129" s="13" t="n"/>
      <c r="B129" s="14" t="n"/>
      <c r="C129" s="14" t="n"/>
      <c r="D129" s="14" t="n"/>
      <c r="E129" s="14" t="n"/>
    </row>
    <row r="130">
      <c r="A130" s="13" t="n"/>
      <c r="B130" s="14" t="n"/>
      <c r="C130" s="14" t="n"/>
      <c r="D130" s="14" t="n"/>
      <c r="E130" s="14" t="n"/>
    </row>
    <row r="131">
      <c r="A131" s="13" t="n"/>
      <c r="B131" s="14" t="n"/>
      <c r="C131" s="14" t="n"/>
      <c r="D131" s="14" t="n"/>
      <c r="E131" s="14" t="n"/>
    </row>
    <row r="132">
      <c r="A132" s="13" t="n"/>
      <c r="B132" s="14" t="n"/>
      <c r="C132" s="14" t="n"/>
      <c r="D132" s="14" t="n"/>
      <c r="E132" s="14" t="n"/>
    </row>
    <row r="133">
      <c r="A133" s="13" t="n"/>
      <c r="B133" s="14" t="n"/>
      <c r="C133" s="14" t="n"/>
      <c r="D133" s="14" t="n"/>
      <c r="E133" s="14" t="n"/>
    </row>
    <row r="134">
      <c r="A134" s="13" t="n"/>
      <c r="B134" s="14" t="n"/>
      <c r="C134" s="14" t="n"/>
      <c r="D134" s="14" t="n"/>
      <c r="E134" s="14" t="n"/>
    </row>
    <row r="135">
      <c r="A135" s="13" t="n"/>
      <c r="B135" s="14" t="n"/>
      <c r="C135" s="14" t="n"/>
      <c r="D135" s="14" t="n"/>
      <c r="E135" s="14" t="n"/>
    </row>
    <row r="136">
      <c r="A136" s="13" t="n"/>
      <c r="B136" s="14" t="n"/>
      <c r="C136" s="14" t="n"/>
      <c r="D136" s="14" t="n"/>
      <c r="E136" s="14" t="n"/>
    </row>
    <row r="137">
      <c r="A137" s="13" t="n"/>
      <c r="B137" s="14" t="n"/>
      <c r="C137" s="14" t="n"/>
      <c r="D137" s="14" t="n"/>
      <c r="E137" s="14" t="n"/>
    </row>
    <row r="138">
      <c r="A138" s="13" t="n"/>
      <c r="B138" s="14" t="n"/>
      <c r="C138" s="14" t="n"/>
      <c r="D138" s="14" t="n"/>
      <c r="E138" s="14" t="n"/>
    </row>
    <row r="139">
      <c r="A139" s="13" t="n"/>
      <c r="B139" s="14" t="n"/>
      <c r="C139" s="14" t="n"/>
      <c r="D139" s="14" t="n"/>
      <c r="E139" s="14" t="n"/>
    </row>
    <row r="140">
      <c r="A140" s="13" t="n"/>
      <c r="B140" s="14" t="n"/>
      <c r="C140" s="14" t="n"/>
      <c r="D140" s="14" t="n"/>
      <c r="E140" s="14" t="n"/>
    </row>
    <row r="141">
      <c r="A141" s="13" t="n"/>
      <c r="B141" s="14" t="n"/>
      <c r="C141" s="14" t="n"/>
      <c r="D141" s="14" t="n"/>
      <c r="E141" s="14" t="n"/>
    </row>
    <row r="142">
      <c r="A142" s="13" t="n"/>
      <c r="B142" s="14" t="n"/>
      <c r="C142" s="14" t="n"/>
      <c r="D142" s="14" t="n"/>
      <c r="E142" s="14" t="n"/>
    </row>
    <row r="143">
      <c r="A143" s="13" t="n"/>
      <c r="B143" s="14" t="n"/>
      <c r="C143" s="14" t="n"/>
      <c r="D143" s="14" t="n"/>
      <c r="E143" s="14" t="n"/>
    </row>
    <row r="144">
      <c r="A144" s="13" t="n"/>
      <c r="B144" s="14" t="n"/>
      <c r="C144" s="14" t="n"/>
      <c r="D144" s="14" t="n"/>
      <c r="E144" s="14" t="n"/>
    </row>
    <row r="145">
      <c r="A145" s="13" t="n"/>
      <c r="B145" s="14" t="n"/>
      <c r="C145" s="14" t="n"/>
      <c r="D145" s="14" t="n"/>
      <c r="E145" s="14" t="n"/>
    </row>
    <row r="146">
      <c r="A146" s="13" t="n"/>
      <c r="B146" s="14" t="n"/>
      <c r="C146" s="14" t="n"/>
      <c r="D146" s="14" t="n"/>
      <c r="E146" s="14" t="n"/>
    </row>
    <row r="147">
      <c r="A147" s="13" t="n"/>
      <c r="B147" s="14" t="n"/>
      <c r="C147" s="14" t="n"/>
      <c r="D147" s="14" t="n"/>
      <c r="E147" s="14" t="n"/>
    </row>
    <row r="148">
      <c r="A148" s="13" t="n"/>
      <c r="B148" s="14" t="n"/>
      <c r="C148" s="14" t="n"/>
      <c r="D148" s="14" t="n"/>
      <c r="E148" s="14" t="n"/>
    </row>
    <row r="149">
      <c r="A149" s="13" t="n"/>
      <c r="B149" s="14" t="n"/>
      <c r="C149" s="14" t="n"/>
      <c r="D149" s="14" t="n"/>
      <c r="E149" s="14" t="n"/>
    </row>
    <row r="150">
      <c r="A150" s="13" t="n"/>
      <c r="B150" s="14" t="n"/>
      <c r="C150" s="14" t="n"/>
      <c r="D150" s="14" t="n"/>
      <c r="E150" s="14" t="n"/>
    </row>
    <row r="151">
      <c r="A151" s="13" t="n"/>
      <c r="B151" s="14" t="n"/>
      <c r="C151" s="14" t="n"/>
      <c r="D151" s="14" t="n"/>
      <c r="E151" s="14" t="n"/>
    </row>
    <row r="152">
      <c r="A152" s="13" t="n"/>
      <c r="B152" s="14" t="n"/>
      <c r="C152" s="14" t="n"/>
      <c r="D152" s="14" t="n"/>
      <c r="E152" s="14" t="n"/>
    </row>
    <row r="153">
      <c r="A153" s="13" t="n"/>
      <c r="B153" s="14" t="n"/>
      <c r="C153" s="14" t="n"/>
      <c r="D153" s="14" t="n"/>
      <c r="E153" s="14" t="n"/>
    </row>
    <row r="154">
      <c r="A154" s="13" t="n"/>
      <c r="B154" s="14" t="n"/>
      <c r="C154" s="14" t="n"/>
      <c r="D154" s="14" t="n"/>
      <c r="E154" s="14" t="n"/>
    </row>
    <row r="155">
      <c r="A155" s="13" t="n"/>
      <c r="B155" s="14" t="n"/>
      <c r="C155" s="14" t="n"/>
      <c r="D155" s="14" t="n"/>
      <c r="E155" s="14" t="n"/>
    </row>
    <row r="156">
      <c r="A156" s="13" t="n"/>
      <c r="B156" s="14" t="n"/>
      <c r="C156" s="14" t="n"/>
      <c r="D156" s="14" t="n"/>
      <c r="E156" s="14" t="n"/>
    </row>
    <row r="157">
      <c r="A157" s="13" t="n"/>
      <c r="B157" s="14" t="n"/>
      <c r="C157" s="14" t="n"/>
      <c r="D157" s="14" t="n"/>
      <c r="E157" s="14" t="n"/>
    </row>
    <row r="158">
      <c r="A158" s="13" t="n"/>
      <c r="B158" s="14" t="n"/>
      <c r="C158" s="14" t="n"/>
      <c r="D158" s="14" t="n"/>
      <c r="E158" s="14" t="n"/>
    </row>
    <row r="159">
      <c r="A159" s="13" t="n"/>
      <c r="B159" s="14" t="n"/>
      <c r="C159" s="14" t="n"/>
      <c r="D159" s="14" t="n"/>
      <c r="E159" s="14" t="n"/>
    </row>
    <row r="160">
      <c r="A160" s="13" t="n"/>
      <c r="B160" s="14" t="n"/>
      <c r="C160" s="14" t="n"/>
      <c r="D160" s="14" t="n"/>
      <c r="E160" s="14" t="n"/>
    </row>
    <row r="161">
      <c r="A161" s="13" t="n"/>
      <c r="B161" s="14" t="n"/>
      <c r="C161" s="14" t="n"/>
      <c r="D161" s="14" t="n"/>
      <c r="E161" s="14" t="n"/>
    </row>
    <row r="162">
      <c r="A162" s="13" t="n"/>
      <c r="B162" s="14" t="n"/>
      <c r="C162" s="14" t="n"/>
      <c r="D162" s="14" t="n"/>
      <c r="E162" s="14" t="n"/>
    </row>
    <row r="163">
      <c r="A163" s="13" t="n"/>
      <c r="B163" s="14" t="n"/>
      <c r="C163" s="14" t="n"/>
      <c r="D163" s="14" t="n"/>
      <c r="E163" s="14" t="n"/>
    </row>
    <row r="164">
      <c r="A164" s="13" t="n"/>
      <c r="B164" s="14" t="n"/>
      <c r="C164" s="14" t="n"/>
      <c r="D164" s="14" t="n"/>
      <c r="E164" s="14" t="n"/>
    </row>
    <row r="165">
      <c r="A165" s="13" t="n"/>
      <c r="B165" s="14" t="n"/>
      <c r="C165" s="14" t="n"/>
      <c r="D165" s="14" t="n"/>
      <c r="E165" s="14" t="n"/>
    </row>
    <row r="166">
      <c r="A166" s="13" t="n"/>
      <c r="B166" s="14" t="n"/>
      <c r="C166" s="14" t="n"/>
      <c r="D166" s="14" t="n"/>
      <c r="E166" s="14" t="n"/>
    </row>
    <row r="167">
      <c r="A167" s="13" t="n"/>
      <c r="B167" s="14" t="n"/>
      <c r="C167" s="14" t="n"/>
      <c r="D167" s="14" t="n"/>
      <c r="E167" s="14" t="n"/>
    </row>
    <row r="168">
      <c r="A168" s="13" t="n"/>
      <c r="B168" s="14" t="n"/>
      <c r="C168" s="14" t="n"/>
      <c r="D168" s="14" t="n"/>
      <c r="E168" s="14" t="n"/>
    </row>
    <row r="169">
      <c r="A169" s="13" t="n"/>
      <c r="B169" s="14" t="n"/>
      <c r="C169" s="14" t="n"/>
      <c r="D169" s="14" t="n"/>
      <c r="E169" s="14" t="n"/>
    </row>
    <row r="170">
      <c r="A170" s="13" t="n"/>
      <c r="B170" s="14" t="n"/>
      <c r="C170" s="14" t="n"/>
      <c r="D170" s="14" t="n"/>
      <c r="E170" s="14" t="n"/>
    </row>
    <row r="171">
      <c r="A171" s="13" t="n"/>
      <c r="B171" s="14" t="n"/>
      <c r="C171" s="14" t="n"/>
      <c r="D171" s="14" t="n"/>
      <c r="E171" s="14" t="n"/>
    </row>
    <row r="172">
      <c r="A172" s="13" t="n"/>
      <c r="B172" s="14" t="n"/>
      <c r="C172" s="14" t="n"/>
      <c r="D172" s="14" t="n"/>
      <c r="E172" s="14" t="n"/>
    </row>
    <row r="173">
      <c r="A173" s="13" t="n"/>
      <c r="B173" s="14" t="n"/>
      <c r="C173" s="14" t="n"/>
      <c r="D173" s="14" t="n"/>
      <c r="E173" s="14" t="n"/>
    </row>
    <row r="174">
      <c r="A174" s="13" t="n"/>
      <c r="B174" s="14" t="n"/>
      <c r="C174" s="14" t="n"/>
      <c r="D174" s="14" t="n"/>
      <c r="E174" s="14" t="n"/>
    </row>
    <row r="175">
      <c r="A175" s="13" t="n"/>
      <c r="B175" s="14" t="n"/>
      <c r="C175" s="14" t="n"/>
      <c r="D175" s="14" t="n"/>
      <c r="E175" s="14" t="n"/>
    </row>
    <row r="176">
      <c r="A176" s="13" t="n"/>
      <c r="B176" s="14" t="n"/>
      <c r="C176" s="14" t="n"/>
      <c r="D176" s="14" t="n"/>
      <c r="E176" s="14" t="n"/>
    </row>
    <row r="177">
      <c r="A177" s="13" t="n"/>
      <c r="B177" s="14" t="n"/>
      <c r="C177" s="14" t="n"/>
      <c r="D177" s="14" t="n"/>
      <c r="E177" s="14" t="n"/>
    </row>
    <row r="178">
      <c r="A178" s="13" t="n"/>
      <c r="B178" s="14" t="n"/>
      <c r="C178" s="14" t="n"/>
      <c r="D178" s="14" t="n"/>
      <c r="E178" s="14" t="n"/>
    </row>
    <row r="179">
      <c r="A179" s="13" t="n"/>
      <c r="B179" s="14" t="n"/>
      <c r="C179" s="14" t="n"/>
      <c r="D179" s="14" t="n"/>
      <c r="E179" s="14" t="n"/>
    </row>
    <row r="180">
      <c r="A180" s="13" t="n"/>
      <c r="B180" s="14" t="n"/>
      <c r="C180" s="14" t="n"/>
      <c r="D180" s="14" t="n"/>
      <c r="E180" s="14" t="n"/>
    </row>
    <row r="181">
      <c r="A181" s="13" t="n"/>
      <c r="B181" s="14" t="n"/>
      <c r="C181" s="14" t="n"/>
      <c r="D181" s="14" t="n"/>
      <c r="E181" s="14" t="n"/>
    </row>
    <row r="182">
      <c r="A182" s="13" t="n"/>
      <c r="B182" s="14" t="n"/>
      <c r="C182" s="14" t="n"/>
      <c r="D182" s="14" t="n"/>
      <c r="E182" s="14" t="n"/>
    </row>
    <row r="183">
      <c r="A183" s="13" t="n"/>
      <c r="B183" s="14" t="n"/>
      <c r="C183" s="14" t="n"/>
      <c r="D183" s="14" t="n"/>
      <c r="E183" s="14" t="n"/>
    </row>
    <row r="184">
      <c r="A184" s="13" t="n"/>
      <c r="B184" s="14" t="n"/>
      <c r="C184" s="14" t="n"/>
      <c r="D184" s="14" t="n"/>
      <c r="E184" s="14" t="n"/>
    </row>
    <row r="185">
      <c r="A185" s="13" t="n"/>
      <c r="B185" s="14" t="n"/>
      <c r="C185" s="14" t="n"/>
      <c r="D185" s="14" t="n"/>
      <c r="E185" s="14" t="n"/>
    </row>
    <row r="186">
      <c r="A186" s="13" t="n"/>
      <c r="B186" s="14" t="n"/>
      <c r="C186" s="14" t="n"/>
      <c r="D186" s="14" t="n"/>
      <c r="E186" s="14" t="n"/>
    </row>
    <row r="187">
      <c r="A187" s="13" t="n"/>
      <c r="B187" s="14" t="n"/>
      <c r="C187" s="14" t="n"/>
      <c r="D187" s="14" t="n"/>
      <c r="E187" s="14" t="n"/>
    </row>
    <row r="188">
      <c r="A188" s="13" t="n"/>
      <c r="B188" s="14" t="n"/>
      <c r="C188" s="14" t="n"/>
      <c r="D188" s="14" t="n"/>
      <c r="E188" s="14" t="n"/>
    </row>
    <row r="189">
      <c r="A189" s="13" t="n"/>
      <c r="B189" s="14" t="n"/>
      <c r="C189" s="14" t="n"/>
      <c r="D189" s="14" t="n"/>
      <c r="E189" s="14" t="n"/>
    </row>
    <row r="190">
      <c r="A190" s="13" t="n"/>
      <c r="B190" s="14" t="n"/>
      <c r="C190" s="14" t="n"/>
      <c r="D190" s="14" t="n"/>
      <c r="E190" s="14" t="n"/>
    </row>
    <row r="191">
      <c r="A191" s="13" t="n"/>
      <c r="B191" s="14" t="n"/>
      <c r="C191" s="14" t="n"/>
      <c r="D191" s="14" t="n"/>
      <c r="E191" s="14" t="n"/>
    </row>
    <row r="192">
      <c r="A192" s="13" t="n"/>
      <c r="B192" s="14" t="n"/>
      <c r="C192" s="14" t="n"/>
      <c r="D192" s="14" t="n"/>
      <c r="E192" s="14" t="n"/>
    </row>
    <row r="193">
      <c r="A193" s="13" t="n"/>
      <c r="B193" s="14" t="n"/>
      <c r="C193" s="14" t="n"/>
      <c r="D193" s="14" t="n"/>
      <c r="E193" s="14" t="n"/>
    </row>
    <row r="194">
      <c r="A194" s="13" t="n"/>
      <c r="B194" s="14" t="n"/>
      <c r="C194" s="14" t="n"/>
      <c r="D194" s="14" t="n"/>
      <c r="E194" s="14" t="n"/>
    </row>
    <row r="195">
      <c r="A195" s="13" t="n"/>
      <c r="B195" s="14" t="n"/>
      <c r="C195" s="14" t="n"/>
      <c r="D195" s="14" t="n"/>
      <c r="E195" s="14" t="n"/>
    </row>
    <row r="196">
      <c r="A196" s="13" t="n"/>
      <c r="B196" s="14" t="n"/>
      <c r="C196" s="14" t="n"/>
      <c r="D196" s="14" t="n"/>
      <c r="E196" s="14" t="n"/>
    </row>
    <row r="197">
      <c r="A197" s="13" t="n"/>
      <c r="B197" s="14" t="n"/>
      <c r="C197" s="14" t="n"/>
      <c r="D197" s="14" t="n"/>
      <c r="E197" s="14" t="n"/>
    </row>
    <row r="198">
      <c r="A198" s="13" t="n"/>
      <c r="B198" s="14" t="n"/>
      <c r="C198" s="14" t="n"/>
      <c r="D198" s="14" t="n"/>
      <c r="E198" s="14" t="n"/>
    </row>
    <row r="199">
      <c r="A199" s="13" t="n"/>
      <c r="B199" s="14" t="n"/>
      <c r="C199" s="14" t="n"/>
      <c r="D199" s="14" t="n"/>
      <c r="E199" s="14" t="n"/>
    </row>
    <row r="200">
      <c r="A200" s="13" t="n"/>
      <c r="B200" s="14" t="n"/>
      <c r="C200" s="14" t="n"/>
      <c r="D200" s="14" t="n"/>
      <c r="E200" s="14" t="n"/>
    </row>
    <row r="201">
      <c r="A201" s="13" t="n"/>
      <c r="B201" s="14" t="n"/>
      <c r="C201" s="14" t="n"/>
      <c r="D201" s="14" t="n"/>
      <c r="E201" s="14" t="n"/>
    </row>
    <row r="202">
      <c r="A202" s="13" t="n"/>
      <c r="B202" s="14" t="n"/>
      <c r="C202" s="14" t="n"/>
      <c r="D202" s="14" t="n"/>
      <c r="E202" s="14" t="n"/>
    </row>
    <row r="203">
      <c r="A203" s="13" t="n"/>
      <c r="B203" s="14" t="n"/>
      <c r="C203" s="14" t="n"/>
      <c r="D203" s="14" t="n"/>
      <c r="E203" s="14" t="n"/>
    </row>
    <row r="204">
      <c r="A204" s="13" t="n"/>
      <c r="B204" s="14" t="n"/>
      <c r="C204" s="14" t="n"/>
      <c r="D204" s="14" t="n"/>
      <c r="E204" s="14" t="n"/>
    </row>
  </sheetData>
  <autoFilter ref="A4:E204"/>
  <conditionalFormatting sqref="C5:C204">
    <cfRule type="cellIs" priority="1" operator="equal" dxfId="6">
      <formula>"Positiva"</formula>
    </cfRule>
    <cfRule type="cellIs" priority="2" operator="equal" dxfId="5">
      <formula>"Ponto de atenção"</formula>
    </cfRule>
    <cfRule type="cellIs" priority="3" operator="equal" dxfId="3">
      <formula>"Crítica"</formula>
    </cfRule>
  </conditionalFormatting>
  <dataValidations count="2">
    <dataValidation sqref="B5:B204" showDropDown="0" showInputMessage="0" showErrorMessage="0" allowBlank="1" type="list">
      <formula1>=Cadastro!$A$5:$A$53</formula1>
    </dataValidation>
    <dataValidation sqref="C5:C204" showDropDown="0" showInputMessage="0" showErrorMessage="0" allowBlank="1" type="list">
      <formula1>=Cadastro!$K$6:$K$8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8" customWidth="1" min="5" max="5"/>
    <col width="4" customWidth="1" min="6" max="6"/>
    <col width="22" customWidth="1" min="7" max="7"/>
    <col width="12" customWidth="1" min="8" max="8"/>
    <col width="4" customWidth="1" min="9" max="9"/>
    <col width="18" customWidth="1" min="10" max="10"/>
    <col width="20" customWidth="1" min="11" max="11"/>
    <col width="10" customWidth="1" min="12" max="12"/>
  </cols>
  <sheetData>
    <row r="1" ht="24" customHeight="1">
      <c r="A1" s="1" t="inlineStr">
        <is>
          <t>Cadastro</t>
        </is>
      </c>
    </row>
    <row r="2">
      <c r="A2" s="2" t="inlineStr">
        <is>
          <t>Preencha uma vez. Alimenta os menus suspensos das outras abas.</t>
        </is>
      </c>
    </row>
    <row r="3"/>
    <row r="4" ht="34" customHeight="1">
      <c r="A4" s="6" t="inlineStr">
        <is>
          <t>Colaborador</t>
        </is>
      </c>
      <c r="B4" s="6" t="inlineStr">
        <is>
          <t>Squad</t>
        </is>
      </c>
      <c r="C4" s="6" t="inlineStr">
        <is>
          <t>Papel</t>
        </is>
      </c>
      <c r="D4" s="6" t="inlineStr">
        <is>
          <t>GP</t>
        </is>
      </c>
      <c r="E4" s="6" t="inlineStr">
        <is>
          <t>Líder Técnico</t>
        </is>
      </c>
      <c r="G4" s="15" t="inlineStr">
        <is>
          <t>FARÓIS</t>
        </is>
      </c>
      <c r="J4" s="15" t="inlineStr">
        <is>
          <t>LISTAS</t>
        </is>
      </c>
    </row>
    <row r="5">
      <c r="A5" s="14" t="inlineStr">
        <is>
          <t>Ana Ribeiro</t>
        </is>
      </c>
      <c r="B5" s="14" t="inlineStr">
        <is>
          <t>Alfa</t>
        </is>
      </c>
      <c r="C5" s="14" t="inlineStr">
        <is>
          <t>Dev</t>
        </is>
      </c>
      <c r="D5" s="14" t="inlineStr">
        <is>
          <t>Marcos Lima</t>
        </is>
      </c>
      <c r="E5" s="14" t="inlineStr">
        <is>
          <t>Rafael Souza</t>
        </is>
      </c>
      <c r="G5" s="16" t="inlineStr">
        <is>
          <t>Verde a partir de</t>
        </is>
      </c>
      <c r="H5" s="17" t="n">
        <v>4</v>
      </c>
      <c r="J5" s="18" t="inlineStr">
        <is>
          <t>Avaliador</t>
        </is>
      </c>
      <c r="K5" s="18" t="inlineStr">
        <is>
          <t>Tipo de ocorrência</t>
        </is>
      </c>
      <c r="L5" s="18" t="inlineStr">
        <is>
          <t>Notas</t>
        </is>
      </c>
    </row>
    <row r="6">
      <c r="A6" s="14" t="inlineStr">
        <is>
          <t>Bruno Tavares</t>
        </is>
      </c>
      <c r="B6" s="14" t="inlineStr">
        <is>
          <t>Alfa</t>
        </is>
      </c>
      <c r="C6" s="14" t="inlineStr">
        <is>
          <t>Dev</t>
        </is>
      </c>
      <c r="D6" s="14" t="inlineStr">
        <is>
          <t>Marcos Lima</t>
        </is>
      </c>
      <c r="E6" s="14" t="inlineStr">
        <is>
          <t>Rafael Souza</t>
        </is>
      </c>
      <c r="G6" s="19" t="inlineStr">
        <is>
          <t>Atenção a partir de</t>
        </is>
      </c>
      <c r="H6" s="17" t="n">
        <v>3</v>
      </c>
      <c r="J6" s="20" t="inlineStr">
        <is>
          <t>GP</t>
        </is>
      </c>
      <c r="K6" s="20" t="inlineStr">
        <is>
          <t>Positiva</t>
        </is>
      </c>
      <c r="L6" s="20" t="n">
        <v>1</v>
      </c>
    </row>
    <row r="7">
      <c r="A7" s="14" t="inlineStr">
        <is>
          <t>Carla Nunes</t>
        </is>
      </c>
      <c r="B7" s="14" t="inlineStr">
        <is>
          <t>Beta</t>
        </is>
      </c>
      <c r="C7" s="14" t="inlineStr">
        <is>
          <t>Tech Lead</t>
        </is>
      </c>
      <c r="D7" s="14" t="inlineStr">
        <is>
          <t>Marcos Lima</t>
        </is>
      </c>
      <c r="E7" s="14" t="inlineStr">
        <is>
          <t>Rafael Souza</t>
        </is>
      </c>
      <c r="G7" s="21" t="inlineStr">
        <is>
          <t>Abaixo disso: Crítico</t>
        </is>
      </c>
      <c r="J7" s="20" t="inlineStr">
        <is>
          <t>Líder Técnico</t>
        </is>
      </c>
      <c r="K7" s="20" t="inlineStr">
        <is>
          <t>Ponto de atenção</t>
        </is>
      </c>
      <c r="L7" s="20" t="n">
        <v>2</v>
      </c>
    </row>
    <row r="8">
      <c r="A8" s="14" t="n"/>
      <c r="B8" s="14" t="n"/>
      <c r="C8" s="14" t="n"/>
      <c r="D8" s="14" t="n"/>
      <c r="E8" s="14" t="n"/>
      <c r="K8" s="20" t="inlineStr">
        <is>
          <t>Crítica</t>
        </is>
      </c>
      <c r="L8" s="20" t="n">
        <v>3</v>
      </c>
    </row>
    <row r="9">
      <c r="A9" s="14" t="n"/>
      <c r="B9" s="14" t="n"/>
      <c r="C9" s="14" t="n"/>
      <c r="D9" s="14" t="n"/>
      <c r="E9" s="14" t="n"/>
      <c r="G9" s="2" t="inlineStr">
        <is>
          <t>Ajuste os cortes aqui. Todos os faróis da planilha leem destas duas células.</t>
        </is>
      </c>
      <c r="L9" s="20" t="n">
        <v>4</v>
      </c>
    </row>
    <row r="10">
      <c r="A10" s="14" t="n"/>
      <c r="B10" s="14" t="n"/>
      <c r="C10" s="14" t="n"/>
      <c r="D10" s="14" t="n"/>
      <c r="E10" s="14" t="n"/>
      <c r="L10" s="20" t="n">
        <v>5</v>
      </c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/>
    <row r="55"/>
    <row r="56">
      <c r="A56" s="15" t="inlineStr">
        <is>
          <t>O QUE CADA NOTA SIGNIFICA</t>
        </is>
      </c>
    </row>
    <row r="57">
      <c r="A57" s="22" t="n">
        <v>5</v>
      </c>
      <c r="B57" s="23" t="inlineStr">
        <is>
          <t>Referência. Vira exemplo para o time.</t>
        </is>
      </c>
    </row>
    <row r="58">
      <c r="A58" s="22" t="n">
        <v>4</v>
      </c>
      <c r="B58" s="23" t="inlineStr">
        <is>
          <t>Acima do esperado, de forma consistente.</t>
        </is>
      </c>
    </row>
    <row r="59">
      <c r="A59" s="24" t="n">
        <v>3</v>
      </c>
      <c r="B59" s="23" t="inlineStr">
        <is>
          <t>Fez o esperado para o nível dele. É a nota saudável, não é nota ruim.</t>
        </is>
      </c>
    </row>
    <row r="60">
      <c r="A60" s="25" t="n">
        <v>2</v>
      </c>
      <c r="B60" s="23" t="inlineStr">
        <is>
          <t>Abaixo do esperado. Precisou de suporte acima do normal.</t>
        </is>
      </c>
    </row>
    <row r="61">
      <c r="A61" s="25" t="n">
        <v>1</v>
      </c>
      <c r="B61" s="23" t="inlineStr">
        <is>
          <t>Bem abaixo. Gerou retrabalho ou dano.</t>
        </is>
      </c>
    </row>
    <row r="62"/>
    <row r="63">
      <c r="A63" s="12" t="inlineStr">
        <is>
          <t>A nota é sempre relativa ao nível da pessoa: um Júnior 3 e um Sênior 3 são comportamentos diferentes, mas os dois estão fazendo o esperado.</t>
        </is>
      </c>
    </row>
  </sheetData>
  <mergeCells count="6">
    <mergeCell ref="B61:E61"/>
    <mergeCell ref="B57:E57"/>
    <mergeCell ref="B58:E58"/>
    <mergeCell ref="A63:E63"/>
    <mergeCell ref="B59:E59"/>
    <mergeCell ref="B60:E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2026-08-27T19:45:41Z</dcterms:created>
  <dcterms:modified xsi:type="dcterms:W3CDTF">2026-08-27T19:45:42Z</dcterms:modified>
</cp:coreProperties>
</file>