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ções" sheetId="1" state="visible" r:id="rId1"/>
    <sheet name="Retenção" sheetId="2" state="visible" r:id="rId2"/>
    <sheet name="Caso de Promoção" sheetId="3" state="visible" r:id="rId3"/>
    <sheet name="Registro do Gestor" sheetId="4" state="visible" r:id="rId4"/>
  </sheets>
  <definedNames>
    <definedName name="_xlnm._FilterDatabase" localSheetId="1" hidden="1">'Retenção'!$A$4:$N$104</definedName>
    <definedName name="_xlnm._FilterDatabase" localSheetId="3" hidden="1">'Registro do Gestor'!$A$5:$H$154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"/>
    <numFmt numFmtId="166" formatCode="+0.00;-0.00;0.00"/>
  </numFmts>
  <fonts count="14">
    <font>
      <name val="Calibri"/>
      <family val="2"/>
      <color theme="1"/>
      <sz val="11"/>
      <scheme val="minor"/>
    </font>
    <font>
      <name val="Arial"/>
      <b val="1"/>
      <color rgb="007B2E2E"/>
      <sz val="14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7B2E2E"/>
      <sz val="10"/>
    </font>
    <font>
      <name val="Arial"/>
      <color rgb="00000000"/>
      <sz val="9"/>
    </font>
    <font>
      <name val="Arial"/>
      <b val="1"/>
      <color rgb="007B2E2E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i val="1"/>
      <color rgb="00C00000"/>
      <sz val="9"/>
    </font>
    <font>
      <name val="Arial"/>
      <b val="1"/>
      <color rgb="00595959"/>
      <sz val="8"/>
    </font>
    <font>
      <name val="Arial"/>
      <i val="1"/>
      <color rgb="00FFFFFF"/>
      <sz val="8"/>
    </font>
    <font>
      <name val="Arial"/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2DCDB"/>
      </patternFill>
    </fill>
    <fill>
      <patternFill patternType="solid">
        <fgColor rgb="009C3A3A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164" fontId="3" fillId="3" borderId="1" pivotButton="0" quotePrefix="0" xfId="0"/>
    <xf numFmtId="0" fontId="8" fillId="5" borderId="1" applyAlignment="1" pivotButton="0" quotePrefix="0" xfId="0">
      <alignment vertical="center" wrapText="1"/>
    </xf>
    <xf numFmtId="0" fontId="3" fillId="3" borderId="1" pivotButton="0" quotePrefix="0" xfId="0"/>
    <xf numFmtId="0" fontId="9" fillId="2" borderId="1" pivotButton="0" quotePrefix="0" xfId="0"/>
    <xf numFmtId="0" fontId="5" fillId="4" borderId="0" pivotButton="0" quotePrefix="0" xfId="0"/>
    <xf numFmtId="0" fontId="0" fillId="4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164" fontId="9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center"/>
    </xf>
    <xf numFmtId="0" fontId="12" fillId="6" borderId="1" applyAlignment="1" pivotButton="0" quotePrefix="0" xfId="0">
      <alignment vertical="center" wrapText="1"/>
    </xf>
    <xf numFmtId="166" fontId="9" fillId="2" borderId="1" applyAlignment="1" pivotButton="0" quotePrefix="0" xfId="0">
      <alignment vertical="top" wrapText="1"/>
    </xf>
    <xf numFmtId="166" fontId="6" fillId="3" borderId="1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DE9D9"/>
        </patternFill>
      </fill>
    </dxf>
    <dxf>
      <font>
        <name val="Arial"/>
        <color rgb="00A6A6A6"/>
        <sz val="9"/>
      </font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Arial"/>
        <i val="1"/>
        <color rgb="00A6A6A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Gestão de Pessoas</author>
  </authors>
  <commentList>
    <comment ref="F4" authorId="0" shapeId="0">
      <text>
        <t>'Declarado pela pessoa' vale mais que 'Observado por mim', e muito mais que 'Terceiro reportou'.
Sem esta coluna, boato de corredor e conversa franca entram na planilha com o mesmo peso.</t>
      </text>
    </comment>
    <comment ref="J4" authorId="0" shapeId="0">
      <text>
        <t>Retida · Continua em risco · Saiu.
Quem não fecha o loop nunca aprende por que perde gente.</t>
      </text>
    </comment>
    <comment ref="N4" authorId="0" shapeId="0">
      <text>
        <t>Dias desde a avaliação, para risco ALTO ainda vigente e sem ação registrada.
Acima de 15 dias fica vermelho. Alto desempenho × alto risco é o único quadrante com prazo — e conversa vaga não conta como ação.</t>
      </text>
    </comment>
  </commentList>
</comments>
</file>

<file path=xl/comments/comment2.xml><?xml version="1.0" encoding="utf-8"?>
<comments xmlns="http://schemas.openxmlformats.org/spreadsheetml/2006/main">
  <authors>
    <author>Técnico</author>
    <author>Liderança Técnica</author>
    <author>Qualidade</author>
  </authors>
  <commentList>
    <comment ref="N4" authorId="0" shapeId="0">
      <text>
        <t>Quantos avaliadores DIFERENTES registraram ocorrência sobre esta pessoa no período.
Pegue na coluna 'novo avaliador' da aba Ocorrências da planilha da squad: some as marcas de 1 da pessoa.
1 avaliador = opinião. 2 ou mais = caso.</t>
      </text>
    </comment>
    <comment ref="O4" authorId="1" shapeId="0">
      <text>
        <t>O que ela fez ALÉM da própria entrega: mentoria, incidente fora do escopo, ADR que outros times adotaram, automação que economizou tempo do time.
É o que separa 'faz bem o trabalho' de 'merece o próximo nível' — e quase nunca aparece em métrica de entrega.</t>
      </text>
    </comment>
    <comment ref="Q4" authorId="2" shapeId="0">
      <text>
        <t>No primeiro ciclo de uso o veredito é 'Sem base', NUNCA 'Caso frágil'.
'Frágil' é um juízo sobre a pessoa. Emiti-lo por ausência de dados que ainda não podiam existir é injusto e queima a ferramenta na primeira semana.</t>
      </text>
    </comment>
  </commentList>
</comments>
</file>

<file path=xl/comments/comment3.xml><?xml version="1.0" encoding="utf-8"?>
<comments xmlns="http://schemas.openxmlformats.org/spreadsheetml/2006/main">
  <authors>
    <author>Gestão de Pessoas</author>
    <author>RH</author>
  </authors>
  <commentList>
    <comment ref="A3" authorId="0" shapeId="0">
      <text>
        <t>Compromisso que você assumiu e não cumpriu é dívida invisível — e é a principal causa de pedido de demissão surpresa.
Registrar sem prazo visível só documenta a dívida; não paga.</t>
      </text>
    </comment>
    <comment ref="E5" authorId="1" shapeId="0">
      <text>
        <t>Nada de saúde, diagnóstico, vida familiar, religião ou conduta. 'Contexto pessoal' aqui significa carga e disponibilidade, não intimidade.
Regra prática: não escreva nada que você não sustentaria lendo em voz alta para a pessoa.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6" customWidth="1" min="2" max="2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2" customHeight="1">
      <c r="A1" s="1" t="inlineStr">
        <is>
          <t>Arquivo privado do Gestor de Pessoas</t>
        </is>
      </c>
    </row>
    <row r="2">
      <c r="A2" s="2" t="inlineStr">
        <is>
          <t>NÃO compartilhe com GP nem com Líder Técnico. Este arquivo existe separado por privacidade, não por organização.</t>
        </is>
      </c>
    </row>
    <row r="3"/>
    <row r="4">
      <c r="A4" s="3" t="inlineStr">
        <is>
          <t>Ciclo ativo</t>
        </is>
      </c>
      <c r="B4" s="4" t="inlineStr">
        <is>
          <t>2026-Q3</t>
        </is>
      </c>
      <c r="D4" s="5" t="inlineStr">
        <is>
          <t>LISTAS</t>
        </is>
      </c>
    </row>
    <row r="5">
      <c r="A5" s="3" t="inlineStr">
        <is>
          <t>Hoje</t>
        </is>
      </c>
      <c r="B5" s="6">
        <f>TODAY()</f>
        <v/>
      </c>
      <c r="D5" s="7" t="inlineStr">
        <is>
          <t>Nível</t>
        </is>
      </c>
      <c r="E5" s="7" t="inlineStr">
        <is>
          <t>Fator</t>
        </is>
      </c>
      <c r="F5" s="7" t="inlineStr">
        <is>
          <t>Base do sinal</t>
        </is>
      </c>
      <c r="G5" s="7" t="inlineStr">
        <is>
          <t>Status retenção</t>
        </is>
      </c>
      <c r="H5" s="7" t="inlineStr">
        <is>
          <t>Tipo registro</t>
        </is>
      </c>
      <c r="I5" s="7" t="inlineStr">
        <is>
          <t>Status registro</t>
        </is>
      </c>
      <c r="J5" s="7" t="inlineStr">
        <is>
          <t>Senioridade</t>
        </is>
      </c>
    </row>
    <row r="6">
      <c r="A6" s="3" t="inlineStr">
        <is>
          <t>Índice do ciclo ativo</t>
        </is>
      </c>
      <c r="B6" s="8">
        <f>VALUE(LEFT($B$4,4))*4+VALUE(RIGHT($B$4,1))</f>
        <v/>
      </c>
      <c r="D6" s="9" t="inlineStr">
        <is>
          <t>Baixo</t>
        </is>
      </c>
      <c r="E6" s="9" t="inlineStr">
        <is>
          <t>Remuneração</t>
        </is>
      </c>
      <c r="F6" s="9" t="inlineStr">
        <is>
          <t>Declarado pela pessoa</t>
        </is>
      </c>
      <c r="G6" s="9" t="inlineStr">
        <is>
          <t>Aberto</t>
        </is>
      </c>
      <c r="H6" s="9" t="inlineStr">
        <is>
          <t>Aspiração de carreira</t>
        </is>
      </c>
      <c r="I6" s="9" t="inlineStr">
        <is>
          <t>Em aberto</t>
        </is>
      </c>
      <c r="J6" s="9" t="inlineStr">
        <is>
          <t>Júnior</t>
        </is>
      </c>
    </row>
    <row r="7">
      <c r="D7" s="9" t="inlineStr">
        <is>
          <t>Médio</t>
        </is>
      </c>
      <c r="E7" s="9" t="inlineStr">
        <is>
          <t>Alocação / projeto</t>
        </is>
      </c>
      <c r="F7" s="9" t="inlineStr">
        <is>
          <t>Observado por mim</t>
        </is>
      </c>
      <c r="G7" s="9" t="inlineStr">
        <is>
          <t>Em ação</t>
        </is>
      </c>
      <c r="H7" s="9" t="inlineStr">
        <is>
          <t>Compromisso que assumi</t>
        </is>
      </c>
      <c r="I7" s="9" t="inlineStr">
        <is>
          <t>Cumprido</t>
        </is>
      </c>
      <c r="J7" s="9" t="inlineStr">
        <is>
          <t>Pleno</t>
        </is>
      </c>
    </row>
    <row r="8" ht="32" customHeight="1">
      <c r="A8" s="10" t="inlineStr">
        <is>
          <t>POR QUE ESTE ARQUIVO É SEPARADO</t>
        </is>
      </c>
      <c r="B8" s="11" t="n"/>
      <c r="D8" s="9" t="inlineStr">
        <is>
          <t>Alto</t>
        </is>
      </c>
      <c r="E8" s="9" t="inlineStr">
        <is>
          <t>Carreira travada</t>
        </is>
      </c>
      <c r="F8" s="9" t="inlineStr">
        <is>
          <t>Terceiro reportou</t>
        </is>
      </c>
      <c r="G8" s="9" t="inlineStr">
        <is>
          <t>Encerrado — retida</t>
        </is>
      </c>
      <c r="H8" s="9" t="inlineStr">
        <is>
          <t>Feedback de terceiro</t>
        </is>
      </c>
      <c r="I8" s="9" t="inlineStr">
        <is>
          <t>Renegociado</t>
        </is>
      </c>
      <c r="J8" s="9" t="inlineStr">
        <is>
          <t>Sênior</t>
        </is>
      </c>
    </row>
    <row r="9" ht="32" customHeight="1">
      <c r="B9" s="12" t="inlineStr">
        <is>
          <t>Excel não tem controle de acesso por linha. Prometer 'só o Gestor vê' dentro do arquivo que o GP abre todo dia seria falso. Separação de arquivo é o único controle de acesso que o formato paga — por isso retenção, caso de promoção e registro privado vivem aqui, e não na planilha da squad.</t>
        </is>
      </c>
      <c r="E9" s="9" t="inlineStr">
        <is>
          <t>Relação com a liderança</t>
        </is>
      </c>
      <c r="G9" s="9" t="inlineStr">
        <is>
          <t>Encerrado — continua em risco</t>
        </is>
      </c>
      <c r="H9" s="9" t="inlineStr">
        <is>
          <t>Leitura de padrão entre ciclos</t>
        </is>
      </c>
      <c r="I9" s="9" t="inlineStr">
        <is>
          <t>Não cumprido</t>
        </is>
      </c>
      <c r="J9" s="9" t="inlineStr">
        <is>
          <t>Especialista</t>
        </is>
      </c>
    </row>
    <row r="10" ht="32" customHeight="1">
      <c r="B10" s="12" t="inlineStr">
        <is>
          <t>Se o GP enxergar a avaliação de risco de retenção, ele muda como aloca a pessoa. Vira profecia autorrealizável.</t>
        </is>
      </c>
      <c r="E10" s="9" t="inlineStr">
        <is>
          <t>Carga de trabalho</t>
        </is>
      </c>
      <c r="G10" s="9" t="inlineStr">
        <is>
          <t>Encerrado — saiu</t>
        </is>
      </c>
    </row>
    <row r="11" ht="32" customHeight="1">
      <c r="A11" s="10" t="inlineStr">
        <is>
          <t>COMO OS DADOS CHEGAM AQUI</t>
        </is>
      </c>
      <c r="B11" s="11" t="n"/>
      <c r="E11" s="9" t="inlineStr">
        <is>
          <t>Fora do trabalho</t>
        </is>
      </c>
    </row>
    <row r="12" ht="32" customHeight="1">
      <c r="B12" s="12" t="inlineStr">
        <is>
          <t>Por cópia manual, no fechamento do ciclo. NÃO crie link externo para a planilha da squad: link externo quebra, ninguém conserta, e o Excel passa a mostrar o último valor em cache como se fosse atual.</t>
        </is>
      </c>
      <c r="E12" s="9" t="inlineStr">
        <is>
          <t>Não identificado</t>
        </is>
      </c>
    </row>
    <row r="13" ht="32" customHeight="1">
      <c r="B13" s="12" t="inlineStr">
        <is>
          <t>Use sempre o ID da pessoa (P001), nunca só o nome. Nome muda; ID não.</t>
        </is>
      </c>
    </row>
    <row r="14" ht="32" customHeight="1">
      <c r="A14" s="10" t="inlineStr">
        <is>
          <t>RISCO DE RETENÇÃO — AS DUAS REGRAS QUE IMPORTAM</t>
        </is>
      </c>
      <c r="B14" s="11" t="n"/>
    </row>
    <row r="15" ht="32" customHeight="1">
      <c r="A15" s="13" t="inlineStr">
        <is>
          <t>Regra 1</t>
        </is>
      </c>
      <c r="B15" s="12" t="inlineStr">
        <is>
          <t>Risco é uma AVALIAÇÃO DATADA, nunca um atributo da pessoa. Toda linha tem data e validade de 2 ciclos. Risco não reafirmado esvazia sozinho — é a única defesa contra 'risco alto' de dois anos atrás virar cicatriz que o próximo gestor lê como fato.</t>
        </is>
      </c>
    </row>
    <row r="16" ht="32" customHeight="1">
      <c r="A16" s="13" t="inlineStr">
        <is>
          <t>Regra 2</t>
        </is>
      </c>
      <c r="B16" s="12" t="inlineStr">
        <is>
          <t>Alto desempenho × alto risco é o único quadrante com PRAZO: ação em 15 dias, com fator identificado e contrapartida concreta. Conversa vaga não conta como ação. E registre o desfecho — quem não fecha o loop nunca aprende por que perde gente.</t>
        </is>
      </c>
    </row>
    <row r="17" ht="32" customHeight="1">
      <c r="A17" s="10" t="inlineStr">
        <is>
          <t>CASO DE PROMOÇÃO</t>
        </is>
      </c>
      <c r="B17" s="11" t="n"/>
    </row>
    <row r="18" ht="32" customHeight="1">
      <c r="B18" s="12" t="inlineStr">
        <is>
          <t>Promoção se sustenta em trajetória, não em um trimestre bom. No primeiro ciclo de uso o veredito é 'Sem base' — nunca 'Caso frágil'. 'Frágil' é um juízo sobre a pessoa; emiti-lo por ausência de dados que ainda não podiam existir é injusto e queima a ferramenta na primeira semana.</t>
        </is>
      </c>
    </row>
    <row r="19" ht="32" customHeight="1">
      <c r="B19" s="12" t="inlineStr">
        <is>
          <t>Diversidade de evidência é o número mais subestimado da tabela: notas altas vindas todas do mesmo avaliador não são um caso, são uma opinião. Pegue o valor na coluna 'novo avaliador' da aba Ocorrências da squad.</t>
        </is>
      </c>
    </row>
    <row r="20" ht="32" customHeight="1">
      <c r="A20" s="10" t="inlineStr">
        <is>
          <t>REGISTRO DO GESTOR</t>
        </is>
      </c>
      <c r="B20" s="11" t="n"/>
    </row>
    <row r="21" ht="32" customHeight="1">
      <c r="B21" s="12" t="inlineStr">
        <is>
          <t>Compromisso que você assumiu e não registrou é dívida invisível — e é a principal causa de pedido de demissão surpresa. Os que vencem em 7 dias ficam destacados no topo da aba.</t>
        </is>
      </c>
    </row>
    <row r="22" ht="32" customHeight="1">
      <c r="A22" s="10" t="inlineStr">
        <is>
          <t>O QUE NÃO ENTRA AQUI, EM NENHUMA ABA</t>
        </is>
      </c>
      <c r="B22" s="11" t="n"/>
    </row>
    <row r="23" ht="32" customHeight="1">
      <c r="B23" s="12" t="inlineStr">
        <is>
          <t>Conduta, assédio, denúncia, saúde, diagnóstico, religião, orientação sexual, filiação sindical, origem racial e vida familiar. Isso corre em processo próprio do RH. 'Contexto pessoal' significa carga e disponibilidade, não intimidade.</t>
        </is>
      </c>
    </row>
    <row r="24" ht="32" customHeight="1">
      <c r="B24" s="12" t="inlineStr">
        <is>
          <t>Regra prática que vale para as três abas: não escreva nada que você não sustentaria lendo em voz alta para a pessoa.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0" customWidth="1" min="4" max="4"/>
    <col width="20" customWidth="1" min="5" max="5"/>
    <col width="22" customWidth="1" min="6" max="6"/>
    <col width="46" customWidth="1" min="7" max="7"/>
    <col width="12" customWidth="1" min="8" max="8"/>
    <col width="26" customWidth="1" min="9" max="9"/>
    <col width="30" customWidth="1" min="10" max="10"/>
    <col width="10" customWidth="1" min="11" max="11"/>
    <col width="13" customWidth="1" min="12" max="12"/>
    <col width="11" customWidth="1" min="13" max="13"/>
    <col width="13" customWidth="1" min="14" max="14"/>
  </cols>
  <sheetData>
    <row r="1" ht="22" customHeight="1">
      <c r="A1" s="1" t="inlineStr">
        <is>
          <t>Risco de retenção — uma linha por AVALIAÇÃO, com data</t>
        </is>
      </c>
    </row>
    <row r="2">
      <c r="A2" s="2" t="inlineStr">
        <is>
          <t>Nunca um atributo permanente da pessoa. A validade de 2 ciclos é o mecanismo central desta aba.</t>
        </is>
      </c>
    </row>
    <row r="3">
      <c r="A3" s="14" t="inlineStr">
        <is>
          <t>Risco não reafirmado esvazia sozinho. Sem isso, 'risco alto' de dois anos atrás vira cicatriz que o próximo gestor lê como fato — e a pessoa paga por uma conversa que ninguém lembra.</t>
        </is>
      </c>
    </row>
    <row r="4" ht="32" customHeight="1">
      <c r="A4" s="7" t="inlineStr">
        <is>
          <t>Data</t>
        </is>
      </c>
      <c r="B4" s="7" t="inlineStr">
        <is>
          <t>ID_PESSOA</t>
        </is>
      </c>
      <c r="C4" s="7" t="inlineStr">
        <is>
          <t>Nome</t>
        </is>
      </c>
      <c r="D4" s="7" t="inlineStr">
        <is>
          <t>Nível</t>
        </is>
      </c>
      <c r="E4" s="7" t="inlineStr">
        <is>
          <t>Fator</t>
        </is>
      </c>
      <c r="F4" s="7" t="inlineStr">
        <is>
          <t>Base do sinal</t>
        </is>
      </c>
      <c r="G4" s="7" t="inlineStr">
        <is>
          <t>Ação concreta</t>
        </is>
      </c>
      <c r="H4" s="7" t="inlineStr">
        <is>
          <t>Prazo</t>
        </is>
      </c>
      <c r="I4" s="7" t="inlineStr">
        <is>
          <t>Status</t>
        </is>
      </c>
      <c r="J4" s="7" t="inlineStr">
        <is>
          <t>Desfecho registrado</t>
        </is>
      </c>
      <c r="K4" s="7" t="inlineStr">
        <is>
          <t>Idx ciclo</t>
        </is>
      </c>
      <c r="L4" s="7" t="inlineStr">
        <is>
          <t>Válido até (idx)</t>
        </is>
      </c>
      <c r="M4" s="7" t="inlineStr">
        <is>
          <t>Vigente?</t>
        </is>
      </c>
      <c r="N4" s="7" t="inlineStr">
        <is>
          <t>Dias sem ação</t>
        </is>
      </c>
    </row>
    <row r="5">
      <c r="A5" s="15" t="n">
        <v>46260</v>
      </c>
      <c r="B5" s="16" t="inlineStr">
        <is>
          <t>P003</t>
        </is>
      </c>
      <c r="C5" s="16" t="inlineStr">
        <is>
          <t>Carla Nunes</t>
        </is>
      </c>
      <c r="D5" s="16" t="inlineStr">
        <is>
          <t>Alto</t>
        </is>
      </c>
      <c r="E5" s="16" t="inlineStr">
        <is>
          <t>Carreira travada</t>
        </is>
      </c>
      <c r="F5" s="16" t="inlineStr">
        <is>
          <t>Declarado pela pessoa</t>
        </is>
      </c>
      <c r="G5" s="16" t="inlineStr">
        <is>
          <t>Assumir a trilha técnica do Contrato B como referência de arquitetura, com escopo formalizado até 15/09.</t>
        </is>
      </c>
      <c r="H5" s="15" t="n">
        <v>46275</v>
      </c>
      <c r="I5" s="16" t="inlineStr">
        <is>
          <t>Em ação</t>
        </is>
      </c>
      <c r="J5" s="16" t="inlineStr"/>
      <c r="K5" s="17">
        <f>IF($A5="","",YEAR($A5)*4+ROUNDUP(MONTH($A5)/3,0))</f>
        <v/>
      </c>
      <c r="L5" s="17">
        <f>IF($K5="","",$K5+2)</f>
        <v/>
      </c>
      <c r="M5" s="17">
        <f>IF($A5="","",IF(AND(LEFT($I5,9)&lt;&gt;"Encerrado",$L5&gt;=Instruções!$B$6),"Sim","Não"))</f>
        <v/>
      </c>
      <c r="N5" s="17">
        <f>IF(OR($A5="",$M5&lt;&gt;"Sim"),"",IF($D5&lt;&gt;"Alto","",IF($I5="Em ação","em ação",Instruções!$B$5-$A5)))</f>
        <v/>
      </c>
    </row>
    <row r="6">
      <c r="A6" s="15" t="n"/>
      <c r="B6" s="16" t="n"/>
      <c r="C6" s="16" t="n"/>
      <c r="D6" s="16" t="n"/>
      <c r="E6" s="16" t="n"/>
      <c r="F6" s="16" t="n"/>
      <c r="G6" s="16" t="n"/>
      <c r="H6" s="15" t="n"/>
      <c r="I6" s="16" t="n"/>
      <c r="J6" s="16" t="n"/>
      <c r="K6" s="17">
        <f>IF($A6="","",YEAR($A6)*4+ROUNDUP(MONTH($A6)/3,0))</f>
        <v/>
      </c>
      <c r="L6" s="17">
        <f>IF($K6="","",$K6+2)</f>
        <v/>
      </c>
      <c r="M6" s="17">
        <f>IF($A6="","",IF(AND(LEFT($I6,9)&lt;&gt;"Encerrado",$L6&gt;=Instruções!$B$6),"Sim","Não"))</f>
        <v/>
      </c>
      <c r="N6" s="17">
        <f>IF(OR($A6="",$M6&lt;&gt;"Sim"),"",IF($D6&lt;&gt;"Alto","",IF($I6="Em ação","em ação",Instruções!$B$5-$A6)))</f>
        <v/>
      </c>
    </row>
    <row r="7">
      <c r="A7" s="15" t="n"/>
      <c r="B7" s="16" t="n"/>
      <c r="C7" s="16" t="n"/>
      <c r="D7" s="16" t="n"/>
      <c r="E7" s="16" t="n"/>
      <c r="F7" s="16" t="n"/>
      <c r="G7" s="16" t="n"/>
      <c r="H7" s="15" t="n"/>
      <c r="I7" s="16" t="n"/>
      <c r="J7" s="16" t="n"/>
      <c r="K7" s="17">
        <f>IF($A7="","",YEAR($A7)*4+ROUNDUP(MONTH($A7)/3,0))</f>
        <v/>
      </c>
      <c r="L7" s="17">
        <f>IF($K7="","",$K7+2)</f>
        <v/>
      </c>
      <c r="M7" s="17">
        <f>IF($A7="","",IF(AND(LEFT($I7,9)&lt;&gt;"Encerrado",$L7&gt;=Instruções!$B$6),"Sim","Não"))</f>
        <v/>
      </c>
      <c r="N7" s="17">
        <f>IF(OR($A7="",$M7&lt;&gt;"Sim"),"",IF($D7&lt;&gt;"Alto","",IF($I7="Em ação","em ação",Instruções!$B$5-$A7)))</f>
        <v/>
      </c>
    </row>
    <row r="8">
      <c r="A8" s="15" t="n"/>
      <c r="B8" s="16" t="n"/>
      <c r="C8" s="16" t="n"/>
      <c r="D8" s="16" t="n"/>
      <c r="E8" s="16" t="n"/>
      <c r="F8" s="16" t="n"/>
      <c r="G8" s="16" t="n"/>
      <c r="H8" s="15" t="n"/>
      <c r="I8" s="16" t="n"/>
      <c r="J8" s="16" t="n"/>
      <c r="K8" s="17">
        <f>IF($A8="","",YEAR($A8)*4+ROUNDUP(MONTH($A8)/3,0))</f>
        <v/>
      </c>
      <c r="L8" s="17">
        <f>IF($K8="","",$K8+2)</f>
        <v/>
      </c>
      <c r="M8" s="17">
        <f>IF($A8="","",IF(AND(LEFT($I8,9)&lt;&gt;"Encerrado",$L8&gt;=Instruções!$B$6),"Sim","Não"))</f>
        <v/>
      </c>
      <c r="N8" s="17">
        <f>IF(OR($A8="",$M8&lt;&gt;"Sim"),"",IF($D8&lt;&gt;"Alto","",IF($I8="Em ação","em ação",Instruções!$B$5-$A8)))</f>
        <v/>
      </c>
    </row>
    <row r="9">
      <c r="A9" s="15" t="n"/>
      <c r="B9" s="16" t="n"/>
      <c r="C9" s="16" t="n"/>
      <c r="D9" s="16" t="n"/>
      <c r="E9" s="16" t="n"/>
      <c r="F9" s="16" t="n"/>
      <c r="G9" s="16" t="n"/>
      <c r="H9" s="15" t="n"/>
      <c r="I9" s="16" t="n"/>
      <c r="J9" s="16" t="n"/>
      <c r="K9" s="17">
        <f>IF($A9="","",YEAR($A9)*4+ROUNDUP(MONTH($A9)/3,0))</f>
        <v/>
      </c>
      <c r="L9" s="17">
        <f>IF($K9="","",$K9+2)</f>
        <v/>
      </c>
      <c r="M9" s="17">
        <f>IF($A9="","",IF(AND(LEFT($I9,9)&lt;&gt;"Encerrado",$L9&gt;=Instruções!$B$6),"Sim","Não"))</f>
        <v/>
      </c>
      <c r="N9" s="17">
        <f>IF(OR($A9="",$M9&lt;&gt;"Sim"),"",IF($D9&lt;&gt;"Alto","",IF($I9="Em ação","em ação",Instruções!$B$5-$A9)))</f>
        <v/>
      </c>
    </row>
    <row r="10">
      <c r="A10" s="15" t="n"/>
      <c r="B10" s="16" t="n"/>
      <c r="C10" s="16" t="n"/>
      <c r="D10" s="16" t="n"/>
      <c r="E10" s="16" t="n"/>
      <c r="F10" s="16" t="n"/>
      <c r="G10" s="16" t="n"/>
      <c r="H10" s="15" t="n"/>
      <c r="I10" s="16" t="n"/>
      <c r="J10" s="16" t="n"/>
      <c r="K10" s="17">
        <f>IF($A10="","",YEAR($A10)*4+ROUNDUP(MONTH($A10)/3,0))</f>
        <v/>
      </c>
      <c r="L10" s="17">
        <f>IF($K10="","",$K10+2)</f>
        <v/>
      </c>
      <c r="M10" s="17">
        <f>IF($A10="","",IF(AND(LEFT($I10,9)&lt;&gt;"Encerrado",$L10&gt;=Instruções!$B$6),"Sim","Não"))</f>
        <v/>
      </c>
      <c r="N10" s="17">
        <f>IF(OR($A10="",$M10&lt;&gt;"Sim"),"",IF($D10&lt;&gt;"Alto","",IF($I10="Em ação","em ação",Instruções!$B$5-$A10)))</f>
        <v/>
      </c>
    </row>
    <row r="11">
      <c r="A11" s="15" t="n"/>
      <c r="B11" s="16" t="n"/>
      <c r="C11" s="16" t="n"/>
      <c r="D11" s="16" t="n"/>
      <c r="E11" s="16" t="n"/>
      <c r="F11" s="16" t="n"/>
      <c r="G11" s="16" t="n"/>
      <c r="H11" s="15" t="n"/>
      <c r="I11" s="16" t="n"/>
      <c r="J11" s="16" t="n"/>
      <c r="K11" s="17">
        <f>IF($A11="","",YEAR($A11)*4+ROUNDUP(MONTH($A11)/3,0))</f>
        <v/>
      </c>
      <c r="L11" s="17">
        <f>IF($K11="","",$K11+2)</f>
        <v/>
      </c>
      <c r="M11" s="17">
        <f>IF($A11="","",IF(AND(LEFT($I11,9)&lt;&gt;"Encerrado",$L11&gt;=Instruções!$B$6),"Sim","Não"))</f>
        <v/>
      </c>
      <c r="N11" s="17">
        <f>IF(OR($A11="",$M11&lt;&gt;"Sim"),"",IF($D11&lt;&gt;"Alto","",IF($I11="Em ação","em ação",Instruções!$B$5-$A11)))</f>
        <v/>
      </c>
    </row>
    <row r="12">
      <c r="A12" s="15" t="n"/>
      <c r="B12" s="16" t="n"/>
      <c r="C12" s="16" t="n"/>
      <c r="D12" s="16" t="n"/>
      <c r="E12" s="16" t="n"/>
      <c r="F12" s="16" t="n"/>
      <c r="G12" s="16" t="n"/>
      <c r="H12" s="15" t="n"/>
      <c r="I12" s="16" t="n"/>
      <c r="J12" s="16" t="n"/>
      <c r="K12" s="17">
        <f>IF($A12="","",YEAR($A12)*4+ROUNDUP(MONTH($A12)/3,0))</f>
        <v/>
      </c>
      <c r="L12" s="17">
        <f>IF($K12="","",$K12+2)</f>
        <v/>
      </c>
      <c r="M12" s="17">
        <f>IF($A12="","",IF(AND(LEFT($I12,9)&lt;&gt;"Encerrado",$L12&gt;=Instruções!$B$6),"Sim","Não"))</f>
        <v/>
      </c>
      <c r="N12" s="17">
        <f>IF(OR($A12="",$M12&lt;&gt;"Sim"),"",IF($D12&lt;&gt;"Alto","",IF($I12="Em ação","em ação",Instruções!$B$5-$A12)))</f>
        <v/>
      </c>
    </row>
    <row r="13">
      <c r="A13" s="15" t="n"/>
      <c r="B13" s="16" t="n"/>
      <c r="C13" s="16" t="n"/>
      <c r="D13" s="16" t="n"/>
      <c r="E13" s="16" t="n"/>
      <c r="F13" s="16" t="n"/>
      <c r="G13" s="16" t="n"/>
      <c r="H13" s="15" t="n"/>
      <c r="I13" s="16" t="n"/>
      <c r="J13" s="16" t="n"/>
      <c r="K13" s="17">
        <f>IF($A13="","",YEAR($A13)*4+ROUNDUP(MONTH($A13)/3,0))</f>
        <v/>
      </c>
      <c r="L13" s="17">
        <f>IF($K13="","",$K13+2)</f>
        <v/>
      </c>
      <c r="M13" s="17">
        <f>IF($A13="","",IF(AND(LEFT($I13,9)&lt;&gt;"Encerrado",$L13&gt;=Instruções!$B$6),"Sim","Não"))</f>
        <v/>
      </c>
      <c r="N13" s="17">
        <f>IF(OR($A13="",$M13&lt;&gt;"Sim"),"",IF($D13&lt;&gt;"Alto","",IF($I13="Em ação","em ação",Instruções!$B$5-$A13)))</f>
        <v/>
      </c>
    </row>
    <row r="14">
      <c r="A14" s="15" t="n"/>
      <c r="B14" s="16" t="n"/>
      <c r="C14" s="16" t="n"/>
      <c r="D14" s="16" t="n"/>
      <c r="E14" s="16" t="n"/>
      <c r="F14" s="16" t="n"/>
      <c r="G14" s="16" t="n"/>
      <c r="H14" s="15" t="n"/>
      <c r="I14" s="16" t="n"/>
      <c r="J14" s="16" t="n"/>
      <c r="K14" s="17">
        <f>IF($A14="","",YEAR($A14)*4+ROUNDUP(MONTH($A14)/3,0))</f>
        <v/>
      </c>
      <c r="L14" s="17">
        <f>IF($K14="","",$K14+2)</f>
        <v/>
      </c>
      <c r="M14" s="17">
        <f>IF($A14="","",IF(AND(LEFT($I14,9)&lt;&gt;"Encerrado",$L14&gt;=Instruções!$B$6),"Sim","Não"))</f>
        <v/>
      </c>
      <c r="N14" s="17">
        <f>IF(OR($A14="",$M14&lt;&gt;"Sim"),"",IF($D14&lt;&gt;"Alto","",IF($I14="Em ação","em ação",Instruções!$B$5-$A14)))</f>
        <v/>
      </c>
    </row>
    <row r="15">
      <c r="A15" s="15" t="n"/>
      <c r="B15" s="16" t="n"/>
      <c r="C15" s="16" t="n"/>
      <c r="D15" s="16" t="n"/>
      <c r="E15" s="16" t="n"/>
      <c r="F15" s="16" t="n"/>
      <c r="G15" s="16" t="n"/>
      <c r="H15" s="15" t="n"/>
      <c r="I15" s="16" t="n"/>
      <c r="J15" s="16" t="n"/>
      <c r="K15" s="17">
        <f>IF($A15="","",YEAR($A15)*4+ROUNDUP(MONTH($A15)/3,0))</f>
        <v/>
      </c>
      <c r="L15" s="17">
        <f>IF($K15="","",$K15+2)</f>
        <v/>
      </c>
      <c r="M15" s="17">
        <f>IF($A15="","",IF(AND(LEFT($I15,9)&lt;&gt;"Encerrado",$L15&gt;=Instruções!$B$6),"Sim","Não"))</f>
        <v/>
      </c>
      <c r="N15" s="17">
        <f>IF(OR($A15="",$M15&lt;&gt;"Sim"),"",IF($D15&lt;&gt;"Alto","",IF($I15="Em ação","em ação",Instruções!$B$5-$A15)))</f>
        <v/>
      </c>
    </row>
    <row r="16">
      <c r="A16" s="15" t="n"/>
      <c r="B16" s="16" t="n"/>
      <c r="C16" s="16" t="n"/>
      <c r="D16" s="16" t="n"/>
      <c r="E16" s="16" t="n"/>
      <c r="F16" s="16" t="n"/>
      <c r="G16" s="16" t="n"/>
      <c r="H16" s="15" t="n"/>
      <c r="I16" s="16" t="n"/>
      <c r="J16" s="16" t="n"/>
      <c r="K16" s="17">
        <f>IF($A16="","",YEAR($A16)*4+ROUNDUP(MONTH($A16)/3,0))</f>
        <v/>
      </c>
      <c r="L16" s="17">
        <f>IF($K16="","",$K16+2)</f>
        <v/>
      </c>
      <c r="M16" s="17">
        <f>IF($A16="","",IF(AND(LEFT($I16,9)&lt;&gt;"Encerrado",$L16&gt;=Instruções!$B$6),"Sim","Não"))</f>
        <v/>
      </c>
      <c r="N16" s="17">
        <f>IF(OR($A16="",$M16&lt;&gt;"Sim"),"",IF($D16&lt;&gt;"Alto","",IF($I16="Em ação","em ação",Instruções!$B$5-$A16)))</f>
        <v/>
      </c>
    </row>
    <row r="17">
      <c r="A17" s="15" t="n"/>
      <c r="B17" s="16" t="n"/>
      <c r="C17" s="16" t="n"/>
      <c r="D17" s="16" t="n"/>
      <c r="E17" s="16" t="n"/>
      <c r="F17" s="16" t="n"/>
      <c r="G17" s="16" t="n"/>
      <c r="H17" s="15" t="n"/>
      <c r="I17" s="16" t="n"/>
      <c r="J17" s="16" t="n"/>
      <c r="K17" s="17">
        <f>IF($A17="","",YEAR($A17)*4+ROUNDUP(MONTH($A17)/3,0))</f>
        <v/>
      </c>
      <c r="L17" s="17">
        <f>IF($K17="","",$K17+2)</f>
        <v/>
      </c>
      <c r="M17" s="17">
        <f>IF($A17="","",IF(AND(LEFT($I17,9)&lt;&gt;"Encerrado",$L17&gt;=Instruções!$B$6),"Sim","Não"))</f>
        <v/>
      </c>
      <c r="N17" s="17">
        <f>IF(OR($A17="",$M17&lt;&gt;"Sim"),"",IF($D17&lt;&gt;"Alto","",IF($I17="Em ação","em ação",Instruções!$B$5-$A17)))</f>
        <v/>
      </c>
    </row>
    <row r="18">
      <c r="A18" s="15" t="n"/>
      <c r="B18" s="16" t="n"/>
      <c r="C18" s="16" t="n"/>
      <c r="D18" s="16" t="n"/>
      <c r="E18" s="16" t="n"/>
      <c r="F18" s="16" t="n"/>
      <c r="G18" s="16" t="n"/>
      <c r="H18" s="15" t="n"/>
      <c r="I18" s="16" t="n"/>
      <c r="J18" s="16" t="n"/>
      <c r="K18" s="17">
        <f>IF($A18="","",YEAR($A18)*4+ROUNDUP(MONTH($A18)/3,0))</f>
        <v/>
      </c>
      <c r="L18" s="17">
        <f>IF($K18="","",$K18+2)</f>
        <v/>
      </c>
      <c r="M18" s="17">
        <f>IF($A18="","",IF(AND(LEFT($I18,9)&lt;&gt;"Encerrado",$L18&gt;=Instruções!$B$6),"Sim","Não"))</f>
        <v/>
      </c>
      <c r="N18" s="17">
        <f>IF(OR($A18="",$M18&lt;&gt;"Sim"),"",IF($D18&lt;&gt;"Alto","",IF($I18="Em ação","em ação",Instruções!$B$5-$A18)))</f>
        <v/>
      </c>
    </row>
    <row r="19">
      <c r="A19" s="15" t="n"/>
      <c r="B19" s="16" t="n"/>
      <c r="C19" s="16" t="n"/>
      <c r="D19" s="16" t="n"/>
      <c r="E19" s="16" t="n"/>
      <c r="F19" s="16" t="n"/>
      <c r="G19" s="16" t="n"/>
      <c r="H19" s="15" t="n"/>
      <c r="I19" s="16" t="n"/>
      <c r="J19" s="16" t="n"/>
      <c r="K19" s="17">
        <f>IF($A19="","",YEAR($A19)*4+ROUNDUP(MONTH($A19)/3,0))</f>
        <v/>
      </c>
      <c r="L19" s="17">
        <f>IF($K19="","",$K19+2)</f>
        <v/>
      </c>
      <c r="M19" s="17">
        <f>IF($A19="","",IF(AND(LEFT($I19,9)&lt;&gt;"Encerrado",$L19&gt;=Instruções!$B$6),"Sim","Não"))</f>
        <v/>
      </c>
      <c r="N19" s="17">
        <f>IF(OR($A19="",$M19&lt;&gt;"Sim"),"",IF($D19&lt;&gt;"Alto","",IF($I19="Em ação","em ação",Instruções!$B$5-$A19)))</f>
        <v/>
      </c>
    </row>
    <row r="20">
      <c r="A20" s="15" t="n"/>
      <c r="B20" s="16" t="n"/>
      <c r="C20" s="16" t="n"/>
      <c r="D20" s="16" t="n"/>
      <c r="E20" s="16" t="n"/>
      <c r="F20" s="16" t="n"/>
      <c r="G20" s="16" t="n"/>
      <c r="H20" s="15" t="n"/>
      <c r="I20" s="16" t="n"/>
      <c r="J20" s="16" t="n"/>
      <c r="K20" s="17">
        <f>IF($A20="","",YEAR($A20)*4+ROUNDUP(MONTH($A20)/3,0))</f>
        <v/>
      </c>
      <c r="L20" s="17">
        <f>IF($K20="","",$K20+2)</f>
        <v/>
      </c>
      <c r="M20" s="17">
        <f>IF($A20="","",IF(AND(LEFT($I20,9)&lt;&gt;"Encerrado",$L20&gt;=Instruções!$B$6),"Sim","Não"))</f>
        <v/>
      </c>
      <c r="N20" s="17">
        <f>IF(OR($A20="",$M20&lt;&gt;"Sim"),"",IF($D20&lt;&gt;"Alto","",IF($I20="Em ação","em ação",Instruções!$B$5-$A20)))</f>
        <v/>
      </c>
    </row>
    <row r="21">
      <c r="A21" s="15" t="n"/>
      <c r="B21" s="16" t="n"/>
      <c r="C21" s="16" t="n"/>
      <c r="D21" s="16" t="n"/>
      <c r="E21" s="16" t="n"/>
      <c r="F21" s="16" t="n"/>
      <c r="G21" s="16" t="n"/>
      <c r="H21" s="15" t="n"/>
      <c r="I21" s="16" t="n"/>
      <c r="J21" s="16" t="n"/>
      <c r="K21" s="17">
        <f>IF($A21="","",YEAR($A21)*4+ROUNDUP(MONTH($A21)/3,0))</f>
        <v/>
      </c>
      <c r="L21" s="17">
        <f>IF($K21="","",$K21+2)</f>
        <v/>
      </c>
      <c r="M21" s="17">
        <f>IF($A21="","",IF(AND(LEFT($I21,9)&lt;&gt;"Encerrado",$L21&gt;=Instruções!$B$6),"Sim","Não"))</f>
        <v/>
      </c>
      <c r="N21" s="17">
        <f>IF(OR($A21="",$M21&lt;&gt;"Sim"),"",IF($D21&lt;&gt;"Alto","",IF($I21="Em ação","em ação",Instruções!$B$5-$A21)))</f>
        <v/>
      </c>
    </row>
    <row r="22">
      <c r="A22" s="15" t="n"/>
      <c r="B22" s="16" t="n"/>
      <c r="C22" s="16" t="n"/>
      <c r="D22" s="16" t="n"/>
      <c r="E22" s="16" t="n"/>
      <c r="F22" s="16" t="n"/>
      <c r="G22" s="16" t="n"/>
      <c r="H22" s="15" t="n"/>
      <c r="I22" s="16" t="n"/>
      <c r="J22" s="16" t="n"/>
      <c r="K22" s="17">
        <f>IF($A22="","",YEAR($A22)*4+ROUNDUP(MONTH($A22)/3,0))</f>
        <v/>
      </c>
      <c r="L22" s="17">
        <f>IF($K22="","",$K22+2)</f>
        <v/>
      </c>
      <c r="M22" s="17">
        <f>IF($A22="","",IF(AND(LEFT($I22,9)&lt;&gt;"Encerrado",$L22&gt;=Instruções!$B$6),"Sim","Não"))</f>
        <v/>
      </c>
      <c r="N22" s="17">
        <f>IF(OR($A22="",$M22&lt;&gt;"Sim"),"",IF($D22&lt;&gt;"Alto","",IF($I22="Em ação","em ação",Instruções!$B$5-$A22)))</f>
        <v/>
      </c>
    </row>
    <row r="23">
      <c r="A23" s="15" t="n"/>
      <c r="B23" s="16" t="n"/>
      <c r="C23" s="16" t="n"/>
      <c r="D23" s="16" t="n"/>
      <c r="E23" s="16" t="n"/>
      <c r="F23" s="16" t="n"/>
      <c r="G23" s="16" t="n"/>
      <c r="H23" s="15" t="n"/>
      <c r="I23" s="16" t="n"/>
      <c r="J23" s="16" t="n"/>
      <c r="K23" s="17">
        <f>IF($A23="","",YEAR($A23)*4+ROUNDUP(MONTH($A23)/3,0))</f>
        <v/>
      </c>
      <c r="L23" s="17">
        <f>IF($K23="","",$K23+2)</f>
        <v/>
      </c>
      <c r="M23" s="17">
        <f>IF($A23="","",IF(AND(LEFT($I23,9)&lt;&gt;"Encerrado",$L23&gt;=Instruções!$B$6),"Sim","Não"))</f>
        <v/>
      </c>
      <c r="N23" s="17">
        <f>IF(OR($A23="",$M23&lt;&gt;"Sim"),"",IF($D23&lt;&gt;"Alto","",IF($I23="Em ação","em ação",Instruções!$B$5-$A23)))</f>
        <v/>
      </c>
    </row>
    <row r="24">
      <c r="A24" s="15" t="n"/>
      <c r="B24" s="16" t="n"/>
      <c r="C24" s="16" t="n"/>
      <c r="D24" s="16" t="n"/>
      <c r="E24" s="16" t="n"/>
      <c r="F24" s="16" t="n"/>
      <c r="G24" s="16" t="n"/>
      <c r="H24" s="15" t="n"/>
      <c r="I24" s="16" t="n"/>
      <c r="J24" s="16" t="n"/>
      <c r="K24" s="17">
        <f>IF($A24="","",YEAR($A24)*4+ROUNDUP(MONTH($A24)/3,0))</f>
        <v/>
      </c>
      <c r="L24" s="17">
        <f>IF($K24="","",$K24+2)</f>
        <v/>
      </c>
      <c r="M24" s="17">
        <f>IF($A24="","",IF(AND(LEFT($I24,9)&lt;&gt;"Encerrado",$L24&gt;=Instruções!$B$6),"Sim","Não"))</f>
        <v/>
      </c>
      <c r="N24" s="17">
        <f>IF(OR($A24="",$M24&lt;&gt;"Sim"),"",IF($D24&lt;&gt;"Alto","",IF($I24="Em ação","em ação",Instruções!$B$5-$A24)))</f>
        <v/>
      </c>
    </row>
    <row r="25">
      <c r="A25" s="15" t="n"/>
      <c r="B25" s="16" t="n"/>
      <c r="C25" s="16" t="n"/>
      <c r="D25" s="16" t="n"/>
      <c r="E25" s="16" t="n"/>
      <c r="F25" s="16" t="n"/>
      <c r="G25" s="16" t="n"/>
      <c r="H25" s="15" t="n"/>
      <c r="I25" s="16" t="n"/>
      <c r="J25" s="16" t="n"/>
      <c r="K25" s="17">
        <f>IF($A25="","",YEAR($A25)*4+ROUNDUP(MONTH($A25)/3,0))</f>
        <v/>
      </c>
      <c r="L25" s="17">
        <f>IF($K25="","",$K25+2)</f>
        <v/>
      </c>
      <c r="M25" s="17">
        <f>IF($A25="","",IF(AND(LEFT($I25,9)&lt;&gt;"Encerrado",$L25&gt;=Instruções!$B$6),"Sim","Não"))</f>
        <v/>
      </c>
      <c r="N25" s="17">
        <f>IF(OR($A25="",$M25&lt;&gt;"Sim"),"",IF($D25&lt;&gt;"Alto","",IF($I25="Em ação","em ação",Instruções!$B$5-$A25)))</f>
        <v/>
      </c>
    </row>
    <row r="26">
      <c r="A26" s="15" t="n"/>
      <c r="B26" s="16" t="n"/>
      <c r="C26" s="16" t="n"/>
      <c r="D26" s="16" t="n"/>
      <c r="E26" s="16" t="n"/>
      <c r="F26" s="16" t="n"/>
      <c r="G26" s="16" t="n"/>
      <c r="H26" s="15" t="n"/>
      <c r="I26" s="16" t="n"/>
      <c r="J26" s="16" t="n"/>
      <c r="K26" s="17">
        <f>IF($A26="","",YEAR($A26)*4+ROUNDUP(MONTH($A26)/3,0))</f>
        <v/>
      </c>
      <c r="L26" s="17">
        <f>IF($K26="","",$K26+2)</f>
        <v/>
      </c>
      <c r="M26" s="17">
        <f>IF($A26="","",IF(AND(LEFT($I26,9)&lt;&gt;"Encerrado",$L26&gt;=Instruções!$B$6),"Sim","Não"))</f>
        <v/>
      </c>
      <c r="N26" s="17">
        <f>IF(OR($A26="",$M26&lt;&gt;"Sim"),"",IF($D26&lt;&gt;"Alto","",IF($I26="Em ação","em ação",Instruções!$B$5-$A26)))</f>
        <v/>
      </c>
    </row>
    <row r="27">
      <c r="A27" s="15" t="n"/>
      <c r="B27" s="16" t="n"/>
      <c r="C27" s="16" t="n"/>
      <c r="D27" s="16" t="n"/>
      <c r="E27" s="16" t="n"/>
      <c r="F27" s="16" t="n"/>
      <c r="G27" s="16" t="n"/>
      <c r="H27" s="15" t="n"/>
      <c r="I27" s="16" t="n"/>
      <c r="J27" s="16" t="n"/>
      <c r="K27" s="17">
        <f>IF($A27="","",YEAR($A27)*4+ROUNDUP(MONTH($A27)/3,0))</f>
        <v/>
      </c>
      <c r="L27" s="17">
        <f>IF($K27="","",$K27+2)</f>
        <v/>
      </c>
      <c r="M27" s="17">
        <f>IF($A27="","",IF(AND(LEFT($I27,9)&lt;&gt;"Encerrado",$L27&gt;=Instruções!$B$6),"Sim","Não"))</f>
        <v/>
      </c>
      <c r="N27" s="17">
        <f>IF(OR($A27="",$M27&lt;&gt;"Sim"),"",IF($D27&lt;&gt;"Alto","",IF($I27="Em ação","em ação",Instruções!$B$5-$A27)))</f>
        <v/>
      </c>
    </row>
    <row r="28">
      <c r="A28" s="15" t="n"/>
      <c r="B28" s="16" t="n"/>
      <c r="C28" s="16" t="n"/>
      <c r="D28" s="16" t="n"/>
      <c r="E28" s="16" t="n"/>
      <c r="F28" s="16" t="n"/>
      <c r="G28" s="16" t="n"/>
      <c r="H28" s="15" t="n"/>
      <c r="I28" s="16" t="n"/>
      <c r="J28" s="16" t="n"/>
      <c r="K28" s="17">
        <f>IF($A28="","",YEAR($A28)*4+ROUNDUP(MONTH($A28)/3,0))</f>
        <v/>
      </c>
      <c r="L28" s="17">
        <f>IF($K28="","",$K28+2)</f>
        <v/>
      </c>
      <c r="M28" s="17">
        <f>IF($A28="","",IF(AND(LEFT($I28,9)&lt;&gt;"Encerrado",$L28&gt;=Instruções!$B$6),"Sim","Não"))</f>
        <v/>
      </c>
      <c r="N28" s="17">
        <f>IF(OR($A28="",$M28&lt;&gt;"Sim"),"",IF($D28&lt;&gt;"Alto","",IF($I28="Em ação","em ação",Instruções!$B$5-$A28)))</f>
        <v/>
      </c>
    </row>
    <row r="29">
      <c r="A29" s="15" t="n"/>
      <c r="B29" s="16" t="n"/>
      <c r="C29" s="16" t="n"/>
      <c r="D29" s="16" t="n"/>
      <c r="E29" s="16" t="n"/>
      <c r="F29" s="16" t="n"/>
      <c r="G29" s="16" t="n"/>
      <c r="H29" s="15" t="n"/>
      <c r="I29" s="16" t="n"/>
      <c r="J29" s="16" t="n"/>
      <c r="K29" s="17">
        <f>IF($A29="","",YEAR($A29)*4+ROUNDUP(MONTH($A29)/3,0))</f>
        <v/>
      </c>
      <c r="L29" s="17">
        <f>IF($K29="","",$K29+2)</f>
        <v/>
      </c>
      <c r="M29" s="17">
        <f>IF($A29="","",IF(AND(LEFT($I29,9)&lt;&gt;"Encerrado",$L29&gt;=Instruções!$B$6),"Sim","Não"))</f>
        <v/>
      </c>
      <c r="N29" s="17">
        <f>IF(OR($A29="",$M29&lt;&gt;"Sim"),"",IF($D29&lt;&gt;"Alto","",IF($I29="Em ação","em ação",Instruções!$B$5-$A29)))</f>
        <v/>
      </c>
    </row>
    <row r="30">
      <c r="A30" s="15" t="n"/>
      <c r="B30" s="16" t="n"/>
      <c r="C30" s="16" t="n"/>
      <c r="D30" s="16" t="n"/>
      <c r="E30" s="16" t="n"/>
      <c r="F30" s="16" t="n"/>
      <c r="G30" s="16" t="n"/>
      <c r="H30" s="15" t="n"/>
      <c r="I30" s="16" t="n"/>
      <c r="J30" s="16" t="n"/>
      <c r="K30" s="17">
        <f>IF($A30="","",YEAR($A30)*4+ROUNDUP(MONTH($A30)/3,0))</f>
        <v/>
      </c>
      <c r="L30" s="17">
        <f>IF($K30="","",$K30+2)</f>
        <v/>
      </c>
      <c r="M30" s="17">
        <f>IF($A30="","",IF(AND(LEFT($I30,9)&lt;&gt;"Encerrado",$L30&gt;=Instruções!$B$6),"Sim","Não"))</f>
        <v/>
      </c>
      <c r="N30" s="17">
        <f>IF(OR($A30="",$M30&lt;&gt;"Sim"),"",IF($D30&lt;&gt;"Alto","",IF($I30="Em ação","em ação",Instruções!$B$5-$A30)))</f>
        <v/>
      </c>
    </row>
    <row r="31">
      <c r="A31" s="15" t="n"/>
      <c r="B31" s="16" t="n"/>
      <c r="C31" s="16" t="n"/>
      <c r="D31" s="16" t="n"/>
      <c r="E31" s="16" t="n"/>
      <c r="F31" s="16" t="n"/>
      <c r="G31" s="16" t="n"/>
      <c r="H31" s="15" t="n"/>
      <c r="I31" s="16" t="n"/>
      <c r="J31" s="16" t="n"/>
      <c r="K31" s="17">
        <f>IF($A31="","",YEAR($A31)*4+ROUNDUP(MONTH($A31)/3,0))</f>
        <v/>
      </c>
      <c r="L31" s="17">
        <f>IF($K31="","",$K31+2)</f>
        <v/>
      </c>
      <c r="M31" s="17">
        <f>IF($A31="","",IF(AND(LEFT($I31,9)&lt;&gt;"Encerrado",$L31&gt;=Instruções!$B$6),"Sim","Não"))</f>
        <v/>
      </c>
      <c r="N31" s="17">
        <f>IF(OR($A31="",$M31&lt;&gt;"Sim"),"",IF($D31&lt;&gt;"Alto","",IF($I31="Em ação","em ação",Instruções!$B$5-$A31)))</f>
        <v/>
      </c>
    </row>
    <row r="32">
      <c r="A32" s="15" t="n"/>
      <c r="B32" s="16" t="n"/>
      <c r="C32" s="16" t="n"/>
      <c r="D32" s="16" t="n"/>
      <c r="E32" s="16" t="n"/>
      <c r="F32" s="16" t="n"/>
      <c r="G32" s="16" t="n"/>
      <c r="H32" s="15" t="n"/>
      <c r="I32" s="16" t="n"/>
      <c r="J32" s="16" t="n"/>
      <c r="K32" s="17">
        <f>IF($A32="","",YEAR($A32)*4+ROUNDUP(MONTH($A32)/3,0))</f>
        <v/>
      </c>
      <c r="L32" s="17">
        <f>IF($K32="","",$K32+2)</f>
        <v/>
      </c>
      <c r="M32" s="17">
        <f>IF($A32="","",IF(AND(LEFT($I32,9)&lt;&gt;"Encerrado",$L32&gt;=Instruções!$B$6),"Sim","Não"))</f>
        <v/>
      </c>
      <c r="N32" s="17">
        <f>IF(OR($A32="",$M32&lt;&gt;"Sim"),"",IF($D32&lt;&gt;"Alto","",IF($I32="Em ação","em ação",Instruções!$B$5-$A32)))</f>
        <v/>
      </c>
    </row>
    <row r="33">
      <c r="A33" s="15" t="n"/>
      <c r="B33" s="16" t="n"/>
      <c r="C33" s="16" t="n"/>
      <c r="D33" s="16" t="n"/>
      <c r="E33" s="16" t="n"/>
      <c r="F33" s="16" t="n"/>
      <c r="G33" s="16" t="n"/>
      <c r="H33" s="15" t="n"/>
      <c r="I33" s="16" t="n"/>
      <c r="J33" s="16" t="n"/>
      <c r="K33" s="17">
        <f>IF($A33="","",YEAR($A33)*4+ROUNDUP(MONTH($A33)/3,0))</f>
        <v/>
      </c>
      <c r="L33" s="17">
        <f>IF($K33="","",$K33+2)</f>
        <v/>
      </c>
      <c r="M33" s="17">
        <f>IF($A33="","",IF(AND(LEFT($I33,9)&lt;&gt;"Encerrado",$L33&gt;=Instruções!$B$6),"Sim","Não"))</f>
        <v/>
      </c>
      <c r="N33" s="17">
        <f>IF(OR($A33="",$M33&lt;&gt;"Sim"),"",IF($D33&lt;&gt;"Alto","",IF($I33="Em ação","em ação",Instruções!$B$5-$A33)))</f>
        <v/>
      </c>
    </row>
    <row r="34">
      <c r="A34" s="15" t="n"/>
      <c r="B34" s="16" t="n"/>
      <c r="C34" s="16" t="n"/>
      <c r="D34" s="16" t="n"/>
      <c r="E34" s="16" t="n"/>
      <c r="F34" s="16" t="n"/>
      <c r="G34" s="16" t="n"/>
      <c r="H34" s="15" t="n"/>
      <c r="I34" s="16" t="n"/>
      <c r="J34" s="16" t="n"/>
      <c r="K34" s="17">
        <f>IF($A34="","",YEAR($A34)*4+ROUNDUP(MONTH($A34)/3,0))</f>
        <v/>
      </c>
      <c r="L34" s="17">
        <f>IF($K34="","",$K34+2)</f>
        <v/>
      </c>
      <c r="M34" s="17">
        <f>IF($A34="","",IF(AND(LEFT($I34,9)&lt;&gt;"Encerrado",$L34&gt;=Instruções!$B$6),"Sim","Não"))</f>
        <v/>
      </c>
      <c r="N34" s="17">
        <f>IF(OR($A34="",$M34&lt;&gt;"Sim"),"",IF($D34&lt;&gt;"Alto","",IF($I34="Em ação","em ação",Instruções!$B$5-$A34)))</f>
        <v/>
      </c>
    </row>
    <row r="35">
      <c r="A35" s="15" t="n"/>
      <c r="B35" s="16" t="n"/>
      <c r="C35" s="16" t="n"/>
      <c r="D35" s="16" t="n"/>
      <c r="E35" s="16" t="n"/>
      <c r="F35" s="16" t="n"/>
      <c r="G35" s="16" t="n"/>
      <c r="H35" s="15" t="n"/>
      <c r="I35" s="16" t="n"/>
      <c r="J35" s="16" t="n"/>
      <c r="K35" s="17">
        <f>IF($A35="","",YEAR($A35)*4+ROUNDUP(MONTH($A35)/3,0))</f>
        <v/>
      </c>
      <c r="L35" s="17">
        <f>IF($K35="","",$K35+2)</f>
        <v/>
      </c>
      <c r="M35" s="17">
        <f>IF($A35="","",IF(AND(LEFT($I35,9)&lt;&gt;"Encerrado",$L35&gt;=Instruções!$B$6),"Sim","Não"))</f>
        <v/>
      </c>
      <c r="N35" s="17">
        <f>IF(OR($A35="",$M35&lt;&gt;"Sim"),"",IF($D35&lt;&gt;"Alto","",IF($I35="Em ação","em ação",Instruções!$B$5-$A35)))</f>
        <v/>
      </c>
    </row>
    <row r="36">
      <c r="A36" s="15" t="n"/>
      <c r="B36" s="16" t="n"/>
      <c r="C36" s="16" t="n"/>
      <c r="D36" s="16" t="n"/>
      <c r="E36" s="16" t="n"/>
      <c r="F36" s="16" t="n"/>
      <c r="G36" s="16" t="n"/>
      <c r="H36" s="15" t="n"/>
      <c r="I36" s="16" t="n"/>
      <c r="J36" s="16" t="n"/>
      <c r="K36" s="17">
        <f>IF($A36="","",YEAR($A36)*4+ROUNDUP(MONTH($A36)/3,0))</f>
        <v/>
      </c>
      <c r="L36" s="17">
        <f>IF($K36="","",$K36+2)</f>
        <v/>
      </c>
      <c r="M36" s="17">
        <f>IF($A36="","",IF(AND(LEFT($I36,9)&lt;&gt;"Encerrado",$L36&gt;=Instruções!$B$6),"Sim","Não"))</f>
        <v/>
      </c>
      <c r="N36" s="17">
        <f>IF(OR($A36="",$M36&lt;&gt;"Sim"),"",IF($D36&lt;&gt;"Alto","",IF($I36="Em ação","em ação",Instruções!$B$5-$A36)))</f>
        <v/>
      </c>
    </row>
    <row r="37">
      <c r="A37" s="15" t="n"/>
      <c r="B37" s="16" t="n"/>
      <c r="C37" s="16" t="n"/>
      <c r="D37" s="16" t="n"/>
      <c r="E37" s="16" t="n"/>
      <c r="F37" s="16" t="n"/>
      <c r="G37" s="16" t="n"/>
      <c r="H37" s="15" t="n"/>
      <c r="I37" s="16" t="n"/>
      <c r="J37" s="16" t="n"/>
      <c r="K37" s="17">
        <f>IF($A37="","",YEAR($A37)*4+ROUNDUP(MONTH($A37)/3,0))</f>
        <v/>
      </c>
      <c r="L37" s="17">
        <f>IF($K37="","",$K37+2)</f>
        <v/>
      </c>
      <c r="M37" s="17">
        <f>IF($A37="","",IF(AND(LEFT($I37,9)&lt;&gt;"Encerrado",$L37&gt;=Instruções!$B$6),"Sim","Não"))</f>
        <v/>
      </c>
      <c r="N37" s="17">
        <f>IF(OR($A37="",$M37&lt;&gt;"Sim"),"",IF($D37&lt;&gt;"Alto","",IF($I37="Em ação","em ação",Instruções!$B$5-$A37)))</f>
        <v/>
      </c>
    </row>
    <row r="38">
      <c r="A38" s="15" t="n"/>
      <c r="B38" s="16" t="n"/>
      <c r="C38" s="16" t="n"/>
      <c r="D38" s="16" t="n"/>
      <c r="E38" s="16" t="n"/>
      <c r="F38" s="16" t="n"/>
      <c r="G38" s="16" t="n"/>
      <c r="H38" s="15" t="n"/>
      <c r="I38" s="16" t="n"/>
      <c r="J38" s="16" t="n"/>
      <c r="K38" s="17">
        <f>IF($A38="","",YEAR($A38)*4+ROUNDUP(MONTH($A38)/3,0))</f>
        <v/>
      </c>
      <c r="L38" s="17">
        <f>IF($K38="","",$K38+2)</f>
        <v/>
      </c>
      <c r="M38" s="17">
        <f>IF($A38="","",IF(AND(LEFT($I38,9)&lt;&gt;"Encerrado",$L38&gt;=Instruções!$B$6),"Sim","Não"))</f>
        <v/>
      </c>
      <c r="N38" s="17">
        <f>IF(OR($A38="",$M38&lt;&gt;"Sim"),"",IF($D38&lt;&gt;"Alto","",IF($I38="Em ação","em ação",Instruções!$B$5-$A38)))</f>
        <v/>
      </c>
    </row>
    <row r="39">
      <c r="A39" s="15" t="n"/>
      <c r="B39" s="16" t="n"/>
      <c r="C39" s="16" t="n"/>
      <c r="D39" s="16" t="n"/>
      <c r="E39" s="16" t="n"/>
      <c r="F39" s="16" t="n"/>
      <c r="G39" s="16" t="n"/>
      <c r="H39" s="15" t="n"/>
      <c r="I39" s="16" t="n"/>
      <c r="J39" s="16" t="n"/>
      <c r="K39" s="17">
        <f>IF($A39="","",YEAR($A39)*4+ROUNDUP(MONTH($A39)/3,0))</f>
        <v/>
      </c>
      <c r="L39" s="17">
        <f>IF($K39="","",$K39+2)</f>
        <v/>
      </c>
      <c r="M39" s="17">
        <f>IF($A39="","",IF(AND(LEFT($I39,9)&lt;&gt;"Encerrado",$L39&gt;=Instruções!$B$6),"Sim","Não"))</f>
        <v/>
      </c>
      <c r="N39" s="17">
        <f>IF(OR($A39="",$M39&lt;&gt;"Sim"),"",IF($D39&lt;&gt;"Alto","",IF($I39="Em ação","em ação",Instruções!$B$5-$A39)))</f>
        <v/>
      </c>
    </row>
    <row r="40">
      <c r="A40" s="15" t="n"/>
      <c r="B40" s="16" t="n"/>
      <c r="C40" s="16" t="n"/>
      <c r="D40" s="16" t="n"/>
      <c r="E40" s="16" t="n"/>
      <c r="F40" s="16" t="n"/>
      <c r="G40" s="16" t="n"/>
      <c r="H40" s="15" t="n"/>
      <c r="I40" s="16" t="n"/>
      <c r="J40" s="16" t="n"/>
      <c r="K40" s="17">
        <f>IF($A40="","",YEAR($A40)*4+ROUNDUP(MONTH($A40)/3,0))</f>
        <v/>
      </c>
      <c r="L40" s="17">
        <f>IF($K40="","",$K40+2)</f>
        <v/>
      </c>
      <c r="M40" s="17">
        <f>IF($A40="","",IF(AND(LEFT($I40,9)&lt;&gt;"Encerrado",$L40&gt;=Instruções!$B$6),"Sim","Não"))</f>
        <v/>
      </c>
      <c r="N40" s="17">
        <f>IF(OR($A40="",$M40&lt;&gt;"Sim"),"",IF($D40&lt;&gt;"Alto","",IF($I40="Em ação","em ação",Instruções!$B$5-$A40)))</f>
        <v/>
      </c>
    </row>
    <row r="41">
      <c r="A41" s="15" t="n"/>
      <c r="B41" s="16" t="n"/>
      <c r="C41" s="16" t="n"/>
      <c r="D41" s="16" t="n"/>
      <c r="E41" s="16" t="n"/>
      <c r="F41" s="16" t="n"/>
      <c r="G41" s="16" t="n"/>
      <c r="H41" s="15" t="n"/>
      <c r="I41" s="16" t="n"/>
      <c r="J41" s="16" t="n"/>
      <c r="K41" s="17">
        <f>IF($A41="","",YEAR($A41)*4+ROUNDUP(MONTH($A41)/3,0))</f>
        <v/>
      </c>
      <c r="L41" s="17">
        <f>IF($K41="","",$K41+2)</f>
        <v/>
      </c>
      <c r="M41" s="17">
        <f>IF($A41="","",IF(AND(LEFT($I41,9)&lt;&gt;"Encerrado",$L41&gt;=Instruções!$B$6),"Sim","Não"))</f>
        <v/>
      </c>
      <c r="N41" s="17">
        <f>IF(OR($A41="",$M41&lt;&gt;"Sim"),"",IF($D41&lt;&gt;"Alto","",IF($I41="Em ação","em ação",Instruções!$B$5-$A41)))</f>
        <v/>
      </c>
    </row>
    <row r="42">
      <c r="A42" s="15" t="n"/>
      <c r="B42" s="16" t="n"/>
      <c r="C42" s="16" t="n"/>
      <c r="D42" s="16" t="n"/>
      <c r="E42" s="16" t="n"/>
      <c r="F42" s="16" t="n"/>
      <c r="G42" s="16" t="n"/>
      <c r="H42" s="15" t="n"/>
      <c r="I42" s="16" t="n"/>
      <c r="J42" s="16" t="n"/>
      <c r="K42" s="17">
        <f>IF($A42="","",YEAR($A42)*4+ROUNDUP(MONTH($A42)/3,0))</f>
        <v/>
      </c>
      <c r="L42" s="17">
        <f>IF($K42="","",$K42+2)</f>
        <v/>
      </c>
      <c r="M42" s="17">
        <f>IF($A42="","",IF(AND(LEFT($I42,9)&lt;&gt;"Encerrado",$L42&gt;=Instruções!$B$6),"Sim","Não"))</f>
        <v/>
      </c>
      <c r="N42" s="17">
        <f>IF(OR($A42="",$M42&lt;&gt;"Sim"),"",IF($D42&lt;&gt;"Alto","",IF($I42="Em ação","em ação",Instruções!$B$5-$A42)))</f>
        <v/>
      </c>
    </row>
    <row r="43">
      <c r="A43" s="15" t="n"/>
      <c r="B43" s="16" t="n"/>
      <c r="C43" s="16" t="n"/>
      <c r="D43" s="16" t="n"/>
      <c r="E43" s="16" t="n"/>
      <c r="F43" s="16" t="n"/>
      <c r="G43" s="16" t="n"/>
      <c r="H43" s="15" t="n"/>
      <c r="I43" s="16" t="n"/>
      <c r="J43" s="16" t="n"/>
      <c r="K43" s="17">
        <f>IF($A43="","",YEAR($A43)*4+ROUNDUP(MONTH($A43)/3,0))</f>
        <v/>
      </c>
      <c r="L43" s="17">
        <f>IF($K43="","",$K43+2)</f>
        <v/>
      </c>
      <c r="M43" s="17">
        <f>IF($A43="","",IF(AND(LEFT($I43,9)&lt;&gt;"Encerrado",$L43&gt;=Instruções!$B$6),"Sim","Não"))</f>
        <v/>
      </c>
      <c r="N43" s="17">
        <f>IF(OR($A43="",$M43&lt;&gt;"Sim"),"",IF($D43&lt;&gt;"Alto","",IF($I43="Em ação","em ação",Instruções!$B$5-$A43)))</f>
        <v/>
      </c>
    </row>
    <row r="44">
      <c r="A44" s="15" t="n"/>
      <c r="B44" s="16" t="n"/>
      <c r="C44" s="16" t="n"/>
      <c r="D44" s="16" t="n"/>
      <c r="E44" s="16" t="n"/>
      <c r="F44" s="16" t="n"/>
      <c r="G44" s="16" t="n"/>
      <c r="H44" s="15" t="n"/>
      <c r="I44" s="16" t="n"/>
      <c r="J44" s="16" t="n"/>
      <c r="K44" s="17">
        <f>IF($A44="","",YEAR($A44)*4+ROUNDUP(MONTH($A44)/3,0))</f>
        <v/>
      </c>
      <c r="L44" s="17">
        <f>IF($K44="","",$K44+2)</f>
        <v/>
      </c>
      <c r="M44" s="17">
        <f>IF($A44="","",IF(AND(LEFT($I44,9)&lt;&gt;"Encerrado",$L44&gt;=Instruções!$B$6),"Sim","Não"))</f>
        <v/>
      </c>
      <c r="N44" s="17">
        <f>IF(OR($A44="",$M44&lt;&gt;"Sim"),"",IF($D44&lt;&gt;"Alto","",IF($I44="Em ação","em ação",Instruções!$B$5-$A44)))</f>
        <v/>
      </c>
    </row>
    <row r="45">
      <c r="A45" s="15" t="n"/>
      <c r="B45" s="16" t="n"/>
      <c r="C45" s="16" t="n"/>
      <c r="D45" s="16" t="n"/>
      <c r="E45" s="16" t="n"/>
      <c r="F45" s="16" t="n"/>
      <c r="G45" s="16" t="n"/>
      <c r="H45" s="15" t="n"/>
      <c r="I45" s="16" t="n"/>
      <c r="J45" s="16" t="n"/>
      <c r="K45" s="17">
        <f>IF($A45="","",YEAR($A45)*4+ROUNDUP(MONTH($A45)/3,0))</f>
        <v/>
      </c>
      <c r="L45" s="17">
        <f>IF($K45="","",$K45+2)</f>
        <v/>
      </c>
      <c r="M45" s="17">
        <f>IF($A45="","",IF(AND(LEFT($I45,9)&lt;&gt;"Encerrado",$L45&gt;=Instruções!$B$6),"Sim","Não"))</f>
        <v/>
      </c>
      <c r="N45" s="17">
        <f>IF(OR($A45="",$M45&lt;&gt;"Sim"),"",IF($D45&lt;&gt;"Alto","",IF($I45="Em ação","em ação",Instruções!$B$5-$A45)))</f>
        <v/>
      </c>
    </row>
    <row r="46">
      <c r="A46" s="15" t="n"/>
      <c r="B46" s="16" t="n"/>
      <c r="C46" s="16" t="n"/>
      <c r="D46" s="16" t="n"/>
      <c r="E46" s="16" t="n"/>
      <c r="F46" s="16" t="n"/>
      <c r="G46" s="16" t="n"/>
      <c r="H46" s="15" t="n"/>
      <c r="I46" s="16" t="n"/>
      <c r="J46" s="16" t="n"/>
      <c r="K46" s="17">
        <f>IF($A46="","",YEAR($A46)*4+ROUNDUP(MONTH($A46)/3,0))</f>
        <v/>
      </c>
      <c r="L46" s="17">
        <f>IF($K46="","",$K46+2)</f>
        <v/>
      </c>
      <c r="M46" s="17">
        <f>IF($A46="","",IF(AND(LEFT($I46,9)&lt;&gt;"Encerrado",$L46&gt;=Instruções!$B$6),"Sim","Não"))</f>
        <v/>
      </c>
      <c r="N46" s="17">
        <f>IF(OR($A46="",$M46&lt;&gt;"Sim"),"",IF($D46&lt;&gt;"Alto","",IF($I46="Em ação","em ação",Instruções!$B$5-$A46)))</f>
        <v/>
      </c>
    </row>
    <row r="47">
      <c r="A47" s="15" t="n"/>
      <c r="B47" s="16" t="n"/>
      <c r="C47" s="16" t="n"/>
      <c r="D47" s="16" t="n"/>
      <c r="E47" s="16" t="n"/>
      <c r="F47" s="16" t="n"/>
      <c r="G47" s="16" t="n"/>
      <c r="H47" s="15" t="n"/>
      <c r="I47" s="16" t="n"/>
      <c r="J47" s="16" t="n"/>
      <c r="K47" s="17">
        <f>IF($A47="","",YEAR($A47)*4+ROUNDUP(MONTH($A47)/3,0))</f>
        <v/>
      </c>
      <c r="L47" s="17">
        <f>IF($K47="","",$K47+2)</f>
        <v/>
      </c>
      <c r="M47" s="17">
        <f>IF($A47="","",IF(AND(LEFT($I47,9)&lt;&gt;"Encerrado",$L47&gt;=Instruções!$B$6),"Sim","Não"))</f>
        <v/>
      </c>
      <c r="N47" s="17">
        <f>IF(OR($A47="",$M47&lt;&gt;"Sim"),"",IF($D47&lt;&gt;"Alto","",IF($I47="Em ação","em ação",Instruções!$B$5-$A47)))</f>
        <v/>
      </c>
    </row>
    <row r="48">
      <c r="A48" s="15" t="n"/>
      <c r="B48" s="16" t="n"/>
      <c r="C48" s="16" t="n"/>
      <c r="D48" s="16" t="n"/>
      <c r="E48" s="16" t="n"/>
      <c r="F48" s="16" t="n"/>
      <c r="G48" s="16" t="n"/>
      <c r="H48" s="15" t="n"/>
      <c r="I48" s="16" t="n"/>
      <c r="J48" s="16" t="n"/>
      <c r="K48" s="17">
        <f>IF($A48="","",YEAR($A48)*4+ROUNDUP(MONTH($A48)/3,0))</f>
        <v/>
      </c>
      <c r="L48" s="17">
        <f>IF($K48="","",$K48+2)</f>
        <v/>
      </c>
      <c r="M48" s="17">
        <f>IF($A48="","",IF(AND(LEFT($I48,9)&lt;&gt;"Encerrado",$L48&gt;=Instruções!$B$6),"Sim","Não"))</f>
        <v/>
      </c>
      <c r="N48" s="17">
        <f>IF(OR($A48="",$M48&lt;&gt;"Sim"),"",IF($D48&lt;&gt;"Alto","",IF($I48="Em ação","em ação",Instruções!$B$5-$A48)))</f>
        <v/>
      </c>
    </row>
    <row r="49">
      <c r="A49" s="15" t="n"/>
      <c r="B49" s="16" t="n"/>
      <c r="C49" s="16" t="n"/>
      <c r="D49" s="16" t="n"/>
      <c r="E49" s="16" t="n"/>
      <c r="F49" s="16" t="n"/>
      <c r="G49" s="16" t="n"/>
      <c r="H49" s="15" t="n"/>
      <c r="I49" s="16" t="n"/>
      <c r="J49" s="16" t="n"/>
      <c r="K49" s="17">
        <f>IF($A49="","",YEAR($A49)*4+ROUNDUP(MONTH($A49)/3,0))</f>
        <v/>
      </c>
      <c r="L49" s="17">
        <f>IF($K49="","",$K49+2)</f>
        <v/>
      </c>
      <c r="M49" s="17">
        <f>IF($A49="","",IF(AND(LEFT($I49,9)&lt;&gt;"Encerrado",$L49&gt;=Instruções!$B$6),"Sim","Não"))</f>
        <v/>
      </c>
      <c r="N49" s="17">
        <f>IF(OR($A49="",$M49&lt;&gt;"Sim"),"",IF($D49&lt;&gt;"Alto","",IF($I49="Em ação","em ação",Instruções!$B$5-$A49)))</f>
        <v/>
      </c>
    </row>
    <row r="50">
      <c r="A50" s="15" t="n"/>
      <c r="B50" s="16" t="n"/>
      <c r="C50" s="16" t="n"/>
      <c r="D50" s="16" t="n"/>
      <c r="E50" s="16" t="n"/>
      <c r="F50" s="16" t="n"/>
      <c r="G50" s="16" t="n"/>
      <c r="H50" s="15" t="n"/>
      <c r="I50" s="16" t="n"/>
      <c r="J50" s="16" t="n"/>
      <c r="K50" s="17">
        <f>IF($A50="","",YEAR($A50)*4+ROUNDUP(MONTH($A50)/3,0))</f>
        <v/>
      </c>
      <c r="L50" s="17">
        <f>IF($K50="","",$K50+2)</f>
        <v/>
      </c>
      <c r="M50" s="17">
        <f>IF($A50="","",IF(AND(LEFT($I50,9)&lt;&gt;"Encerrado",$L50&gt;=Instruções!$B$6),"Sim","Não"))</f>
        <v/>
      </c>
      <c r="N50" s="17">
        <f>IF(OR($A50="",$M50&lt;&gt;"Sim"),"",IF($D50&lt;&gt;"Alto","",IF($I50="Em ação","em ação",Instruções!$B$5-$A50)))</f>
        <v/>
      </c>
    </row>
    <row r="51">
      <c r="A51" s="15" t="n"/>
      <c r="B51" s="16" t="n"/>
      <c r="C51" s="16" t="n"/>
      <c r="D51" s="16" t="n"/>
      <c r="E51" s="16" t="n"/>
      <c r="F51" s="16" t="n"/>
      <c r="G51" s="16" t="n"/>
      <c r="H51" s="15" t="n"/>
      <c r="I51" s="16" t="n"/>
      <c r="J51" s="16" t="n"/>
      <c r="K51" s="17">
        <f>IF($A51="","",YEAR($A51)*4+ROUNDUP(MONTH($A51)/3,0))</f>
        <v/>
      </c>
      <c r="L51" s="17">
        <f>IF($K51="","",$K51+2)</f>
        <v/>
      </c>
      <c r="M51" s="17">
        <f>IF($A51="","",IF(AND(LEFT($I51,9)&lt;&gt;"Encerrado",$L51&gt;=Instruções!$B$6),"Sim","Não"))</f>
        <v/>
      </c>
      <c r="N51" s="17">
        <f>IF(OR($A51="",$M51&lt;&gt;"Sim"),"",IF($D51&lt;&gt;"Alto","",IF($I51="Em ação","em ação",Instruções!$B$5-$A51)))</f>
        <v/>
      </c>
    </row>
    <row r="52">
      <c r="A52" s="15" t="n"/>
      <c r="B52" s="16" t="n"/>
      <c r="C52" s="16" t="n"/>
      <c r="D52" s="16" t="n"/>
      <c r="E52" s="16" t="n"/>
      <c r="F52" s="16" t="n"/>
      <c r="G52" s="16" t="n"/>
      <c r="H52" s="15" t="n"/>
      <c r="I52" s="16" t="n"/>
      <c r="J52" s="16" t="n"/>
      <c r="K52" s="17">
        <f>IF($A52="","",YEAR($A52)*4+ROUNDUP(MONTH($A52)/3,0))</f>
        <v/>
      </c>
      <c r="L52" s="17">
        <f>IF($K52="","",$K52+2)</f>
        <v/>
      </c>
      <c r="M52" s="17">
        <f>IF($A52="","",IF(AND(LEFT($I52,9)&lt;&gt;"Encerrado",$L52&gt;=Instruções!$B$6),"Sim","Não"))</f>
        <v/>
      </c>
      <c r="N52" s="17">
        <f>IF(OR($A52="",$M52&lt;&gt;"Sim"),"",IF($D52&lt;&gt;"Alto","",IF($I52="Em ação","em ação",Instruções!$B$5-$A52)))</f>
        <v/>
      </c>
    </row>
    <row r="53">
      <c r="A53" s="15" t="n"/>
      <c r="B53" s="16" t="n"/>
      <c r="C53" s="16" t="n"/>
      <c r="D53" s="16" t="n"/>
      <c r="E53" s="16" t="n"/>
      <c r="F53" s="16" t="n"/>
      <c r="G53" s="16" t="n"/>
      <c r="H53" s="15" t="n"/>
      <c r="I53" s="16" t="n"/>
      <c r="J53" s="16" t="n"/>
      <c r="K53" s="17">
        <f>IF($A53="","",YEAR($A53)*4+ROUNDUP(MONTH($A53)/3,0))</f>
        <v/>
      </c>
      <c r="L53" s="17">
        <f>IF($K53="","",$K53+2)</f>
        <v/>
      </c>
      <c r="M53" s="17">
        <f>IF($A53="","",IF(AND(LEFT($I53,9)&lt;&gt;"Encerrado",$L53&gt;=Instruções!$B$6),"Sim","Não"))</f>
        <v/>
      </c>
      <c r="N53" s="17">
        <f>IF(OR($A53="",$M53&lt;&gt;"Sim"),"",IF($D53&lt;&gt;"Alto","",IF($I53="Em ação","em ação",Instruções!$B$5-$A53)))</f>
        <v/>
      </c>
    </row>
    <row r="54">
      <c r="A54" s="15" t="n"/>
      <c r="B54" s="16" t="n"/>
      <c r="C54" s="16" t="n"/>
      <c r="D54" s="16" t="n"/>
      <c r="E54" s="16" t="n"/>
      <c r="F54" s="16" t="n"/>
      <c r="G54" s="16" t="n"/>
      <c r="H54" s="15" t="n"/>
      <c r="I54" s="16" t="n"/>
      <c r="J54" s="16" t="n"/>
      <c r="K54" s="17">
        <f>IF($A54="","",YEAR($A54)*4+ROUNDUP(MONTH($A54)/3,0))</f>
        <v/>
      </c>
      <c r="L54" s="17">
        <f>IF($K54="","",$K54+2)</f>
        <v/>
      </c>
      <c r="M54" s="17">
        <f>IF($A54="","",IF(AND(LEFT($I54,9)&lt;&gt;"Encerrado",$L54&gt;=Instruções!$B$6),"Sim","Não"))</f>
        <v/>
      </c>
      <c r="N54" s="17">
        <f>IF(OR($A54="",$M54&lt;&gt;"Sim"),"",IF($D54&lt;&gt;"Alto","",IF($I54="Em ação","em ação",Instruções!$B$5-$A54)))</f>
        <v/>
      </c>
    </row>
    <row r="55">
      <c r="A55" s="15" t="n"/>
      <c r="B55" s="16" t="n"/>
      <c r="C55" s="16" t="n"/>
      <c r="D55" s="16" t="n"/>
      <c r="E55" s="16" t="n"/>
      <c r="F55" s="16" t="n"/>
      <c r="G55" s="16" t="n"/>
      <c r="H55" s="15" t="n"/>
      <c r="I55" s="16" t="n"/>
      <c r="J55" s="16" t="n"/>
      <c r="K55" s="17">
        <f>IF($A55="","",YEAR($A55)*4+ROUNDUP(MONTH($A55)/3,0))</f>
        <v/>
      </c>
      <c r="L55" s="17">
        <f>IF($K55="","",$K55+2)</f>
        <v/>
      </c>
      <c r="M55" s="17">
        <f>IF($A55="","",IF(AND(LEFT($I55,9)&lt;&gt;"Encerrado",$L55&gt;=Instruções!$B$6),"Sim","Não"))</f>
        <v/>
      </c>
      <c r="N55" s="17">
        <f>IF(OR($A55="",$M55&lt;&gt;"Sim"),"",IF($D55&lt;&gt;"Alto","",IF($I55="Em ação","em ação",Instruções!$B$5-$A55)))</f>
        <v/>
      </c>
    </row>
    <row r="56">
      <c r="A56" s="15" t="n"/>
      <c r="B56" s="16" t="n"/>
      <c r="C56" s="16" t="n"/>
      <c r="D56" s="16" t="n"/>
      <c r="E56" s="16" t="n"/>
      <c r="F56" s="16" t="n"/>
      <c r="G56" s="16" t="n"/>
      <c r="H56" s="15" t="n"/>
      <c r="I56" s="16" t="n"/>
      <c r="J56" s="16" t="n"/>
      <c r="K56" s="17">
        <f>IF($A56="","",YEAR($A56)*4+ROUNDUP(MONTH($A56)/3,0))</f>
        <v/>
      </c>
      <c r="L56" s="17">
        <f>IF($K56="","",$K56+2)</f>
        <v/>
      </c>
      <c r="M56" s="17">
        <f>IF($A56="","",IF(AND(LEFT($I56,9)&lt;&gt;"Encerrado",$L56&gt;=Instruções!$B$6),"Sim","Não"))</f>
        <v/>
      </c>
      <c r="N56" s="17">
        <f>IF(OR($A56="",$M56&lt;&gt;"Sim"),"",IF($D56&lt;&gt;"Alto","",IF($I56="Em ação","em ação",Instruções!$B$5-$A56)))</f>
        <v/>
      </c>
    </row>
    <row r="57">
      <c r="A57" s="15" t="n"/>
      <c r="B57" s="16" t="n"/>
      <c r="C57" s="16" t="n"/>
      <c r="D57" s="16" t="n"/>
      <c r="E57" s="16" t="n"/>
      <c r="F57" s="16" t="n"/>
      <c r="G57" s="16" t="n"/>
      <c r="H57" s="15" t="n"/>
      <c r="I57" s="16" t="n"/>
      <c r="J57" s="16" t="n"/>
      <c r="K57" s="17">
        <f>IF($A57="","",YEAR($A57)*4+ROUNDUP(MONTH($A57)/3,0))</f>
        <v/>
      </c>
      <c r="L57" s="17">
        <f>IF($K57="","",$K57+2)</f>
        <v/>
      </c>
      <c r="M57" s="17">
        <f>IF($A57="","",IF(AND(LEFT($I57,9)&lt;&gt;"Encerrado",$L57&gt;=Instruções!$B$6),"Sim","Não"))</f>
        <v/>
      </c>
      <c r="N57" s="17">
        <f>IF(OR($A57="",$M57&lt;&gt;"Sim"),"",IF($D57&lt;&gt;"Alto","",IF($I57="Em ação","em ação",Instruções!$B$5-$A57)))</f>
        <v/>
      </c>
    </row>
    <row r="58">
      <c r="A58" s="15" t="n"/>
      <c r="B58" s="16" t="n"/>
      <c r="C58" s="16" t="n"/>
      <c r="D58" s="16" t="n"/>
      <c r="E58" s="16" t="n"/>
      <c r="F58" s="16" t="n"/>
      <c r="G58" s="16" t="n"/>
      <c r="H58" s="15" t="n"/>
      <c r="I58" s="16" t="n"/>
      <c r="J58" s="16" t="n"/>
      <c r="K58" s="17">
        <f>IF($A58="","",YEAR($A58)*4+ROUNDUP(MONTH($A58)/3,0))</f>
        <v/>
      </c>
      <c r="L58" s="17">
        <f>IF($K58="","",$K58+2)</f>
        <v/>
      </c>
      <c r="M58" s="17">
        <f>IF($A58="","",IF(AND(LEFT($I58,9)&lt;&gt;"Encerrado",$L58&gt;=Instruções!$B$6),"Sim","Não"))</f>
        <v/>
      </c>
      <c r="N58" s="17">
        <f>IF(OR($A58="",$M58&lt;&gt;"Sim"),"",IF($D58&lt;&gt;"Alto","",IF($I58="Em ação","em ação",Instruções!$B$5-$A58)))</f>
        <v/>
      </c>
    </row>
    <row r="59">
      <c r="A59" s="15" t="n"/>
      <c r="B59" s="16" t="n"/>
      <c r="C59" s="16" t="n"/>
      <c r="D59" s="16" t="n"/>
      <c r="E59" s="16" t="n"/>
      <c r="F59" s="16" t="n"/>
      <c r="G59" s="16" t="n"/>
      <c r="H59" s="15" t="n"/>
      <c r="I59" s="16" t="n"/>
      <c r="J59" s="16" t="n"/>
      <c r="K59" s="17">
        <f>IF($A59="","",YEAR($A59)*4+ROUNDUP(MONTH($A59)/3,0))</f>
        <v/>
      </c>
      <c r="L59" s="17">
        <f>IF($K59="","",$K59+2)</f>
        <v/>
      </c>
      <c r="M59" s="17">
        <f>IF($A59="","",IF(AND(LEFT($I59,9)&lt;&gt;"Encerrado",$L59&gt;=Instruções!$B$6),"Sim","Não"))</f>
        <v/>
      </c>
      <c r="N59" s="17">
        <f>IF(OR($A59="",$M59&lt;&gt;"Sim"),"",IF($D59&lt;&gt;"Alto","",IF($I59="Em ação","em ação",Instruções!$B$5-$A59)))</f>
        <v/>
      </c>
    </row>
    <row r="60">
      <c r="A60" s="15" t="n"/>
      <c r="B60" s="16" t="n"/>
      <c r="C60" s="16" t="n"/>
      <c r="D60" s="16" t="n"/>
      <c r="E60" s="16" t="n"/>
      <c r="F60" s="16" t="n"/>
      <c r="G60" s="16" t="n"/>
      <c r="H60" s="15" t="n"/>
      <c r="I60" s="16" t="n"/>
      <c r="J60" s="16" t="n"/>
      <c r="K60" s="17">
        <f>IF($A60="","",YEAR($A60)*4+ROUNDUP(MONTH($A60)/3,0))</f>
        <v/>
      </c>
      <c r="L60" s="17">
        <f>IF($K60="","",$K60+2)</f>
        <v/>
      </c>
      <c r="M60" s="17">
        <f>IF($A60="","",IF(AND(LEFT($I60,9)&lt;&gt;"Encerrado",$L60&gt;=Instruções!$B$6),"Sim","Não"))</f>
        <v/>
      </c>
      <c r="N60" s="17">
        <f>IF(OR($A60="",$M60&lt;&gt;"Sim"),"",IF($D60&lt;&gt;"Alto","",IF($I60="Em ação","em ação",Instruções!$B$5-$A60)))</f>
        <v/>
      </c>
    </row>
    <row r="61">
      <c r="A61" s="15" t="n"/>
      <c r="B61" s="16" t="n"/>
      <c r="C61" s="16" t="n"/>
      <c r="D61" s="16" t="n"/>
      <c r="E61" s="16" t="n"/>
      <c r="F61" s="16" t="n"/>
      <c r="G61" s="16" t="n"/>
      <c r="H61" s="15" t="n"/>
      <c r="I61" s="16" t="n"/>
      <c r="J61" s="16" t="n"/>
      <c r="K61" s="17">
        <f>IF($A61="","",YEAR($A61)*4+ROUNDUP(MONTH($A61)/3,0))</f>
        <v/>
      </c>
      <c r="L61" s="17">
        <f>IF($K61="","",$K61+2)</f>
        <v/>
      </c>
      <c r="M61" s="17">
        <f>IF($A61="","",IF(AND(LEFT($I61,9)&lt;&gt;"Encerrado",$L61&gt;=Instruções!$B$6),"Sim","Não"))</f>
        <v/>
      </c>
      <c r="N61" s="17">
        <f>IF(OR($A61="",$M61&lt;&gt;"Sim"),"",IF($D61&lt;&gt;"Alto","",IF($I61="Em ação","em ação",Instruções!$B$5-$A61)))</f>
        <v/>
      </c>
    </row>
    <row r="62">
      <c r="A62" s="15" t="n"/>
      <c r="B62" s="16" t="n"/>
      <c r="C62" s="16" t="n"/>
      <c r="D62" s="16" t="n"/>
      <c r="E62" s="16" t="n"/>
      <c r="F62" s="16" t="n"/>
      <c r="G62" s="16" t="n"/>
      <c r="H62" s="15" t="n"/>
      <c r="I62" s="16" t="n"/>
      <c r="J62" s="16" t="n"/>
      <c r="K62" s="17">
        <f>IF($A62="","",YEAR($A62)*4+ROUNDUP(MONTH($A62)/3,0))</f>
        <v/>
      </c>
      <c r="L62" s="17">
        <f>IF($K62="","",$K62+2)</f>
        <v/>
      </c>
      <c r="M62" s="17">
        <f>IF($A62="","",IF(AND(LEFT($I62,9)&lt;&gt;"Encerrado",$L62&gt;=Instruções!$B$6),"Sim","Não"))</f>
        <v/>
      </c>
      <c r="N62" s="17">
        <f>IF(OR($A62="",$M62&lt;&gt;"Sim"),"",IF($D62&lt;&gt;"Alto","",IF($I62="Em ação","em ação",Instruções!$B$5-$A62)))</f>
        <v/>
      </c>
    </row>
    <row r="63">
      <c r="A63" s="15" t="n"/>
      <c r="B63" s="16" t="n"/>
      <c r="C63" s="16" t="n"/>
      <c r="D63" s="16" t="n"/>
      <c r="E63" s="16" t="n"/>
      <c r="F63" s="16" t="n"/>
      <c r="G63" s="16" t="n"/>
      <c r="H63" s="15" t="n"/>
      <c r="I63" s="16" t="n"/>
      <c r="J63" s="16" t="n"/>
      <c r="K63" s="17">
        <f>IF($A63="","",YEAR($A63)*4+ROUNDUP(MONTH($A63)/3,0))</f>
        <v/>
      </c>
      <c r="L63" s="17">
        <f>IF($K63="","",$K63+2)</f>
        <v/>
      </c>
      <c r="M63" s="17">
        <f>IF($A63="","",IF(AND(LEFT($I63,9)&lt;&gt;"Encerrado",$L63&gt;=Instruções!$B$6),"Sim","Não"))</f>
        <v/>
      </c>
      <c r="N63" s="17">
        <f>IF(OR($A63="",$M63&lt;&gt;"Sim"),"",IF($D63&lt;&gt;"Alto","",IF($I63="Em ação","em ação",Instruções!$B$5-$A63)))</f>
        <v/>
      </c>
    </row>
    <row r="64">
      <c r="A64" s="15" t="n"/>
      <c r="B64" s="16" t="n"/>
      <c r="C64" s="16" t="n"/>
      <c r="D64" s="16" t="n"/>
      <c r="E64" s="16" t="n"/>
      <c r="F64" s="16" t="n"/>
      <c r="G64" s="16" t="n"/>
      <c r="H64" s="15" t="n"/>
      <c r="I64" s="16" t="n"/>
      <c r="J64" s="16" t="n"/>
      <c r="K64" s="17">
        <f>IF($A64="","",YEAR($A64)*4+ROUNDUP(MONTH($A64)/3,0))</f>
        <v/>
      </c>
      <c r="L64" s="17">
        <f>IF($K64="","",$K64+2)</f>
        <v/>
      </c>
      <c r="M64" s="17">
        <f>IF($A64="","",IF(AND(LEFT($I64,9)&lt;&gt;"Encerrado",$L64&gt;=Instruções!$B$6),"Sim","Não"))</f>
        <v/>
      </c>
      <c r="N64" s="17">
        <f>IF(OR($A64="",$M64&lt;&gt;"Sim"),"",IF($D64&lt;&gt;"Alto","",IF($I64="Em ação","em ação",Instruções!$B$5-$A64)))</f>
        <v/>
      </c>
    </row>
    <row r="65">
      <c r="A65" s="15" t="n"/>
      <c r="B65" s="16" t="n"/>
      <c r="C65" s="16" t="n"/>
      <c r="D65" s="16" t="n"/>
      <c r="E65" s="16" t="n"/>
      <c r="F65" s="16" t="n"/>
      <c r="G65" s="16" t="n"/>
      <c r="H65" s="15" t="n"/>
      <c r="I65" s="16" t="n"/>
      <c r="J65" s="16" t="n"/>
      <c r="K65" s="17">
        <f>IF($A65="","",YEAR($A65)*4+ROUNDUP(MONTH($A65)/3,0))</f>
        <v/>
      </c>
      <c r="L65" s="17">
        <f>IF($K65="","",$K65+2)</f>
        <v/>
      </c>
      <c r="M65" s="17">
        <f>IF($A65="","",IF(AND(LEFT($I65,9)&lt;&gt;"Encerrado",$L65&gt;=Instruções!$B$6),"Sim","Não"))</f>
        <v/>
      </c>
      <c r="N65" s="17">
        <f>IF(OR($A65="",$M65&lt;&gt;"Sim"),"",IF($D65&lt;&gt;"Alto","",IF($I65="Em ação","em ação",Instruções!$B$5-$A65)))</f>
        <v/>
      </c>
    </row>
    <row r="66">
      <c r="A66" s="15" t="n"/>
      <c r="B66" s="16" t="n"/>
      <c r="C66" s="16" t="n"/>
      <c r="D66" s="16" t="n"/>
      <c r="E66" s="16" t="n"/>
      <c r="F66" s="16" t="n"/>
      <c r="G66" s="16" t="n"/>
      <c r="H66" s="15" t="n"/>
      <c r="I66" s="16" t="n"/>
      <c r="J66" s="16" t="n"/>
      <c r="K66" s="17">
        <f>IF($A66="","",YEAR($A66)*4+ROUNDUP(MONTH($A66)/3,0))</f>
        <v/>
      </c>
      <c r="L66" s="17">
        <f>IF($K66="","",$K66+2)</f>
        <v/>
      </c>
      <c r="M66" s="17">
        <f>IF($A66="","",IF(AND(LEFT($I66,9)&lt;&gt;"Encerrado",$L66&gt;=Instruções!$B$6),"Sim","Não"))</f>
        <v/>
      </c>
      <c r="N66" s="17">
        <f>IF(OR($A66="",$M66&lt;&gt;"Sim"),"",IF($D66&lt;&gt;"Alto","",IF($I66="Em ação","em ação",Instruções!$B$5-$A66)))</f>
        <v/>
      </c>
    </row>
    <row r="67">
      <c r="A67" s="15" t="n"/>
      <c r="B67" s="16" t="n"/>
      <c r="C67" s="16" t="n"/>
      <c r="D67" s="16" t="n"/>
      <c r="E67" s="16" t="n"/>
      <c r="F67" s="16" t="n"/>
      <c r="G67" s="16" t="n"/>
      <c r="H67" s="15" t="n"/>
      <c r="I67" s="16" t="n"/>
      <c r="J67" s="16" t="n"/>
      <c r="K67" s="17">
        <f>IF($A67="","",YEAR($A67)*4+ROUNDUP(MONTH($A67)/3,0))</f>
        <v/>
      </c>
      <c r="L67" s="17">
        <f>IF($K67="","",$K67+2)</f>
        <v/>
      </c>
      <c r="M67" s="17">
        <f>IF($A67="","",IF(AND(LEFT($I67,9)&lt;&gt;"Encerrado",$L67&gt;=Instruções!$B$6),"Sim","Não"))</f>
        <v/>
      </c>
      <c r="N67" s="17">
        <f>IF(OR($A67="",$M67&lt;&gt;"Sim"),"",IF($D67&lt;&gt;"Alto","",IF($I67="Em ação","em ação",Instruções!$B$5-$A67)))</f>
        <v/>
      </c>
    </row>
    <row r="68">
      <c r="A68" s="15" t="n"/>
      <c r="B68" s="16" t="n"/>
      <c r="C68" s="16" t="n"/>
      <c r="D68" s="16" t="n"/>
      <c r="E68" s="16" t="n"/>
      <c r="F68" s="16" t="n"/>
      <c r="G68" s="16" t="n"/>
      <c r="H68" s="15" t="n"/>
      <c r="I68" s="16" t="n"/>
      <c r="J68" s="16" t="n"/>
      <c r="K68" s="17">
        <f>IF($A68="","",YEAR($A68)*4+ROUNDUP(MONTH($A68)/3,0))</f>
        <v/>
      </c>
      <c r="L68" s="17">
        <f>IF($K68="","",$K68+2)</f>
        <v/>
      </c>
      <c r="M68" s="17">
        <f>IF($A68="","",IF(AND(LEFT($I68,9)&lt;&gt;"Encerrado",$L68&gt;=Instruções!$B$6),"Sim","Não"))</f>
        <v/>
      </c>
      <c r="N68" s="17">
        <f>IF(OR($A68="",$M68&lt;&gt;"Sim"),"",IF($D68&lt;&gt;"Alto","",IF($I68="Em ação","em ação",Instruções!$B$5-$A68)))</f>
        <v/>
      </c>
    </row>
    <row r="69">
      <c r="A69" s="15" t="n"/>
      <c r="B69" s="16" t="n"/>
      <c r="C69" s="16" t="n"/>
      <c r="D69" s="16" t="n"/>
      <c r="E69" s="16" t="n"/>
      <c r="F69" s="16" t="n"/>
      <c r="G69" s="16" t="n"/>
      <c r="H69" s="15" t="n"/>
      <c r="I69" s="16" t="n"/>
      <c r="J69" s="16" t="n"/>
      <c r="K69" s="17">
        <f>IF($A69="","",YEAR($A69)*4+ROUNDUP(MONTH($A69)/3,0))</f>
        <v/>
      </c>
      <c r="L69" s="17">
        <f>IF($K69="","",$K69+2)</f>
        <v/>
      </c>
      <c r="M69" s="17">
        <f>IF($A69="","",IF(AND(LEFT($I69,9)&lt;&gt;"Encerrado",$L69&gt;=Instruções!$B$6),"Sim","Não"))</f>
        <v/>
      </c>
      <c r="N69" s="17">
        <f>IF(OR($A69="",$M69&lt;&gt;"Sim"),"",IF($D69&lt;&gt;"Alto","",IF($I69="Em ação","em ação",Instruções!$B$5-$A69)))</f>
        <v/>
      </c>
    </row>
    <row r="70">
      <c r="A70" s="15" t="n"/>
      <c r="B70" s="16" t="n"/>
      <c r="C70" s="16" t="n"/>
      <c r="D70" s="16" t="n"/>
      <c r="E70" s="16" t="n"/>
      <c r="F70" s="16" t="n"/>
      <c r="G70" s="16" t="n"/>
      <c r="H70" s="15" t="n"/>
      <c r="I70" s="16" t="n"/>
      <c r="J70" s="16" t="n"/>
      <c r="K70" s="17">
        <f>IF($A70="","",YEAR($A70)*4+ROUNDUP(MONTH($A70)/3,0))</f>
        <v/>
      </c>
      <c r="L70" s="17">
        <f>IF($K70="","",$K70+2)</f>
        <v/>
      </c>
      <c r="M70" s="17">
        <f>IF($A70="","",IF(AND(LEFT($I70,9)&lt;&gt;"Encerrado",$L70&gt;=Instruções!$B$6),"Sim","Não"))</f>
        <v/>
      </c>
      <c r="N70" s="17">
        <f>IF(OR($A70="",$M70&lt;&gt;"Sim"),"",IF($D70&lt;&gt;"Alto","",IF($I70="Em ação","em ação",Instruções!$B$5-$A70)))</f>
        <v/>
      </c>
    </row>
    <row r="71">
      <c r="A71" s="15" t="n"/>
      <c r="B71" s="16" t="n"/>
      <c r="C71" s="16" t="n"/>
      <c r="D71" s="16" t="n"/>
      <c r="E71" s="16" t="n"/>
      <c r="F71" s="16" t="n"/>
      <c r="G71" s="16" t="n"/>
      <c r="H71" s="15" t="n"/>
      <c r="I71" s="16" t="n"/>
      <c r="J71" s="16" t="n"/>
      <c r="K71" s="17">
        <f>IF($A71="","",YEAR($A71)*4+ROUNDUP(MONTH($A71)/3,0))</f>
        <v/>
      </c>
      <c r="L71" s="17">
        <f>IF($K71="","",$K71+2)</f>
        <v/>
      </c>
      <c r="M71" s="17">
        <f>IF($A71="","",IF(AND(LEFT($I71,9)&lt;&gt;"Encerrado",$L71&gt;=Instruções!$B$6),"Sim","Não"))</f>
        <v/>
      </c>
      <c r="N71" s="17">
        <f>IF(OR($A71="",$M71&lt;&gt;"Sim"),"",IF($D71&lt;&gt;"Alto","",IF($I71="Em ação","em ação",Instruções!$B$5-$A71)))</f>
        <v/>
      </c>
    </row>
    <row r="72">
      <c r="A72" s="15" t="n"/>
      <c r="B72" s="16" t="n"/>
      <c r="C72" s="16" t="n"/>
      <c r="D72" s="16" t="n"/>
      <c r="E72" s="16" t="n"/>
      <c r="F72" s="16" t="n"/>
      <c r="G72" s="16" t="n"/>
      <c r="H72" s="15" t="n"/>
      <c r="I72" s="16" t="n"/>
      <c r="J72" s="16" t="n"/>
      <c r="K72" s="17">
        <f>IF($A72="","",YEAR($A72)*4+ROUNDUP(MONTH($A72)/3,0))</f>
        <v/>
      </c>
      <c r="L72" s="17">
        <f>IF($K72="","",$K72+2)</f>
        <v/>
      </c>
      <c r="M72" s="17">
        <f>IF($A72="","",IF(AND(LEFT($I72,9)&lt;&gt;"Encerrado",$L72&gt;=Instruções!$B$6),"Sim","Não"))</f>
        <v/>
      </c>
      <c r="N72" s="17">
        <f>IF(OR($A72="",$M72&lt;&gt;"Sim"),"",IF($D72&lt;&gt;"Alto","",IF($I72="Em ação","em ação",Instruções!$B$5-$A72)))</f>
        <v/>
      </c>
    </row>
    <row r="73">
      <c r="A73" s="15" t="n"/>
      <c r="B73" s="16" t="n"/>
      <c r="C73" s="16" t="n"/>
      <c r="D73" s="16" t="n"/>
      <c r="E73" s="16" t="n"/>
      <c r="F73" s="16" t="n"/>
      <c r="G73" s="16" t="n"/>
      <c r="H73" s="15" t="n"/>
      <c r="I73" s="16" t="n"/>
      <c r="J73" s="16" t="n"/>
      <c r="K73" s="17">
        <f>IF($A73="","",YEAR($A73)*4+ROUNDUP(MONTH($A73)/3,0))</f>
        <v/>
      </c>
      <c r="L73" s="17">
        <f>IF($K73="","",$K73+2)</f>
        <v/>
      </c>
      <c r="M73" s="17">
        <f>IF($A73="","",IF(AND(LEFT($I73,9)&lt;&gt;"Encerrado",$L73&gt;=Instruções!$B$6),"Sim","Não"))</f>
        <v/>
      </c>
      <c r="N73" s="17">
        <f>IF(OR($A73="",$M73&lt;&gt;"Sim"),"",IF($D73&lt;&gt;"Alto","",IF($I73="Em ação","em ação",Instruções!$B$5-$A73)))</f>
        <v/>
      </c>
    </row>
    <row r="74">
      <c r="A74" s="15" t="n"/>
      <c r="B74" s="16" t="n"/>
      <c r="C74" s="16" t="n"/>
      <c r="D74" s="16" t="n"/>
      <c r="E74" s="16" t="n"/>
      <c r="F74" s="16" t="n"/>
      <c r="G74" s="16" t="n"/>
      <c r="H74" s="15" t="n"/>
      <c r="I74" s="16" t="n"/>
      <c r="J74" s="16" t="n"/>
      <c r="K74" s="17">
        <f>IF($A74="","",YEAR($A74)*4+ROUNDUP(MONTH($A74)/3,0))</f>
        <v/>
      </c>
      <c r="L74" s="17">
        <f>IF($K74="","",$K74+2)</f>
        <v/>
      </c>
      <c r="M74" s="17">
        <f>IF($A74="","",IF(AND(LEFT($I74,9)&lt;&gt;"Encerrado",$L74&gt;=Instruções!$B$6),"Sim","Não"))</f>
        <v/>
      </c>
      <c r="N74" s="17">
        <f>IF(OR($A74="",$M74&lt;&gt;"Sim"),"",IF($D74&lt;&gt;"Alto","",IF($I74="Em ação","em ação",Instruções!$B$5-$A74)))</f>
        <v/>
      </c>
    </row>
    <row r="75">
      <c r="A75" s="15" t="n"/>
      <c r="B75" s="16" t="n"/>
      <c r="C75" s="16" t="n"/>
      <c r="D75" s="16" t="n"/>
      <c r="E75" s="16" t="n"/>
      <c r="F75" s="16" t="n"/>
      <c r="G75" s="16" t="n"/>
      <c r="H75" s="15" t="n"/>
      <c r="I75" s="16" t="n"/>
      <c r="J75" s="16" t="n"/>
      <c r="K75" s="17">
        <f>IF($A75="","",YEAR($A75)*4+ROUNDUP(MONTH($A75)/3,0))</f>
        <v/>
      </c>
      <c r="L75" s="17">
        <f>IF($K75="","",$K75+2)</f>
        <v/>
      </c>
      <c r="M75" s="17">
        <f>IF($A75="","",IF(AND(LEFT($I75,9)&lt;&gt;"Encerrado",$L75&gt;=Instruções!$B$6),"Sim","Não"))</f>
        <v/>
      </c>
      <c r="N75" s="17">
        <f>IF(OR($A75="",$M75&lt;&gt;"Sim"),"",IF($D75&lt;&gt;"Alto","",IF($I75="Em ação","em ação",Instruções!$B$5-$A75)))</f>
        <v/>
      </c>
    </row>
    <row r="76">
      <c r="A76" s="15" t="n"/>
      <c r="B76" s="16" t="n"/>
      <c r="C76" s="16" t="n"/>
      <c r="D76" s="16" t="n"/>
      <c r="E76" s="16" t="n"/>
      <c r="F76" s="16" t="n"/>
      <c r="G76" s="16" t="n"/>
      <c r="H76" s="15" t="n"/>
      <c r="I76" s="16" t="n"/>
      <c r="J76" s="16" t="n"/>
      <c r="K76" s="17">
        <f>IF($A76="","",YEAR($A76)*4+ROUNDUP(MONTH($A76)/3,0))</f>
        <v/>
      </c>
      <c r="L76" s="17">
        <f>IF($K76="","",$K76+2)</f>
        <v/>
      </c>
      <c r="M76" s="17">
        <f>IF($A76="","",IF(AND(LEFT($I76,9)&lt;&gt;"Encerrado",$L76&gt;=Instruções!$B$6),"Sim","Não"))</f>
        <v/>
      </c>
      <c r="N76" s="17">
        <f>IF(OR($A76="",$M76&lt;&gt;"Sim"),"",IF($D76&lt;&gt;"Alto","",IF($I76="Em ação","em ação",Instruções!$B$5-$A76)))</f>
        <v/>
      </c>
    </row>
    <row r="77">
      <c r="A77" s="15" t="n"/>
      <c r="B77" s="16" t="n"/>
      <c r="C77" s="16" t="n"/>
      <c r="D77" s="16" t="n"/>
      <c r="E77" s="16" t="n"/>
      <c r="F77" s="16" t="n"/>
      <c r="G77" s="16" t="n"/>
      <c r="H77" s="15" t="n"/>
      <c r="I77" s="16" t="n"/>
      <c r="J77" s="16" t="n"/>
      <c r="K77" s="17">
        <f>IF($A77="","",YEAR($A77)*4+ROUNDUP(MONTH($A77)/3,0))</f>
        <v/>
      </c>
      <c r="L77" s="17">
        <f>IF($K77="","",$K77+2)</f>
        <v/>
      </c>
      <c r="M77" s="17">
        <f>IF($A77="","",IF(AND(LEFT($I77,9)&lt;&gt;"Encerrado",$L77&gt;=Instruções!$B$6),"Sim","Não"))</f>
        <v/>
      </c>
      <c r="N77" s="17">
        <f>IF(OR($A77="",$M77&lt;&gt;"Sim"),"",IF($D77&lt;&gt;"Alto","",IF($I77="Em ação","em ação",Instruções!$B$5-$A77)))</f>
        <v/>
      </c>
    </row>
    <row r="78">
      <c r="A78" s="15" t="n"/>
      <c r="B78" s="16" t="n"/>
      <c r="C78" s="16" t="n"/>
      <c r="D78" s="16" t="n"/>
      <c r="E78" s="16" t="n"/>
      <c r="F78" s="16" t="n"/>
      <c r="G78" s="16" t="n"/>
      <c r="H78" s="15" t="n"/>
      <c r="I78" s="16" t="n"/>
      <c r="J78" s="16" t="n"/>
      <c r="K78" s="17">
        <f>IF($A78="","",YEAR($A78)*4+ROUNDUP(MONTH($A78)/3,0))</f>
        <v/>
      </c>
      <c r="L78" s="17">
        <f>IF($K78="","",$K78+2)</f>
        <v/>
      </c>
      <c r="M78" s="17">
        <f>IF($A78="","",IF(AND(LEFT($I78,9)&lt;&gt;"Encerrado",$L78&gt;=Instruções!$B$6),"Sim","Não"))</f>
        <v/>
      </c>
      <c r="N78" s="17">
        <f>IF(OR($A78="",$M78&lt;&gt;"Sim"),"",IF($D78&lt;&gt;"Alto","",IF($I78="Em ação","em ação",Instruções!$B$5-$A78)))</f>
        <v/>
      </c>
    </row>
    <row r="79">
      <c r="A79" s="15" t="n"/>
      <c r="B79" s="16" t="n"/>
      <c r="C79" s="16" t="n"/>
      <c r="D79" s="16" t="n"/>
      <c r="E79" s="16" t="n"/>
      <c r="F79" s="16" t="n"/>
      <c r="G79" s="16" t="n"/>
      <c r="H79" s="15" t="n"/>
      <c r="I79" s="16" t="n"/>
      <c r="J79" s="16" t="n"/>
      <c r="K79" s="17">
        <f>IF($A79="","",YEAR($A79)*4+ROUNDUP(MONTH($A79)/3,0))</f>
        <v/>
      </c>
      <c r="L79" s="17">
        <f>IF($K79="","",$K79+2)</f>
        <v/>
      </c>
      <c r="M79" s="17">
        <f>IF($A79="","",IF(AND(LEFT($I79,9)&lt;&gt;"Encerrado",$L79&gt;=Instruções!$B$6),"Sim","Não"))</f>
        <v/>
      </c>
      <c r="N79" s="17">
        <f>IF(OR($A79="",$M79&lt;&gt;"Sim"),"",IF($D79&lt;&gt;"Alto","",IF($I79="Em ação","em ação",Instruções!$B$5-$A79)))</f>
        <v/>
      </c>
    </row>
    <row r="80">
      <c r="A80" s="15" t="n"/>
      <c r="B80" s="16" t="n"/>
      <c r="C80" s="16" t="n"/>
      <c r="D80" s="16" t="n"/>
      <c r="E80" s="16" t="n"/>
      <c r="F80" s="16" t="n"/>
      <c r="G80" s="16" t="n"/>
      <c r="H80" s="15" t="n"/>
      <c r="I80" s="16" t="n"/>
      <c r="J80" s="16" t="n"/>
      <c r="K80" s="17">
        <f>IF($A80="","",YEAR($A80)*4+ROUNDUP(MONTH($A80)/3,0))</f>
        <v/>
      </c>
      <c r="L80" s="17">
        <f>IF($K80="","",$K80+2)</f>
        <v/>
      </c>
      <c r="M80" s="17">
        <f>IF($A80="","",IF(AND(LEFT($I80,9)&lt;&gt;"Encerrado",$L80&gt;=Instruções!$B$6),"Sim","Não"))</f>
        <v/>
      </c>
      <c r="N80" s="17">
        <f>IF(OR($A80="",$M80&lt;&gt;"Sim"),"",IF($D80&lt;&gt;"Alto","",IF($I80="Em ação","em ação",Instruções!$B$5-$A80)))</f>
        <v/>
      </c>
    </row>
    <row r="81">
      <c r="A81" s="15" t="n"/>
      <c r="B81" s="16" t="n"/>
      <c r="C81" s="16" t="n"/>
      <c r="D81" s="16" t="n"/>
      <c r="E81" s="16" t="n"/>
      <c r="F81" s="16" t="n"/>
      <c r="G81" s="16" t="n"/>
      <c r="H81" s="15" t="n"/>
      <c r="I81" s="16" t="n"/>
      <c r="J81" s="16" t="n"/>
      <c r="K81" s="17">
        <f>IF($A81="","",YEAR($A81)*4+ROUNDUP(MONTH($A81)/3,0))</f>
        <v/>
      </c>
      <c r="L81" s="17">
        <f>IF($K81="","",$K81+2)</f>
        <v/>
      </c>
      <c r="M81" s="17">
        <f>IF($A81="","",IF(AND(LEFT($I81,9)&lt;&gt;"Encerrado",$L81&gt;=Instruções!$B$6),"Sim","Não"))</f>
        <v/>
      </c>
      <c r="N81" s="17">
        <f>IF(OR($A81="",$M81&lt;&gt;"Sim"),"",IF($D81&lt;&gt;"Alto","",IF($I81="Em ação","em ação",Instruções!$B$5-$A81)))</f>
        <v/>
      </c>
    </row>
    <row r="82">
      <c r="A82" s="15" t="n"/>
      <c r="B82" s="16" t="n"/>
      <c r="C82" s="16" t="n"/>
      <c r="D82" s="16" t="n"/>
      <c r="E82" s="16" t="n"/>
      <c r="F82" s="16" t="n"/>
      <c r="G82" s="16" t="n"/>
      <c r="H82" s="15" t="n"/>
      <c r="I82" s="16" t="n"/>
      <c r="J82" s="16" t="n"/>
      <c r="K82" s="17">
        <f>IF($A82="","",YEAR($A82)*4+ROUNDUP(MONTH($A82)/3,0))</f>
        <v/>
      </c>
      <c r="L82" s="17">
        <f>IF($K82="","",$K82+2)</f>
        <v/>
      </c>
      <c r="M82" s="17">
        <f>IF($A82="","",IF(AND(LEFT($I82,9)&lt;&gt;"Encerrado",$L82&gt;=Instruções!$B$6),"Sim","Não"))</f>
        <v/>
      </c>
      <c r="N82" s="17">
        <f>IF(OR($A82="",$M82&lt;&gt;"Sim"),"",IF($D82&lt;&gt;"Alto","",IF($I82="Em ação","em ação",Instruções!$B$5-$A82)))</f>
        <v/>
      </c>
    </row>
    <row r="83">
      <c r="A83" s="15" t="n"/>
      <c r="B83" s="16" t="n"/>
      <c r="C83" s="16" t="n"/>
      <c r="D83" s="16" t="n"/>
      <c r="E83" s="16" t="n"/>
      <c r="F83" s="16" t="n"/>
      <c r="G83" s="16" t="n"/>
      <c r="H83" s="15" t="n"/>
      <c r="I83" s="16" t="n"/>
      <c r="J83" s="16" t="n"/>
      <c r="K83" s="17">
        <f>IF($A83="","",YEAR($A83)*4+ROUNDUP(MONTH($A83)/3,0))</f>
        <v/>
      </c>
      <c r="L83" s="17">
        <f>IF($K83="","",$K83+2)</f>
        <v/>
      </c>
      <c r="M83" s="17">
        <f>IF($A83="","",IF(AND(LEFT($I83,9)&lt;&gt;"Encerrado",$L83&gt;=Instruções!$B$6),"Sim","Não"))</f>
        <v/>
      </c>
      <c r="N83" s="17">
        <f>IF(OR($A83="",$M83&lt;&gt;"Sim"),"",IF($D83&lt;&gt;"Alto","",IF($I83="Em ação","em ação",Instruções!$B$5-$A83)))</f>
        <v/>
      </c>
    </row>
    <row r="84">
      <c r="A84" s="15" t="n"/>
      <c r="B84" s="16" t="n"/>
      <c r="C84" s="16" t="n"/>
      <c r="D84" s="16" t="n"/>
      <c r="E84" s="16" t="n"/>
      <c r="F84" s="16" t="n"/>
      <c r="G84" s="16" t="n"/>
      <c r="H84" s="15" t="n"/>
      <c r="I84" s="16" t="n"/>
      <c r="J84" s="16" t="n"/>
      <c r="K84" s="17">
        <f>IF($A84="","",YEAR($A84)*4+ROUNDUP(MONTH($A84)/3,0))</f>
        <v/>
      </c>
      <c r="L84" s="17">
        <f>IF($K84="","",$K84+2)</f>
        <v/>
      </c>
      <c r="M84" s="17">
        <f>IF($A84="","",IF(AND(LEFT($I84,9)&lt;&gt;"Encerrado",$L84&gt;=Instruções!$B$6),"Sim","Não"))</f>
        <v/>
      </c>
      <c r="N84" s="17">
        <f>IF(OR($A84="",$M84&lt;&gt;"Sim"),"",IF($D84&lt;&gt;"Alto","",IF($I84="Em ação","em ação",Instruções!$B$5-$A84)))</f>
        <v/>
      </c>
    </row>
    <row r="85">
      <c r="A85" s="15" t="n"/>
      <c r="B85" s="16" t="n"/>
      <c r="C85" s="16" t="n"/>
      <c r="D85" s="16" t="n"/>
      <c r="E85" s="16" t="n"/>
      <c r="F85" s="16" t="n"/>
      <c r="G85" s="16" t="n"/>
      <c r="H85" s="15" t="n"/>
      <c r="I85" s="16" t="n"/>
      <c r="J85" s="16" t="n"/>
      <c r="K85" s="17">
        <f>IF($A85="","",YEAR($A85)*4+ROUNDUP(MONTH($A85)/3,0))</f>
        <v/>
      </c>
      <c r="L85" s="17">
        <f>IF($K85="","",$K85+2)</f>
        <v/>
      </c>
      <c r="M85" s="17">
        <f>IF($A85="","",IF(AND(LEFT($I85,9)&lt;&gt;"Encerrado",$L85&gt;=Instruções!$B$6),"Sim","Não"))</f>
        <v/>
      </c>
      <c r="N85" s="17">
        <f>IF(OR($A85="",$M85&lt;&gt;"Sim"),"",IF($D85&lt;&gt;"Alto","",IF($I85="Em ação","em ação",Instruções!$B$5-$A85)))</f>
        <v/>
      </c>
    </row>
    <row r="86">
      <c r="A86" s="15" t="n"/>
      <c r="B86" s="16" t="n"/>
      <c r="C86" s="16" t="n"/>
      <c r="D86" s="16" t="n"/>
      <c r="E86" s="16" t="n"/>
      <c r="F86" s="16" t="n"/>
      <c r="G86" s="16" t="n"/>
      <c r="H86" s="15" t="n"/>
      <c r="I86" s="16" t="n"/>
      <c r="J86" s="16" t="n"/>
      <c r="K86" s="17">
        <f>IF($A86="","",YEAR($A86)*4+ROUNDUP(MONTH($A86)/3,0))</f>
        <v/>
      </c>
      <c r="L86" s="17">
        <f>IF($K86="","",$K86+2)</f>
        <v/>
      </c>
      <c r="M86" s="17">
        <f>IF($A86="","",IF(AND(LEFT($I86,9)&lt;&gt;"Encerrado",$L86&gt;=Instruções!$B$6),"Sim","Não"))</f>
        <v/>
      </c>
      <c r="N86" s="17">
        <f>IF(OR($A86="",$M86&lt;&gt;"Sim"),"",IF($D86&lt;&gt;"Alto","",IF($I86="Em ação","em ação",Instruções!$B$5-$A86)))</f>
        <v/>
      </c>
    </row>
    <row r="87">
      <c r="A87" s="15" t="n"/>
      <c r="B87" s="16" t="n"/>
      <c r="C87" s="16" t="n"/>
      <c r="D87" s="16" t="n"/>
      <c r="E87" s="16" t="n"/>
      <c r="F87" s="16" t="n"/>
      <c r="G87" s="16" t="n"/>
      <c r="H87" s="15" t="n"/>
      <c r="I87" s="16" t="n"/>
      <c r="J87" s="16" t="n"/>
      <c r="K87" s="17">
        <f>IF($A87="","",YEAR($A87)*4+ROUNDUP(MONTH($A87)/3,0))</f>
        <v/>
      </c>
      <c r="L87" s="17">
        <f>IF($K87="","",$K87+2)</f>
        <v/>
      </c>
      <c r="M87" s="17">
        <f>IF($A87="","",IF(AND(LEFT($I87,9)&lt;&gt;"Encerrado",$L87&gt;=Instruções!$B$6),"Sim","Não"))</f>
        <v/>
      </c>
      <c r="N87" s="17">
        <f>IF(OR($A87="",$M87&lt;&gt;"Sim"),"",IF($D87&lt;&gt;"Alto","",IF($I87="Em ação","em ação",Instruções!$B$5-$A87)))</f>
        <v/>
      </c>
    </row>
    <row r="88">
      <c r="A88" s="15" t="n"/>
      <c r="B88" s="16" t="n"/>
      <c r="C88" s="16" t="n"/>
      <c r="D88" s="16" t="n"/>
      <c r="E88" s="16" t="n"/>
      <c r="F88" s="16" t="n"/>
      <c r="G88" s="16" t="n"/>
      <c r="H88" s="15" t="n"/>
      <c r="I88" s="16" t="n"/>
      <c r="J88" s="16" t="n"/>
      <c r="K88" s="17">
        <f>IF($A88="","",YEAR($A88)*4+ROUNDUP(MONTH($A88)/3,0))</f>
        <v/>
      </c>
      <c r="L88" s="17">
        <f>IF($K88="","",$K88+2)</f>
        <v/>
      </c>
      <c r="M88" s="17">
        <f>IF($A88="","",IF(AND(LEFT($I88,9)&lt;&gt;"Encerrado",$L88&gt;=Instruções!$B$6),"Sim","Não"))</f>
        <v/>
      </c>
      <c r="N88" s="17">
        <f>IF(OR($A88="",$M88&lt;&gt;"Sim"),"",IF($D88&lt;&gt;"Alto","",IF($I88="Em ação","em ação",Instruções!$B$5-$A88)))</f>
        <v/>
      </c>
    </row>
    <row r="89">
      <c r="A89" s="15" t="n"/>
      <c r="B89" s="16" t="n"/>
      <c r="C89" s="16" t="n"/>
      <c r="D89" s="16" t="n"/>
      <c r="E89" s="16" t="n"/>
      <c r="F89" s="16" t="n"/>
      <c r="G89" s="16" t="n"/>
      <c r="H89" s="15" t="n"/>
      <c r="I89" s="16" t="n"/>
      <c r="J89" s="16" t="n"/>
      <c r="K89" s="17">
        <f>IF($A89="","",YEAR($A89)*4+ROUNDUP(MONTH($A89)/3,0))</f>
        <v/>
      </c>
      <c r="L89" s="17">
        <f>IF($K89="","",$K89+2)</f>
        <v/>
      </c>
      <c r="M89" s="17">
        <f>IF($A89="","",IF(AND(LEFT($I89,9)&lt;&gt;"Encerrado",$L89&gt;=Instruções!$B$6),"Sim","Não"))</f>
        <v/>
      </c>
      <c r="N89" s="17">
        <f>IF(OR($A89="",$M89&lt;&gt;"Sim"),"",IF($D89&lt;&gt;"Alto","",IF($I89="Em ação","em ação",Instruções!$B$5-$A89)))</f>
        <v/>
      </c>
    </row>
    <row r="90">
      <c r="A90" s="15" t="n"/>
      <c r="B90" s="16" t="n"/>
      <c r="C90" s="16" t="n"/>
      <c r="D90" s="16" t="n"/>
      <c r="E90" s="16" t="n"/>
      <c r="F90" s="16" t="n"/>
      <c r="G90" s="16" t="n"/>
      <c r="H90" s="15" t="n"/>
      <c r="I90" s="16" t="n"/>
      <c r="J90" s="16" t="n"/>
      <c r="K90" s="17">
        <f>IF($A90="","",YEAR($A90)*4+ROUNDUP(MONTH($A90)/3,0))</f>
        <v/>
      </c>
      <c r="L90" s="17">
        <f>IF($K90="","",$K90+2)</f>
        <v/>
      </c>
      <c r="M90" s="17">
        <f>IF($A90="","",IF(AND(LEFT($I90,9)&lt;&gt;"Encerrado",$L90&gt;=Instruções!$B$6),"Sim","Não"))</f>
        <v/>
      </c>
      <c r="N90" s="17">
        <f>IF(OR($A90="",$M90&lt;&gt;"Sim"),"",IF($D90&lt;&gt;"Alto","",IF($I90="Em ação","em ação",Instruções!$B$5-$A90)))</f>
        <v/>
      </c>
    </row>
    <row r="91">
      <c r="A91" s="15" t="n"/>
      <c r="B91" s="16" t="n"/>
      <c r="C91" s="16" t="n"/>
      <c r="D91" s="16" t="n"/>
      <c r="E91" s="16" t="n"/>
      <c r="F91" s="16" t="n"/>
      <c r="G91" s="16" t="n"/>
      <c r="H91" s="15" t="n"/>
      <c r="I91" s="16" t="n"/>
      <c r="J91" s="16" t="n"/>
      <c r="K91" s="17">
        <f>IF($A91="","",YEAR($A91)*4+ROUNDUP(MONTH($A91)/3,0))</f>
        <v/>
      </c>
      <c r="L91" s="17">
        <f>IF($K91="","",$K91+2)</f>
        <v/>
      </c>
      <c r="M91" s="17">
        <f>IF($A91="","",IF(AND(LEFT($I91,9)&lt;&gt;"Encerrado",$L91&gt;=Instruções!$B$6),"Sim","Não"))</f>
        <v/>
      </c>
      <c r="N91" s="17">
        <f>IF(OR($A91="",$M91&lt;&gt;"Sim"),"",IF($D91&lt;&gt;"Alto","",IF($I91="Em ação","em ação",Instruções!$B$5-$A91)))</f>
        <v/>
      </c>
    </row>
    <row r="92">
      <c r="A92" s="15" t="n"/>
      <c r="B92" s="16" t="n"/>
      <c r="C92" s="16" t="n"/>
      <c r="D92" s="16" t="n"/>
      <c r="E92" s="16" t="n"/>
      <c r="F92" s="16" t="n"/>
      <c r="G92" s="16" t="n"/>
      <c r="H92" s="15" t="n"/>
      <c r="I92" s="16" t="n"/>
      <c r="J92" s="16" t="n"/>
      <c r="K92" s="17">
        <f>IF($A92="","",YEAR($A92)*4+ROUNDUP(MONTH($A92)/3,0))</f>
        <v/>
      </c>
      <c r="L92" s="17">
        <f>IF($K92="","",$K92+2)</f>
        <v/>
      </c>
      <c r="M92" s="17">
        <f>IF($A92="","",IF(AND(LEFT($I92,9)&lt;&gt;"Encerrado",$L92&gt;=Instruções!$B$6),"Sim","Não"))</f>
        <v/>
      </c>
      <c r="N92" s="17">
        <f>IF(OR($A92="",$M92&lt;&gt;"Sim"),"",IF($D92&lt;&gt;"Alto","",IF($I92="Em ação","em ação",Instruções!$B$5-$A92)))</f>
        <v/>
      </c>
    </row>
    <row r="93">
      <c r="A93" s="15" t="n"/>
      <c r="B93" s="16" t="n"/>
      <c r="C93" s="16" t="n"/>
      <c r="D93" s="16" t="n"/>
      <c r="E93" s="16" t="n"/>
      <c r="F93" s="16" t="n"/>
      <c r="G93" s="16" t="n"/>
      <c r="H93" s="15" t="n"/>
      <c r="I93" s="16" t="n"/>
      <c r="J93" s="16" t="n"/>
      <c r="K93" s="17">
        <f>IF($A93="","",YEAR($A93)*4+ROUNDUP(MONTH($A93)/3,0))</f>
        <v/>
      </c>
      <c r="L93" s="17">
        <f>IF($K93="","",$K93+2)</f>
        <v/>
      </c>
      <c r="M93" s="17">
        <f>IF($A93="","",IF(AND(LEFT($I93,9)&lt;&gt;"Encerrado",$L93&gt;=Instruções!$B$6),"Sim","Não"))</f>
        <v/>
      </c>
      <c r="N93" s="17">
        <f>IF(OR($A93="",$M93&lt;&gt;"Sim"),"",IF($D93&lt;&gt;"Alto","",IF($I93="Em ação","em ação",Instruções!$B$5-$A93)))</f>
        <v/>
      </c>
    </row>
    <row r="94">
      <c r="A94" s="15" t="n"/>
      <c r="B94" s="16" t="n"/>
      <c r="C94" s="16" t="n"/>
      <c r="D94" s="16" t="n"/>
      <c r="E94" s="16" t="n"/>
      <c r="F94" s="16" t="n"/>
      <c r="G94" s="16" t="n"/>
      <c r="H94" s="15" t="n"/>
      <c r="I94" s="16" t="n"/>
      <c r="J94" s="16" t="n"/>
      <c r="K94" s="17">
        <f>IF($A94="","",YEAR($A94)*4+ROUNDUP(MONTH($A94)/3,0))</f>
        <v/>
      </c>
      <c r="L94" s="17">
        <f>IF($K94="","",$K94+2)</f>
        <v/>
      </c>
      <c r="M94" s="17">
        <f>IF($A94="","",IF(AND(LEFT($I94,9)&lt;&gt;"Encerrado",$L94&gt;=Instruções!$B$6),"Sim","Não"))</f>
        <v/>
      </c>
      <c r="N94" s="17">
        <f>IF(OR($A94="",$M94&lt;&gt;"Sim"),"",IF($D94&lt;&gt;"Alto","",IF($I94="Em ação","em ação",Instruções!$B$5-$A94)))</f>
        <v/>
      </c>
    </row>
    <row r="95">
      <c r="A95" s="15" t="n"/>
      <c r="B95" s="16" t="n"/>
      <c r="C95" s="16" t="n"/>
      <c r="D95" s="16" t="n"/>
      <c r="E95" s="16" t="n"/>
      <c r="F95" s="16" t="n"/>
      <c r="G95" s="16" t="n"/>
      <c r="H95" s="15" t="n"/>
      <c r="I95" s="16" t="n"/>
      <c r="J95" s="16" t="n"/>
      <c r="K95" s="17">
        <f>IF($A95="","",YEAR($A95)*4+ROUNDUP(MONTH($A95)/3,0))</f>
        <v/>
      </c>
      <c r="L95" s="17">
        <f>IF($K95="","",$K95+2)</f>
        <v/>
      </c>
      <c r="M95" s="17">
        <f>IF($A95="","",IF(AND(LEFT($I95,9)&lt;&gt;"Encerrado",$L95&gt;=Instruções!$B$6),"Sim","Não"))</f>
        <v/>
      </c>
      <c r="N95" s="17">
        <f>IF(OR($A95="",$M95&lt;&gt;"Sim"),"",IF($D95&lt;&gt;"Alto","",IF($I95="Em ação","em ação",Instruções!$B$5-$A95)))</f>
        <v/>
      </c>
    </row>
    <row r="96">
      <c r="A96" s="15" t="n"/>
      <c r="B96" s="16" t="n"/>
      <c r="C96" s="16" t="n"/>
      <c r="D96" s="16" t="n"/>
      <c r="E96" s="16" t="n"/>
      <c r="F96" s="16" t="n"/>
      <c r="G96" s="16" t="n"/>
      <c r="H96" s="15" t="n"/>
      <c r="I96" s="16" t="n"/>
      <c r="J96" s="16" t="n"/>
      <c r="K96" s="17">
        <f>IF($A96="","",YEAR($A96)*4+ROUNDUP(MONTH($A96)/3,0))</f>
        <v/>
      </c>
      <c r="L96" s="17">
        <f>IF($K96="","",$K96+2)</f>
        <v/>
      </c>
      <c r="M96" s="17">
        <f>IF($A96="","",IF(AND(LEFT($I96,9)&lt;&gt;"Encerrado",$L96&gt;=Instruções!$B$6),"Sim","Não"))</f>
        <v/>
      </c>
      <c r="N96" s="17">
        <f>IF(OR($A96="",$M96&lt;&gt;"Sim"),"",IF($D96&lt;&gt;"Alto","",IF($I96="Em ação","em ação",Instruções!$B$5-$A96)))</f>
        <v/>
      </c>
    </row>
    <row r="97">
      <c r="A97" s="15" t="n"/>
      <c r="B97" s="16" t="n"/>
      <c r="C97" s="16" t="n"/>
      <c r="D97" s="16" t="n"/>
      <c r="E97" s="16" t="n"/>
      <c r="F97" s="16" t="n"/>
      <c r="G97" s="16" t="n"/>
      <c r="H97" s="15" t="n"/>
      <c r="I97" s="16" t="n"/>
      <c r="J97" s="16" t="n"/>
      <c r="K97" s="17">
        <f>IF($A97="","",YEAR($A97)*4+ROUNDUP(MONTH($A97)/3,0))</f>
        <v/>
      </c>
      <c r="L97" s="17">
        <f>IF($K97="","",$K97+2)</f>
        <v/>
      </c>
      <c r="M97" s="17">
        <f>IF($A97="","",IF(AND(LEFT($I97,9)&lt;&gt;"Encerrado",$L97&gt;=Instruções!$B$6),"Sim","Não"))</f>
        <v/>
      </c>
      <c r="N97" s="17">
        <f>IF(OR($A97="",$M97&lt;&gt;"Sim"),"",IF($D97&lt;&gt;"Alto","",IF($I97="Em ação","em ação",Instruções!$B$5-$A97)))</f>
        <v/>
      </c>
    </row>
    <row r="98">
      <c r="A98" s="15" t="n"/>
      <c r="B98" s="16" t="n"/>
      <c r="C98" s="16" t="n"/>
      <c r="D98" s="16" t="n"/>
      <c r="E98" s="16" t="n"/>
      <c r="F98" s="16" t="n"/>
      <c r="G98" s="16" t="n"/>
      <c r="H98" s="15" t="n"/>
      <c r="I98" s="16" t="n"/>
      <c r="J98" s="16" t="n"/>
      <c r="K98" s="17">
        <f>IF($A98="","",YEAR($A98)*4+ROUNDUP(MONTH($A98)/3,0))</f>
        <v/>
      </c>
      <c r="L98" s="17">
        <f>IF($K98="","",$K98+2)</f>
        <v/>
      </c>
      <c r="M98" s="17">
        <f>IF($A98="","",IF(AND(LEFT($I98,9)&lt;&gt;"Encerrado",$L98&gt;=Instruções!$B$6),"Sim","Não"))</f>
        <v/>
      </c>
      <c r="N98" s="17">
        <f>IF(OR($A98="",$M98&lt;&gt;"Sim"),"",IF($D98&lt;&gt;"Alto","",IF($I98="Em ação","em ação",Instruções!$B$5-$A98)))</f>
        <v/>
      </c>
    </row>
    <row r="99">
      <c r="A99" s="15" t="n"/>
      <c r="B99" s="16" t="n"/>
      <c r="C99" s="16" t="n"/>
      <c r="D99" s="16" t="n"/>
      <c r="E99" s="16" t="n"/>
      <c r="F99" s="16" t="n"/>
      <c r="G99" s="16" t="n"/>
      <c r="H99" s="15" t="n"/>
      <c r="I99" s="16" t="n"/>
      <c r="J99" s="16" t="n"/>
      <c r="K99" s="17">
        <f>IF($A99="","",YEAR($A99)*4+ROUNDUP(MONTH($A99)/3,0))</f>
        <v/>
      </c>
      <c r="L99" s="17">
        <f>IF($K99="","",$K99+2)</f>
        <v/>
      </c>
      <c r="M99" s="17">
        <f>IF($A99="","",IF(AND(LEFT($I99,9)&lt;&gt;"Encerrado",$L99&gt;=Instruções!$B$6),"Sim","Não"))</f>
        <v/>
      </c>
      <c r="N99" s="17">
        <f>IF(OR($A99="",$M99&lt;&gt;"Sim"),"",IF($D99&lt;&gt;"Alto","",IF($I99="Em ação","em ação",Instruções!$B$5-$A99)))</f>
        <v/>
      </c>
    </row>
    <row r="100">
      <c r="A100" s="15" t="n"/>
      <c r="B100" s="16" t="n"/>
      <c r="C100" s="16" t="n"/>
      <c r="D100" s="16" t="n"/>
      <c r="E100" s="16" t="n"/>
      <c r="F100" s="16" t="n"/>
      <c r="G100" s="16" t="n"/>
      <c r="H100" s="15" t="n"/>
      <c r="I100" s="16" t="n"/>
      <c r="J100" s="16" t="n"/>
      <c r="K100" s="17">
        <f>IF($A100="","",YEAR($A100)*4+ROUNDUP(MONTH($A100)/3,0))</f>
        <v/>
      </c>
      <c r="L100" s="17">
        <f>IF($K100="","",$K100+2)</f>
        <v/>
      </c>
      <c r="M100" s="17">
        <f>IF($A100="","",IF(AND(LEFT($I100,9)&lt;&gt;"Encerrado",$L100&gt;=Instruções!$B$6),"Sim","Não"))</f>
        <v/>
      </c>
      <c r="N100" s="17">
        <f>IF(OR($A100="",$M100&lt;&gt;"Sim"),"",IF($D100&lt;&gt;"Alto","",IF($I100="Em ação","em ação",Instruções!$B$5-$A100)))</f>
        <v/>
      </c>
    </row>
    <row r="101">
      <c r="A101" s="15" t="n"/>
      <c r="B101" s="16" t="n"/>
      <c r="C101" s="16" t="n"/>
      <c r="D101" s="16" t="n"/>
      <c r="E101" s="16" t="n"/>
      <c r="F101" s="16" t="n"/>
      <c r="G101" s="16" t="n"/>
      <c r="H101" s="15" t="n"/>
      <c r="I101" s="16" t="n"/>
      <c r="J101" s="16" t="n"/>
      <c r="K101" s="17">
        <f>IF($A101="","",YEAR($A101)*4+ROUNDUP(MONTH($A101)/3,0))</f>
        <v/>
      </c>
      <c r="L101" s="17">
        <f>IF($K101="","",$K101+2)</f>
        <v/>
      </c>
      <c r="M101" s="17">
        <f>IF($A101="","",IF(AND(LEFT($I101,9)&lt;&gt;"Encerrado",$L101&gt;=Instruções!$B$6),"Sim","Não"))</f>
        <v/>
      </c>
      <c r="N101" s="17">
        <f>IF(OR($A101="",$M101&lt;&gt;"Sim"),"",IF($D101&lt;&gt;"Alto","",IF($I101="Em ação","em ação",Instruções!$B$5-$A101)))</f>
        <v/>
      </c>
    </row>
    <row r="102">
      <c r="A102" s="15" t="n"/>
      <c r="B102" s="16" t="n"/>
      <c r="C102" s="16" t="n"/>
      <c r="D102" s="16" t="n"/>
      <c r="E102" s="16" t="n"/>
      <c r="F102" s="16" t="n"/>
      <c r="G102" s="16" t="n"/>
      <c r="H102" s="15" t="n"/>
      <c r="I102" s="16" t="n"/>
      <c r="J102" s="16" t="n"/>
      <c r="K102" s="17">
        <f>IF($A102="","",YEAR($A102)*4+ROUNDUP(MONTH($A102)/3,0))</f>
        <v/>
      </c>
      <c r="L102" s="17">
        <f>IF($K102="","",$K102+2)</f>
        <v/>
      </c>
      <c r="M102" s="17">
        <f>IF($A102="","",IF(AND(LEFT($I102,9)&lt;&gt;"Encerrado",$L102&gt;=Instruções!$B$6),"Sim","Não"))</f>
        <v/>
      </c>
      <c r="N102" s="17">
        <f>IF(OR($A102="",$M102&lt;&gt;"Sim"),"",IF($D102&lt;&gt;"Alto","",IF($I102="Em ação","em ação",Instruções!$B$5-$A102)))</f>
        <v/>
      </c>
    </row>
    <row r="103">
      <c r="A103" s="15" t="n"/>
      <c r="B103" s="16" t="n"/>
      <c r="C103" s="16" t="n"/>
      <c r="D103" s="16" t="n"/>
      <c r="E103" s="16" t="n"/>
      <c r="F103" s="16" t="n"/>
      <c r="G103" s="16" t="n"/>
      <c r="H103" s="15" t="n"/>
      <c r="I103" s="16" t="n"/>
      <c r="J103" s="16" t="n"/>
      <c r="K103" s="17">
        <f>IF($A103="","",YEAR($A103)*4+ROUNDUP(MONTH($A103)/3,0))</f>
        <v/>
      </c>
      <c r="L103" s="17">
        <f>IF($K103="","",$K103+2)</f>
        <v/>
      </c>
      <c r="M103" s="17">
        <f>IF($A103="","",IF(AND(LEFT($I103,9)&lt;&gt;"Encerrado",$L103&gt;=Instruções!$B$6),"Sim","Não"))</f>
        <v/>
      </c>
      <c r="N103" s="17">
        <f>IF(OR($A103="",$M103&lt;&gt;"Sim"),"",IF($D103&lt;&gt;"Alto","",IF($I103="Em ação","em ação",Instruções!$B$5-$A103)))</f>
        <v/>
      </c>
    </row>
    <row r="104">
      <c r="A104" s="15" t="n"/>
      <c r="B104" s="16" t="n"/>
      <c r="C104" s="16" t="n"/>
      <c r="D104" s="16" t="n"/>
      <c r="E104" s="16" t="n"/>
      <c r="F104" s="16" t="n"/>
      <c r="G104" s="16" t="n"/>
      <c r="H104" s="15" t="n"/>
      <c r="I104" s="16" t="n"/>
      <c r="J104" s="16" t="n"/>
      <c r="K104" s="17">
        <f>IF($A104="","",YEAR($A104)*4+ROUNDUP(MONTH($A104)/3,0))</f>
        <v/>
      </c>
      <c r="L104" s="17">
        <f>IF($K104="","",$K104+2)</f>
        <v/>
      </c>
      <c r="M104" s="17">
        <f>IF($A104="","",IF(AND(LEFT($I104,9)&lt;&gt;"Encerrado",$L104&gt;=Instruções!$B$6),"Sim","Não"))</f>
        <v/>
      </c>
      <c r="N104" s="17">
        <f>IF(OR($A104="",$M104&lt;&gt;"Sim"),"",IF($D104&lt;&gt;"Alto","",IF($I104="Em ação","em ação",Instruções!$B$5-$A104)))</f>
        <v/>
      </c>
    </row>
  </sheetData>
  <autoFilter ref="A4:N104"/>
  <conditionalFormatting sqref="A5:N104">
    <cfRule type="expression" priority="1" dxfId="0">
      <formula>AND($M5="Sim",$D5="Alto")</formula>
    </cfRule>
    <cfRule type="expression" priority="2" dxfId="1">
      <formula>$M5="Não"</formula>
    </cfRule>
  </conditionalFormatting>
  <conditionalFormatting sqref="N5:N104">
    <cfRule type="cellIs" priority="3" operator="greaterThan" dxfId="2">
      <formula>15</formula>
    </cfRule>
  </conditionalFormatting>
  <dataValidations count="4">
    <dataValidation sqref="D5:D104" showDropDown="0" showInputMessage="0" showErrorMessage="0" allowBlank="1" type="list">
      <formula1>=Instruções!$D$6:$D$8</formula1>
    </dataValidation>
    <dataValidation sqref="E5:E104" showDropDown="0" showInputMessage="0" showErrorMessage="0" allowBlank="1" type="list">
      <formula1>=Instruções!$E$6:$E$12</formula1>
    </dataValidation>
    <dataValidation sqref="F5:F104" showDropDown="0" showInputMessage="0" showErrorMessage="0" allowBlank="1" type="list">
      <formula1>=Instruções!$F$6:$F$8</formula1>
    </dataValidation>
    <dataValidation sqref="I5:I104" showDropDown="0" showInputMessage="0" showErrorMessage="0" allowBlank="1" type="list">
      <formula1>=Instruções!$G$6:$G$10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3" customWidth="1" min="11" max="11"/>
    <col width="14" customWidth="1" min="12" max="12"/>
    <col width="12" customWidth="1" min="13" max="13"/>
    <col width="12" customWidth="1" min="14" max="14"/>
    <col width="46" customWidth="1" min="15" max="15"/>
    <col width="13" customWidth="1" min="16" max="16"/>
    <col width="22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22" customHeight="1">
      <c r="A1" s="1" t="inlineStr">
        <is>
          <t>Caso de promoção — trajetória, não ciclo</t>
        </is>
      </c>
    </row>
    <row r="2">
      <c r="A2" s="2" t="inlineStr">
        <is>
          <t>Cole os gaps do Painel da squad ao fim de cada ciclo. Promoção se sustenta em desempenho sustentado, não em um trimestre bom.</t>
        </is>
      </c>
    </row>
    <row r="3">
      <c r="A3" s="14" t="inlineStr">
        <is>
          <t>Notas altas vindas todas do mesmo avaliador não são um caso, são uma opinião. Diversidade de evidência é o número mais subestimado desta tabela.</t>
        </is>
      </c>
      <c r="E3" s="18">
        <f>TEXT(INT((Instruções!$B$6-5-1)/4),"0000")&amp;"-Q"&amp;(Instruções!$B$6-5-INT((Instruções!$B$6-5-1)/4)*4)</f>
        <v/>
      </c>
      <c r="F3" s="18">
        <f>TEXT(INT((Instruções!$B$6-4-1)/4),"0000")&amp;"-Q"&amp;(Instruções!$B$6-4-INT((Instruções!$B$6-4-1)/4)*4)</f>
        <v/>
      </c>
      <c r="G3" s="18">
        <f>TEXT(INT((Instruções!$B$6-3-1)/4),"0000")&amp;"-Q"&amp;(Instruções!$B$6-3-INT((Instruções!$B$6-3-1)/4)*4)</f>
        <v/>
      </c>
      <c r="H3" s="18">
        <f>TEXT(INT((Instruções!$B$6-2-1)/4),"0000")&amp;"-Q"&amp;(Instruções!$B$6-2-INT((Instruções!$B$6-2-1)/4)*4)</f>
        <v/>
      </c>
      <c r="I3" s="18">
        <f>TEXT(INT((Instruções!$B$6-1-1)/4),"0000")&amp;"-Q"&amp;(Instruções!$B$6-1-INT((Instruções!$B$6-1-1)/4)*4)</f>
        <v/>
      </c>
      <c r="J3" s="18">
        <f>TEXT(INT((Instruções!$B$6-1)/4),"0000")&amp;"-Q"&amp;(Instruções!$B$6-INT((Instruções!$B$6-1)/4)*4)</f>
        <v/>
      </c>
    </row>
    <row r="4" ht="32" customHeight="1">
      <c r="A4" s="7" t="inlineStr">
        <is>
          <t>ID_PESSOA</t>
        </is>
      </c>
      <c r="B4" s="7" t="inlineStr">
        <is>
          <t>Nome</t>
        </is>
      </c>
      <c r="C4" s="7" t="inlineStr">
        <is>
          <t>Senioridade</t>
        </is>
      </c>
      <c r="D4" s="7" t="inlineStr">
        <is>
          <t>Meses no nível</t>
        </is>
      </c>
      <c r="E4" s="7" t="inlineStr">
        <is>
          <t>gap -5</t>
        </is>
      </c>
      <c r="F4" s="7" t="inlineStr">
        <is>
          <t>gap -4</t>
        </is>
      </c>
      <c r="G4" s="7" t="inlineStr">
        <is>
          <t>gap -3</t>
        </is>
      </c>
      <c r="H4" s="7" t="inlineStr">
        <is>
          <t>gap -2</t>
        </is>
      </c>
      <c r="I4" s="7" t="inlineStr">
        <is>
          <t>gap -1</t>
        </is>
      </c>
      <c r="J4" s="7" t="inlineStr">
        <is>
          <t>gap ciclo atual</t>
        </is>
      </c>
      <c r="K4" s="7" t="inlineStr">
        <is>
          <t>Gap médio (3 últimos)</t>
        </is>
      </c>
      <c r="L4" s="7" t="inlineStr">
        <is>
          <t>Ciclos consecutivos com gap ≥ 0</t>
        </is>
      </c>
      <c r="M4" s="7" t="inlineStr">
        <is>
          <t>Ocorrências vinculadas</t>
        </is>
      </c>
      <c r="N4" s="7" t="inlineStr">
        <is>
          <t>Avaliadores distintos</t>
        </is>
      </c>
      <c r="O4" s="7" t="inlineStr">
        <is>
          <t>Evidência de escopo ampliado</t>
        </is>
      </c>
      <c r="P4" s="7" t="inlineStr">
        <is>
          <t>Caso montado?</t>
        </is>
      </c>
      <c r="Q4" s="7" t="inlineStr">
        <is>
          <t>Veredito</t>
        </is>
      </c>
      <c r="R4" s="19" t="inlineStr">
        <is>
          <t>c1</t>
        </is>
      </c>
      <c r="S4" s="19" t="inlineStr">
        <is>
          <t>c2</t>
        </is>
      </c>
      <c r="T4" s="19" t="inlineStr">
        <is>
          <t>c3</t>
        </is>
      </c>
      <c r="U4" s="19" t="inlineStr">
        <is>
          <t>c4</t>
        </is>
      </c>
      <c r="V4" s="19" t="inlineStr">
        <is>
          <t>c5</t>
        </is>
      </c>
      <c r="W4" s="19" t="inlineStr">
        <is>
          <t>c6</t>
        </is>
      </c>
    </row>
    <row r="5">
      <c r="A5" s="16" t="inlineStr">
        <is>
          <t>P001</t>
        </is>
      </c>
      <c r="B5" s="16" t="inlineStr">
        <is>
          <t>Ana Ribeiro</t>
        </is>
      </c>
      <c r="C5" s="16" t="inlineStr">
        <is>
          <t>Pleno</t>
        </is>
      </c>
      <c r="D5" s="16" t="n"/>
      <c r="E5" s="20" t="n"/>
      <c r="F5" s="20" t="n"/>
      <c r="G5" s="20" t="n"/>
      <c r="H5" s="20" t="n">
        <v>-0.1</v>
      </c>
      <c r="I5" s="20" t="n">
        <v>0.2</v>
      </c>
      <c r="J5" s="20" t="n">
        <v>0.375</v>
      </c>
      <c r="K5" s="21">
        <f>IF($B5="","",IF(COUNT($H5:$J5)=0,"",AVERAGE($H5:$J5)))</f>
        <v/>
      </c>
      <c r="L5" s="17">
        <f>IF($B5="","",IF($J5&lt;&gt;"",$W5,IF($I5&lt;&gt;"",$V5,IF($H5&lt;&gt;"",$U5,IF($G5&lt;&gt;"",$T5,IF($F5&lt;&gt;"",$S5,$R5))))))</f>
        <v/>
      </c>
      <c r="M5" s="16" t="n">
        <v>2</v>
      </c>
      <c r="N5" s="16" t="n">
        <v>2</v>
      </c>
      <c r="O5" s="16" t="inlineStr">
        <is>
          <t>Assumiu os testes da rota de resgate como dona, com o LT como rede de proteção.</t>
        </is>
      </c>
      <c r="P5" s="17">
        <f>IF($B5="","",IF(AND($M5&gt;0,$N5&gt;1,LEN($O5)&gt;20),"Sim","Não"))</f>
        <v/>
      </c>
      <c r="Q5" s="17">
        <f>IF($B5="","",IF(COUNT($E5:$J5)&lt;3,"Sem base — poucos ciclos",IF($N5&lt;=1,"Caso frágil — um avaliador só",IF($M5=0,"Caso frágil — sem evidência",IF($L5&lt;2,"Caso frágil — não sustentado",IF(AND($L5&gt;=3,$K5&gt;=0.2,$P5="Sim"),"Caso sustentado","Caso em formação"))))))</f>
        <v/>
      </c>
      <c r="R5" s="17">
        <f>IF($E5="",0,IF($E5&gt;=0,1,0))</f>
        <v/>
      </c>
      <c r="S5" s="17">
        <f>IF($F5="",0,IF($F5&gt;=0,$R5+1,0))</f>
        <v/>
      </c>
      <c r="T5" s="17">
        <f>IF($G5="",0,IF($G5&gt;=0,$S5+1,0))</f>
        <v/>
      </c>
      <c r="U5" s="17">
        <f>IF($H5="",0,IF($H5&gt;=0,$T5+1,0))</f>
        <v/>
      </c>
      <c r="V5" s="17">
        <f>IF($I5="",0,IF($I5&gt;=0,$U5+1,0))</f>
        <v/>
      </c>
      <c r="W5" s="17">
        <f>IF($J5="",0,IF($J5&gt;=0,$V5+1,0))</f>
        <v/>
      </c>
    </row>
    <row r="6">
      <c r="A6" s="16" t="n"/>
      <c r="B6" s="16" t="n"/>
      <c r="C6" s="16" t="n"/>
      <c r="D6" s="16" t="n"/>
      <c r="E6" s="20" t="n"/>
      <c r="F6" s="20" t="n"/>
      <c r="G6" s="20" t="n"/>
      <c r="H6" s="20" t="n"/>
      <c r="I6" s="20" t="n"/>
      <c r="J6" s="20" t="n"/>
      <c r="K6" s="21">
        <f>IF($B6="","",IF(COUNT($H6:$J6)=0,"",AVERAGE($H6:$J6)))</f>
        <v/>
      </c>
      <c r="L6" s="17">
        <f>IF($B6="","",IF($J6&lt;&gt;"",$W6,IF($I6&lt;&gt;"",$V6,IF($H6&lt;&gt;"",$U6,IF($G6&lt;&gt;"",$T6,IF($F6&lt;&gt;"",$S6,$R6))))))</f>
        <v/>
      </c>
      <c r="M6" s="16" t="n"/>
      <c r="N6" s="16" t="n"/>
      <c r="O6" s="16" t="n"/>
      <c r="P6" s="17">
        <f>IF($B6="","",IF(AND($M6&gt;0,$N6&gt;1,LEN($O6)&gt;20),"Sim","Não"))</f>
        <v/>
      </c>
      <c r="Q6" s="17">
        <f>IF($B6="","",IF(COUNT($E6:$J6)&lt;3,"Sem base — poucos ciclos",IF($N6&lt;=1,"Caso frágil — um avaliador só",IF($M6=0,"Caso frágil — sem evidência",IF($L6&lt;2,"Caso frágil — não sustentado",IF(AND($L6&gt;=3,$K6&gt;=0.2,$P6="Sim"),"Caso sustentado","Caso em formação"))))))</f>
        <v/>
      </c>
      <c r="R6" s="17">
        <f>IF($E6="",0,IF($E6&gt;=0,1,0))</f>
        <v/>
      </c>
      <c r="S6" s="17">
        <f>IF($F6="",0,IF($F6&gt;=0,$R6+1,0))</f>
        <v/>
      </c>
      <c r="T6" s="17">
        <f>IF($G6="",0,IF($G6&gt;=0,$S6+1,0))</f>
        <v/>
      </c>
      <c r="U6" s="17">
        <f>IF($H6="",0,IF($H6&gt;=0,$T6+1,0))</f>
        <v/>
      </c>
      <c r="V6" s="17">
        <f>IF($I6="",0,IF($I6&gt;=0,$U6+1,0))</f>
        <v/>
      </c>
      <c r="W6" s="17">
        <f>IF($J6="",0,IF($J6&gt;=0,$V6+1,0))</f>
        <v/>
      </c>
    </row>
    <row r="7">
      <c r="A7" s="16" t="n"/>
      <c r="B7" s="16" t="n"/>
      <c r="C7" s="16" t="n"/>
      <c r="D7" s="16" t="n"/>
      <c r="E7" s="20" t="n"/>
      <c r="F7" s="20" t="n"/>
      <c r="G7" s="20" t="n"/>
      <c r="H7" s="20" t="n"/>
      <c r="I7" s="20" t="n"/>
      <c r="J7" s="20" t="n"/>
      <c r="K7" s="21">
        <f>IF($B7="","",IF(COUNT($H7:$J7)=0,"",AVERAGE($H7:$J7)))</f>
        <v/>
      </c>
      <c r="L7" s="17">
        <f>IF($B7="","",IF($J7&lt;&gt;"",$W7,IF($I7&lt;&gt;"",$V7,IF($H7&lt;&gt;"",$U7,IF($G7&lt;&gt;"",$T7,IF($F7&lt;&gt;"",$S7,$R7))))))</f>
        <v/>
      </c>
      <c r="M7" s="16" t="n"/>
      <c r="N7" s="16" t="n"/>
      <c r="O7" s="16" t="n"/>
      <c r="P7" s="17">
        <f>IF($B7="","",IF(AND($M7&gt;0,$N7&gt;1,LEN($O7)&gt;20),"Sim","Não"))</f>
        <v/>
      </c>
      <c r="Q7" s="17">
        <f>IF($B7="","",IF(COUNT($E7:$J7)&lt;3,"Sem base — poucos ciclos",IF($N7&lt;=1,"Caso frágil — um avaliador só",IF($M7=0,"Caso frágil — sem evidência",IF($L7&lt;2,"Caso frágil — não sustentado",IF(AND($L7&gt;=3,$K7&gt;=0.2,$P7="Sim"),"Caso sustentado","Caso em formação"))))))</f>
        <v/>
      </c>
      <c r="R7" s="17">
        <f>IF($E7="",0,IF($E7&gt;=0,1,0))</f>
        <v/>
      </c>
      <c r="S7" s="17">
        <f>IF($F7="",0,IF($F7&gt;=0,$R7+1,0))</f>
        <v/>
      </c>
      <c r="T7" s="17">
        <f>IF($G7="",0,IF($G7&gt;=0,$S7+1,0))</f>
        <v/>
      </c>
      <c r="U7" s="17">
        <f>IF($H7="",0,IF($H7&gt;=0,$T7+1,0))</f>
        <v/>
      </c>
      <c r="V7" s="17">
        <f>IF($I7="",0,IF($I7&gt;=0,$U7+1,0))</f>
        <v/>
      </c>
      <c r="W7" s="17">
        <f>IF($J7="",0,IF($J7&gt;=0,$V7+1,0))</f>
        <v/>
      </c>
    </row>
    <row r="8">
      <c r="A8" s="16" t="n"/>
      <c r="B8" s="16" t="n"/>
      <c r="C8" s="16" t="n"/>
      <c r="D8" s="16" t="n"/>
      <c r="E8" s="20" t="n"/>
      <c r="F8" s="20" t="n"/>
      <c r="G8" s="20" t="n"/>
      <c r="H8" s="20" t="n"/>
      <c r="I8" s="20" t="n"/>
      <c r="J8" s="20" t="n"/>
      <c r="K8" s="21">
        <f>IF($B8="","",IF(COUNT($H8:$J8)=0,"",AVERAGE($H8:$J8)))</f>
        <v/>
      </c>
      <c r="L8" s="17">
        <f>IF($B8="","",IF($J8&lt;&gt;"",$W8,IF($I8&lt;&gt;"",$V8,IF($H8&lt;&gt;"",$U8,IF($G8&lt;&gt;"",$T8,IF($F8&lt;&gt;"",$S8,$R8))))))</f>
        <v/>
      </c>
      <c r="M8" s="16" t="n"/>
      <c r="N8" s="16" t="n"/>
      <c r="O8" s="16" t="n"/>
      <c r="P8" s="17">
        <f>IF($B8="","",IF(AND($M8&gt;0,$N8&gt;1,LEN($O8)&gt;20),"Sim","Não"))</f>
        <v/>
      </c>
      <c r="Q8" s="17">
        <f>IF($B8="","",IF(COUNT($E8:$J8)&lt;3,"Sem base — poucos ciclos",IF($N8&lt;=1,"Caso frágil — um avaliador só",IF($M8=0,"Caso frágil — sem evidência",IF($L8&lt;2,"Caso frágil — não sustentado",IF(AND($L8&gt;=3,$K8&gt;=0.2,$P8="Sim"),"Caso sustentado","Caso em formação"))))))</f>
        <v/>
      </c>
      <c r="R8" s="17">
        <f>IF($E8="",0,IF($E8&gt;=0,1,0))</f>
        <v/>
      </c>
      <c r="S8" s="17">
        <f>IF($F8="",0,IF($F8&gt;=0,$R8+1,0))</f>
        <v/>
      </c>
      <c r="T8" s="17">
        <f>IF($G8="",0,IF($G8&gt;=0,$S8+1,0))</f>
        <v/>
      </c>
      <c r="U8" s="17">
        <f>IF($H8="",0,IF($H8&gt;=0,$T8+1,0))</f>
        <v/>
      </c>
      <c r="V8" s="17">
        <f>IF($I8="",0,IF($I8&gt;=0,$U8+1,0))</f>
        <v/>
      </c>
      <c r="W8" s="17">
        <f>IF($J8="",0,IF($J8&gt;=0,$V8+1,0))</f>
        <v/>
      </c>
    </row>
    <row r="9">
      <c r="A9" s="16" t="n"/>
      <c r="B9" s="16" t="n"/>
      <c r="C9" s="16" t="n"/>
      <c r="D9" s="16" t="n"/>
      <c r="E9" s="20" t="n"/>
      <c r="F9" s="20" t="n"/>
      <c r="G9" s="20" t="n"/>
      <c r="H9" s="20" t="n"/>
      <c r="I9" s="20" t="n"/>
      <c r="J9" s="20" t="n"/>
      <c r="K9" s="21">
        <f>IF($B9="","",IF(COUNT($H9:$J9)=0,"",AVERAGE($H9:$J9)))</f>
        <v/>
      </c>
      <c r="L9" s="17">
        <f>IF($B9="","",IF($J9&lt;&gt;"",$W9,IF($I9&lt;&gt;"",$V9,IF($H9&lt;&gt;"",$U9,IF($G9&lt;&gt;"",$T9,IF($F9&lt;&gt;"",$S9,$R9))))))</f>
        <v/>
      </c>
      <c r="M9" s="16" t="n"/>
      <c r="N9" s="16" t="n"/>
      <c r="O9" s="16" t="n"/>
      <c r="P9" s="17">
        <f>IF($B9="","",IF(AND($M9&gt;0,$N9&gt;1,LEN($O9)&gt;20),"Sim","Não"))</f>
        <v/>
      </c>
      <c r="Q9" s="17">
        <f>IF($B9="","",IF(COUNT($E9:$J9)&lt;3,"Sem base — poucos ciclos",IF($N9&lt;=1,"Caso frágil — um avaliador só",IF($M9=0,"Caso frágil — sem evidência",IF($L9&lt;2,"Caso frágil — não sustentado",IF(AND($L9&gt;=3,$K9&gt;=0.2,$P9="Sim"),"Caso sustentado","Caso em formação"))))))</f>
        <v/>
      </c>
      <c r="R9" s="17">
        <f>IF($E9="",0,IF($E9&gt;=0,1,0))</f>
        <v/>
      </c>
      <c r="S9" s="17">
        <f>IF($F9="",0,IF($F9&gt;=0,$R9+1,0))</f>
        <v/>
      </c>
      <c r="T9" s="17">
        <f>IF($G9="",0,IF($G9&gt;=0,$S9+1,0))</f>
        <v/>
      </c>
      <c r="U9" s="17">
        <f>IF($H9="",0,IF($H9&gt;=0,$T9+1,0))</f>
        <v/>
      </c>
      <c r="V9" s="17">
        <f>IF($I9="",0,IF($I9&gt;=0,$U9+1,0))</f>
        <v/>
      </c>
      <c r="W9" s="17">
        <f>IF($J9="",0,IF($J9&gt;=0,$V9+1,0))</f>
        <v/>
      </c>
    </row>
    <row r="10">
      <c r="A10" s="16" t="n"/>
      <c r="B10" s="16" t="n"/>
      <c r="C10" s="16" t="n"/>
      <c r="D10" s="16" t="n"/>
      <c r="E10" s="20" t="n"/>
      <c r="F10" s="20" t="n"/>
      <c r="G10" s="20" t="n"/>
      <c r="H10" s="20" t="n"/>
      <c r="I10" s="20" t="n"/>
      <c r="J10" s="20" t="n"/>
      <c r="K10" s="21">
        <f>IF($B10="","",IF(COUNT($H10:$J10)=0,"",AVERAGE($H10:$J10)))</f>
        <v/>
      </c>
      <c r="L10" s="17">
        <f>IF($B10="","",IF($J10&lt;&gt;"",$W10,IF($I10&lt;&gt;"",$V10,IF($H10&lt;&gt;"",$U10,IF($G10&lt;&gt;"",$T10,IF($F10&lt;&gt;"",$S10,$R10))))))</f>
        <v/>
      </c>
      <c r="M10" s="16" t="n"/>
      <c r="N10" s="16" t="n"/>
      <c r="O10" s="16" t="n"/>
      <c r="P10" s="17">
        <f>IF($B10="","",IF(AND($M10&gt;0,$N10&gt;1,LEN($O10)&gt;20),"Sim","Não"))</f>
        <v/>
      </c>
      <c r="Q10" s="17">
        <f>IF($B10="","",IF(COUNT($E10:$J10)&lt;3,"Sem base — poucos ciclos",IF($N10&lt;=1,"Caso frágil — um avaliador só",IF($M10=0,"Caso frágil — sem evidência",IF($L10&lt;2,"Caso frágil — não sustentado",IF(AND($L10&gt;=3,$K10&gt;=0.2,$P10="Sim"),"Caso sustentado","Caso em formação"))))))</f>
        <v/>
      </c>
      <c r="R10" s="17">
        <f>IF($E10="",0,IF($E10&gt;=0,1,0))</f>
        <v/>
      </c>
      <c r="S10" s="17">
        <f>IF($F10="",0,IF($F10&gt;=0,$R10+1,0))</f>
        <v/>
      </c>
      <c r="T10" s="17">
        <f>IF($G10="",0,IF($G10&gt;=0,$S10+1,0))</f>
        <v/>
      </c>
      <c r="U10" s="17">
        <f>IF($H10="",0,IF($H10&gt;=0,$T10+1,0))</f>
        <v/>
      </c>
      <c r="V10" s="17">
        <f>IF($I10="",0,IF($I10&gt;=0,$U10+1,0))</f>
        <v/>
      </c>
      <c r="W10" s="17">
        <f>IF($J10="",0,IF($J10&gt;=0,$V10+1,0))</f>
        <v/>
      </c>
    </row>
    <row r="11">
      <c r="A11" s="16" t="n"/>
      <c r="B11" s="16" t="n"/>
      <c r="C11" s="16" t="n"/>
      <c r="D11" s="16" t="n"/>
      <c r="E11" s="20" t="n"/>
      <c r="F11" s="20" t="n"/>
      <c r="G11" s="20" t="n"/>
      <c r="H11" s="20" t="n"/>
      <c r="I11" s="20" t="n"/>
      <c r="J11" s="20" t="n"/>
      <c r="K11" s="21">
        <f>IF($B11="","",IF(COUNT($H11:$J11)=0,"",AVERAGE($H11:$J11)))</f>
        <v/>
      </c>
      <c r="L11" s="17">
        <f>IF($B11="","",IF($J11&lt;&gt;"",$W11,IF($I11&lt;&gt;"",$V11,IF($H11&lt;&gt;"",$U11,IF($G11&lt;&gt;"",$T11,IF($F11&lt;&gt;"",$S11,$R11))))))</f>
        <v/>
      </c>
      <c r="M11" s="16" t="n"/>
      <c r="N11" s="16" t="n"/>
      <c r="O11" s="16" t="n"/>
      <c r="P11" s="17">
        <f>IF($B11="","",IF(AND($M11&gt;0,$N11&gt;1,LEN($O11)&gt;20),"Sim","Não"))</f>
        <v/>
      </c>
      <c r="Q11" s="17">
        <f>IF($B11="","",IF(COUNT($E11:$J11)&lt;3,"Sem base — poucos ciclos",IF($N11&lt;=1,"Caso frágil — um avaliador só",IF($M11=0,"Caso frágil — sem evidência",IF($L11&lt;2,"Caso frágil — não sustentado",IF(AND($L11&gt;=3,$K11&gt;=0.2,$P11="Sim"),"Caso sustentado","Caso em formação"))))))</f>
        <v/>
      </c>
      <c r="R11" s="17">
        <f>IF($E11="",0,IF($E11&gt;=0,1,0))</f>
        <v/>
      </c>
      <c r="S11" s="17">
        <f>IF($F11="",0,IF($F11&gt;=0,$R11+1,0))</f>
        <v/>
      </c>
      <c r="T11" s="17">
        <f>IF($G11="",0,IF($G11&gt;=0,$S11+1,0))</f>
        <v/>
      </c>
      <c r="U11" s="17">
        <f>IF($H11="",0,IF($H11&gt;=0,$T11+1,0))</f>
        <v/>
      </c>
      <c r="V11" s="17">
        <f>IF($I11="",0,IF($I11&gt;=0,$U11+1,0))</f>
        <v/>
      </c>
      <c r="W11" s="17">
        <f>IF($J11="",0,IF($J11&gt;=0,$V11+1,0))</f>
        <v/>
      </c>
    </row>
    <row r="12">
      <c r="A12" s="16" t="n"/>
      <c r="B12" s="16" t="n"/>
      <c r="C12" s="16" t="n"/>
      <c r="D12" s="16" t="n"/>
      <c r="E12" s="20" t="n"/>
      <c r="F12" s="20" t="n"/>
      <c r="G12" s="20" t="n"/>
      <c r="H12" s="20" t="n"/>
      <c r="I12" s="20" t="n"/>
      <c r="J12" s="20" t="n"/>
      <c r="K12" s="21">
        <f>IF($B12="","",IF(COUNT($H12:$J12)=0,"",AVERAGE($H12:$J12)))</f>
        <v/>
      </c>
      <c r="L12" s="17">
        <f>IF($B12="","",IF($J12&lt;&gt;"",$W12,IF($I12&lt;&gt;"",$V12,IF($H12&lt;&gt;"",$U12,IF($G12&lt;&gt;"",$T12,IF($F12&lt;&gt;"",$S12,$R12))))))</f>
        <v/>
      </c>
      <c r="M12" s="16" t="n"/>
      <c r="N12" s="16" t="n"/>
      <c r="O12" s="16" t="n"/>
      <c r="P12" s="17">
        <f>IF($B12="","",IF(AND($M12&gt;0,$N12&gt;1,LEN($O12)&gt;20),"Sim","Não"))</f>
        <v/>
      </c>
      <c r="Q12" s="17">
        <f>IF($B12="","",IF(COUNT($E12:$J12)&lt;3,"Sem base — poucos ciclos",IF($N12&lt;=1,"Caso frágil — um avaliador só",IF($M12=0,"Caso frágil — sem evidência",IF($L12&lt;2,"Caso frágil — não sustentado",IF(AND($L12&gt;=3,$K12&gt;=0.2,$P12="Sim"),"Caso sustentado","Caso em formação"))))))</f>
        <v/>
      </c>
      <c r="R12" s="17">
        <f>IF($E12="",0,IF($E12&gt;=0,1,0))</f>
        <v/>
      </c>
      <c r="S12" s="17">
        <f>IF($F12="",0,IF($F12&gt;=0,$R12+1,0))</f>
        <v/>
      </c>
      <c r="T12" s="17">
        <f>IF($G12="",0,IF($G12&gt;=0,$S12+1,0))</f>
        <v/>
      </c>
      <c r="U12" s="17">
        <f>IF($H12="",0,IF($H12&gt;=0,$T12+1,0))</f>
        <v/>
      </c>
      <c r="V12" s="17">
        <f>IF($I12="",0,IF($I12&gt;=0,$U12+1,0))</f>
        <v/>
      </c>
      <c r="W12" s="17">
        <f>IF($J12="",0,IF($J12&gt;=0,$V12+1,0))</f>
        <v/>
      </c>
    </row>
    <row r="13">
      <c r="A13" s="16" t="n"/>
      <c r="B13" s="16" t="n"/>
      <c r="C13" s="16" t="n"/>
      <c r="D13" s="16" t="n"/>
      <c r="E13" s="20" t="n"/>
      <c r="F13" s="20" t="n"/>
      <c r="G13" s="20" t="n"/>
      <c r="H13" s="20" t="n"/>
      <c r="I13" s="20" t="n"/>
      <c r="J13" s="20" t="n"/>
      <c r="K13" s="21">
        <f>IF($B13="","",IF(COUNT($H13:$J13)=0,"",AVERAGE($H13:$J13)))</f>
        <v/>
      </c>
      <c r="L13" s="17">
        <f>IF($B13="","",IF($J13&lt;&gt;"",$W13,IF($I13&lt;&gt;"",$V13,IF($H13&lt;&gt;"",$U13,IF($G13&lt;&gt;"",$T13,IF($F13&lt;&gt;"",$S13,$R13))))))</f>
        <v/>
      </c>
      <c r="M13" s="16" t="n"/>
      <c r="N13" s="16" t="n"/>
      <c r="O13" s="16" t="n"/>
      <c r="P13" s="17">
        <f>IF($B13="","",IF(AND($M13&gt;0,$N13&gt;1,LEN($O13)&gt;20),"Sim","Não"))</f>
        <v/>
      </c>
      <c r="Q13" s="17">
        <f>IF($B13="","",IF(COUNT($E13:$J13)&lt;3,"Sem base — poucos ciclos",IF($N13&lt;=1,"Caso frágil — um avaliador só",IF($M13=0,"Caso frágil — sem evidência",IF($L13&lt;2,"Caso frágil — não sustentado",IF(AND($L13&gt;=3,$K13&gt;=0.2,$P13="Sim"),"Caso sustentado","Caso em formação"))))))</f>
        <v/>
      </c>
      <c r="R13" s="17">
        <f>IF($E13="",0,IF($E13&gt;=0,1,0))</f>
        <v/>
      </c>
      <c r="S13" s="17">
        <f>IF($F13="",0,IF($F13&gt;=0,$R13+1,0))</f>
        <v/>
      </c>
      <c r="T13" s="17">
        <f>IF($G13="",0,IF($G13&gt;=0,$S13+1,0))</f>
        <v/>
      </c>
      <c r="U13" s="17">
        <f>IF($H13="",0,IF($H13&gt;=0,$T13+1,0))</f>
        <v/>
      </c>
      <c r="V13" s="17">
        <f>IF($I13="",0,IF($I13&gt;=0,$U13+1,0))</f>
        <v/>
      </c>
      <c r="W13" s="17">
        <f>IF($J13="",0,IF($J13&gt;=0,$V13+1,0))</f>
        <v/>
      </c>
    </row>
    <row r="14">
      <c r="A14" s="16" t="n"/>
      <c r="B14" s="16" t="n"/>
      <c r="C14" s="16" t="n"/>
      <c r="D14" s="16" t="n"/>
      <c r="E14" s="20" t="n"/>
      <c r="F14" s="20" t="n"/>
      <c r="G14" s="20" t="n"/>
      <c r="H14" s="20" t="n"/>
      <c r="I14" s="20" t="n"/>
      <c r="J14" s="20" t="n"/>
      <c r="K14" s="21">
        <f>IF($B14="","",IF(COUNT($H14:$J14)=0,"",AVERAGE($H14:$J14)))</f>
        <v/>
      </c>
      <c r="L14" s="17">
        <f>IF($B14="","",IF($J14&lt;&gt;"",$W14,IF($I14&lt;&gt;"",$V14,IF($H14&lt;&gt;"",$U14,IF($G14&lt;&gt;"",$T14,IF($F14&lt;&gt;"",$S14,$R14))))))</f>
        <v/>
      </c>
      <c r="M14" s="16" t="n"/>
      <c r="N14" s="16" t="n"/>
      <c r="O14" s="16" t="n"/>
      <c r="P14" s="17">
        <f>IF($B14="","",IF(AND($M14&gt;0,$N14&gt;1,LEN($O14)&gt;20),"Sim","Não"))</f>
        <v/>
      </c>
      <c r="Q14" s="17">
        <f>IF($B14="","",IF(COUNT($E14:$J14)&lt;3,"Sem base — poucos ciclos",IF($N14&lt;=1,"Caso frágil — um avaliador só",IF($M14=0,"Caso frágil — sem evidência",IF($L14&lt;2,"Caso frágil — não sustentado",IF(AND($L14&gt;=3,$K14&gt;=0.2,$P14="Sim"),"Caso sustentado","Caso em formação"))))))</f>
        <v/>
      </c>
      <c r="R14" s="17">
        <f>IF($E14="",0,IF($E14&gt;=0,1,0))</f>
        <v/>
      </c>
      <c r="S14" s="17">
        <f>IF($F14="",0,IF($F14&gt;=0,$R14+1,0))</f>
        <v/>
      </c>
      <c r="T14" s="17">
        <f>IF($G14="",0,IF($G14&gt;=0,$S14+1,0))</f>
        <v/>
      </c>
      <c r="U14" s="17">
        <f>IF($H14="",0,IF($H14&gt;=0,$T14+1,0))</f>
        <v/>
      </c>
      <c r="V14" s="17">
        <f>IF($I14="",0,IF($I14&gt;=0,$U14+1,0))</f>
        <v/>
      </c>
      <c r="W14" s="17">
        <f>IF($J14="",0,IF($J14&gt;=0,$V14+1,0))</f>
        <v/>
      </c>
    </row>
    <row r="15">
      <c r="A15" s="16" t="n"/>
      <c r="B15" s="16" t="n"/>
      <c r="C15" s="16" t="n"/>
      <c r="D15" s="16" t="n"/>
      <c r="E15" s="20" t="n"/>
      <c r="F15" s="20" t="n"/>
      <c r="G15" s="20" t="n"/>
      <c r="H15" s="20" t="n"/>
      <c r="I15" s="20" t="n"/>
      <c r="J15" s="20" t="n"/>
      <c r="K15" s="21">
        <f>IF($B15="","",IF(COUNT($H15:$J15)=0,"",AVERAGE($H15:$J15)))</f>
        <v/>
      </c>
      <c r="L15" s="17">
        <f>IF($B15="","",IF($J15&lt;&gt;"",$W15,IF($I15&lt;&gt;"",$V15,IF($H15&lt;&gt;"",$U15,IF($G15&lt;&gt;"",$T15,IF($F15&lt;&gt;"",$S15,$R15))))))</f>
        <v/>
      </c>
      <c r="M15" s="16" t="n"/>
      <c r="N15" s="16" t="n"/>
      <c r="O15" s="16" t="n"/>
      <c r="P15" s="17">
        <f>IF($B15="","",IF(AND($M15&gt;0,$N15&gt;1,LEN($O15)&gt;20),"Sim","Não"))</f>
        <v/>
      </c>
      <c r="Q15" s="17">
        <f>IF($B15="","",IF(COUNT($E15:$J15)&lt;3,"Sem base — poucos ciclos",IF($N15&lt;=1,"Caso frágil — um avaliador só",IF($M15=0,"Caso frágil — sem evidência",IF($L15&lt;2,"Caso frágil — não sustentado",IF(AND($L15&gt;=3,$K15&gt;=0.2,$P15="Sim"),"Caso sustentado","Caso em formação"))))))</f>
        <v/>
      </c>
      <c r="R15" s="17">
        <f>IF($E15="",0,IF($E15&gt;=0,1,0))</f>
        <v/>
      </c>
      <c r="S15" s="17">
        <f>IF($F15="",0,IF($F15&gt;=0,$R15+1,0))</f>
        <v/>
      </c>
      <c r="T15" s="17">
        <f>IF($G15="",0,IF($G15&gt;=0,$S15+1,0))</f>
        <v/>
      </c>
      <c r="U15" s="17">
        <f>IF($H15="",0,IF($H15&gt;=0,$T15+1,0))</f>
        <v/>
      </c>
      <c r="V15" s="17">
        <f>IF($I15="",0,IF($I15&gt;=0,$U15+1,0))</f>
        <v/>
      </c>
      <c r="W15" s="17">
        <f>IF($J15="",0,IF($J15&gt;=0,$V15+1,0))</f>
        <v/>
      </c>
    </row>
    <row r="16">
      <c r="A16" s="16" t="n"/>
      <c r="B16" s="16" t="n"/>
      <c r="C16" s="16" t="n"/>
      <c r="D16" s="16" t="n"/>
      <c r="E16" s="20" t="n"/>
      <c r="F16" s="20" t="n"/>
      <c r="G16" s="20" t="n"/>
      <c r="H16" s="20" t="n"/>
      <c r="I16" s="20" t="n"/>
      <c r="J16" s="20" t="n"/>
      <c r="K16" s="21">
        <f>IF($B16="","",IF(COUNT($H16:$J16)=0,"",AVERAGE($H16:$J16)))</f>
        <v/>
      </c>
      <c r="L16" s="17">
        <f>IF($B16="","",IF($J16&lt;&gt;"",$W16,IF($I16&lt;&gt;"",$V16,IF($H16&lt;&gt;"",$U16,IF($G16&lt;&gt;"",$T16,IF($F16&lt;&gt;"",$S16,$R16))))))</f>
        <v/>
      </c>
      <c r="M16" s="16" t="n"/>
      <c r="N16" s="16" t="n"/>
      <c r="O16" s="16" t="n"/>
      <c r="P16" s="17">
        <f>IF($B16="","",IF(AND($M16&gt;0,$N16&gt;1,LEN($O16)&gt;20),"Sim","Não"))</f>
        <v/>
      </c>
      <c r="Q16" s="17">
        <f>IF($B16="","",IF(COUNT($E16:$J16)&lt;3,"Sem base — poucos ciclos",IF($N16&lt;=1,"Caso frágil — um avaliador só",IF($M16=0,"Caso frágil — sem evidência",IF($L16&lt;2,"Caso frágil — não sustentado",IF(AND($L16&gt;=3,$K16&gt;=0.2,$P16="Sim"),"Caso sustentado","Caso em formação"))))))</f>
        <v/>
      </c>
      <c r="R16" s="17">
        <f>IF($E16="",0,IF($E16&gt;=0,1,0))</f>
        <v/>
      </c>
      <c r="S16" s="17">
        <f>IF($F16="",0,IF($F16&gt;=0,$R16+1,0))</f>
        <v/>
      </c>
      <c r="T16" s="17">
        <f>IF($G16="",0,IF($G16&gt;=0,$S16+1,0))</f>
        <v/>
      </c>
      <c r="U16" s="17">
        <f>IF($H16="",0,IF($H16&gt;=0,$T16+1,0))</f>
        <v/>
      </c>
      <c r="V16" s="17">
        <f>IF($I16="",0,IF($I16&gt;=0,$U16+1,0))</f>
        <v/>
      </c>
      <c r="W16" s="17">
        <f>IF($J16="",0,IF($J16&gt;=0,$V16+1,0))</f>
        <v/>
      </c>
    </row>
    <row r="17">
      <c r="A17" s="16" t="n"/>
      <c r="B17" s="16" t="n"/>
      <c r="C17" s="16" t="n"/>
      <c r="D17" s="16" t="n"/>
      <c r="E17" s="20" t="n"/>
      <c r="F17" s="20" t="n"/>
      <c r="G17" s="20" t="n"/>
      <c r="H17" s="20" t="n"/>
      <c r="I17" s="20" t="n"/>
      <c r="J17" s="20" t="n"/>
      <c r="K17" s="21">
        <f>IF($B17="","",IF(COUNT($H17:$J17)=0,"",AVERAGE($H17:$J17)))</f>
        <v/>
      </c>
      <c r="L17" s="17">
        <f>IF($B17="","",IF($J17&lt;&gt;"",$W17,IF($I17&lt;&gt;"",$V17,IF($H17&lt;&gt;"",$U17,IF($G17&lt;&gt;"",$T17,IF($F17&lt;&gt;"",$S17,$R17))))))</f>
        <v/>
      </c>
      <c r="M17" s="16" t="n"/>
      <c r="N17" s="16" t="n"/>
      <c r="O17" s="16" t="n"/>
      <c r="P17" s="17">
        <f>IF($B17="","",IF(AND($M17&gt;0,$N17&gt;1,LEN($O17)&gt;20),"Sim","Não"))</f>
        <v/>
      </c>
      <c r="Q17" s="17">
        <f>IF($B17="","",IF(COUNT($E17:$J17)&lt;3,"Sem base — poucos ciclos",IF($N17&lt;=1,"Caso frágil — um avaliador só",IF($M17=0,"Caso frágil — sem evidência",IF($L17&lt;2,"Caso frágil — não sustentado",IF(AND($L17&gt;=3,$K17&gt;=0.2,$P17="Sim"),"Caso sustentado","Caso em formação"))))))</f>
        <v/>
      </c>
      <c r="R17" s="17">
        <f>IF($E17="",0,IF($E17&gt;=0,1,0))</f>
        <v/>
      </c>
      <c r="S17" s="17">
        <f>IF($F17="",0,IF($F17&gt;=0,$R17+1,0))</f>
        <v/>
      </c>
      <c r="T17" s="17">
        <f>IF($G17="",0,IF($G17&gt;=0,$S17+1,0))</f>
        <v/>
      </c>
      <c r="U17" s="17">
        <f>IF($H17="",0,IF($H17&gt;=0,$T17+1,0))</f>
        <v/>
      </c>
      <c r="V17" s="17">
        <f>IF($I17="",0,IF($I17&gt;=0,$U17+1,0))</f>
        <v/>
      </c>
      <c r="W17" s="17">
        <f>IF($J17="",0,IF($J17&gt;=0,$V17+1,0))</f>
        <v/>
      </c>
    </row>
    <row r="18">
      <c r="A18" s="16" t="n"/>
      <c r="B18" s="16" t="n"/>
      <c r="C18" s="16" t="n"/>
      <c r="D18" s="16" t="n"/>
      <c r="E18" s="20" t="n"/>
      <c r="F18" s="20" t="n"/>
      <c r="G18" s="20" t="n"/>
      <c r="H18" s="20" t="n"/>
      <c r="I18" s="20" t="n"/>
      <c r="J18" s="20" t="n"/>
      <c r="K18" s="21">
        <f>IF($B18="","",IF(COUNT($H18:$J18)=0,"",AVERAGE($H18:$J18)))</f>
        <v/>
      </c>
      <c r="L18" s="17">
        <f>IF($B18="","",IF($J18&lt;&gt;"",$W18,IF($I18&lt;&gt;"",$V18,IF($H18&lt;&gt;"",$U18,IF($G18&lt;&gt;"",$T18,IF($F18&lt;&gt;"",$S18,$R18))))))</f>
        <v/>
      </c>
      <c r="M18" s="16" t="n"/>
      <c r="N18" s="16" t="n"/>
      <c r="O18" s="16" t="n"/>
      <c r="P18" s="17">
        <f>IF($B18="","",IF(AND($M18&gt;0,$N18&gt;1,LEN($O18)&gt;20),"Sim","Não"))</f>
        <v/>
      </c>
      <c r="Q18" s="17">
        <f>IF($B18="","",IF(COUNT($E18:$J18)&lt;3,"Sem base — poucos ciclos",IF($N18&lt;=1,"Caso frágil — um avaliador só",IF($M18=0,"Caso frágil — sem evidência",IF($L18&lt;2,"Caso frágil — não sustentado",IF(AND($L18&gt;=3,$K18&gt;=0.2,$P18="Sim"),"Caso sustentado","Caso em formação"))))))</f>
        <v/>
      </c>
      <c r="R18" s="17">
        <f>IF($E18="",0,IF($E18&gt;=0,1,0))</f>
        <v/>
      </c>
      <c r="S18" s="17">
        <f>IF($F18="",0,IF($F18&gt;=0,$R18+1,0))</f>
        <v/>
      </c>
      <c r="T18" s="17">
        <f>IF($G18="",0,IF($G18&gt;=0,$S18+1,0))</f>
        <v/>
      </c>
      <c r="U18" s="17">
        <f>IF($H18="",0,IF($H18&gt;=0,$T18+1,0))</f>
        <v/>
      </c>
      <c r="V18" s="17">
        <f>IF($I18="",0,IF($I18&gt;=0,$U18+1,0))</f>
        <v/>
      </c>
      <c r="W18" s="17">
        <f>IF($J18="",0,IF($J18&gt;=0,$V18+1,0))</f>
        <v/>
      </c>
    </row>
    <row r="19">
      <c r="A19" s="16" t="n"/>
      <c r="B19" s="16" t="n"/>
      <c r="C19" s="16" t="n"/>
      <c r="D19" s="16" t="n"/>
      <c r="E19" s="20" t="n"/>
      <c r="F19" s="20" t="n"/>
      <c r="G19" s="20" t="n"/>
      <c r="H19" s="20" t="n"/>
      <c r="I19" s="20" t="n"/>
      <c r="J19" s="20" t="n"/>
      <c r="K19" s="21">
        <f>IF($B19="","",IF(COUNT($H19:$J19)=0,"",AVERAGE($H19:$J19)))</f>
        <v/>
      </c>
      <c r="L19" s="17">
        <f>IF($B19="","",IF($J19&lt;&gt;"",$W19,IF($I19&lt;&gt;"",$V19,IF($H19&lt;&gt;"",$U19,IF($G19&lt;&gt;"",$T19,IF($F19&lt;&gt;"",$S19,$R19))))))</f>
        <v/>
      </c>
      <c r="M19" s="16" t="n"/>
      <c r="N19" s="16" t="n"/>
      <c r="O19" s="16" t="n"/>
      <c r="P19" s="17">
        <f>IF($B19="","",IF(AND($M19&gt;0,$N19&gt;1,LEN($O19)&gt;20),"Sim","Não"))</f>
        <v/>
      </c>
      <c r="Q19" s="17">
        <f>IF($B19="","",IF(COUNT($E19:$J19)&lt;3,"Sem base — poucos ciclos",IF($N19&lt;=1,"Caso frágil — um avaliador só",IF($M19=0,"Caso frágil — sem evidência",IF($L19&lt;2,"Caso frágil — não sustentado",IF(AND($L19&gt;=3,$K19&gt;=0.2,$P19="Sim"),"Caso sustentado","Caso em formação"))))))</f>
        <v/>
      </c>
      <c r="R19" s="17">
        <f>IF($E19="",0,IF($E19&gt;=0,1,0))</f>
        <v/>
      </c>
      <c r="S19" s="17">
        <f>IF($F19="",0,IF($F19&gt;=0,$R19+1,0))</f>
        <v/>
      </c>
      <c r="T19" s="17">
        <f>IF($G19="",0,IF($G19&gt;=0,$S19+1,0))</f>
        <v/>
      </c>
      <c r="U19" s="17">
        <f>IF($H19="",0,IF($H19&gt;=0,$T19+1,0))</f>
        <v/>
      </c>
      <c r="V19" s="17">
        <f>IF($I19="",0,IF($I19&gt;=0,$U19+1,0))</f>
        <v/>
      </c>
      <c r="W19" s="17">
        <f>IF($J19="",0,IF($J19&gt;=0,$V19+1,0))</f>
        <v/>
      </c>
    </row>
    <row r="20">
      <c r="A20" s="16" t="n"/>
      <c r="B20" s="16" t="n"/>
      <c r="C20" s="16" t="n"/>
      <c r="D20" s="16" t="n"/>
      <c r="E20" s="20" t="n"/>
      <c r="F20" s="20" t="n"/>
      <c r="G20" s="20" t="n"/>
      <c r="H20" s="20" t="n"/>
      <c r="I20" s="20" t="n"/>
      <c r="J20" s="20" t="n"/>
      <c r="K20" s="21">
        <f>IF($B20="","",IF(COUNT($H20:$J20)=0,"",AVERAGE($H20:$J20)))</f>
        <v/>
      </c>
      <c r="L20" s="17">
        <f>IF($B20="","",IF($J20&lt;&gt;"",$W20,IF($I20&lt;&gt;"",$V20,IF($H20&lt;&gt;"",$U20,IF($G20&lt;&gt;"",$T20,IF($F20&lt;&gt;"",$S20,$R20))))))</f>
        <v/>
      </c>
      <c r="M20" s="16" t="n"/>
      <c r="N20" s="16" t="n"/>
      <c r="O20" s="16" t="n"/>
      <c r="P20" s="17">
        <f>IF($B20="","",IF(AND($M20&gt;0,$N20&gt;1,LEN($O20)&gt;20),"Sim","Não"))</f>
        <v/>
      </c>
      <c r="Q20" s="17">
        <f>IF($B20="","",IF(COUNT($E20:$J20)&lt;3,"Sem base — poucos ciclos",IF($N20&lt;=1,"Caso frágil — um avaliador só",IF($M20=0,"Caso frágil — sem evidência",IF($L20&lt;2,"Caso frágil — não sustentado",IF(AND($L20&gt;=3,$K20&gt;=0.2,$P20="Sim"),"Caso sustentado","Caso em formação"))))))</f>
        <v/>
      </c>
      <c r="R20" s="17">
        <f>IF($E20="",0,IF($E20&gt;=0,1,0))</f>
        <v/>
      </c>
      <c r="S20" s="17">
        <f>IF($F20="",0,IF($F20&gt;=0,$R20+1,0))</f>
        <v/>
      </c>
      <c r="T20" s="17">
        <f>IF($G20="",0,IF($G20&gt;=0,$S20+1,0))</f>
        <v/>
      </c>
      <c r="U20" s="17">
        <f>IF($H20="",0,IF($H20&gt;=0,$T20+1,0))</f>
        <v/>
      </c>
      <c r="V20" s="17">
        <f>IF($I20="",0,IF($I20&gt;=0,$U20+1,0))</f>
        <v/>
      </c>
      <c r="W20" s="17">
        <f>IF($J20="",0,IF($J20&gt;=0,$V20+1,0))</f>
        <v/>
      </c>
    </row>
    <row r="21">
      <c r="A21" s="16" t="n"/>
      <c r="B21" s="16" t="n"/>
      <c r="C21" s="16" t="n"/>
      <c r="D21" s="16" t="n"/>
      <c r="E21" s="20" t="n"/>
      <c r="F21" s="20" t="n"/>
      <c r="G21" s="20" t="n"/>
      <c r="H21" s="20" t="n"/>
      <c r="I21" s="20" t="n"/>
      <c r="J21" s="20" t="n"/>
      <c r="K21" s="21">
        <f>IF($B21="","",IF(COUNT($H21:$J21)=0,"",AVERAGE($H21:$J21)))</f>
        <v/>
      </c>
      <c r="L21" s="17">
        <f>IF($B21="","",IF($J21&lt;&gt;"",$W21,IF($I21&lt;&gt;"",$V21,IF($H21&lt;&gt;"",$U21,IF($G21&lt;&gt;"",$T21,IF($F21&lt;&gt;"",$S21,$R21))))))</f>
        <v/>
      </c>
      <c r="M21" s="16" t="n"/>
      <c r="N21" s="16" t="n"/>
      <c r="O21" s="16" t="n"/>
      <c r="P21" s="17">
        <f>IF($B21="","",IF(AND($M21&gt;0,$N21&gt;1,LEN($O21)&gt;20),"Sim","Não"))</f>
        <v/>
      </c>
      <c r="Q21" s="17">
        <f>IF($B21="","",IF(COUNT($E21:$J21)&lt;3,"Sem base — poucos ciclos",IF($N21&lt;=1,"Caso frágil — um avaliador só",IF($M21=0,"Caso frágil — sem evidência",IF($L21&lt;2,"Caso frágil — não sustentado",IF(AND($L21&gt;=3,$K21&gt;=0.2,$P21="Sim"),"Caso sustentado","Caso em formação"))))))</f>
        <v/>
      </c>
      <c r="R21" s="17">
        <f>IF($E21="",0,IF($E21&gt;=0,1,0))</f>
        <v/>
      </c>
      <c r="S21" s="17">
        <f>IF($F21="",0,IF($F21&gt;=0,$R21+1,0))</f>
        <v/>
      </c>
      <c r="T21" s="17">
        <f>IF($G21="",0,IF($G21&gt;=0,$S21+1,0))</f>
        <v/>
      </c>
      <c r="U21" s="17">
        <f>IF($H21="",0,IF($H21&gt;=0,$T21+1,0))</f>
        <v/>
      </c>
      <c r="V21" s="17">
        <f>IF($I21="",0,IF($I21&gt;=0,$U21+1,0))</f>
        <v/>
      </c>
      <c r="W21" s="17">
        <f>IF($J21="",0,IF($J21&gt;=0,$V21+1,0))</f>
        <v/>
      </c>
    </row>
    <row r="22">
      <c r="A22" s="16" t="n"/>
      <c r="B22" s="16" t="n"/>
      <c r="C22" s="16" t="n"/>
      <c r="D22" s="16" t="n"/>
      <c r="E22" s="20" t="n"/>
      <c r="F22" s="20" t="n"/>
      <c r="G22" s="20" t="n"/>
      <c r="H22" s="20" t="n"/>
      <c r="I22" s="20" t="n"/>
      <c r="J22" s="20" t="n"/>
      <c r="K22" s="21">
        <f>IF($B22="","",IF(COUNT($H22:$J22)=0,"",AVERAGE($H22:$J22)))</f>
        <v/>
      </c>
      <c r="L22" s="17">
        <f>IF($B22="","",IF($J22&lt;&gt;"",$W22,IF($I22&lt;&gt;"",$V22,IF($H22&lt;&gt;"",$U22,IF($G22&lt;&gt;"",$T22,IF($F22&lt;&gt;"",$S22,$R22))))))</f>
        <v/>
      </c>
      <c r="M22" s="16" t="n"/>
      <c r="N22" s="16" t="n"/>
      <c r="O22" s="16" t="n"/>
      <c r="P22" s="17">
        <f>IF($B22="","",IF(AND($M22&gt;0,$N22&gt;1,LEN($O22)&gt;20),"Sim","Não"))</f>
        <v/>
      </c>
      <c r="Q22" s="17">
        <f>IF($B22="","",IF(COUNT($E22:$J22)&lt;3,"Sem base — poucos ciclos",IF($N22&lt;=1,"Caso frágil — um avaliador só",IF($M22=0,"Caso frágil — sem evidência",IF($L22&lt;2,"Caso frágil — não sustentado",IF(AND($L22&gt;=3,$K22&gt;=0.2,$P22="Sim"),"Caso sustentado","Caso em formação"))))))</f>
        <v/>
      </c>
      <c r="R22" s="17">
        <f>IF($E22="",0,IF($E22&gt;=0,1,0))</f>
        <v/>
      </c>
      <c r="S22" s="17">
        <f>IF($F22="",0,IF($F22&gt;=0,$R22+1,0))</f>
        <v/>
      </c>
      <c r="T22" s="17">
        <f>IF($G22="",0,IF($G22&gt;=0,$S22+1,0))</f>
        <v/>
      </c>
      <c r="U22" s="17">
        <f>IF($H22="",0,IF($H22&gt;=0,$T22+1,0))</f>
        <v/>
      </c>
      <c r="V22" s="17">
        <f>IF($I22="",0,IF($I22&gt;=0,$U22+1,0))</f>
        <v/>
      </c>
      <c r="W22" s="17">
        <f>IF($J22="",0,IF($J22&gt;=0,$V22+1,0))</f>
        <v/>
      </c>
    </row>
    <row r="23">
      <c r="A23" s="16" t="n"/>
      <c r="B23" s="16" t="n"/>
      <c r="C23" s="16" t="n"/>
      <c r="D23" s="16" t="n"/>
      <c r="E23" s="20" t="n"/>
      <c r="F23" s="20" t="n"/>
      <c r="G23" s="20" t="n"/>
      <c r="H23" s="20" t="n"/>
      <c r="I23" s="20" t="n"/>
      <c r="J23" s="20" t="n"/>
      <c r="K23" s="21">
        <f>IF($B23="","",IF(COUNT($H23:$J23)=0,"",AVERAGE($H23:$J23)))</f>
        <v/>
      </c>
      <c r="L23" s="17">
        <f>IF($B23="","",IF($J23&lt;&gt;"",$W23,IF($I23&lt;&gt;"",$V23,IF($H23&lt;&gt;"",$U23,IF($G23&lt;&gt;"",$T23,IF($F23&lt;&gt;"",$S23,$R23))))))</f>
        <v/>
      </c>
      <c r="M23" s="16" t="n"/>
      <c r="N23" s="16" t="n"/>
      <c r="O23" s="16" t="n"/>
      <c r="P23" s="17">
        <f>IF($B23="","",IF(AND($M23&gt;0,$N23&gt;1,LEN($O23)&gt;20),"Sim","Não"))</f>
        <v/>
      </c>
      <c r="Q23" s="17">
        <f>IF($B23="","",IF(COUNT($E23:$J23)&lt;3,"Sem base — poucos ciclos",IF($N23&lt;=1,"Caso frágil — um avaliador só",IF($M23=0,"Caso frágil — sem evidência",IF($L23&lt;2,"Caso frágil — não sustentado",IF(AND($L23&gt;=3,$K23&gt;=0.2,$P23="Sim"),"Caso sustentado","Caso em formação"))))))</f>
        <v/>
      </c>
      <c r="R23" s="17">
        <f>IF($E23="",0,IF($E23&gt;=0,1,0))</f>
        <v/>
      </c>
      <c r="S23" s="17">
        <f>IF($F23="",0,IF($F23&gt;=0,$R23+1,0))</f>
        <v/>
      </c>
      <c r="T23" s="17">
        <f>IF($G23="",0,IF($G23&gt;=0,$S23+1,0))</f>
        <v/>
      </c>
      <c r="U23" s="17">
        <f>IF($H23="",0,IF($H23&gt;=0,$T23+1,0))</f>
        <v/>
      </c>
      <c r="V23" s="17">
        <f>IF($I23="",0,IF($I23&gt;=0,$U23+1,0))</f>
        <v/>
      </c>
      <c r="W23" s="17">
        <f>IF($J23="",0,IF($J23&gt;=0,$V23+1,0))</f>
        <v/>
      </c>
    </row>
    <row r="24">
      <c r="A24" s="16" t="n"/>
      <c r="B24" s="16" t="n"/>
      <c r="C24" s="16" t="n"/>
      <c r="D24" s="16" t="n"/>
      <c r="E24" s="20" t="n"/>
      <c r="F24" s="20" t="n"/>
      <c r="G24" s="20" t="n"/>
      <c r="H24" s="20" t="n"/>
      <c r="I24" s="20" t="n"/>
      <c r="J24" s="20" t="n"/>
      <c r="K24" s="21">
        <f>IF($B24="","",IF(COUNT($H24:$J24)=0,"",AVERAGE($H24:$J24)))</f>
        <v/>
      </c>
      <c r="L24" s="17">
        <f>IF($B24="","",IF($J24&lt;&gt;"",$W24,IF($I24&lt;&gt;"",$V24,IF($H24&lt;&gt;"",$U24,IF($G24&lt;&gt;"",$T24,IF($F24&lt;&gt;"",$S24,$R24))))))</f>
        <v/>
      </c>
      <c r="M24" s="16" t="n"/>
      <c r="N24" s="16" t="n"/>
      <c r="O24" s="16" t="n"/>
      <c r="P24" s="17">
        <f>IF($B24="","",IF(AND($M24&gt;0,$N24&gt;1,LEN($O24)&gt;20),"Sim","Não"))</f>
        <v/>
      </c>
      <c r="Q24" s="17">
        <f>IF($B24="","",IF(COUNT($E24:$J24)&lt;3,"Sem base — poucos ciclos",IF($N24&lt;=1,"Caso frágil — um avaliador só",IF($M24=0,"Caso frágil — sem evidência",IF($L24&lt;2,"Caso frágil — não sustentado",IF(AND($L24&gt;=3,$K24&gt;=0.2,$P24="Sim"),"Caso sustentado","Caso em formação"))))))</f>
        <v/>
      </c>
      <c r="R24" s="17">
        <f>IF($E24="",0,IF($E24&gt;=0,1,0))</f>
        <v/>
      </c>
      <c r="S24" s="17">
        <f>IF($F24="",0,IF($F24&gt;=0,$R24+1,0))</f>
        <v/>
      </c>
      <c r="T24" s="17">
        <f>IF($G24="",0,IF($G24&gt;=0,$S24+1,0))</f>
        <v/>
      </c>
      <c r="U24" s="17">
        <f>IF($H24="",0,IF($H24&gt;=0,$T24+1,0))</f>
        <v/>
      </c>
      <c r="V24" s="17">
        <f>IF($I24="",0,IF($I24&gt;=0,$U24+1,0))</f>
        <v/>
      </c>
      <c r="W24" s="17">
        <f>IF($J24="",0,IF($J24&gt;=0,$V24+1,0))</f>
        <v/>
      </c>
    </row>
    <row r="25">
      <c r="A25" s="16" t="n"/>
      <c r="B25" s="16" t="n"/>
      <c r="C25" s="16" t="n"/>
      <c r="D25" s="16" t="n"/>
      <c r="E25" s="20" t="n"/>
      <c r="F25" s="20" t="n"/>
      <c r="G25" s="20" t="n"/>
      <c r="H25" s="20" t="n"/>
      <c r="I25" s="20" t="n"/>
      <c r="J25" s="20" t="n"/>
      <c r="K25" s="21">
        <f>IF($B25="","",IF(COUNT($H25:$J25)=0,"",AVERAGE($H25:$J25)))</f>
        <v/>
      </c>
      <c r="L25" s="17">
        <f>IF($B25="","",IF($J25&lt;&gt;"",$W25,IF($I25&lt;&gt;"",$V25,IF($H25&lt;&gt;"",$U25,IF($G25&lt;&gt;"",$T25,IF($F25&lt;&gt;"",$S25,$R25))))))</f>
        <v/>
      </c>
      <c r="M25" s="16" t="n"/>
      <c r="N25" s="16" t="n"/>
      <c r="O25" s="16" t="n"/>
      <c r="P25" s="17">
        <f>IF($B25="","",IF(AND($M25&gt;0,$N25&gt;1,LEN($O25)&gt;20),"Sim","Não"))</f>
        <v/>
      </c>
      <c r="Q25" s="17">
        <f>IF($B25="","",IF(COUNT($E25:$J25)&lt;3,"Sem base — poucos ciclos",IF($N25&lt;=1,"Caso frágil — um avaliador só",IF($M25=0,"Caso frágil — sem evidência",IF($L25&lt;2,"Caso frágil — não sustentado",IF(AND($L25&gt;=3,$K25&gt;=0.2,$P25="Sim"),"Caso sustentado","Caso em formação"))))))</f>
        <v/>
      </c>
      <c r="R25" s="17">
        <f>IF($E25="",0,IF($E25&gt;=0,1,0))</f>
        <v/>
      </c>
      <c r="S25" s="17">
        <f>IF($F25="",0,IF($F25&gt;=0,$R25+1,0))</f>
        <v/>
      </c>
      <c r="T25" s="17">
        <f>IF($G25="",0,IF($G25&gt;=0,$S25+1,0))</f>
        <v/>
      </c>
      <c r="U25" s="17">
        <f>IF($H25="",0,IF($H25&gt;=0,$T25+1,0))</f>
        <v/>
      </c>
      <c r="V25" s="17">
        <f>IF($I25="",0,IF($I25&gt;=0,$U25+1,0))</f>
        <v/>
      </c>
      <c r="W25" s="17">
        <f>IF($J25="",0,IF($J25&gt;=0,$V25+1,0))</f>
        <v/>
      </c>
    </row>
    <row r="26">
      <c r="A26" s="16" t="n"/>
      <c r="B26" s="16" t="n"/>
      <c r="C26" s="16" t="n"/>
      <c r="D26" s="16" t="n"/>
      <c r="E26" s="20" t="n"/>
      <c r="F26" s="20" t="n"/>
      <c r="G26" s="20" t="n"/>
      <c r="H26" s="20" t="n"/>
      <c r="I26" s="20" t="n"/>
      <c r="J26" s="20" t="n"/>
      <c r="K26" s="21">
        <f>IF($B26="","",IF(COUNT($H26:$J26)=0,"",AVERAGE($H26:$J26)))</f>
        <v/>
      </c>
      <c r="L26" s="17">
        <f>IF($B26="","",IF($J26&lt;&gt;"",$W26,IF($I26&lt;&gt;"",$V26,IF($H26&lt;&gt;"",$U26,IF($G26&lt;&gt;"",$T26,IF($F26&lt;&gt;"",$S26,$R26))))))</f>
        <v/>
      </c>
      <c r="M26" s="16" t="n"/>
      <c r="N26" s="16" t="n"/>
      <c r="O26" s="16" t="n"/>
      <c r="P26" s="17">
        <f>IF($B26="","",IF(AND($M26&gt;0,$N26&gt;1,LEN($O26)&gt;20),"Sim","Não"))</f>
        <v/>
      </c>
      <c r="Q26" s="17">
        <f>IF($B26="","",IF(COUNT($E26:$J26)&lt;3,"Sem base — poucos ciclos",IF($N26&lt;=1,"Caso frágil — um avaliador só",IF($M26=0,"Caso frágil — sem evidência",IF($L26&lt;2,"Caso frágil — não sustentado",IF(AND($L26&gt;=3,$K26&gt;=0.2,$P26="Sim"),"Caso sustentado","Caso em formação"))))))</f>
        <v/>
      </c>
      <c r="R26" s="17">
        <f>IF($E26="",0,IF($E26&gt;=0,1,0))</f>
        <v/>
      </c>
      <c r="S26" s="17">
        <f>IF($F26="",0,IF($F26&gt;=0,$R26+1,0))</f>
        <v/>
      </c>
      <c r="T26" s="17">
        <f>IF($G26="",0,IF($G26&gt;=0,$S26+1,0))</f>
        <v/>
      </c>
      <c r="U26" s="17">
        <f>IF($H26="",0,IF($H26&gt;=0,$T26+1,0))</f>
        <v/>
      </c>
      <c r="V26" s="17">
        <f>IF($I26="",0,IF($I26&gt;=0,$U26+1,0))</f>
        <v/>
      </c>
      <c r="W26" s="17">
        <f>IF($J26="",0,IF($J26&gt;=0,$V26+1,0))</f>
        <v/>
      </c>
    </row>
    <row r="27">
      <c r="A27" s="16" t="n"/>
      <c r="B27" s="16" t="n"/>
      <c r="C27" s="16" t="n"/>
      <c r="D27" s="16" t="n"/>
      <c r="E27" s="20" t="n"/>
      <c r="F27" s="20" t="n"/>
      <c r="G27" s="20" t="n"/>
      <c r="H27" s="20" t="n"/>
      <c r="I27" s="20" t="n"/>
      <c r="J27" s="20" t="n"/>
      <c r="K27" s="21">
        <f>IF($B27="","",IF(COUNT($H27:$J27)=0,"",AVERAGE($H27:$J27)))</f>
        <v/>
      </c>
      <c r="L27" s="17">
        <f>IF($B27="","",IF($J27&lt;&gt;"",$W27,IF($I27&lt;&gt;"",$V27,IF($H27&lt;&gt;"",$U27,IF($G27&lt;&gt;"",$T27,IF($F27&lt;&gt;"",$S27,$R27))))))</f>
        <v/>
      </c>
      <c r="M27" s="16" t="n"/>
      <c r="N27" s="16" t="n"/>
      <c r="O27" s="16" t="n"/>
      <c r="P27" s="17">
        <f>IF($B27="","",IF(AND($M27&gt;0,$N27&gt;1,LEN($O27)&gt;20),"Sim","Não"))</f>
        <v/>
      </c>
      <c r="Q27" s="17">
        <f>IF($B27="","",IF(COUNT($E27:$J27)&lt;3,"Sem base — poucos ciclos",IF($N27&lt;=1,"Caso frágil — um avaliador só",IF($M27=0,"Caso frágil — sem evidência",IF($L27&lt;2,"Caso frágil — não sustentado",IF(AND($L27&gt;=3,$K27&gt;=0.2,$P27="Sim"),"Caso sustentado","Caso em formação"))))))</f>
        <v/>
      </c>
      <c r="R27" s="17">
        <f>IF($E27="",0,IF($E27&gt;=0,1,0))</f>
        <v/>
      </c>
      <c r="S27" s="17">
        <f>IF($F27="",0,IF($F27&gt;=0,$R27+1,0))</f>
        <v/>
      </c>
      <c r="T27" s="17">
        <f>IF($G27="",0,IF($G27&gt;=0,$S27+1,0))</f>
        <v/>
      </c>
      <c r="U27" s="17">
        <f>IF($H27="",0,IF($H27&gt;=0,$T27+1,0))</f>
        <v/>
      </c>
      <c r="V27" s="17">
        <f>IF($I27="",0,IF($I27&gt;=0,$U27+1,0))</f>
        <v/>
      </c>
      <c r="W27" s="17">
        <f>IF($J27="",0,IF($J27&gt;=0,$V27+1,0))</f>
        <v/>
      </c>
    </row>
    <row r="28">
      <c r="A28" s="16" t="n"/>
      <c r="B28" s="16" t="n"/>
      <c r="C28" s="16" t="n"/>
      <c r="D28" s="16" t="n"/>
      <c r="E28" s="20" t="n"/>
      <c r="F28" s="20" t="n"/>
      <c r="G28" s="20" t="n"/>
      <c r="H28" s="20" t="n"/>
      <c r="I28" s="20" t="n"/>
      <c r="J28" s="20" t="n"/>
      <c r="K28" s="21">
        <f>IF($B28="","",IF(COUNT($H28:$J28)=0,"",AVERAGE($H28:$J28)))</f>
        <v/>
      </c>
      <c r="L28" s="17">
        <f>IF($B28="","",IF($J28&lt;&gt;"",$W28,IF($I28&lt;&gt;"",$V28,IF($H28&lt;&gt;"",$U28,IF($G28&lt;&gt;"",$T28,IF($F28&lt;&gt;"",$S28,$R28))))))</f>
        <v/>
      </c>
      <c r="M28" s="16" t="n"/>
      <c r="N28" s="16" t="n"/>
      <c r="O28" s="16" t="n"/>
      <c r="P28" s="17">
        <f>IF($B28="","",IF(AND($M28&gt;0,$N28&gt;1,LEN($O28)&gt;20),"Sim","Não"))</f>
        <v/>
      </c>
      <c r="Q28" s="17">
        <f>IF($B28="","",IF(COUNT($E28:$J28)&lt;3,"Sem base — poucos ciclos",IF($N28&lt;=1,"Caso frágil — um avaliador só",IF($M28=0,"Caso frágil — sem evidência",IF($L28&lt;2,"Caso frágil — não sustentado",IF(AND($L28&gt;=3,$K28&gt;=0.2,$P28="Sim"),"Caso sustentado","Caso em formação"))))))</f>
        <v/>
      </c>
      <c r="R28" s="17">
        <f>IF($E28="",0,IF($E28&gt;=0,1,0))</f>
        <v/>
      </c>
      <c r="S28" s="17">
        <f>IF($F28="",0,IF($F28&gt;=0,$R28+1,0))</f>
        <v/>
      </c>
      <c r="T28" s="17">
        <f>IF($G28="",0,IF($G28&gt;=0,$S28+1,0))</f>
        <v/>
      </c>
      <c r="U28" s="17">
        <f>IF($H28="",0,IF($H28&gt;=0,$T28+1,0))</f>
        <v/>
      </c>
      <c r="V28" s="17">
        <f>IF($I28="",0,IF($I28&gt;=0,$U28+1,0))</f>
        <v/>
      </c>
      <c r="W28" s="17">
        <f>IF($J28="",0,IF($J28&gt;=0,$V28+1,0))</f>
        <v/>
      </c>
    </row>
    <row r="29">
      <c r="A29" s="16" t="n"/>
      <c r="B29" s="16" t="n"/>
      <c r="C29" s="16" t="n"/>
      <c r="D29" s="16" t="n"/>
      <c r="E29" s="20" t="n"/>
      <c r="F29" s="20" t="n"/>
      <c r="G29" s="20" t="n"/>
      <c r="H29" s="20" t="n"/>
      <c r="I29" s="20" t="n"/>
      <c r="J29" s="20" t="n"/>
      <c r="K29" s="21">
        <f>IF($B29="","",IF(COUNT($H29:$J29)=0,"",AVERAGE($H29:$J29)))</f>
        <v/>
      </c>
      <c r="L29" s="17">
        <f>IF($B29="","",IF($J29&lt;&gt;"",$W29,IF($I29&lt;&gt;"",$V29,IF($H29&lt;&gt;"",$U29,IF($G29&lt;&gt;"",$T29,IF($F29&lt;&gt;"",$S29,$R29))))))</f>
        <v/>
      </c>
      <c r="M29" s="16" t="n"/>
      <c r="N29" s="16" t="n"/>
      <c r="O29" s="16" t="n"/>
      <c r="P29" s="17">
        <f>IF($B29="","",IF(AND($M29&gt;0,$N29&gt;1,LEN($O29)&gt;20),"Sim","Não"))</f>
        <v/>
      </c>
      <c r="Q29" s="17">
        <f>IF($B29="","",IF(COUNT($E29:$J29)&lt;3,"Sem base — poucos ciclos",IF($N29&lt;=1,"Caso frágil — um avaliador só",IF($M29=0,"Caso frágil — sem evidência",IF($L29&lt;2,"Caso frágil — não sustentado",IF(AND($L29&gt;=3,$K29&gt;=0.2,$P29="Sim"),"Caso sustentado","Caso em formação"))))))</f>
        <v/>
      </c>
      <c r="R29" s="17">
        <f>IF($E29="",0,IF($E29&gt;=0,1,0))</f>
        <v/>
      </c>
      <c r="S29" s="17">
        <f>IF($F29="",0,IF($F29&gt;=0,$R29+1,0))</f>
        <v/>
      </c>
      <c r="T29" s="17">
        <f>IF($G29="",0,IF($G29&gt;=0,$S29+1,0))</f>
        <v/>
      </c>
      <c r="U29" s="17">
        <f>IF($H29="",0,IF($H29&gt;=0,$T29+1,0))</f>
        <v/>
      </c>
      <c r="V29" s="17">
        <f>IF($I29="",0,IF($I29&gt;=0,$U29+1,0))</f>
        <v/>
      </c>
      <c r="W29" s="17">
        <f>IF($J29="",0,IF($J29&gt;=0,$V29+1,0))</f>
        <v/>
      </c>
    </row>
    <row r="30">
      <c r="A30" s="16" t="n"/>
      <c r="B30" s="16" t="n"/>
      <c r="C30" s="16" t="n"/>
      <c r="D30" s="16" t="n"/>
      <c r="E30" s="20" t="n"/>
      <c r="F30" s="20" t="n"/>
      <c r="G30" s="20" t="n"/>
      <c r="H30" s="20" t="n"/>
      <c r="I30" s="20" t="n"/>
      <c r="J30" s="20" t="n"/>
      <c r="K30" s="21">
        <f>IF($B30="","",IF(COUNT($H30:$J30)=0,"",AVERAGE($H30:$J30)))</f>
        <v/>
      </c>
      <c r="L30" s="17">
        <f>IF($B30="","",IF($J30&lt;&gt;"",$W30,IF($I30&lt;&gt;"",$V30,IF($H30&lt;&gt;"",$U30,IF($G30&lt;&gt;"",$T30,IF($F30&lt;&gt;"",$S30,$R30))))))</f>
        <v/>
      </c>
      <c r="M30" s="16" t="n"/>
      <c r="N30" s="16" t="n"/>
      <c r="O30" s="16" t="n"/>
      <c r="P30" s="17">
        <f>IF($B30="","",IF(AND($M30&gt;0,$N30&gt;1,LEN($O30)&gt;20),"Sim","Não"))</f>
        <v/>
      </c>
      <c r="Q30" s="17">
        <f>IF($B30="","",IF(COUNT($E30:$J30)&lt;3,"Sem base — poucos ciclos",IF($N30&lt;=1,"Caso frágil — um avaliador só",IF($M30=0,"Caso frágil — sem evidência",IF($L30&lt;2,"Caso frágil — não sustentado",IF(AND($L30&gt;=3,$K30&gt;=0.2,$P30="Sim"),"Caso sustentado","Caso em formação"))))))</f>
        <v/>
      </c>
      <c r="R30" s="17">
        <f>IF($E30="",0,IF($E30&gt;=0,1,0))</f>
        <v/>
      </c>
      <c r="S30" s="17">
        <f>IF($F30="",0,IF($F30&gt;=0,$R30+1,0))</f>
        <v/>
      </c>
      <c r="T30" s="17">
        <f>IF($G30="",0,IF($G30&gt;=0,$S30+1,0))</f>
        <v/>
      </c>
      <c r="U30" s="17">
        <f>IF($H30="",0,IF($H30&gt;=0,$T30+1,0))</f>
        <v/>
      </c>
      <c r="V30" s="17">
        <f>IF($I30="",0,IF($I30&gt;=0,$U30+1,0))</f>
        <v/>
      </c>
      <c r="W30" s="17">
        <f>IF($J30="",0,IF($J30&gt;=0,$V30+1,0))</f>
        <v/>
      </c>
    </row>
    <row r="31">
      <c r="A31" s="16" t="n"/>
      <c r="B31" s="16" t="n"/>
      <c r="C31" s="16" t="n"/>
      <c r="D31" s="16" t="n"/>
      <c r="E31" s="20" t="n"/>
      <c r="F31" s="20" t="n"/>
      <c r="G31" s="20" t="n"/>
      <c r="H31" s="20" t="n"/>
      <c r="I31" s="20" t="n"/>
      <c r="J31" s="20" t="n"/>
      <c r="K31" s="21">
        <f>IF($B31="","",IF(COUNT($H31:$J31)=0,"",AVERAGE($H31:$J31)))</f>
        <v/>
      </c>
      <c r="L31" s="17">
        <f>IF($B31="","",IF($J31&lt;&gt;"",$W31,IF($I31&lt;&gt;"",$V31,IF($H31&lt;&gt;"",$U31,IF($G31&lt;&gt;"",$T31,IF($F31&lt;&gt;"",$S31,$R31))))))</f>
        <v/>
      </c>
      <c r="M31" s="16" t="n"/>
      <c r="N31" s="16" t="n"/>
      <c r="O31" s="16" t="n"/>
      <c r="P31" s="17">
        <f>IF($B31="","",IF(AND($M31&gt;0,$N31&gt;1,LEN($O31)&gt;20),"Sim","Não"))</f>
        <v/>
      </c>
      <c r="Q31" s="17">
        <f>IF($B31="","",IF(COUNT($E31:$J31)&lt;3,"Sem base — poucos ciclos",IF($N31&lt;=1,"Caso frágil — um avaliador só",IF($M31=0,"Caso frágil — sem evidência",IF($L31&lt;2,"Caso frágil — não sustentado",IF(AND($L31&gt;=3,$K31&gt;=0.2,$P31="Sim"),"Caso sustentado","Caso em formação"))))))</f>
        <v/>
      </c>
      <c r="R31" s="17">
        <f>IF($E31="",0,IF($E31&gt;=0,1,0))</f>
        <v/>
      </c>
      <c r="S31" s="17">
        <f>IF($F31="",0,IF($F31&gt;=0,$R31+1,0))</f>
        <v/>
      </c>
      <c r="T31" s="17">
        <f>IF($G31="",0,IF($G31&gt;=0,$S31+1,0))</f>
        <v/>
      </c>
      <c r="U31" s="17">
        <f>IF($H31="",0,IF($H31&gt;=0,$T31+1,0))</f>
        <v/>
      </c>
      <c r="V31" s="17">
        <f>IF($I31="",0,IF($I31&gt;=0,$U31+1,0))</f>
        <v/>
      </c>
      <c r="W31" s="17">
        <f>IF($J31="",0,IF($J31&gt;=0,$V31+1,0))</f>
        <v/>
      </c>
    </row>
    <row r="32">
      <c r="A32" s="16" t="n"/>
      <c r="B32" s="16" t="n"/>
      <c r="C32" s="16" t="n"/>
      <c r="D32" s="16" t="n"/>
      <c r="E32" s="20" t="n"/>
      <c r="F32" s="20" t="n"/>
      <c r="G32" s="20" t="n"/>
      <c r="H32" s="20" t="n"/>
      <c r="I32" s="20" t="n"/>
      <c r="J32" s="20" t="n"/>
      <c r="K32" s="21">
        <f>IF($B32="","",IF(COUNT($H32:$J32)=0,"",AVERAGE($H32:$J32)))</f>
        <v/>
      </c>
      <c r="L32" s="17">
        <f>IF($B32="","",IF($J32&lt;&gt;"",$W32,IF($I32&lt;&gt;"",$V32,IF($H32&lt;&gt;"",$U32,IF($G32&lt;&gt;"",$T32,IF($F32&lt;&gt;"",$S32,$R32))))))</f>
        <v/>
      </c>
      <c r="M32" s="16" t="n"/>
      <c r="N32" s="16" t="n"/>
      <c r="O32" s="16" t="n"/>
      <c r="P32" s="17">
        <f>IF($B32="","",IF(AND($M32&gt;0,$N32&gt;1,LEN($O32)&gt;20),"Sim","Não"))</f>
        <v/>
      </c>
      <c r="Q32" s="17">
        <f>IF($B32="","",IF(COUNT($E32:$J32)&lt;3,"Sem base — poucos ciclos",IF($N32&lt;=1,"Caso frágil — um avaliador só",IF($M32=0,"Caso frágil — sem evidência",IF($L32&lt;2,"Caso frágil — não sustentado",IF(AND($L32&gt;=3,$K32&gt;=0.2,$P32="Sim"),"Caso sustentado","Caso em formação"))))))</f>
        <v/>
      </c>
      <c r="R32" s="17">
        <f>IF($E32="",0,IF($E32&gt;=0,1,0))</f>
        <v/>
      </c>
      <c r="S32" s="17">
        <f>IF($F32="",0,IF($F32&gt;=0,$R32+1,0))</f>
        <v/>
      </c>
      <c r="T32" s="17">
        <f>IF($G32="",0,IF($G32&gt;=0,$S32+1,0))</f>
        <v/>
      </c>
      <c r="U32" s="17">
        <f>IF($H32="",0,IF($H32&gt;=0,$T32+1,0))</f>
        <v/>
      </c>
      <c r="V32" s="17">
        <f>IF($I32="",0,IF($I32&gt;=0,$U32+1,0))</f>
        <v/>
      </c>
      <c r="W32" s="17">
        <f>IF($J32="",0,IF($J32&gt;=0,$V32+1,0))</f>
        <v/>
      </c>
    </row>
    <row r="33">
      <c r="A33" s="16" t="n"/>
      <c r="B33" s="16" t="n"/>
      <c r="C33" s="16" t="n"/>
      <c r="D33" s="16" t="n"/>
      <c r="E33" s="20" t="n"/>
      <c r="F33" s="20" t="n"/>
      <c r="G33" s="20" t="n"/>
      <c r="H33" s="20" t="n"/>
      <c r="I33" s="20" t="n"/>
      <c r="J33" s="20" t="n"/>
      <c r="K33" s="21">
        <f>IF($B33="","",IF(COUNT($H33:$J33)=0,"",AVERAGE($H33:$J33)))</f>
        <v/>
      </c>
      <c r="L33" s="17">
        <f>IF($B33="","",IF($J33&lt;&gt;"",$W33,IF($I33&lt;&gt;"",$V33,IF($H33&lt;&gt;"",$U33,IF($G33&lt;&gt;"",$T33,IF($F33&lt;&gt;"",$S33,$R33))))))</f>
        <v/>
      </c>
      <c r="M33" s="16" t="n"/>
      <c r="N33" s="16" t="n"/>
      <c r="O33" s="16" t="n"/>
      <c r="P33" s="17">
        <f>IF($B33="","",IF(AND($M33&gt;0,$N33&gt;1,LEN($O33)&gt;20),"Sim","Não"))</f>
        <v/>
      </c>
      <c r="Q33" s="17">
        <f>IF($B33="","",IF(COUNT($E33:$J33)&lt;3,"Sem base — poucos ciclos",IF($N33&lt;=1,"Caso frágil — um avaliador só",IF($M33=0,"Caso frágil — sem evidência",IF($L33&lt;2,"Caso frágil — não sustentado",IF(AND($L33&gt;=3,$K33&gt;=0.2,$P33="Sim"),"Caso sustentado","Caso em formação"))))))</f>
        <v/>
      </c>
      <c r="R33" s="17">
        <f>IF($E33="",0,IF($E33&gt;=0,1,0))</f>
        <v/>
      </c>
      <c r="S33" s="17">
        <f>IF($F33="",0,IF($F33&gt;=0,$R33+1,0))</f>
        <v/>
      </c>
      <c r="T33" s="17">
        <f>IF($G33="",0,IF($G33&gt;=0,$S33+1,0))</f>
        <v/>
      </c>
      <c r="U33" s="17">
        <f>IF($H33="",0,IF($H33&gt;=0,$T33+1,0))</f>
        <v/>
      </c>
      <c r="V33" s="17">
        <f>IF($I33="",0,IF($I33&gt;=0,$U33+1,0))</f>
        <v/>
      </c>
      <c r="W33" s="17">
        <f>IF($J33="",0,IF($J33&gt;=0,$V33+1,0))</f>
        <v/>
      </c>
    </row>
    <row r="34">
      <c r="A34" s="16" t="n"/>
      <c r="B34" s="16" t="n"/>
      <c r="C34" s="16" t="n"/>
      <c r="D34" s="16" t="n"/>
      <c r="E34" s="20" t="n"/>
      <c r="F34" s="20" t="n"/>
      <c r="G34" s="20" t="n"/>
      <c r="H34" s="20" t="n"/>
      <c r="I34" s="20" t="n"/>
      <c r="J34" s="20" t="n"/>
      <c r="K34" s="21">
        <f>IF($B34="","",IF(COUNT($H34:$J34)=0,"",AVERAGE($H34:$J34)))</f>
        <v/>
      </c>
      <c r="L34" s="17">
        <f>IF($B34="","",IF($J34&lt;&gt;"",$W34,IF($I34&lt;&gt;"",$V34,IF($H34&lt;&gt;"",$U34,IF($G34&lt;&gt;"",$T34,IF($F34&lt;&gt;"",$S34,$R34))))))</f>
        <v/>
      </c>
      <c r="M34" s="16" t="n"/>
      <c r="N34" s="16" t="n"/>
      <c r="O34" s="16" t="n"/>
      <c r="P34" s="17">
        <f>IF($B34="","",IF(AND($M34&gt;0,$N34&gt;1,LEN($O34)&gt;20),"Sim","Não"))</f>
        <v/>
      </c>
      <c r="Q34" s="17">
        <f>IF($B34="","",IF(COUNT($E34:$J34)&lt;3,"Sem base — poucos ciclos",IF($N34&lt;=1,"Caso frágil — um avaliador só",IF($M34=0,"Caso frágil — sem evidência",IF($L34&lt;2,"Caso frágil — não sustentado",IF(AND($L34&gt;=3,$K34&gt;=0.2,$P34="Sim"),"Caso sustentado","Caso em formação"))))))</f>
        <v/>
      </c>
      <c r="R34" s="17">
        <f>IF($E34="",0,IF($E34&gt;=0,1,0))</f>
        <v/>
      </c>
      <c r="S34" s="17">
        <f>IF($F34="",0,IF($F34&gt;=0,$R34+1,0))</f>
        <v/>
      </c>
      <c r="T34" s="17">
        <f>IF($G34="",0,IF($G34&gt;=0,$S34+1,0))</f>
        <v/>
      </c>
      <c r="U34" s="17">
        <f>IF($H34="",0,IF($H34&gt;=0,$T34+1,0))</f>
        <v/>
      </c>
      <c r="V34" s="17">
        <f>IF($I34="",0,IF($I34&gt;=0,$U34+1,0))</f>
        <v/>
      </c>
      <c r="W34" s="17">
        <f>IF($J34="",0,IF($J34&gt;=0,$V34+1,0))</f>
        <v/>
      </c>
    </row>
    <row r="35">
      <c r="A35" s="16" t="n"/>
      <c r="B35" s="16" t="n"/>
      <c r="C35" s="16" t="n"/>
      <c r="D35" s="16" t="n"/>
      <c r="E35" s="20" t="n"/>
      <c r="F35" s="20" t="n"/>
      <c r="G35" s="20" t="n"/>
      <c r="H35" s="20" t="n"/>
      <c r="I35" s="20" t="n"/>
      <c r="J35" s="20" t="n"/>
      <c r="K35" s="21">
        <f>IF($B35="","",IF(COUNT($H35:$J35)=0,"",AVERAGE($H35:$J35)))</f>
        <v/>
      </c>
      <c r="L35" s="17">
        <f>IF($B35="","",IF($J35&lt;&gt;"",$W35,IF($I35&lt;&gt;"",$V35,IF($H35&lt;&gt;"",$U35,IF($G35&lt;&gt;"",$T35,IF($F35&lt;&gt;"",$S35,$R35))))))</f>
        <v/>
      </c>
      <c r="M35" s="16" t="n"/>
      <c r="N35" s="16" t="n"/>
      <c r="O35" s="16" t="n"/>
      <c r="P35" s="17">
        <f>IF($B35="","",IF(AND($M35&gt;0,$N35&gt;1,LEN($O35)&gt;20),"Sim","Não"))</f>
        <v/>
      </c>
      <c r="Q35" s="17">
        <f>IF($B35="","",IF(COUNT($E35:$J35)&lt;3,"Sem base — poucos ciclos",IF($N35&lt;=1,"Caso frágil — um avaliador só",IF($M35=0,"Caso frágil — sem evidência",IF($L35&lt;2,"Caso frágil — não sustentado",IF(AND($L35&gt;=3,$K35&gt;=0.2,$P35="Sim"),"Caso sustentado","Caso em formação"))))))</f>
        <v/>
      </c>
      <c r="R35" s="17">
        <f>IF($E35="",0,IF($E35&gt;=0,1,0))</f>
        <v/>
      </c>
      <c r="S35" s="17">
        <f>IF($F35="",0,IF($F35&gt;=0,$R35+1,0))</f>
        <v/>
      </c>
      <c r="T35" s="17">
        <f>IF($G35="",0,IF($G35&gt;=0,$S35+1,0))</f>
        <v/>
      </c>
      <c r="U35" s="17">
        <f>IF($H35="",0,IF($H35&gt;=0,$T35+1,0))</f>
        <v/>
      </c>
      <c r="V35" s="17">
        <f>IF($I35="",0,IF($I35&gt;=0,$U35+1,0))</f>
        <v/>
      </c>
      <c r="W35" s="17">
        <f>IF($J35="",0,IF($J35&gt;=0,$V35+1,0))</f>
        <v/>
      </c>
    </row>
    <row r="36">
      <c r="A36" s="16" t="n"/>
      <c r="B36" s="16" t="n"/>
      <c r="C36" s="16" t="n"/>
      <c r="D36" s="16" t="n"/>
      <c r="E36" s="20" t="n"/>
      <c r="F36" s="20" t="n"/>
      <c r="G36" s="20" t="n"/>
      <c r="H36" s="20" t="n"/>
      <c r="I36" s="20" t="n"/>
      <c r="J36" s="20" t="n"/>
      <c r="K36" s="21">
        <f>IF($B36="","",IF(COUNT($H36:$J36)=0,"",AVERAGE($H36:$J36)))</f>
        <v/>
      </c>
      <c r="L36" s="17">
        <f>IF($B36="","",IF($J36&lt;&gt;"",$W36,IF($I36&lt;&gt;"",$V36,IF($H36&lt;&gt;"",$U36,IF($G36&lt;&gt;"",$T36,IF($F36&lt;&gt;"",$S36,$R36))))))</f>
        <v/>
      </c>
      <c r="M36" s="16" t="n"/>
      <c r="N36" s="16" t="n"/>
      <c r="O36" s="16" t="n"/>
      <c r="P36" s="17">
        <f>IF($B36="","",IF(AND($M36&gt;0,$N36&gt;1,LEN($O36)&gt;20),"Sim","Não"))</f>
        <v/>
      </c>
      <c r="Q36" s="17">
        <f>IF($B36="","",IF(COUNT($E36:$J36)&lt;3,"Sem base — poucos ciclos",IF($N36&lt;=1,"Caso frágil — um avaliador só",IF($M36=0,"Caso frágil — sem evidência",IF($L36&lt;2,"Caso frágil — não sustentado",IF(AND($L36&gt;=3,$K36&gt;=0.2,$P36="Sim"),"Caso sustentado","Caso em formação"))))))</f>
        <v/>
      </c>
      <c r="R36" s="17">
        <f>IF($E36="",0,IF($E36&gt;=0,1,0))</f>
        <v/>
      </c>
      <c r="S36" s="17">
        <f>IF($F36="",0,IF($F36&gt;=0,$R36+1,0))</f>
        <v/>
      </c>
      <c r="T36" s="17">
        <f>IF($G36="",0,IF($G36&gt;=0,$S36+1,0))</f>
        <v/>
      </c>
      <c r="U36" s="17">
        <f>IF($H36="",0,IF($H36&gt;=0,$T36+1,0))</f>
        <v/>
      </c>
      <c r="V36" s="17">
        <f>IF($I36="",0,IF($I36&gt;=0,$U36+1,0))</f>
        <v/>
      </c>
      <c r="W36" s="17">
        <f>IF($J36="",0,IF($J36&gt;=0,$V36+1,0))</f>
        <v/>
      </c>
    </row>
    <row r="37">
      <c r="A37" s="16" t="n"/>
      <c r="B37" s="16" t="n"/>
      <c r="C37" s="16" t="n"/>
      <c r="D37" s="16" t="n"/>
      <c r="E37" s="20" t="n"/>
      <c r="F37" s="20" t="n"/>
      <c r="G37" s="20" t="n"/>
      <c r="H37" s="20" t="n"/>
      <c r="I37" s="20" t="n"/>
      <c r="J37" s="20" t="n"/>
      <c r="K37" s="21">
        <f>IF($B37="","",IF(COUNT($H37:$J37)=0,"",AVERAGE($H37:$J37)))</f>
        <v/>
      </c>
      <c r="L37" s="17">
        <f>IF($B37="","",IF($J37&lt;&gt;"",$W37,IF($I37&lt;&gt;"",$V37,IF($H37&lt;&gt;"",$U37,IF($G37&lt;&gt;"",$T37,IF($F37&lt;&gt;"",$S37,$R37))))))</f>
        <v/>
      </c>
      <c r="M37" s="16" t="n"/>
      <c r="N37" s="16" t="n"/>
      <c r="O37" s="16" t="n"/>
      <c r="P37" s="17">
        <f>IF($B37="","",IF(AND($M37&gt;0,$N37&gt;1,LEN($O37)&gt;20),"Sim","Não"))</f>
        <v/>
      </c>
      <c r="Q37" s="17">
        <f>IF($B37="","",IF(COUNT($E37:$J37)&lt;3,"Sem base — poucos ciclos",IF($N37&lt;=1,"Caso frágil — um avaliador só",IF($M37=0,"Caso frágil — sem evidência",IF($L37&lt;2,"Caso frágil — não sustentado",IF(AND($L37&gt;=3,$K37&gt;=0.2,$P37="Sim"),"Caso sustentado","Caso em formação"))))))</f>
        <v/>
      </c>
      <c r="R37" s="17">
        <f>IF($E37="",0,IF($E37&gt;=0,1,0))</f>
        <v/>
      </c>
      <c r="S37" s="17">
        <f>IF($F37="",0,IF($F37&gt;=0,$R37+1,0))</f>
        <v/>
      </c>
      <c r="T37" s="17">
        <f>IF($G37="",0,IF($G37&gt;=0,$S37+1,0))</f>
        <v/>
      </c>
      <c r="U37" s="17">
        <f>IF($H37="",0,IF($H37&gt;=0,$T37+1,0))</f>
        <v/>
      </c>
      <c r="V37" s="17">
        <f>IF($I37="",0,IF($I37&gt;=0,$U37+1,0))</f>
        <v/>
      </c>
      <c r="W37" s="17">
        <f>IF($J37="",0,IF($J37&gt;=0,$V37+1,0))</f>
        <v/>
      </c>
    </row>
    <row r="38">
      <c r="A38" s="16" t="n"/>
      <c r="B38" s="16" t="n"/>
      <c r="C38" s="16" t="n"/>
      <c r="D38" s="16" t="n"/>
      <c r="E38" s="20" t="n"/>
      <c r="F38" s="20" t="n"/>
      <c r="G38" s="20" t="n"/>
      <c r="H38" s="20" t="n"/>
      <c r="I38" s="20" t="n"/>
      <c r="J38" s="20" t="n"/>
      <c r="K38" s="21">
        <f>IF($B38="","",IF(COUNT($H38:$J38)=0,"",AVERAGE($H38:$J38)))</f>
        <v/>
      </c>
      <c r="L38" s="17">
        <f>IF($B38="","",IF($J38&lt;&gt;"",$W38,IF($I38&lt;&gt;"",$V38,IF($H38&lt;&gt;"",$U38,IF($G38&lt;&gt;"",$T38,IF($F38&lt;&gt;"",$S38,$R38))))))</f>
        <v/>
      </c>
      <c r="M38" s="16" t="n"/>
      <c r="N38" s="16" t="n"/>
      <c r="O38" s="16" t="n"/>
      <c r="P38" s="17">
        <f>IF($B38="","",IF(AND($M38&gt;0,$N38&gt;1,LEN($O38)&gt;20),"Sim","Não"))</f>
        <v/>
      </c>
      <c r="Q38" s="17">
        <f>IF($B38="","",IF(COUNT($E38:$J38)&lt;3,"Sem base — poucos ciclos",IF($N38&lt;=1,"Caso frágil — um avaliador só",IF($M38=0,"Caso frágil — sem evidência",IF($L38&lt;2,"Caso frágil — não sustentado",IF(AND($L38&gt;=3,$K38&gt;=0.2,$P38="Sim"),"Caso sustentado","Caso em formação"))))))</f>
        <v/>
      </c>
      <c r="R38" s="17">
        <f>IF($E38="",0,IF($E38&gt;=0,1,0))</f>
        <v/>
      </c>
      <c r="S38" s="17">
        <f>IF($F38="",0,IF($F38&gt;=0,$R38+1,0))</f>
        <v/>
      </c>
      <c r="T38" s="17">
        <f>IF($G38="",0,IF($G38&gt;=0,$S38+1,0))</f>
        <v/>
      </c>
      <c r="U38" s="17">
        <f>IF($H38="",0,IF($H38&gt;=0,$T38+1,0))</f>
        <v/>
      </c>
      <c r="V38" s="17">
        <f>IF($I38="",0,IF($I38&gt;=0,$U38+1,0))</f>
        <v/>
      </c>
      <c r="W38" s="17">
        <f>IF($J38="",0,IF($J38&gt;=0,$V38+1,0))</f>
        <v/>
      </c>
    </row>
    <row r="39">
      <c r="A39" s="16" t="n"/>
      <c r="B39" s="16" t="n"/>
      <c r="C39" s="16" t="n"/>
      <c r="D39" s="16" t="n"/>
      <c r="E39" s="20" t="n"/>
      <c r="F39" s="20" t="n"/>
      <c r="G39" s="20" t="n"/>
      <c r="H39" s="20" t="n"/>
      <c r="I39" s="20" t="n"/>
      <c r="J39" s="20" t="n"/>
      <c r="K39" s="21">
        <f>IF($B39="","",IF(COUNT($H39:$J39)=0,"",AVERAGE($H39:$J39)))</f>
        <v/>
      </c>
      <c r="L39" s="17">
        <f>IF($B39="","",IF($J39&lt;&gt;"",$W39,IF($I39&lt;&gt;"",$V39,IF($H39&lt;&gt;"",$U39,IF($G39&lt;&gt;"",$T39,IF($F39&lt;&gt;"",$S39,$R39))))))</f>
        <v/>
      </c>
      <c r="M39" s="16" t="n"/>
      <c r="N39" s="16" t="n"/>
      <c r="O39" s="16" t="n"/>
      <c r="P39" s="17">
        <f>IF($B39="","",IF(AND($M39&gt;0,$N39&gt;1,LEN($O39)&gt;20),"Sim","Não"))</f>
        <v/>
      </c>
      <c r="Q39" s="17">
        <f>IF($B39="","",IF(COUNT($E39:$J39)&lt;3,"Sem base — poucos ciclos",IF($N39&lt;=1,"Caso frágil — um avaliador só",IF($M39=0,"Caso frágil — sem evidência",IF($L39&lt;2,"Caso frágil — não sustentado",IF(AND($L39&gt;=3,$K39&gt;=0.2,$P39="Sim"),"Caso sustentado","Caso em formação"))))))</f>
        <v/>
      </c>
      <c r="R39" s="17">
        <f>IF($E39="",0,IF($E39&gt;=0,1,0))</f>
        <v/>
      </c>
      <c r="S39" s="17">
        <f>IF($F39="",0,IF($F39&gt;=0,$R39+1,0))</f>
        <v/>
      </c>
      <c r="T39" s="17">
        <f>IF($G39="",0,IF($G39&gt;=0,$S39+1,0))</f>
        <v/>
      </c>
      <c r="U39" s="17">
        <f>IF($H39="",0,IF($H39&gt;=0,$T39+1,0))</f>
        <v/>
      </c>
      <c r="V39" s="17">
        <f>IF($I39="",0,IF($I39&gt;=0,$U39+1,0))</f>
        <v/>
      </c>
      <c r="W39" s="17">
        <f>IF($J39="",0,IF($J39&gt;=0,$V39+1,0))</f>
        <v/>
      </c>
    </row>
    <row r="40">
      <c r="A40" s="16" t="n"/>
      <c r="B40" s="16" t="n"/>
      <c r="C40" s="16" t="n"/>
      <c r="D40" s="16" t="n"/>
      <c r="E40" s="20" t="n"/>
      <c r="F40" s="20" t="n"/>
      <c r="G40" s="20" t="n"/>
      <c r="H40" s="20" t="n"/>
      <c r="I40" s="20" t="n"/>
      <c r="J40" s="20" t="n"/>
      <c r="K40" s="21">
        <f>IF($B40="","",IF(COUNT($H40:$J40)=0,"",AVERAGE($H40:$J40)))</f>
        <v/>
      </c>
      <c r="L40" s="17">
        <f>IF($B40="","",IF($J40&lt;&gt;"",$W40,IF($I40&lt;&gt;"",$V40,IF($H40&lt;&gt;"",$U40,IF($G40&lt;&gt;"",$T40,IF($F40&lt;&gt;"",$S40,$R40))))))</f>
        <v/>
      </c>
      <c r="M40" s="16" t="n"/>
      <c r="N40" s="16" t="n"/>
      <c r="O40" s="16" t="n"/>
      <c r="P40" s="17">
        <f>IF($B40="","",IF(AND($M40&gt;0,$N40&gt;1,LEN($O40)&gt;20),"Sim","Não"))</f>
        <v/>
      </c>
      <c r="Q40" s="17">
        <f>IF($B40="","",IF(COUNT($E40:$J40)&lt;3,"Sem base — poucos ciclos",IF($N40&lt;=1,"Caso frágil — um avaliador só",IF($M40=0,"Caso frágil — sem evidência",IF($L40&lt;2,"Caso frágil — não sustentado",IF(AND($L40&gt;=3,$K40&gt;=0.2,$P40="Sim"),"Caso sustentado","Caso em formação"))))))</f>
        <v/>
      </c>
      <c r="R40" s="17">
        <f>IF($E40="",0,IF($E40&gt;=0,1,0))</f>
        <v/>
      </c>
      <c r="S40" s="17">
        <f>IF($F40="",0,IF($F40&gt;=0,$R40+1,0))</f>
        <v/>
      </c>
      <c r="T40" s="17">
        <f>IF($G40="",0,IF($G40&gt;=0,$S40+1,0))</f>
        <v/>
      </c>
      <c r="U40" s="17">
        <f>IF($H40="",0,IF($H40&gt;=0,$T40+1,0))</f>
        <v/>
      </c>
      <c r="V40" s="17">
        <f>IF($I40="",0,IF($I40&gt;=0,$U40+1,0))</f>
        <v/>
      </c>
      <c r="W40" s="17">
        <f>IF($J40="",0,IF($J40&gt;=0,$V40+1,0))</f>
        <v/>
      </c>
    </row>
    <row r="41">
      <c r="A41" s="16" t="n"/>
      <c r="B41" s="16" t="n"/>
      <c r="C41" s="16" t="n"/>
      <c r="D41" s="16" t="n"/>
      <c r="E41" s="20" t="n"/>
      <c r="F41" s="20" t="n"/>
      <c r="G41" s="20" t="n"/>
      <c r="H41" s="20" t="n"/>
      <c r="I41" s="20" t="n"/>
      <c r="J41" s="20" t="n"/>
      <c r="K41" s="21">
        <f>IF($B41="","",IF(COUNT($H41:$J41)=0,"",AVERAGE($H41:$J41)))</f>
        <v/>
      </c>
      <c r="L41" s="17">
        <f>IF($B41="","",IF($J41&lt;&gt;"",$W41,IF($I41&lt;&gt;"",$V41,IF($H41&lt;&gt;"",$U41,IF($G41&lt;&gt;"",$T41,IF($F41&lt;&gt;"",$S41,$R41))))))</f>
        <v/>
      </c>
      <c r="M41" s="16" t="n"/>
      <c r="N41" s="16" t="n"/>
      <c r="O41" s="16" t="n"/>
      <c r="P41" s="17">
        <f>IF($B41="","",IF(AND($M41&gt;0,$N41&gt;1,LEN($O41)&gt;20),"Sim","Não"))</f>
        <v/>
      </c>
      <c r="Q41" s="17">
        <f>IF($B41="","",IF(COUNT($E41:$J41)&lt;3,"Sem base — poucos ciclos",IF($N41&lt;=1,"Caso frágil — um avaliador só",IF($M41=0,"Caso frágil — sem evidência",IF($L41&lt;2,"Caso frágil — não sustentado",IF(AND($L41&gt;=3,$K41&gt;=0.2,$P41="Sim"),"Caso sustentado","Caso em formação"))))))</f>
        <v/>
      </c>
      <c r="R41" s="17">
        <f>IF($E41="",0,IF($E41&gt;=0,1,0))</f>
        <v/>
      </c>
      <c r="S41" s="17">
        <f>IF($F41="",0,IF($F41&gt;=0,$R41+1,0))</f>
        <v/>
      </c>
      <c r="T41" s="17">
        <f>IF($G41="",0,IF($G41&gt;=0,$S41+1,0))</f>
        <v/>
      </c>
      <c r="U41" s="17">
        <f>IF($H41="",0,IF($H41&gt;=0,$T41+1,0))</f>
        <v/>
      </c>
      <c r="V41" s="17">
        <f>IF($I41="",0,IF($I41&gt;=0,$U41+1,0))</f>
        <v/>
      </c>
      <c r="W41" s="17">
        <f>IF($J41="",0,IF($J41&gt;=0,$V41+1,0))</f>
        <v/>
      </c>
    </row>
    <row r="42">
      <c r="A42" s="16" t="n"/>
      <c r="B42" s="16" t="n"/>
      <c r="C42" s="16" t="n"/>
      <c r="D42" s="16" t="n"/>
      <c r="E42" s="20" t="n"/>
      <c r="F42" s="20" t="n"/>
      <c r="G42" s="20" t="n"/>
      <c r="H42" s="20" t="n"/>
      <c r="I42" s="20" t="n"/>
      <c r="J42" s="20" t="n"/>
      <c r="K42" s="21">
        <f>IF($B42="","",IF(COUNT($H42:$J42)=0,"",AVERAGE($H42:$J42)))</f>
        <v/>
      </c>
      <c r="L42" s="17">
        <f>IF($B42="","",IF($J42&lt;&gt;"",$W42,IF($I42&lt;&gt;"",$V42,IF($H42&lt;&gt;"",$U42,IF($G42&lt;&gt;"",$T42,IF($F42&lt;&gt;"",$S42,$R42))))))</f>
        <v/>
      </c>
      <c r="M42" s="16" t="n"/>
      <c r="N42" s="16" t="n"/>
      <c r="O42" s="16" t="n"/>
      <c r="P42" s="17">
        <f>IF($B42="","",IF(AND($M42&gt;0,$N42&gt;1,LEN($O42)&gt;20),"Sim","Não"))</f>
        <v/>
      </c>
      <c r="Q42" s="17">
        <f>IF($B42="","",IF(COUNT($E42:$J42)&lt;3,"Sem base — poucos ciclos",IF($N42&lt;=1,"Caso frágil — um avaliador só",IF($M42=0,"Caso frágil — sem evidência",IF($L42&lt;2,"Caso frágil — não sustentado",IF(AND($L42&gt;=3,$K42&gt;=0.2,$P42="Sim"),"Caso sustentado","Caso em formação"))))))</f>
        <v/>
      </c>
      <c r="R42" s="17">
        <f>IF($E42="",0,IF($E42&gt;=0,1,0))</f>
        <v/>
      </c>
      <c r="S42" s="17">
        <f>IF($F42="",0,IF($F42&gt;=0,$R42+1,0))</f>
        <v/>
      </c>
      <c r="T42" s="17">
        <f>IF($G42="",0,IF($G42&gt;=0,$S42+1,0))</f>
        <v/>
      </c>
      <c r="U42" s="17">
        <f>IF($H42="",0,IF($H42&gt;=0,$T42+1,0))</f>
        <v/>
      </c>
      <c r="V42" s="17">
        <f>IF($I42="",0,IF($I42&gt;=0,$U42+1,0))</f>
        <v/>
      </c>
      <c r="W42" s="17">
        <f>IF($J42="",0,IF($J42&gt;=0,$V42+1,0))</f>
        <v/>
      </c>
    </row>
    <row r="43">
      <c r="A43" s="16" t="n"/>
      <c r="B43" s="16" t="n"/>
      <c r="C43" s="16" t="n"/>
      <c r="D43" s="16" t="n"/>
      <c r="E43" s="20" t="n"/>
      <c r="F43" s="20" t="n"/>
      <c r="G43" s="20" t="n"/>
      <c r="H43" s="20" t="n"/>
      <c r="I43" s="20" t="n"/>
      <c r="J43" s="20" t="n"/>
      <c r="K43" s="21">
        <f>IF($B43="","",IF(COUNT($H43:$J43)=0,"",AVERAGE($H43:$J43)))</f>
        <v/>
      </c>
      <c r="L43" s="17">
        <f>IF($B43="","",IF($J43&lt;&gt;"",$W43,IF($I43&lt;&gt;"",$V43,IF($H43&lt;&gt;"",$U43,IF($G43&lt;&gt;"",$T43,IF($F43&lt;&gt;"",$S43,$R43))))))</f>
        <v/>
      </c>
      <c r="M43" s="16" t="n"/>
      <c r="N43" s="16" t="n"/>
      <c r="O43" s="16" t="n"/>
      <c r="P43" s="17">
        <f>IF($B43="","",IF(AND($M43&gt;0,$N43&gt;1,LEN($O43)&gt;20),"Sim","Não"))</f>
        <v/>
      </c>
      <c r="Q43" s="17">
        <f>IF($B43="","",IF(COUNT($E43:$J43)&lt;3,"Sem base — poucos ciclos",IF($N43&lt;=1,"Caso frágil — um avaliador só",IF($M43=0,"Caso frágil — sem evidência",IF($L43&lt;2,"Caso frágil — não sustentado",IF(AND($L43&gt;=3,$K43&gt;=0.2,$P43="Sim"),"Caso sustentado","Caso em formação"))))))</f>
        <v/>
      </c>
      <c r="R43" s="17">
        <f>IF($E43="",0,IF($E43&gt;=0,1,0))</f>
        <v/>
      </c>
      <c r="S43" s="17">
        <f>IF($F43="",0,IF($F43&gt;=0,$R43+1,0))</f>
        <v/>
      </c>
      <c r="T43" s="17">
        <f>IF($G43="",0,IF($G43&gt;=0,$S43+1,0))</f>
        <v/>
      </c>
      <c r="U43" s="17">
        <f>IF($H43="",0,IF($H43&gt;=0,$T43+1,0))</f>
        <v/>
      </c>
      <c r="V43" s="17">
        <f>IF($I43="",0,IF($I43&gt;=0,$U43+1,0))</f>
        <v/>
      </c>
      <c r="W43" s="17">
        <f>IF($J43="",0,IF($J43&gt;=0,$V43+1,0))</f>
        <v/>
      </c>
    </row>
    <row r="44">
      <c r="A44" s="16" t="n"/>
      <c r="B44" s="16" t="n"/>
      <c r="C44" s="16" t="n"/>
      <c r="D44" s="16" t="n"/>
      <c r="E44" s="20" t="n"/>
      <c r="F44" s="20" t="n"/>
      <c r="G44" s="20" t="n"/>
      <c r="H44" s="20" t="n"/>
      <c r="I44" s="20" t="n"/>
      <c r="J44" s="20" t="n"/>
      <c r="K44" s="21">
        <f>IF($B44="","",IF(COUNT($H44:$J44)=0,"",AVERAGE($H44:$J44)))</f>
        <v/>
      </c>
      <c r="L44" s="17">
        <f>IF($B44="","",IF($J44&lt;&gt;"",$W44,IF($I44&lt;&gt;"",$V44,IF($H44&lt;&gt;"",$U44,IF($G44&lt;&gt;"",$T44,IF($F44&lt;&gt;"",$S44,$R44))))))</f>
        <v/>
      </c>
      <c r="M44" s="16" t="n"/>
      <c r="N44" s="16" t="n"/>
      <c r="O44" s="16" t="n"/>
      <c r="P44" s="17">
        <f>IF($B44="","",IF(AND($M44&gt;0,$N44&gt;1,LEN($O44)&gt;20),"Sim","Não"))</f>
        <v/>
      </c>
      <c r="Q44" s="17">
        <f>IF($B44="","",IF(COUNT($E44:$J44)&lt;3,"Sem base — poucos ciclos",IF($N44&lt;=1,"Caso frágil — um avaliador só",IF($M44=0,"Caso frágil — sem evidência",IF($L44&lt;2,"Caso frágil — não sustentado",IF(AND($L44&gt;=3,$K44&gt;=0.2,$P44="Sim"),"Caso sustentado","Caso em formação"))))))</f>
        <v/>
      </c>
      <c r="R44" s="17">
        <f>IF($E44="",0,IF($E44&gt;=0,1,0))</f>
        <v/>
      </c>
      <c r="S44" s="17">
        <f>IF($F44="",0,IF($F44&gt;=0,$R44+1,0))</f>
        <v/>
      </c>
      <c r="T44" s="17">
        <f>IF($G44="",0,IF($G44&gt;=0,$S44+1,0))</f>
        <v/>
      </c>
      <c r="U44" s="17">
        <f>IF($H44="",0,IF($H44&gt;=0,$T44+1,0))</f>
        <v/>
      </c>
      <c r="V44" s="17">
        <f>IF($I44="",0,IF($I44&gt;=0,$U44+1,0))</f>
        <v/>
      </c>
      <c r="W44" s="17">
        <f>IF($J44="",0,IF($J44&gt;=0,$V44+1,0))</f>
        <v/>
      </c>
    </row>
  </sheetData>
  <conditionalFormatting sqref="Q5:Q44">
    <cfRule type="cellIs" priority="1" operator="equal" dxfId="3">
      <formula>"Caso sustentado"</formula>
    </cfRule>
    <cfRule type="cellIs" priority="2" operator="equal" dxfId="0">
      <formula>"Caso em formação"</formula>
    </cfRule>
    <cfRule type="expression" priority="3" dxfId="4">
      <formula>LEFT($Q5,12)="Caso frágil"</formula>
    </cfRule>
    <cfRule type="expression" priority="4" dxfId="5">
      <formula>LEFT($Q5,8)="Sem base"</formula>
    </cfRule>
  </conditionalFormatting>
  <dataValidations count="1">
    <dataValidation sqref="C5:C44" showDropDown="0" showInputMessage="0" showErrorMessage="0" allowBlank="1" type="list">
      <formula1>=Instruções!$J$6:$J$9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4" customWidth="1" min="4" max="4"/>
    <col width="72" customWidth="1" min="5" max="5"/>
    <col width="12" customWidth="1" min="6" max="6"/>
    <col width="14" customWidth="1" min="7" max="7"/>
    <col width="14" customWidth="1" min="8" max="8"/>
  </cols>
  <sheetData>
    <row r="1" ht="22" customHeight="1">
      <c r="A1" s="1" t="inlineStr">
        <is>
          <t>Registro privado do gestor</t>
        </is>
      </c>
    </row>
    <row r="2">
      <c r="A2" s="2" t="inlineStr">
        <is>
          <t>Aspirações, compromissos que você assumiu, feedback de terceiros e padrões que só você vê.</t>
        </is>
      </c>
    </row>
    <row r="3">
      <c r="A3" s="22">
        <f>"Compromissos vencendo em até 7 dias: "&amp;COUNTIFS($D$6:$D$154,"Compromisso que assumi",$G$6:$G$154,"Em aberto",$F$6:$F$154,"&lt;="&amp;Instruções!$B$5+7,$F$6:$F$154,"&gt;="&amp;Instruções!$B$5)&amp;"   ·   já vencidos: "&amp;COUNTIFS($D$6:$D$154,"Compromisso que assumi",$G$6:$G$154,"Em aberto",$F$6:$F$154,"&lt;"&amp;Instruções!$B$5)</f>
        <v/>
      </c>
    </row>
    <row r="4"/>
    <row r="5" ht="32" customHeight="1">
      <c r="A5" s="7" t="inlineStr">
        <is>
          <t>Data</t>
        </is>
      </c>
      <c r="B5" s="7" t="inlineStr">
        <is>
          <t>ID_PESSOA</t>
        </is>
      </c>
      <c r="C5" s="7" t="inlineStr">
        <is>
          <t>Nome</t>
        </is>
      </c>
      <c r="D5" s="7" t="inlineStr">
        <is>
          <t>Tipo</t>
        </is>
      </c>
      <c r="E5" s="7" t="inlineStr">
        <is>
          <t>Registro</t>
        </is>
      </c>
      <c r="F5" s="7" t="inlineStr">
        <is>
          <t>Prazo</t>
        </is>
      </c>
      <c r="G5" s="7" t="inlineStr">
        <is>
          <t>Status</t>
        </is>
      </c>
      <c r="H5" s="7" t="inlineStr">
        <is>
          <t>Vence em (dias)</t>
        </is>
      </c>
    </row>
    <row r="6">
      <c r="A6" s="15" t="n">
        <v>46254</v>
      </c>
      <c r="B6" s="16" t="inlineStr">
        <is>
          <t>P001</t>
        </is>
      </c>
      <c r="C6" s="16" t="inlineStr">
        <is>
          <t>Ana Ribeiro</t>
        </is>
      </c>
      <c r="D6" s="16" t="inlineStr">
        <is>
          <t>Compromisso que assumi</t>
        </is>
      </c>
      <c r="E6" s="16" t="inlineStr">
        <is>
          <t>Prometi levar o caso dela para o comitê de calibração de outubro com a evidência do PR #812.</t>
        </is>
      </c>
      <c r="F6" s="15" t="n">
        <v>46310</v>
      </c>
      <c r="G6" s="16" t="inlineStr">
        <is>
          <t>Em aberto</t>
        </is>
      </c>
      <c r="H6" s="17">
        <f>IF(OR($F6="",$G6&lt;&gt;"Em aberto"),"",$F6-Instruções!$B$5)</f>
        <v/>
      </c>
    </row>
    <row r="7">
      <c r="A7" s="15" t="n">
        <v>46260</v>
      </c>
      <c r="B7" s="16" t="inlineStr">
        <is>
          <t>P003</t>
        </is>
      </c>
      <c r="C7" s="16" t="inlineStr">
        <is>
          <t>Carla Nunes</t>
        </is>
      </c>
      <c r="D7" s="16" t="inlineStr">
        <is>
          <t>Aspiração de carreira</t>
        </is>
      </c>
      <c r="E7" s="16" t="inlineStr">
        <is>
          <t>Quer trilha técnica, não gestão. Disse que aceitou o papel de LT por falta de alternativa, não por escolha.</t>
        </is>
      </c>
      <c r="F7" s="15" t="n"/>
      <c r="G7" s="16" t="inlineStr">
        <is>
          <t>Em aberto</t>
        </is>
      </c>
      <c r="H7" s="17">
        <f>IF(OR($F7="",$G7&lt;&gt;"Em aberto"),"",$F7-Instruções!$B$5)</f>
        <v/>
      </c>
    </row>
    <row r="8">
      <c r="A8" s="15" t="n">
        <v>46246</v>
      </c>
      <c r="B8" s="16" t="inlineStr">
        <is>
          <t>P002</t>
        </is>
      </c>
      <c r="C8" s="16" t="inlineStr">
        <is>
          <t>Bruno Tavares</t>
        </is>
      </c>
      <c r="D8" s="16" t="inlineStr">
        <is>
          <t>Leitura de padrão entre ciclos</t>
        </is>
      </c>
      <c r="E8" s="16" t="inlineStr">
        <is>
          <t>Comunica bem quando o problema é técnico e trava quando o problema é político. Vale observar mais um ciclo antes de virar feedback.</t>
        </is>
      </c>
      <c r="F8" s="15" t="n"/>
      <c r="G8" s="16" t="inlineStr">
        <is>
          <t>Em aberto</t>
        </is>
      </c>
      <c r="H8" s="17">
        <f>IF(OR($F8="",$G8&lt;&gt;"Em aberto"),"",$F8-Instruções!$B$5)</f>
        <v/>
      </c>
    </row>
    <row r="9">
      <c r="A9" s="15" t="n"/>
      <c r="B9" s="16" t="n"/>
      <c r="C9" s="16" t="n"/>
      <c r="D9" s="16" t="n"/>
      <c r="E9" s="16" t="n"/>
      <c r="F9" s="15" t="n"/>
      <c r="G9" s="16" t="n"/>
      <c r="H9" s="17">
        <f>IF(OR($F9="",$G9&lt;&gt;"Em aberto"),"",$F9-Instruções!$B$5)</f>
        <v/>
      </c>
    </row>
    <row r="10">
      <c r="A10" s="15" t="n"/>
      <c r="B10" s="16" t="n"/>
      <c r="C10" s="16" t="n"/>
      <c r="D10" s="16" t="n"/>
      <c r="E10" s="16" t="n"/>
      <c r="F10" s="15" t="n"/>
      <c r="G10" s="16" t="n"/>
      <c r="H10" s="17">
        <f>IF(OR($F10="",$G10&lt;&gt;"Em aberto"),"",$F10-Instruções!$B$5)</f>
        <v/>
      </c>
    </row>
    <row r="11">
      <c r="A11" s="15" t="n"/>
      <c r="B11" s="16" t="n"/>
      <c r="C11" s="16" t="n"/>
      <c r="D11" s="16" t="n"/>
      <c r="E11" s="16" t="n"/>
      <c r="F11" s="15" t="n"/>
      <c r="G11" s="16" t="n"/>
      <c r="H11" s="17">
        <f>IF(OR($F11="",$G11&lt;&gt;"Em aberto"),"",$F11-Instruções!$B$5)</f>
        <v/>
      </c>
    </row>
    <row r="12">
      <c r="A12" s="15" t="n"/>
      <c r="B12" s="16" t="n"/>
      <c r="C12" s="16" t="n"/>
      <c r="D12" s="16" t="n"/>
      <c r="E12" s="16" t="n"/>
      <c r="F12" s="15" t="n"/>
      <c r="G12" s="16" t="n"/>
      <c r="H12" s="17">
        <f>IF(OR($F12="",$G12&lt;&gt;"Em aberto"),"",$F12-Instruções!$B$5)</f>
        <v/>
      </c>
    </row>
    <row r="13">
      <c r="A13" s="15" t="n"/>
      <c r="B13" s="16" t="n"/>
      <c r="C13" s="16" t="n"/>
      <c r="D13" s="16" t="n"/>
      <c r="E13" s="16" t="n"/>
      <c r="F13" s="15" t="n"/>
      <c r="G13" s="16" t="n"/>
      <c r="H13" s="17">
        <f>IF(OR($F13="",$G13&lt;&gt;"Em aberto"),"",$F13-Instruções!$B$5)</f>
        <v/>
      </c>
    </row>
    <row r="14">
      <c r="A14" s="15" t="n"/>
      <c r="B14" s="16" t="n"/>
      <c r="C14" s="16" t="n"/>
      <c r="D14" s="16" t="n"/>
      <c r="E14" s="16" t="n"/>
      <c r="F14" s="15" t="n"/>
      <c r="G14" s="16" t="n"/>
      <c r="H14" s="17">
        <f>IF(OR($F14="",$G14&lt;&gt;"Em aberto"),"",$F14-Instruções!$B$5)</f>
        <v/>
      </c>
    </row>
    <row r="15">
      <c r="A15" s="15" t="n"/>
      <c r="B15" s="16" t="n"/>
      <c r="C15" s="16" t="n"/>
      <c r="D15" s="16" t="n"/>
      <c r="E15" s="16" t="n"/>
      <c r="F15" s="15" t="n"/>
      <c r="G15" s="16" t="n"/>
      <c r="H15" s="17">
        <f>IF(OR($F15="",$G15&lt;&gt;"Em aberto"),"",$F15-Instruções!$B$5)</f>
        <v/>
      </c>
    </row>
    <row r="16">
      <c r="A16" s="15" t="n"/>
      <c r="B16" s="16" t="n"/>
      <c r="C16" s="16" t="n"/>
      <c r="D16" s="16" t="n"/>
      <c r="E16" s="16" t="n"/>
      <c r="F16" s="15" t="n"/>
      <c r="G16" s="16" t="n"/>
      <c r="H16" s="17">
        <f>IF(OR($F16="",$G16&lt;&gt;"Em aberto"),"",$F16-Instruções!$B$5)</f>
        <v/>
      </c>
    </row>
    <row r="17">
      <c r="A17" s="15" t="n"/>
      <c r="B17" s="16" t="n"/>
      <c r="C17" s="16" t="n"/>
      <c r="D17" s="16" t="n"/>
      <c r="E17" s="16" t="n"/>
      <c r="F17" s="15" t="n"/>
      <c r="G17" s="16" t="n"/>
      <c r="H17" s="17">
        <f>IF(OR($F17="",$G17&lt;&gt;"Em aberto"),"",$F17-Instruções!$B$5)</f>
        <v/>
      </c>
    </row>
    <row r="18">
      <c r="A18" s="15" t="n"/>
      <c r="B18" s="16" t="n"/>
      <c r="C18" s="16" t="n"/>
      <c r="D18" s="16" t="n"/>
      <c r="E18" s="16" t="n"/>
      <c r="F18" s="15" t="n"/>
      <c r="G18" s="16" t="n"/>
      <c r="H18" s="17">
        <f>IF(OR($F18="",$G18&lt;&gt;"Em aberto"),"",$F18-Instruções!$B$5)</f>
        <v/>
      </c>
    </row>
    <row r="19">
      <c r="A19" s="15" t="n"/>
      <c r="B19" s="16" t="n"/>
      <c r="C19" s="16" t="n"/>
      <c r="D19" s="16" t="n"/>
      <c r="E19" s="16" t="n"/>
      <c r="F19" s="15" t="n"/>
      <c r="G19" s="16" t="n"/>
      <c r="H19" s="17">
        <f>IF(OR($F19="",$G19&lt;&gt;"Em aberto"),"",$F19-Instruções!$B$5)</f>
        <v/>
      </c>
    </row>
    <row r="20">
      <c r="A20" s="15" t="n"/>
      <c r="B20" s="16" t="n"/>
      <c r="C20" s="16" t="n"/>
      <c r="D20" s="16" t="n"/>
      <c r="E20" s="16" t="n"/>
      <c r="F20" s="15" t="n"/>
      <c r="G20" s="16" t="n"/>
      <c r="H20" s="17">
        <f>IF(OR($F20="",$G20&lt;&gt;"Em aberto"),"",$F20-Instruções!$B$5)</f>
        <v/>
      </c>
    </row>
    <row r="21">
      <c r="A21" s="15" t="n"/>
      <c r="B21" s="16" t="n"/>
      <c r="C21" s="16" t="n"/>
      <c r="D21" s="16" t="n"/>
      <c r="E21" s="16" t="n"/>
      <c r="F21" s="15" t="n"/>
      <c r="G21" s="16" t="n"/>
      <c r="H21" s="17">
        <f>IF(OR($F21="",$G21&lt;&gt;"Em aberto"),"",$F21-Instruções!$B$5)</f>
        <v/>
      </c>
    </row>
    <row r="22">
      <c r="A22" s="15" t="n"/>
      <c r="B22" s="16" t="n"/>
      <c r="C22" s="16" t="n"/>
      <c r="D22" s="16" t="n"/>
      <c r="E22" s="16" t="n"/>
      <c r="F22" s="15" t="n"/>
      <c r="G22" s="16" t="n"/>
      <c r="H22" s="17">
        <f>IF(OR($F22="",$G22&lt;&gt;"Em aberto"),"",$F22-Instruções!$B$5)</f>
        <v/>
      </c>
    </row>
    <row r="23">
      <c r="A23" s="15" t="n"/>
      <c r="B23" s="16" t="n"/>
      <c r="C23" s="16" t="n"/>
      <c r="D23" s="16" t="n"/>
      <c r="E23" s="16" t="n"/>
      <c r="F23" s="15" t="n"/>
      <c r="G23" s="16" t="n"/>
      <c r="H23" s="17">
        <f>IF(OR($F23="",$G23&lt;&gt;"Em aberto"),"",$F23-Instruções!$B$5)</f>
        <v/>
      </c>
    </row>
    <row r="24">
      <c r="A24" s="15" t="n"/>
      <c r="B24" s="16" t="n"/>
      <c r="C24" s="16" t="n"/>
      <c r="D24" s="16" t="n"/>
      <c r="E24" s="16" t="n"/>
      <c r="F24" s="15" t="n"/>
      <c r="G24" s="16" t="n"/>
      <c r="H24" s="17">
        <f>IF(OR($F24="",$G24&lt;&gt;"Em aberto"),"",$F24-Instruções!$B$5)</f>
        <v/>
      </c>
    </row>
    <row r="25">
      <c r="A25" s="15" t="n"/>
      <c r="B25" s="16" t="n"/>
      <c r="C25" s="16" t="n"/>
      <c r="D25" s="16" t="n"/>
      <c r="E25" s="16" t="n"/>
      <c r="F25" s="15" t="n"/>
      <c r="G25" s="16" t="n"/>
      <c r="H25" s="17">
        <f>IF(OR($F25="",$G25&lt;&gt;"Em aberto"),"",$F25-Instruções!$B$5)</f>
        <v/>
      </c>
    </row>
    <row r="26">
      <c r="A26" s="15" t="n"/>
      <c r="B26" s="16" t="n"/>
      <c r="C26" s="16" t="n"/>
      <c r="D26" s="16" t="n"/>
      <c r="E26" s="16" t="n"/>
      <c r="F26" s="15" t="n"/>
      <c r="G26" s="16" t="n"/>
      <c r="H26" s="17">
        <f>IF(OR($F26="",$G26&lt;&gt;"Em aberto"),"",$F26-Instruções!$B$5)</f>
        <v/>
      </c>
    </row>
    <row r="27">
      <c r="A27" s="15" t="n"/>
      <c r="B27" s="16" t="n"/>
      <c r="C27" s="16" t="n"/>
      <c r="D27" s="16" t="n"/>
      <c r="E27" s="16" t="n"/>
      <c r="F27" s="15" t="n"/>
      <c r="G27" s="16" t="n"/>
      <c r="H27" s="17">
        <f>IF(OR($F27="",$G27&lt;&gt;"Em aberto"),"",$F27-Instruções!$B$5)</f>
        <v/>
      </c>
    </row>
    <row r="28">
      <c r="A28" s="15" t="n"/>
      <c r="B28" s="16" t="n"/>
      <c r="C28" s="16" t="n"/>
      <c r="D28" s="16" t="n"/>
      <c r="E28" s="16" t="n"/>
      <c r="F28" s="15" t="n"/>
      <c r="G28" s="16" t="n"/>
      <c r="H28" s="17">
        <f>IF(OR($F28="",$G28&lt;&gt;"Em aberto"),"",$F28-Instruções!$B$5)</f>
        <v/>
      </c>
    </row>
    <row r="29">
      <c r="A29" s="15" t="n"/>
      <c r="B29" s="16" t="n"/>
      <c r="C29" s="16" t="n"/>
      <c r="D29" s="16" t="n"/>
      <c r="E29" s="16" t="n"/>
      <c r="F29" s="15" t="n"/>
      <c r="G29" s="16" t="n"/>
      <c r="H29" s="17">
        <f>IF(OR($F29="",$G29&lt;&gt;"Em aberto"),"",$F29-Instruções!$B$5)</f>
        <v/>
      </c>
    </row>
    <row r="30">
      <c r="A30" s="15" t="n"/>
      <c r="B30" s="16" t="n"/>
      <c r="C30" s="16" t="n"/>
      <c r="D30" s="16" t="n"/>
      <c r="E30" s="16" t="n"/>
      <c r="F30" s="15" t="n"/>
      <c r="G30" s="16" t="n"/>
      <c r="H30" s="17">
        <f>IF(OR($F30="",$G30&lt;&gt;"Em aberto"),"",$F30-Instruções!$B$5)</f>
        <v/>
      </c>
    </row>
    <row r="31">
      <c r="A31" s="15" t="n"/>
      <c r="B31" s="16" t="n"/>
      <c r="C31" s="16" t="n"/>
      <c r="D31" s="16" t="n"/>
      <c r="E31" s="16" t="n"/>
      <c r="F31" s="15" t="n"/>
      <c r="G31" s="16" t="n"/>
      <c r="H31" s="17">
        <f>IF(OR($F31="",$G31&lt;&gt;"Em aberto"),"",$F31-Instruções!$B$5)</f>
        <v/>
      </c>
    </row>
    <row r="32">
      <c r="A32" s="15" t="n"/>
      <c r="B32" s="16" t="n"/>
      <c r="C32" s="16" t="n"/>
      <c r="D32" s="16" t="n"/>
      <c r="E32" s="16" t="n"/>
      <c r="F32" s="15" t="n"/>
      <c r="G32" s="16" t="n"/>
      <c r="H32" s="17">
        <f>IF(OR($F32="",$G32&lt;&gt;"Em aberto"),"",$F32-Instruções!$B$5)</f>
        <v/>
      </c>
    </row>
    <row r="33">
      <c r="A33" s="15" t="n"/>
      <c r="B33" s="16" t="n"/>
      <c r="C33" s="16" t="n"/>
      <c r="D33" s="16" t="n"/>
      <c r="E33" s="16" t="n"/>
      <c r="F33" s="15" t="n"/>
      <c r="G33" s="16" t="n"/>
      <c r="H33" s="17">
        <f>IF(OR($F33="",$G33&lt;&gt;"Em aberto"),"",$F33-Instruções!$B$5)</f>
        <v/>
      </c>
    </row>
    <row r="34">
      <c r="A34" s="15" t="n"/>
      <c r="B34" s="16" t="n"/>
      <c r="C34" s="16" t="n"/>
      <c r="D34" s="16" t="n"/>
      <c r="E34" s="16" t="n"/>
      <c r="F34" s="15" t="n"/>
      <c r="G34" s="16" t="n"/>
      <c r="H34" s="17">
        <f>IF(OR($F34="",$G34&lt;&gt;"Em aberto"),"",$F34-Instruções!$B$5)</f>
        <v/>
      </c>
    </row>
    <row r="35">
      <c r="A35" s="15" t="n"/>
      <c r="B35" s="16" t="n"/>
      <c r="C35" s="16" t="n"/>
      <c r="D35" s="16" t="n"/>
      <c r="E35" s="16" t="n"/>
      <c r="F35" s="15" t="n"/>
      <c r="G35" s="16" t="n"/>
      <c r="H35" s="17">
        <f>IF(OR($F35="",$G35&lt;&gt;"Em aberto"),"",$F35-Instruções!$B$5)</f>
        <v/>
      </c>
    </row>
    <row r="36">
      <c r="A36" s="15" t="n"/>
      <c r="B36" s="16" t="n"/>
      <c r="C36" s="16" t="n"/>
      <c r="D36" s="16" t="n"/>
      <c r="E36" s="16" t="n"/>
      <c r="F36" s="15" t="n"/>
      <c r="G36" s="16" t="n"/>
      <c r="H36" s="17">
        <f>IF(OR($F36="",$G36&lt;&gt;"Em aberto"),"",$F36-Instruções!$B$5)</f>
        <v/>
      </c>
    </row>
    <row r="37">
      <c r="A37" s="15" t="n"/>
      <c r="B37" s="16" t="n"/>
      <c r="C37" s="16" t="n"/>
      <c r="D37" s="16" t="n"/>
      <c r="E37" s="16" t="n"/>
      <c r="F37" s="15" t="n"/>
      <c r="G37" s="16" t="n"/>
      <c r="H37" s="17">
        <f>IF(OR($F37="",$G37&lt;&gt;"Em aberto"),"",$F37-Instruções!$B$5)</f>
        <v/>
      </c>
    </row>
    <row r="38">
      <c r="A38" s="15" t="n"/>
      <c r="B38" s="16" t="n"/>
      <c r="C38" s="16" t="n"/>
      <c r="D38" s="16" t="n"/>
      <c r="E38" s="16" t="n"/>
      <c r="F38" s="15" t="n"/>
      <c r="G38" s="16" t="n"/>
      <c r="H38" s="17">
        <f>IF(OR($F38="",$G38&lt;&gt;"Em aberto"),"",$F38-Instruções!$B$5)</f>
        <v/>
      </c>
    </row>
    <row r="39">
      <c r="A39" s="15" t="n"/>
      <c r="B39" s="16" t="n"/>
      <c r="C39" s="16" t="n"/>
      <c r="D39" s="16" t="n"/>
      <c r="E39" s="16" t="n"/>
      <c r="F39" s="15" t="n"/>
      <c r="G39" s="16" t="n"/>
      <c r="H39" s="17">
        <f>IF(OR($F39="",$G39&lt;&gt;"Em aberto"),"",$F39-Instruções!$B$5)</f>
        <v/>
      </c>
    </row>
    <row r="40">
      <c r="A40" s="15" t="n"/>
      <c r="B40" s="16" t="n"/>
      <c r="C40" s="16" t="n"/>
      <c r="D40" s="16" t="n"/>
      <c r="E40" s="16" t="n"/>
      <c r="F40" s="15" t="n"/>
      <c r="G40" s="16" t="n"/>
      <c r="H40" s="17">
        <f>IF(OR($F40="",$G40&lt;&gt;"Em aberto"),"",$F40-Instruções!$B$5)</f>
        <v/>
      </c>
    </row>
    <row r="41">
      <c r="A41" s="15" t="n"/>
      <c r="B41" s="16" t="n"/>
      <c r="C41" s="16" t="n"/>
      <c r="D41" s="16" t="n"/>
      <c r="E41" s="16" t="n"/>
      <c r="F41" s="15" t="n"/>
      <c r="G41" s="16" t="n"/>
      <c r="H41" s="17">
        <f>IF(OR($F41="",$G41&lt;&gt;"Em aberto"),"",$F41-Instruções!$B$5)</f>
        <v/>
      </c>
    </row>
    <row r="42">
      <c r="A42" s="15" t="n"/>
      <c r="B42" s="16" t="n"/>
      <c r="C42" s="16" t="n"/>
      <c r="D42" s="16" t="n"/>
      <c r="E42" s="16" t="n"/>
      <c r="F42" s="15" t="n"/>
      <c r="G42" s="16" t="n"/>
      <c r="H42" s="17">
        <f>IF(OR($F42="",$G42&lt;&gt;"Em aberto"),"",$F42-Instruções!$B$5)</f>
        <v/>
      </c>
    </row>
    <row r="43">
      <c r="A43" s="15" t="n"/>
      <c r="B43" s="16" t="n"/>
      <c r="C43" s="16" t="n"/>
      <c r="D43" s="16" t="n"/>
      <c r="E43" s="16" t="n"/>
      <c r="F43" s="15" t="n"/>
      <c r="G43" s="16" t="n"/>
      <c r="H43" s="17">
        <f>IF(OR($F43="",$G43&lt;&gt;"Em aberto"),"",$F43-Instruções!$B$5)</f>
        <v/>
      </c>
    </row>
    <row r="44">
      <c r="A44" s="15" t="n"/>
      <c r="B44" s="16" t="n"/>
      <c r="C44" s="16" t="n"/>
      <c r="D44" s="16" t="n"/>
      <c r="E44" s="16" t="n"/>
      <c r="F44" s="15" t="n"/>
      <c r="G44" s="16" t="n"/>
      <c r="H44" s="17">
        <f>IF(OR($F44="",$G44&lt;&gt;"Em aberto"),"",$F44-Instruções!$B$5)</f>
        <v/>
      </c>
    </row>
    <row r="45">
      <c r="A45" s="15" t="n"/>
      <c r="B45" s="16" t="n"/>
      <c r="C45" s="16" t="n"/>
      <c r="D45" s="16" t="n"/>
      <c r="E45" s="16" t="n"/>
      <c r="F45" s="15" t="n"/>
      <c r="G45" s="16" t="n"/>
      <c r="H45" s="17">
        <f>IF(OR($F45="",$G45&lt;&gt;"Em aberto"),"",$F45-Instruções!$B$5)</f>
        <v/>
      </c>
    </row>
    <row r="46">
      <c r="A46" s="15" t="n"/>
      <c r="B46" s="16" t="n"/>
      <c r="C46" s="16" t="n"/>
      <c r="D46" s="16" t="n"/>
      <c r="E46" s="16" t="n"/>
      <c r="F46" s="15" t="n"/>
      <c r="G46" s="16" t="n"/>
      <c r="H46" s="17">
        <f>IF(OR($F46="",$G46&lt;&gt;"Em aberto"),"",$F46-Instruções!$B$5)</f>
        <v/>
      </c>
    </row>
    <row r="47">
      <c r="A47" s="15" t="n"/>
      <c r="B47" s="16" t="n"/>
      <c r="C47" s="16" t="n"/>
      <c r="D47" s="16" t="n"/>
      <c r="E47" s="16" t="n"/>
      <c r="F47" s="15" t="n"/>
      <c r="G47" s="16" t="n"/>
      <c r="H47" s="17">
        <f>IF(OR($F47="",$G47&lt;&gt;"Em aberto"),"",$F47-Instruções!$B$5)</f>
        <v/>
      </c>
    </row>
    <row r="48">
      <c r="A48" s="15" t="n"/>
      <c r="B48" s="16" t="n"/>
      <c r="C48" s="16" t="n"/>
      <c r="D48" s="16" t="n"/>
      <c r="E48" s="16" t="n"/>
      <c r="F48" s="15" t="n"/>
      <c r="G48" s="16" t="n"/>
      <c r="H48" s="17">
        <f>IF(OR($F48="",$G48&lt;&gt;"Em aberto"),"",$F48-Instruções!$B$5)</f>
        <v/>
      </c>
    </row>
    <row r="49">
      <c r="A49" s="15" t="n"/>
      <c r="B49" s="16" t="n"/>
      <c r="C49" s="16" t="n"/>
      <c r="D49" s="16" t="n"/>
      <c r="E49" s="16" t="n"/>
      <c r="F49" s="15" t="n"/>
      <c r="G49" s="16" t="n"/>
      <c r="H49" s="17">
        <f>IF(OR($F49="",$G49&lt;&gt;"Em aberto"),"",$F49-Instruções!$B$5)</f>
        <v/>
      </c>
    </row>
    <row r="50">
      <c r="A50" s="15" t="n"/>
      <c r="B50" s="16" t="n"/>
      <c r="C50" s="16" t="n"/>
      <c r="D50" s="16" t="n"/>
      <c r="E50" s="16" t="n"/>
      <c r="F50" s="15" t="n"/>
      <c r="G50" s="16" t="n"/>
      <c r="H50" s="17">
        <f>IF(OR($F50="",$G50&lt;&gt;"Em aberto"),"",$F50-Instruções!$B$5)</f>
        <v/>
      </c>
    </row>
    <row r="51">
      <c r="A51" s="15" t="n"/>
      <c r="B51" s="16" t="n"/>
      <c r="C51" s="16" t="n"/>
      <c r="D51" s="16" t="n"/>
      <c r="E51" s="16" t="n"/>
      <c r="F51" s="15" t="n"/>
      <c r="G51" s="16" t="n"/>
      <c r="H51" s="17">
        <f>IF(OR($F51="",$G51&lt;&gt;"Em aberto"),"",$F51-Instruções!$B$5)</f>
        <v/>
      </c>
    </row>
    <row r="52">
      <c r="A52" s="15" t="n"/>
      <c r="B52" s="16" t="n"/>
      <c r="C52" s="16" t="n"/>
      <c r="D52" s="16" t="n"/>
      <c r="E52" s="16" t="n"/>
      <c r="F52" s="15" t="n"/>
      <c r="G52" s="16" t="n"/>
      <c r="H52" s="17">
        <f>IF(OR($F52="",$G52&lt;&gt;"Em aberto"),"",$F52-Instruções!$B$5)</f>
        <v/>
      </c>
    </row>
    <row r="53">
      <c r="A53" s="15" t="n"/>
      <c r="B53" s="16" t="n"/>
      <c r="C53" s="16" t="n"/>
      <c r="D53" s="16" t="n"/>
      <c r="E53" s="16" t="n"/>
      <c r="F53" s="15" t="n"/>
      <c r="G53" s="16" t="n"/>
      <c r="H53" s="17">
        <f>IF(OR($F53="",$G53&lt;&gt;"Em aberto"),"",$F53-Instruções!$B$5)</f>
        <v/>
      </c>
    </row>
    <row r="54">
      <c r="A54" s="15" t="n"/>
      <c r="B54" s="16" t="n"/>
      <c r="C54" s="16" t="n"/>
      <c r="D54" s="16" t="n"/>
      <c r="E54" s="16" t="n"/>
      <c r="F54" s="15" t="n"/>
      <c r="G54" s="16" t="n"/>
      <c r="H54" s="17">
        <f>IF(OR($F54="",$G54&lt;&gt;"Em aberto"),"",$F54-Instruções!$B$5)</f>
        <v/>
      </c>
    </row>
    <row r="55">
      <c r="A55" s="15" t="n"/>
      <c r="B55" s="16" t="n"/>
      <c r="C55" s="16" t="n"/>
      <c r="D55" s="16" t="n"/>
      <c r="E55" s="16" t="n"/>
      <c r="F55" s="15" t="n"/>
      <c r="G55" s="16" t="n"/>
      <c r="H55" s="17">
        <f>IF(OR($F55="",$G55&lt;&gt;"Em aberto"),"",$F55-Instruções!$B$5)</f>
        <v/>
      </c>
    </row>
    <row r="56">
      <c r="A56" s="15" t="n"/>
      <c r="B56" s="16" t="n"/>
      <c r="C56" s="16" t="n"/>
      <c r="D56" s="16" t="n"/>
      <c r="E56" s="16" t="n"/>
      <c r="F56" s="15" t="n"/>
      <c r="G56" s="16" t="n"/>
      <c r="H56" s="17">
        <f>IF(OR($F56="",$G56&lt;&gt;"Em aberto"),"",$F56-Instruções!$B$5)</f>
        <v/>
      </c>
    </row>
    <row r="57">
      <c r="A57" s="15" t="n"/>
      <c r="B57" s="16" t="n"/>
      <c r="C57" s="16" t="n"/>
      <c r="D57" s="16" t="n"/>
      <c r="E57" s="16" t="n"/>
      <c r="F57" s="15" t="n"/>
      <c r="G57" s="16" t="n"/>
      <c r="H57" s="17">
        <f>IF(OR($F57="",$G57&lt;&gt;"Em aberto"),"",$F57-Instruções!$B$5)</f>
        <v/>
      </c>
    </row>
    <row r="58">
      <c r="A58" s="15" t="n"/>
      <c r="B58" s="16" t="n"/>
      <c r="C58" s="16" t="n"/>
      <c r="D58" s="16" t="n"/>
      <c r="E58" s="16" t="n"/>
      <c r="F58" s="15" t="n"/>
      <c r="G58" s="16" t="n"/>
      <c r="H58" s="17">
        <f>IF(OR($F58="",$G58&lt;&gt;"Em aberto"),"",$F58-Instruções!$B$5)</f>
        <v/>
      </c>
    </row>
    <row r="59">
      <c r="A59" s="15" t="n"/>
      <c r="B59" s="16" t="n"/>
      <c r="C59" s="16" t="n"/>
      <c r="D59" s="16" t="n"/>
      <c r="E59" s="16" t="n"/>
      <c r="F59" s="15" t="n"/>
      <c r="G59" s="16" t="n"/>
      <c r="H59" s="17">
        <f>IF(OR($F59="",$G59&lt;&gt;"Em aberto"),"",$F59-Instruções!$B$5)</f>
        <v/>
      </c>
    </row>
    <row r="60">
      <c r="A60" s="15" t="n"/>
      <c r="B60" s="16" t="n"/>
      <c r="C60" s="16" t="n"/>
      <c r="D60" s="16" t="n"/>
      <c r="E60" s="16" t="n"/>
      <c r="F60" s="15" t="n"/>
      <c r="G60" s="16" t="n"/>
      <c r="H60" s="17">
        <f>IF(OR($F60="",$G60&lt;&gt;"Em aberto"),"",$F60-Instruções!$B$5)</f>
        <v/>
      </c>
    </row>
    <row r="61">
      <c r="A61" s="15" t="n"/>
      <c r="B61" s="16" t="n"/>
      <c r="C61" s="16" t="n"/>
      <c r="D61" s="16" t="n"/>
      <c r="E61" s="16" t="n"/>
      <c r="F61" s="15" t="n"/>
      <c r="G61" s="16" t="n"/>
      <c r="H61" s="17">
        <f>IF(OR($F61="",$G61&lt;&gt;"Em aberto"),"",$F61-Instruções!$B$5)</f>
        <v/>
      </c>
    </row>
    <row r="62">
      <c r="A62" s="15" t="n"/>
      <c r="B62" s="16" t="n"/>
      <c r="C62" s="16" t="n"/>
      <c r="D62" s="16" t="n"/>
      <c r="E62" s="16" t="n"/>
      <c r="F62" s="15" t="n"/>
      <c r="G62" s="16" t="n"/>
      <c r="H62" s="17">
        <f>IF(OR($F62="",$G62&lt;&gt;"Em aberto"),"",$F62-Instruções!$B$5)</f>
        <v/>
      </c>
    </row>
    <row r="63">
      <c r="A63" s="15" t="n"/>
      <c r="B63" s="16" t="n"/>
      <c r="C63" s="16" t="n"/>
      <c r="D63" s="16" t="n"/>
      <c r="E63" s="16" t="n"/>
      <c r="F63" s="15" t="n"/>
      <c r="G63" s="16" t="n"/>
      <c r="H63" s="17">
        <f>IF(OR($F63="",$G63&lt;&gt;"Em aberto"),"",$F63-Instruções!$B$5)</f>
        <v/>
      </c>
    </row>
    <row r="64">
      <c r="A64" s="15" t="n"/>
      <c r="B64" s="16" t="n"/>
      <c r="C64" s="16" t="n"/>
      <c r="D64" s="16" t="n"/>
      <c r="E64" s="16" t="n"/>
      <c r="F64" s="15" t="n"/>
      <c r="G64" s="16" t="n"/>
      <c r="H64" s="17">
        <f>IF(OR($F64="",$G64&lt;&gt;"Em aberto"),"",$F64-Instruções!$B$5)</f>
        <v/>
      </c>
    </row>
    <row r="65">
      <c r="A65" s="15" t="n"/>
      <c r="B65" s="16" t="n"/>
      <c r="C65" s="16" t="n"/>
      <c r="D65" s="16" t="n"/>
      <c r="E65" s="16" t="n"/>
      <c r="F65" s="15" t="n"/>
      <c r="G65" s="16" t="n"/>
      <c r="H65" s="17">
        <f>IF(OR($F65="",$G65&lt;&gt;"Em aberto"),"",$F65-Instruções!$B$5)</f>
        <v/>
      </c>
    </row>
    <row r="66">
      <c r="A66" s="15" t="n"/>
      <c r="B66" s="16" t="n"/>
      <c r="C66" s="16" t="n"/>
      <c r="D66" s="16" t="n"/>
      <c r="E66" s="16" t="n"/>
      <c r="F66" s="15" t="n"/>
      <c r="G66" s="16" t="n"/>
      <c r="H66" s="17">
        <f>IF(OR($F66="",$G66&lt;&gt;"Em aberto"),"",$F66-Instruções!$B$5)</f>
        <v/>
      </c>
    </row>
    <row r="67">
      <c r="A67" s="15" t="n"/>
      <c r="B67" s="16" t="n"/>
      <c r="C67" s="16" t="n"/>
      <c r="D67" s="16" t="n"/>
      <c r="E67" s="16" t="n"/>
      <c r="F67" s="15" t="n"/>
      <c r="G67" s="16" t="n"/>
      <c r="H67" s="17">
        <f>IF(OR($F67="",$G67&lt;&gt;"Em aberto"),"",$F67-Instruções!$B$5)</f>
        <v/>
      </c>
    </row>
    <row r="68">
      <c r="A68" s="15" t="n"/>
      <c r="B68" s="16" t="n"/>
      <c r="C68" s="16" t="n"/>
      <c r="D68" s="16" t="n"/>
      <c r="E68" s="16" t="n"/>
      <c r="F68" s="15" t="n"/>
      <c r="G68" s="16" t="n"/>
      <c r="H68" s="17">
        <f>IF(OR($F68="",$G68&lt;&gt;"Em aberto"),"",$F68-Instruções!$B$5)</f>
        <v/>
      </c>
    </row>
    <row r="69">
      <c r="A69" s="15" t="n"/>
      <c r="B69" s="16" t="n"/>
      <c r="C69" s="16" t="n"/>
      <c r="D69" s="16" t="n"/>
      <c r="E69" s="16" t="n"/>
      <c r="F69" s="15" t="n"/>
      <c r="G69" s="16" t="n"/>
      <c r="H69" s="17">
        <f>IF(OR($F69="",$G69&lt;&gt;"Em aberto"),"",$F69-Instruções!$B$5)</f>
        <v/>
      </c>
    </row>
    <row r="70">
      <c r="A70" s="15" t="n"/>
      <c r="B70" s="16" t="n"/>
      <c r="C70" s="16" t="n"/>
      <c r="D70" s="16" t="n"/>
      <c r="E70" s="16" t="n"/>
      <c r="F70" s="15" t="n"/>
      <c r="G70" s="16" t="n"/>
      <c r="H70" s="17">
        <f>IF(OR($F70="",$G70&lt;&gt;"Em aberto"),"",$F70-Instruções!$B$5)</f>
        <v/>
      </c>
    </row>
    <row r="71">
      <c r="A71" s="15" t="n"/>
      <c r="B71" s="16" t="n"/>
      <c r="C71" s="16" t="n"/>
      <c r="D71" s="16" t="n"/>
      <c r="E71" s="16" t="n"/>
      <c r="F71" s="15" t="n"/>
      <c r="G71" s="16" t="n"/>
      <c r="H71" s="17">
        <f>IF(OR($F71="",$G71&lt;&gt;"Em aberto"),"",$F71-Instruções!$B$5)</f>
        <v/>
      </c>
    </row>
    <row r="72">
      <c r="A72" s="15" t="n"/>
      <c r="B72" s="16" t="n"/>
      <c r="C72" s="16" t="n"/>
      <c r="D72" s="16" t="n"/>
      <c r="E72" s="16" t="n"/>
      <c r="F72" s="15" t="n"/>
      <c r="G72" s="16" t="n"/>
      <c r="H72" s="17">
        <f>IF(OR($F72="",$G72&lt;&gt;"Em aberto"),"",$F72-Instruções!$B$5)</f>
        <v/>
      </c>
    </row>
    <row r="73">
      <c r="A73" s="15" t="n"/>
      <c r="B73" s="16" t="n"/>
      <c r="C73" s="16" t="n"/>
      <c r="D73" s="16" t="n"/>
      <c r="E73" s="16" t="n"/>
      <c r="F73" s="15" t="n"/>
      <c r="G73" s="16" t="n"/>
      <c r="H73" s="17">
        <f>IF(OR($F73="",$G73&lt;&gt;"Em aberto"),"",$F73-Instruções!$B$5)</f>
        <v/>
      </c>
    </row>
    <row r="74">
      <c r="A74" s="15" t="n"/>
      <c r="B74" s="16" t="n"/>
      <c r="C74" s="16" t="n"/>
      <c r="D74" s="16" t="n"/>
      <c r="E74" s="16" t="n"/>
      <c r="F74" s="15" t="n"/>
      <c r="G74" s="16" t="n"/>
      <c r="H74" s="17">
        <f>IF(OR($F74="",$G74&lt;&gt;"Em aberto"),"",$F74-Instruções!$B$5)</f>
        <v/>
      </c>
    </row>
    <row r="75">
      <c r="A75" s="15" t="n"/>
      <c r="B75" s="16" t="n"/>
      <c r="C75" s="16" t="n"/>
      <c r="D75" s="16" t="n"/>
      <c r="E75" s="16" t="n"/>
      <c r="F75" s="15" t="n"/>
      <c r="G75" s="16" t="n"/>
      <c r="H75" s="17">
        <f>IF(OR($F75="",$G75&lt;&gt;"Em aberto"),"",$F75-Instruções!$B$5)</f>
        <v/>
      </c>
    </row>
    <row r="76">
      <c r="A76" s="15" t="n"/>
      <c r="B76" s="16" t="n"/>
      <c r="C76" s="16" t="n"/>
      <c r="D76" s="16" t="n"/>
      <c r="E76" s="16" t="n"/>
      <c r="F76" s="15" t="n"/>
      <c r="G76" s="16" t="n"/>
      <c r="H76" s="17">
        <f>IF(OR($F76="",$G76&lt;&gt;"Em aberto"),"",$F76-Instruções!$B$5)</f>
        <v/>
      </c>
    </row>
    <row r="77">
      <c r="A77" s="15" t="n"/>
      <c r="B77" s="16" t="n"/>
      <c r="C77" s="16" t="n"/>
      <c r="D77" s="16" t="n"/>
      <c r="E77" s="16" t="n"/>
      <c r="F77" s="15" t="n"/>
      <c r="G77" s="16" t="n"/>
      <c r="H77" s="17">
        <f>IF(OR($F77="",$G77&lt;&gt;"Em aberto"),"",$F77-Instruções!$B$5)</f>
        <v/>
      </c>
    </row>
    <row r="78">
      <c r="A78" s="15" t="n"/>
      <c r="B78" s="16" t="n"/>
      <c r="C78" s="16" t="n"/>
      <c r="D78" s="16" t="n"/>
      <c r="E78" s="16" t="n"/>
      <c r="F78" s="15" t="n"/>
      <c r="G78" s="16" t="n"/>
      <c r="H78" s="17">
        <f>IF(OR($F78="",$G78&lt;&gt;"Em aberto"),"",$F78-Instruções!$B$5)</f>
        <v/>
      </c>
    </row>
    <row r="79">
      <c r="A79" s="15" t="n"/>
      <c r="B79" s="16" t="n"/>
      <c r="C79" s="16" t="n"/>
      <c r="D79" s="16" t="n"/>
      <c r="E79" s="16" t="n"/>
      <c r="F79" s="15" t="n"/>
      <c r="G79" s="16" t="n"/>
      <c r="H79" s="17">
        <f>IF(OR($F79="",$G79&lt;&gt;"Em aberto"),"",$F79-Instruções!$B$5)</f>
        <v/>
      </c>
    </row>
    <row r="80">
      <c r="A80" s="15" t="n"/>
      <c r="B80" s="16" t="n"/>
      <c r="C80" s="16" t="n"/>
      <c r="D80" s="16" t="n"/>
      <c r="E80" s="16" t="n"/>
      <c r="F80" s="15" t="n"/>
      <c r="G80" s="16" t="n"/>
      <c r="H80" s="17">
        <f>IF(OR($F80="",$G80&lt;&gt;"Em aberto"),"",$F80-Instruções!$B$5)</f>
        <v/>
      </c>
    </row>
    <row r="81">
      <c r="A81" s="15" t="n"/>
      <c r="B81" s="16" t="n"/>
      <c r="C81" s="16" t="n"/>
      <c r="D81" s="16" t="n"/>
      <c r="E81" s="16" t="n"/>
      <c r="F81" s="15" t="n"/>
      <c r="G81" s="16" t="n"/>
      <c r="H81" s="17">
        <f>IF(OR($F81="",$G81&lt;&gt;"Em aberto"),"",$F81-Instruções!$B$5)</f>
        <v/>
      </c>
    </row>
    <row r="82">
      <c r="A82" s="15" t="n"/>
      <c r="B82" s="16" t="n"/>
      <c r="C82" s="16" t="n"/>
      <c r="D82" s="16" t="n"/>
      <c r="E82" s="16" t="n"/>
      <c r="F82" s="15" t="n"/>
      <c r="G82" s="16" t="n"/>
      <c r="H82" s="17">
        <f>IF(OR($F82="",$G82&lt;&gt;"Em aberto"),"",$F82-Instruções!$B$5)</f>
        <v/>
      </c>
    </row>
    <row r="83">
      <c r="A83" s="15" t="n"/>
      <c r="B83" s="16" t="n"/>
      <c r="C83" s="16" t="n"/>
      <c r="D83" s="16" t="n"/>
      <c r="E83" s="16" t="n"/>
      <c r="F83" s="15" t="n"/>
      <c r="G83" s="16" t="n"/>
      <c r="H83" s="17">
        <f>IF(OR($F83="",$G83&lt;&gt;"Em aberto"),"",$F83-Instruções!$B$5)</f>
        <v/>
      </c>
    </row>
    <row r="84">
      <c r="A84" s="15" t="n"/>
      <c r="B84" s="16" t="n"/>
      <c r="C84" s="16" t="n"/>
      <c r="D84" s="16" t="n"/>
      <c r="E84" s="16" t="n"/>
      <c r="F84" s="15" t="n"/>
      <c r="G84" s="16" t="n"/>
      <c r="H84" s="17">
        <f>IF(OR($F84="",$G84&lt;&gt;"Em aberto"),"",$F84-Instruções!$B$5)</f>
        <v/>
      </c>
    </row>
    <row r="85">
      <c r="A85" s="15" t="n"/>
      <c r="B85" s="16" t="n"/>
      <c r="C85" s="16" t="n"/>
      <c r="D85" s="16" t="n"/>
      <c r="E85" s="16" t="n"/>
      <c r="F85" s="15" t="n"/>
      <c r="G85" s="16" t="n"/>
      <c r="H85" s="17">
        <f>IF(OR($F85="",$G85&lt;&gt;"Em aberto"),"",$F85-Instruções!$B$5)</f>
        <v/>
      </c>
    </row>
    <row r="86">
      <c r="A86" s="15" t="n"/>
      <c r="B86" s="16" t="n"/>
      <c r="C86" s="16" t="n"/>
      <c r="D86" s="16" t="n"/>
      <c r="E86" s="16" t="n"/>
      <c r="F86" s="15" t="n"/>
      <c r="G86" s="16" t="n"/>
      <c r="H86" s="17">
        <f>IF(OR($F86="",$G86&lt;&gt;"Em aberto"),"",$F86-Instruções!$B$5)</f>
        <v/>
      </c>
    </row>
    <row r="87">
      <c r="A87" s="15" t="n"/>
      <c r="B87" s="16" t="n"/>
      <c r="C87" s="16" t="n"/>
      <c r="D87" s="16" t="n"/>
      <c r="E87" s="16" t="n"/>
      <c r="F87" s="15" t="n"/>
      <c r="G87" s="16" t="n"/>
      <c r="H87" s="17">
        <f>IF(OR($F87="",$G87&lt;&gt;"Em aberto"),"",$F87-Instruções!$B$5)</f>
        <v/>
      </c>
    </row>
    <row r="88">
      <c r="A88" s="15" t="n"/>
      <c r="B88" s="16" t="n"/>
      <c r="C88" s="16" t="n"/>
      <c r="D88" s="16" t="n"/>
      <c r="E88" s="16" t="n"/>
      <c r="F88" s="15" t="n"/>
      <c r="G88" s="16" t="n"/>
      <c r="H88" s="17">
        <f>IF(OR($F88="",$G88&lt;&gt;"Em aberto"),"",$F88-Instruções!$B$5)</f>
        <v/>
      </c>
    </row>
    <row r="89">
      <c r="A89" s="15" t="n"/>
      <c r="B89" s="16" t="n"/>
      <c r="C89" s="16" t="n"/>
      <c r="D89" s="16" t="n"/>
      <c r="E89" s="16" t="n"/>
      <c r="F89" s="15" t="n"/>
      <c r="G89" s="16" t="n"/>
      <c r="H89" s="17">
        <f>IF(OR($F89="",$G89&lt;&gt;"Em aberto"),"",$F89-Instruções!$B$5)</f>
        <v/>
      </c>
    </row>
    <row r="90">
      <c r="A90" s="15" t="n"/>
      <c r="B90" s="16" t="n"/>
      <c r="C90" s="16" t="n"/>
      <c r="D90" s="16" t="n"/>
      <c r="E90" s="16" t="n"/>
      <c r="F90" s="15" t="n"/>
      <c r="G90" s="16" t="n"/>
      <c r="H90" s="17">
        <f>IF(OR($F90="",$G90&lt;&gt;"Em aberto"),"",$F90-Instruções!$B$5)</f>
        <v/>
      </c>
    </row>
    <row r="91">
      <c r="A91" s="15" t="n"/>
      <c r="B91" s="16" t="n"/>
      <c r="C91" s="16" t="n"/>
      <c r="D91" s="16" t="n"/>
      <c r="E91" s="16" t="n"/>
      <c r="F91" s="15" t="n"/>
      <c r="G91" s="16" t="n"/>
      <c r="H91" s="17">
        <f>IF(OR($F91="",$G91&lt;&gt;"Em aberto"),"",$F91-Instruções!$B$5)</f>
        <v/>
      </c>
    </row>
    <row r="92">
      <c r="A92" s="15" t="n"/>
      <c r="B92" s="16" t="n"/>
      <c r="C92" s="16" t="n"/>
      <c r="D92" s="16" t="n"/>
      <c r="E92" s="16" t="n"/>
      <c r="F92" s="15" t="n"/>
      <c r="G92" s="16" t="n"/>
      <c r="H92" s="17">
        <f>IF(OR($F92="",$G92&lt;&gt;"Em aberto"),"",$F92-Instruções!$B$5)</f>
        <v/>
      </c>
    </row>
    <row r="93">
      <c r="A93" s="15" t="n"/>
      <c r="B93" s="16" t="n"/>
      <c r="C93" s="16" t="n"/>
      <c r="D93" s="16" t="n"/>
      <c r="E93" s="16" t="n"/>
      <c r="F93" s="15" t="n"/>
      <c r="G93" s="16" t="n"/>
      <c r="H93" s="17">
        <f>IF(OR($F93="",$G93&lt;&gt;"Em aberto"),"",$F93-Instruções!$B$5)</f>
        <v/>
      </c>
    </row>
    <row r="94">
      <c r="A94" s="15" t="n"/>
      <c r="B94" s="16" t="n"/>
      <c r="C94" s="16" t="n"/>
      <c r="D94" s="16" t="n"/>
      <c r="E94" s="16" t="n"/>
      <c r="F94" s="15" t="n"/>
      <c r="G94" s="16" t="n"/>
      <c r="H94" s="17">
        <f>IF(OR($F94="",$G94&lt;&gt;"Em aberto"),"",$F94-Instruções!$B$5)</f>
        <v/>
      </c>
    </row>
    <row r="95">
      <c r="A95" s="15" t="n"/>
      <c r="B95" s="16" t="n"/>
      <c r="C95" s="16" t="n"/>
      <c r="D95" s="16" t="n"/>
      <c r="E95" s="16" t="n"/>
      <c r="F95" s="15" t="n"/>
      <c r="G95" s="16" t="n"/>
      <c r="H95" s="17">
        <f>IF(OR($F95="",$G95&lt;&gt;"Em aberto"),"",$F95-Instruções!$B$5)</f>
        <v/>
      </c>
    </row>
    <row r="96">
      <c r="A96" s="15" t="n"/>
      <c r="B96" s="16" t="n"/>
      <c r="C96" s="16" t="n"/>
      <c r="D96" s="16" t="n"/>
      <c r="E96" s="16" t="n"/>
      <c r="F96" s="15" t="n"/>
      <c r="G96" s="16" t="n"/>
      <c r="H96" s="17">
        <f>IF(OR($F96="",$G96&lt;&gt;"Em aberto"),"",$F96-Instruções!$B$5)</f>
        <v/>
      </c>
    </row>
    <row r="97">
      <c r="A97" s="15" t="n"/>
      <c r="B97" s="16" t="n"/>
      <c r="C97" s="16" t="n"/>
      <c r="D97" s="16" t="n"/>
      <c r="E97" s="16" t="n"/>
      <c r="F97" s="15" t="n"/>
      <c r="G97" s="16" t="n"/>
      <c r="H97" s="17">
        <f>IF(OR($F97="",$G97&lt;&gt;"Em aberto"),"",$F97-Instruções!$B$5)</f>
        <v/>
      </c>
    </row>
    <row r="98">
      <c r="A98" s="15" t="n"/>
      <c r="B98" s="16" t="n"/>
      <c r="C98" s="16" t="n"/>
      <c r="D98" s="16" t="n"/>
      <c r="E98" s="16" t="n"/>
      <c r="F98" s="15" t="n"/>
      <c r="G98" s="16" t="n"/>
      <c r="H98" s="17">
        <f>IF(OR($F98="",$G98&lt;&gt;"Em aberto"),"",$F98-Instruções!$B$5)</f>
        <v/>
      </c>
    </row>
    <row r="99">
      <c r="A99" s="15" t="n"/>
      <c r="B99" s="16" t="n"/>
      <c r="C99" s="16" t="n"/>
      <c r="D99" s="16" t="n"/>
      <c r="E99" s="16" t="n"/>
      <c r="F99" s="15" t="n"/>
      <c r="G99" s="16" t="n"/>
      <c r="H99" s="17">
        <f>IF(OR($F99="",$G99&lt;&gt;"Em aberto"),"",$F99-Instruções!$B$5)</f>
        <v/>
      </c>
    </row>
    <row r="100">
      <c r="A100" s="15" t="n"/>
      <c r="B100" s="16" t="n"/>
      <c r="C100" s="16" t="n"/>
      <c r="D100" s="16" t="n"/>
      <c r="E100" s="16" t="n"/>
      <c r="F100" s="15" t="n"/>
      <c r="G100" s="16" t="n"/>
      <c r="H100" s="17">
        <f>IF(OR($F100="",$G100&lt;&gt;"Em aberto"),"",$F100-Instruções!$B$5)</f>
        <v/>
      </c>
    </row>
    <row r="101">
      <c r="A101" s="15" t="n"/>
      <c r="B101" s="16" t="n"/>
      <c r="C101" s="16" t="n"/>
      <c r="D101" s="16" t="n"/>
      <c r="E101" s="16" t="n"/>
      <c r="F101" s="15" t="n"/>
      <c r="G101" s="16" t="n"/>
      <c r="H101" s="17">
        <f>IF(OR($F101="",$G101&lt;&gt;"Em aberto"),"",$F101-Instruções!$B$5)</f>
        <v/>
      </c>
    </row>
    <row r="102">
      <c r="A102" s="15" t="n"/>
      <c r="B102" s="16" t="n"/>
      <c r="C102" s="16" t="n"/>
      <c r="D102" s="16" t="n"/>
      <c r="E102" s="16" t="n"/>
      <c r="F102" s="15" t="n"/>
      <c r="G102" s="16" t="n"/>
      <c r="H102" s="17">
        <f>IF(OR($F102="",$G102&lt;&gt;"Em aberto"),"",$F102-Instruções!$B$5)</f>
        <v/>
      </c>
    </row>
    <row r="103">
      <c r="A103" s="15" t="n"/>
      <c r="B103" s="16" t="n"/>
      <c r="C103" s="16" t="n"/>
      <c r="D103" s="16" t="n"/>
      <c r="E103" s="16" t="n"/>
      <c r="F103" s="15" t="n"/>
      <c r="G103" s="16" t="n"/>
      <c r="H103" s="17">
        <f>IF(OR($F103="",$G103&lt;&gt;"Em aberto"),"",$F103-Instruções!$B$5)</f>
        <v/>
      </c>
    </row>
    <row r="104">
      <c r="A104" s="15" t="n"/>
      <c r="B104" s="16" t="n"/>
      <c r="C104" s="16" t="n"/>
      <c r="D104" s="16" t="n"/>
      <c r="E104" s="16" t="n"/>
      <c r="F104" s="15" t="n"/>
      <c r="G104" s="16" t="n"/>
      <c r="H104" s="17">
        <f>IF(OR($F104="",$G104&lt;&gt;"Em aberto"),"",$F104-Instruções!$B$5)</f>
        <v/>
      </c>
    </row>
    <row r="105">
      <c r="A105" s="15" t="n"/>
      <c r="B105" s="16" t="n"/>
      <c r="C105" s="16" t="n"/>
      <c r="D105" s="16" t="n"/>
      <c r="E105" s="16" t="n"/>
      <c r="F105" s="15" t="n"/>
      <c r="G105" s="16" t="n"/>
      <c r="H105" s="17">
        <f>IF(OR($F105="",$G105&lt;&gt;"Em aberto"),"",$F105-Instruções!$B$5)</f>
        <v/>
      </c>
    </row>
    <row r="106">
      <c r="A106" s="15" t="n"/>
      <c r="B106" s="16" t="n"/>
      <c r="C106" s="16" t="n"/>
      <c r="D106" s="16" t="n"/>
      <c r="E106" s="16" t="n"/>
      <c r="F106" s="15" t="n"/>
      <c r="G106" s="16" t="n"/>
      <c r="H106" s="17">
        <f>IF(OR($F106="",$G106&lt;&gt;"Em aberto"),"",$F106-Instruções!$B$5)</f>
        <v/>
      </c>
    </row>
    <row r="107">
      <c r="A107" s="15" t="n"/>
      <c r="B107" s="16" t="n"/>
      <c r="C107" s="16" t="n"/>
      <c r="D107" s="16" t="n"/>
      <c r="E107" s="16" t="n"/>
      <c r="F107" s="15" t="n"/>
      <c r="G107" s="16" t="n"/>
      <c r="H107" s="17">
        <f>IF(OR($F107="",$G107&lt;&gt;"Em aberto"),"",$F107-Instruções!$B$5)</f>
        <v/>
      </c>
    </row>
    <row r="108">
      <c r="A108" s="15" t="n"/>
      <c r="B108" s="16" t="n"/>
      <c r="C108" s="16" t="n"/>
      <c r="D108" s="16" t="n"/>
      <c r="E108" s="16" t="n"/>
      <c r="F108" s="15" t="n"/>
      <c r="G108" s="16" t="n"/>
      <c r="H108" s="17">
        <f>IF(OR($F108="",$G108&lt;&gt;"Em aberto"),"",$F108-Instruções!$B$5)</f>
        <v/>
      </c>
    </row>
    <row r="109">
      <c r="A109" s="15" t="n"/>
      <c r="B109" s="16" t="n"/>
      <c r="C109" s="16" t="n"/>
      <c r="D109" s="16" t="n"/>
      <c r="E109" s="16" t="n"/>
      <c r="F109" s="15" t="n"/>
      <c r="G109" s="16" t="n"/>
      <c r="H109" s="17">
        <f>IF(OR($F109="",$G109&lt;&gt;"Em aberto"),"",$F109-Instruções!$B$5)</f>
        <v/>
      </c>
    </row>
    <row r="110">
      <c r="A110" s="15" t="n"/>
      <c r="B110" s="16" t="n"/>
      <c r="C110" s="16" t="n"/>
      <c r="D110" s="16" t="n"/>
      <c r="E110" s="16" t="n"/>
      <c r="F110" s="15" t="n"/>
      <c r="G110" s="16" t="n"/>
      <c r="H110" s="17">
        <f>IF(OR($F110="",$G110&lt;&gt;"Em aberto"),"",$F110-Instruções!$B$5)</f>
        <v/>
      </c>
    </row>
    <row r="111">
      <c r="A111" s="15" t="n"/>
      <c r="B111" s="16" t="n"/>
      <c r="C111" s="16" t="n"/>
      <c r="D111" s="16" t="n"/>
      <c r="E111" s="16" t="n"/>
      <c r="F111" s="15" t="n"/>
      <c r="G111" s="16" t="n"/>
      <c r="H111" s="17">
        <f>IF(OR($F111="",$G111&lt;&gt;"Em aberto"),"",$F111-Instruções!$B$5)</f>
        <v/>
      </c>
    </row>
    <row r="112">
      <c r="A112" s="15" t="n"/>
      <c r="B112" s="16" t="n"/>
      <c r="C112" s="16" t="n"/>
      <c r="D112" s="16" t="n"/>
      <c r="E112" s="16" t="n"/>
      <c r="F112" s="15" t="n"/>
      <c r="G112" s="16" t="n"/>
      <c r="H112" s="17">
        <f>IF(OR($F112="",$G112&lt;&gt;"Em aberto"),"",$F112-Instruções!$B$5)</f>
        <v/>
      </c>
    </row>
    <row r="113">
      <c r="A113" s="15" t="n"/>
      <c r="B113" s="16" t="n"/>
      <c r="C113" s="16" t="n"/>
      <c r="D113" s="16" t="n"/>
      <c r="E113" s="16" t="n"/>
      <c r="F113" s="15" t="n"/>
      <c r="G113" s="16" t="n"/>
      <c r="H113" s="17">
        <f>IF(OR($F113="",$G113&lt;&gt;"Em aberto"),"",$F113-Instruções!$B$5)</f>
        <v/>
      </c>
    </row>
    <row r="114">
      <c r="A114" s="15" t="n"/>
      <c r="B114" s="16" t="n"/>
      <c r="C114" s="16" t="n"/>
      <c r="D114" s="16" t="n"/>
      <c r="E114" s="16" t="n"/>
      <c r="F114" s="15" t="n"/>
      <c r="G114" s="16" t="n"/>
      <c r="H114" s="17">
        <f>IF(OR($F114="",$G114&lt;&gt;"Em aberto"),"",$F114-Instruções!$B$5)</f>
        <v/>
      </c>
    </row>
    <row r="115">
      <c r="A115" s="15" t="n"/>
      <c r="B115" s="16" t="n"/>
      <c r="C115" s="16" t="n"/>
      <c r="D115" s="16" t="n"/>
      <c r="E115" s="16" t="n"/>
      <c r="F115" s="15" t="n"/>
      <c r="G115" s="16" t="n"/>
      <c r="H115" s="17">
        <f>IF(OR($F115="",$G115&lt;&gt;"Em aberto"),"",$F115-Instruções!$B$5)</f>
        <v/>
      </c>
    </row>
    <row r="116">
      <c r="A116" s="15" t="n"/>
      <c r="B116" s="16" t="n"/>
      <c r="C116" s="16" t="n"/>
      <c r="D116" s="16" t="n"/>
      <c r="E116" s="16" t="n"/>
      <c r="F116" s="15" t="n"/>
      <c r="G116" s="16" t="n"/>
      <c r="H116" s="17">
        <f>IF(OR($F116="",$G116&lt;&gt;"Em aberto"),"",$F116-Instruções!$B$5)</f>
        <v/>
      </c>
    </row>
    <row r="117">
      <c r="A117" s="15" t="n"/>
      <c r="B117" s="16" t="n"/>
      <c r="C117" s="16" t="n"/>
      <c r="D117" s="16" t="n"/>
      <c r="E117" s="16" t="n"/>
      <c r="F117" s="15" t="n"/>
      <c r="G117" s="16" t="n"/>
      <c r="H117" s="17">
        <f>IF(OR($F117="",$G117&lt;&gt;"Em aberto"),"",$F117-Instruções!$B$5)</f>
        <v/>
      </c>
    </row>
    <row r="118">
      <c r="A118" s="15" t="n"/>
      <c r="B118" s="16" t="n"/>
      <c r="C118" s="16" t="n"/>
      <c r="D118" s="16" t="n"/>
      <c r="E118" s="16" t="n"/>
      <c r="F118" s="15" t="n"/>
      <c r="G118" s="16" t="n"/>
      <c r="H118" s="17">
        <f>IF(OR($F118="",$G118&lt;&gt;"Em aberto"),"",$F118-Instruções!$B$5)</f>
        <v/>
      </c>
    </row>
    <row r="119">
      <c r="A119" s="15" t="n"/>
      <c r="B119" s="16" t="n"/>
      <c r="C119" s="16" t="n"/>
      <c r="D119" s="16" t="n"/>
      <c r="E119" s="16" t="n"/>
      <c r="F119" s="15" t="n"/>
      <c r="G119" s="16" t="n"/>
      <c r="H119" s="17">
        <f>IF(OR($F119="",$G119&lt;&gt;"Em aberto"),"",$F119-Instruções!$B$5)</f>
        <v/>
      </c>
    </row>
    <row r="120">
      <c r="A120" s="15" t="n"/>
      <c r="B120" s="16" t="n"/>
      <c r="C120" s="16" t="n"/>
      <c r="D120" s="16" t="n"/>
      <c r="E120" s="16" t="n"/>
      <c r="F120" s="15" t="n"/>
      <c r="G120" s="16" t="n"/>
      <c r="H120" s="17">
        <f>IF(OR($F120="",$G120&lt;&gt;"Em aberto"),"",$F120-Instruções!$B$5)</f>
        <v/>
      </c>
    </row>
    <row r="121">
      <c r="A121" s="15" t="n"/>
      <c r="B121" s="16" t="n"/>
      <c r="C121" s="16" t="n"/>
      <c r="D121" s="16" t="n"/>
      <c r="E121" s="16" t="n"/>
      <c r="F121" s="15" t="n"/>
      <c r="G121" s="16" t="n"/>
      <c r="H121" s="17">
        <f>IF(OR($F121="",$G121&lt;&gt;"Em aberto"),"",$F121-Instruções!$B$5)</f>
        <v/>
      </c>
    </row>
    <row r="122">
      <c r="A122" s="15" t="n"/>
      <c r="B122" s="16" t="n"/>
      <c r="C122" s="16" t="n"/>
      <c r="D122" s="16" t="n"/>
      <c r="E122" s="16" t="n"/>
      <c r="F122" s="15" t="n"/>
      <c r="G122" s="16" t="n"/>
      <c r="H122" s="17">
        <f>IF(OR($F122="",$G122&lt;&gt;"Em aberto"),"",$F122-Instruções!$B$5)</f>
        <v/>
      </c>
    </row>
    <row r="123">
      <c r="A123" s="15" t="n"/>
      <c r="B123" s="16" t="n"/>
      <c r="C123" s="16" t="n"/>
      <c r="D123" s="16" t="n"/>
      <c r="E123" s="16" t="n"/>
      <c r="F123" s="15" t="n"/>
      <c r="G123" s="16" t="n"/>
      <c r="H123" s="17">
        <f>IF(OR($F123="",$G123&lt;&gt;"Em aberto"),"",$F123-Instruções!$B$5)</f>
        <v/>
      </c>
    </row>
    <row r="124">
      <c r="A124" s="15" t="n"/>
      <c r="B124" s="16" t="n"/>
      <c r="C124" s="16" t="n"/>
      <c r="D124" s="16" t="n"/>
      <c r="E124" s="16" t="n"/>
      <c r="F124" s="15" t="n"/>
      <c r="G124" s="16" t="n"/>
      <c r="H124" s="17">
        <f>IF(OR($F124="",$G124&lt;&gt;"Em aberto"),"",$F124-Instruções!$B$5)</f>
        <v/>
      </c>
    </row>
    <row r="125">
      <c r="A125" s="15" t="n"/>
      <c r="B125" s="16" t="n"/>
      <c r="C125" s="16" t="n"/>
      <c r="D125" s="16" t="n"/>
      <c r="E125" s="16" t="n"/>
      <c r="F125" s="15" t="n"/>
      <c r="G125" s="16" t="n"/>
      <c r="H125" s="17">
        <f>IF(OR($F125="",$G125&lt;&gt;"Em aberto"),"",$F125-Instruções!$B$5)</f>
        <v/>
      </c>
    </row>
    <row r="126">
      <c r="A126" s="15" t="n"/>
      <c r="B126" s="16" t="n"/>
      <c r="C126" s="16" t="n"/>
      <c r="D126" s="16" t="n"/>
      <c r="E126" s="16" t="n"/>
      <c r="F126" s="15" t="n"/>
      <c r="G126" s="16" t="n"/>
      <c r="H126" s="17">
        <f>IF(OR($F126="",$G126&lt;&gt;"Em aberto"),"",$F126-Instruções!$B$5)</f>
        <v/>
      </c>
    </row>
    <row r="127">
      <c r="A127" s="15" t="n"/>
      <c r="B127" s="16" t="n"/>
      <c r="C127" s="16" t="n"/>
      <c r="D127" s="16" t="n"/>
      <c r="E127" s="16" t="n"/>
      <c r="F127" s="15" t="n"/>
      <c r="G127" s="16" t="n"/>
      <c r="H127" s="17">
        <f>IF(OR($F127="",$G127&lt;&gt;"Em aberto"),"",$F127-Instruções!$B$5)</f>
        <v/>
      </c>
    </row>
    <row r="128">
      <c r="A128" s="15" t="n"/>
      <c r="B128" s="16" t="n"/>
      <c r="C128" s="16" t="n"/>
      <c r="D128" s="16" t="n"/>
      <c r="E128" s="16" t="n"/>
      <c r="F128" s="15" t="n"/>
      <c r="G128" s="16" t="n"/>
      <c r="H128" s="17">
        <f>IF(OR($F128="",$G128&lt;&gt;"Em aberto"),"",$F128-Instruções!$B$5)</f>
        <v/>
      </c>
    </row>
    <row r="129">
      <c r="A129" s="15" t="n"/>
      <c r="B129" s="16" t="n"/>
      <c r="C129" s="16" t="n"/>
      <c r="D129" s="16" t="n"/>
      <c r="E129" s="16" t="n"/>
      <c r="F129" s="15" t="n"/>
      <c r="G129" s="16" t="n"/>
      <c r="H129" s="17">
        <f>IF(OR($F129="",$G129&lt;&gt;"Em aberto"),"",$F129-Instruções!$B$5)</f>
        <v/>
      </c>
    </row>
    <row r="130">
      <c r="A130" s="15" t="n"/>
      <c r="B130" s="16" t="n"/>
      <c r="C130" s="16" t="n"/>
      <c r="D130" s="16" t="n"/>
      <c r="E130" s="16" t="n"/>
      <c r="F130" s="15" t="n"/>
      <c r="G130" s="16" t="n"/>
      <c r="H130" s="17">
        <f>IF(OR($F130="",$G130&lt;&gt;"Em aberto"),"",$F130-Instruções!$B$5)</f>
        <v/>
      </c>
    </row>
    <row r="131">
      <c r="A131" s="15" t="n"/>
      <c r="B131" s="16" t="n"/>
      <c r="C131" s="16" t="n"/>
      <c r="D131" s="16" t="n"/>
      <c r="E131" s="16" t="n"/>
      <c r="F131" s="15" t="n"/>
      <c r="G131" s="16" t="n"/>
      <c r="H131" s="17">
        <f>IF(OR($F131="",$G131&lt;&gt;"Em aberto"),"",$F131-Instruções!$B$5)</f>
        <v/>
      </c>
    </row>
    <row r="132">
      <c r="A132" s="15" t="n"/>
      <c r="B132" s="16" t="n"/>
      <c r="C132" s="16" t="n"/>
      <c r="D132" s="16" t="n"/>
      <c r="E132" s="16" t="n"/>
      <c r="F132" s="15" t="n"/>
      <c r="G132" s="16" t="n"/>
      <c r="H132" s="17">
        <f>IF(OR($F132="",$G132&lt;&gt;"Em aberto"),"",$F132-Instruções!$B$5)</f>
        <v/>
      </c>
    </row>
    <row r="133">
      <c r="A133" s="15" t="n"/>
      <c r="B133" s="16" t="n"/>
      <c r="C133" s="16" t="n"/>
      <c r="D133" s="16" t="n"/>
      <c r="E133" s="16" t="n"/>
      <c r="F133" s="15" t="n"/>
      <c r="G133" s="16" t="n"/>
      <c r="H133" s="17">
        <f>IF(OR($F133="",$G133&lt;&gt;"Em aberto"),"",$F133-Instruções!$B$5)</f>
        <v/>
      </c>
    </row>
    <row r="134">
      <c r="A134" s="15" t="n"/>
      <c r="B134" s="16" t="n"/>
      <c r="C134" s="16" t="n"/>
      <c r="D134" s="16" t="n"/>
      <c r="E134" s="16" t="n"/>
      <c r="F134" s="15" t="n"/>
      <c r="G134" s="16" t="n"/>
      <c r="H134" s="17">
        <f>IF(OR($F134="",$G134&lt;&gt;"Em aberto"),"",$F134-Instruções!$B$5)</f>
        <v/>
      </c>
    </row>
    <row r="135">
      <c r="A135" s="15" t="n"/>
      <c r="B135" s="16" t="n"/>
      <c r="C135" s="16" t="n"/>
      <c r="D135" s="16" t="n"/>
      <c r="E135" s="16" t="n"/>
      <c r="F135" s="15" t="n"/>
      <c r="G135" s="16" t="n"/>
      <c r="H135" s="17">
        <f>IF(OR($F135="",$G135&lt;&gt;"Em aberto"),"",$F135-Instruções!$B$5)</f>
        <v/>
      </c>
    </row>
    <row r="136">
      <c r="A136" s="15" t="n"/>
      <c r="B136" s="16" t="n"/>
      <c r="C136" s="16" t="n"/>
      <c r="D136" s="16" t="n"/>
      <c r="E136" s="16" t="n"/>
      <c r="F136" s="15" t="n"/>
      <c r="G136" s="16" t="n"/>
      <c r="H136" s="17">
        <f>IF(OR($F136="",$G136&lt;&gt;"Em aberto"),"",$F136-Instruções!$B$5)</f>
        <v/>
      </c>
    </row>
    <row r="137">
      <c r="A137" s="15" t="n"/>
      <c r="B137" s="16" t="n"/>
      <c r="C137" s="16" t="n"/>
      <c r="D137" s="16" t="n"/>
      <c r="E137" s="16" t="n"/>
      <c r="F137" s="15" t="n"/>
      <c r="G137" s="16" t="n"/>
      <c r="H137" s="17">
        <f>IF(OR($F137="",$G137&lt;&gt;"Em aberto"),"",$F137-Instruções!$B$5)</f>
        <v/>
      </c>
    </row>
    <row r="138">
      <c r="A138" s="15" t="n"/>
      <c r="B138" s="16" t="n"/>
      <c r="C138" s="16" t="n"/>
      <c r="D138" s="16" t="n"/>
      <c r="E138" s="16" t="n"/>
      <c r="F138" s="15" t="n"/>
      <c r="G138" s="16" t="n"/>
      <c r="H138" s="17">
        <f>IF(OR($F138="",$G138&lt;&gt;"Em aberto"),"",$F138-Instruções!$B$5)</f>
        <v/>
      </c>
    </row>
    <row r="139">
      <c r="A139" s="15" t="n"/>
      <c r="B139" s="16" t="n"/>
      <c r="C139" s="16" t="n"/>
      <c r="D139" s="16" t="n"/>
      <c r="E139" s="16" t="n"/>
      <c r="F139" s="15" t="n"/>
      <c r="G139" s="16" t="n"/>
      <c r="H139" s="17">
        <f>IF(OR($F139="",$G139&lt;&gt;"Em aberto"),"",$F139-Instruções!$B$5)</f>
        <v/>
      </c>
    </row>
    <row r="140">
      <c r="A140" s="15" t="n"/>
      <c r="B140" s="16" t="n"/>
      <c r="C140" s="16" t="n"/>
      <c r="D140" s="16" t="n"/>
      <c r="E140" s="16" t="n"/>
      <c r="F140" s="15" t="n"/>
      <c r="G140" s="16" t="n"/>
      <c r="H140" s="17">
        <f>IF(OR($F140="",$G140&lt;&gt;"Em aberto"),"",$F140-Instruções!$B$5)</f>
        <v/>
      </c>
    </row>
    <row r="141">
      <c r="A141" s="15" t="n"/>
      <c r="B141" s="16" t="n"/>
      <c r="C141" s="16" t="n"/>
      <c r="D141" s="16" t="n"/>
      <c r="E141" s="16" t="n"/>
      <c r="F141" s="15" t="n"/>
      <c r="G141" s="16" t="n"/>
      <c r="H141" s="17">
        <f>IF(OR($F141="",$G141&lt;&gt;"Em aberto"),"",$F141-Instruções!$B$5)</f>
        <v/>
      </c>
    </row>
    <row r="142">
      <c r="A142" s="15" t="n"/>
      <c r="B142" s="16" t="n"/>
      <c r="C142" s="16" t="n"/>
      <c r="D142" s="16" t="n"/>
      <c r="E142" s="16" t="n"/>
      <c r="F142" s="15" t="n"/>
      <c r="G142" s="16" t="n"/>
      <c r="H142" s="17">
        <f>IF(OR($F142="",$G142&lt;&gt;"Em aberto"),"",$F142-Instruções!$B$5)</f>
        <v/>
      </c>
    </row>
    <row r="143">
      <c r="A143" s="15" t="n"/>
      <c r="B143" s="16" t="n"/>
      <c r="C143" s="16" t="n"/>
      <c r="D143" s="16" t="n"/>
      <c r="E143" s="16" t="n"/>
      <c r="F143" s="15" t="n"/>
      <c r="G143" s="16" t="n"/>
      <c r="H143" s="17">
        <f>IF(OR($F143="",$G143&lt;&gt;"Em aberto"),"",$F143-Instruções!$B$5)</f>
        <v/>
      </c>
    </row>
    <row r="144">
      <c r="A144" s="15" t="n"/>
      <c r="B144" s="16" t="n"/>
      <c r="C144" s="16" t="n"/>
      <c r="D144" s="16" t="n"/>
      <c r="E144" s="16" t="n"/>
      <c r="F144" s="15" t="n"/>
      <c r="G144" s="16" t="n"/>
      <c r="H144" s="17">
        <f>IF(OR($F144="",$G144&lt;&gt;"Em aberto"),"",$F144-Instruções!$B$5)</f>
        <v/>
      </c>
    </row>
    <row r="145">
      <c r="A145" s="15" t="n"/>
      <c r="B145" s="16" t="n"/>
      <c r="C145" s="16" t="n"/>
      <c r="D145" s="16" t="n"/>
      <c r="E145" s="16" t="n"/>
      <c r="F145" s="15" t="n"/>
      <c r="G145" s="16" t="n"/>
      <c r="H145" s="17">
        <f>IF(OR($F145="",$G145&lt;&gt;"Em aberto"),"",$F145-Instruções!$B$5)</f>
        <v/>
      </c>
    </row>
    <row r="146">
      <c r="A146" s="15" t="n"/>
      <c r="B146" s="16" t="n"/>
      <c r="C146" s="16" t="n"/>
      <c r="D146" s="16" t="n"/>
      <c r="E146" s="16" t="n"/>
      <c r="F146" s="15" t="n"/>
      <c r="G146" s="16" t="n"/>
      <c r="H146" s="17">
        <f>IF(OR($F146="",$G146&lt;&gt;"Em aberto"),"",$F146-Instruções!$B$5)</f>
        <v/>
      </c>
    </row>
    <row r="147">
      <c r="A147" s="15" t="n"/>
      <c r="B147" s="16" t="n"/>
      <c r="C147" s="16" t="n"/>
      <c r="D147" s="16" t="n"/>
      <c r="E147" s="16" t="n"/>
      <c r="F147" s="15" t="n"/>
      <c r="G147" s="16" t="n"/>
      <c r="H147" s="17">
        <f>IF(OR($F147="",$G147&lt;&gt;"Em aberto"),"",$F147-Instruções!$B$5)</f>
        <v/>
      </c>
    </row>
    <row r="148">
      <c r="A148" s="15" t="n"/>
      <c r="B148" s="16" t="n"/>
      <c r="C148" s="16" t="n"/>
      <c r="D148" s="16" t="n"/>
      <c r="E148" s="16" t="n"/>
      <c r="F148" s="15" t="n"/>
      <c r="G148" s="16" t="n"/>
      <c r="H148" s="17">
        <f>IF(OR($F148="",$G148&lt;&gt;"Em aberto"),"",$F148-Instruções!$B$5)</f>
        <v/>
      </c>
    </row>
    <row r="149">
      <c r="A149" s="15" t="n"/>
      <c r="B149" s="16" t="n"/>
      <c r="C149" s="16" t="n"/>
      <c r="D149" s="16" t="n"/>
      <c r="E149" s="16" t="n"/>
      <c r="F149" s="15" t="n"/>
      <c r="G149" s="16" t="n"/>
      <c r="H149" s="17">
        <f>IF(OR($F149="",$G149&lt;&gt;"Em aberto"),"",$F149-Instruções!$B$5)</f>
        <v/>
      </c>
    </row>
    <row r="150">
      <c r="A150" s="15" t="n"/>
      <c r="B150" s="16" t="n"/>
      <c r="C150" s="16" t="n"/>
      <c r="D150" s="16" t="n"/>
      <c r="E150" s="16" t="n"/>
      <c r="F150" s="15" t="n"/>
      <c r="G150" s="16" t="n"/>
      <c r="H150" s="17">
        <f>IF(OR($F150="",$G150&lt;&gt;"Em aberto"),"",$F150-Instruções!$B$5)</f>
        <v/>
      </c>
    </row>
    <row r="151">
      <c r="A151" s="15" t="n"/>
      <c r="B151" s="16" t="n"/>
      <c r="C151" s="16" t="n"/>
      <c r="D151" s="16" t="n"/>
      <c r="E151" s="16" t="n"/>
      <c r="F151" s="15" t="n"/>
      <c r="G151" s="16" t="n"/>
      <c r="H151" s="17">
        <f>IF(OR($F151="",$G151&lt;&gt;"Em aberto"),"",$F151-Instruções!$B$5)</f>
        <v/>
      </c>
    </row>
    <row r="152">
      <c r="A152" s="15" t="n"/>
      <c r="B152" s="16" t="n"/>
      <c r="C152" s="16" t="n"/>
      <c r="D152" s="16" t="n"/>
      <c r="E152" s="16" t="n"/>
      <c r="F152" s="15" t="n"/>
      <c r="G152" s="16" t="n"/>
      <c r="H152" s="17">
        <f>IF(OR($F152="",$G152&lt;&gt;"Em aberto"),"",$F152-Instruções!$B$5)</f>
        <v/>
      </c>
    </row>
    <row r="153">
      <c r="A153" s="15" t="n"/>
      <c r="B153" s="16" t="n"/>
      <c r="C153" s="16" t="n"/>
      <c r="D153" s="16" t="n"/>
      <c r="E153" s="16" t="n"/>
      <c r="F153" s="15" t="n"/>
      <c r="G153" s="16" t="n"/>
      <c r="H153" s="17">
        <f>IF(OR($F153="",$G153&lt;&gt;"Em aberto"),"",$F153-Instruções!$B$5)</f>
        <v/>
      </c>
    </row>
    <row r="154">
      <c r="A154" s="15" t="n"/>
      <c r="B154" s="16" t="n"/>
      <c r="C154" s="16" t="n"/>
      <c r="D154" s="16" t="n"/>
      <c r="E154" s="16" t="n"/>
      <c r="F154" s="15" t="n"/>
      <c r="G154" s="16" t="n"/>
      <c r="H154" s="17">
        <f>IF(OR($F154="",$G154&lt;&gt;"Em aberto"),"",$F154-Instruções!$B$5)</f>
        <v/>
      </c>
    </row>
  </sheetData>
  <autoFilter ref="A5:H154"/>
  <conditionalFormatting sqref="A6:H154">
    <cfRule type="expression" priority="1" dxfId="4">
      <formula>AND($H6&lt;&gt;"",$H6&lt;0)</formula>
    </cfRule>
    <cfRule type="expression" priority="2" dxfId="0">
      <formula>AND($H6&lt;&gt;"",$H6&gt;=0,$H6&lt;=7)</formula>
    </cfRule>
  </conditionalFormatting>
  <dataValidations count="2">
    <dataValidation sqref="D6:D154" showDropDown="0" showInputMessage="0" showErrorMessage="0" allowBlank="1" type="list">
      <formula1>=Instruções!$H$6:$H$9</formula1>
    </dataValidation>
    <dataValidation sqref="G6:G154" showDropDown="0" showInputMessage="0" showErrorMessage="0" allowBlank="1" type="list">
      <formula1>=Instruções!$I$6:$I$9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2026-08-27T18:16:13Z</dcterms:created>
  <dcterms:modified xsi:type="dcterms:W3CDTF">2026-08-27T18:16:13Z</dcterms:modified>
</cp:coreProperties>
</file>